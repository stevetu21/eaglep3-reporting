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Enforcements!$A$6:$AC$73</definedName>
    <definedName name="_xlnm._FilterDatabase" localSheetId="2" hidden="1">'Missing Trips'!$A$2:$J$85</definedName>
    <definedName name="_xlnm._FilterDatabase" localSheetId="0" hidden="1">'Train Runs'!$A$12:$AG$263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6" i="3" l="1"/>
  <c r="N56" i="3"/>
  <c r="R56" i="3"/>
  <c r="U56" i="3"/>
  <c r="T56" i="3" s="1"/>
  <c r="V56" i="3"/>
  <c r="W56" i="3"/>
  <c r="Y56" i="3" s="1"/>
  <c r="X56" i="3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K133" i="1"/>
  <c r="L133" i="1"/>
  <c r="M133" i="1"/>
  <c r="P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4" i="1"/>
  <c r="L14" i="1"/>
  <c r="M14" i="1"/>
  <c r="N14" i="1" s="1"/>
  <c r="V14" i="1"/>
  <c r="S35" i="3" s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R36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R28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37" i="3" s="1"/>
  <c r="Y24" i="1"/>
  <c r="Z24" i="1"/>
  <c r="AB24" i="1"/>
  <c r="AC24" i="1"/>
  <c r="AD24" i="1"/>
  <c r="AG24" i="1" s="1"/>
  <c r="AE24" i="1"/>
  <c r="R37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R25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S10" i="3" s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S40" i="3" s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S22" i="3" s="1"/>
  <c r="Y53" i="1"/>
  <c r="Z53" i="1"/>
  <c r="AB53" i="1"/>
  <c r="AC53" i="1"/>
  <c r="AD53" i="1"/>
  <c r="AE53" i="1"/>
  <c r="R22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21" i="3" s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I58" i="1" s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18" i="3" s="1"/>
  <c r="Y60" i="1"/>
  <c r="Z60" i="1"/>
  <c r="AB60" i="1"/>
  <c r="AC60" i="1"/>
  <c r="AD60" i="1"/>
  <c r="AE60" i="1"/>
  <c r="R18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S23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P70" i="1" s="1"/>
  <c r="V70" i="1"/>
  <c r="Y70" i="1"/>
  <c r="Z70" i="1"/>
  <c r="AB70" i="1"/>
  <c r="AC70" i="1"/>
  <c r="AD70" i="1"/>
  <c r="T70" i="1" s="1"/>
  <c r="AE70" i="1"/>
  <c r="R34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41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S14" i="3" s="1"/>
  <c r="Y78" i="1"/>
  <c r="Z78" i="1"/>
  <c r="AB78" i="1"/>
  <c r="AC78" i="1"/>
  <c r="AD78" i="1"/>
  <c r="T78" i="1" s="1"/>
  <c r="AE78" i="1"/>
  <c r="R14" i="3" s="1"/>
  <c r="AF78" i="1"/>
  <c r="AH78" i="1"/>
  <c r="AM78" i="1"/>
  <c r="AN78" i="1"/>
  <c r="K79" i="1"/>
  <c r="L79" i="1"/>
  <c r="M79" i="1"/>
  <c r="N79" i="1" s="1"/>
  <c r="V79" i="1"/>
  <c r="S46" i="3" s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P84" i="1" s="1"/>
  <c r="V84" i="1"/>
  <c r="S31" i="3" s="1"/>
  <c r="Y84" i="1"/>
  <c r="Z84" i="1"/>
  <c r="AB84" i="1"/>
  <c r="AC84" i="1"/>
  <c r="AD84" i="1"/>
  <c r="AG84" i="1" s="1"/>
  <c r="AE84" i="1"/>
  <c r="R12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S13" i="3" s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R15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P99" i="1" s="1"/>
  <c r="V99" i="1"/>
  <c r="S29" i="3" s="1"/>
  <c r="Y99" i="1"/>
  <c r="Z99" i="1"/>
  <c r="AB99" i="1"/>
  <c r="AC99" i="1"/>
  <c r="AD99" i="1"/>
  <c r="AE99" i="1"/>
  <c r="R29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S47" i="3" s="1"/>
  <c r="Y103" i="1"/>
  <c r="Z103" i="1"/>
  <c r="AB103" i="1"/>
  <c r="AC103" i="1"/>
  <c r="AD103" i="1"/>
  <c r="AE103" i="1"/>
  <c r="R47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S16" i="3" s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43" i="3" s="1"/>
  <c r="Y114" i="1"/>
  <c r="Z114" i="1"/>
  <c r="AB114" i="1"/>
  <c r="AC114" i="1"/>
  <c r="AD114" i="1"/>
  <c r="AG114" i="1" s="1"/>
  <c r="AE114" i="1"/>
  <c r="R43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S24" i="3" s="1"/>
  <c r="Y116" i="1"/>
  <c r="Z116" i="1"/>
  <c r="AB116" i="1"/>
  <c r="AC116" i="1"/>
  <c r="AD116" i="1"/>
  <c r="AE116" i="1"/>
  <c r="R24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S27" i="3" s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S44" i="3" s="1"/>
  <c r="Y128" i="1"/>
  <c r="Z128" i="1"/>
  <c r="AB128" i="1"/>
  <c r="AC128" i="1"/>
  <c r="AD128" i="1"/>
  <c r="AE128" i="1"/>
  <c r="R44" i="3" s="1"/>
  <c r="AF128" i="1"/>
  <c r="AH128" i="1"/>
  <c r="AM128" i="1"/>
  <c r="AN128" i="1"/>
  <c r="K129" i="1"/>
  <c r="L129" i="1"/>
  <c r="M129" i="1"/>
  <c r="N129" i="1" s="1"/>
  <c r="V129" i="1"/>
  <c r="S48" i="3" s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S7" i="3" s="1"/>
  <c r="Y130" i="1"/>
  <c r="Z130" i="1"/>
  <c r="AB130" i="1"/>
  <c r="AC130" i="1"/>
  <c r="AD130" i="1"/>
  <c r="T130" i="1" s="1"/>
  <c r="AE130" i="1"/>
  <c r="R7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R45" i="3" s="1"/>
  <c r="AF132" i="1"/>
  <c r="AH132" i="1"/>
  <c r="AM132" i="1"/>
  <c r="AN132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R49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S71" i="3" s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S70" i="3" s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157" i="1"/>
  <c r="L157" i="1"/>
  <c r="M157" i="1"/>
  <c r="N157" i="1" s="1"/>
  <c r="V157" i="1"/>
  <c r="S59" i="3" s="1"/>
  <c r="Y157" i="1"/>
  <c r="Z157" i="1"/>
  <c r="AB157" i="1"/>
  <c r="AC157" i="1"/>
  <c r="AD157" i="1"/>
  <c r="AE157" i="1"/>
  <c r="R59" i="3" s="1"/>
  <c r="AF157" i="1"/>
  <c r="AH176" i="1"/>
  <c r="AM176" i="1"/>
  <c r="AN176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7" i="1"/>
  <c r="AM177" i="1"/>
  <c r="AN177" i="1"/>
  <c r="K159" i="1"/>
  <c r="L159" i="1"/>
  <c r="M159" i="1"/>
  <c r="N159" i="1" s="1"/>
  <c r="V159" i="1"/>
  <c r="S60" i="3" s="1"/>
  <c r="Y159" i="1"/>
  <c r="Z159" i="1"/>
  <c r="AB159" i="1"/>
  <c r="AC159" i="1"/>
  <c r="AD159" i="1"/>
  <c r="AG159" i="1" s="1"/>
  <c r="AE159" i="1"/>
  <c r="R60" i="3" s="1"/>
  <c r="AF159" i="1"/>
  <c r="AH178" i="1"/>
  <c r="AM178" i="1"/>
  <c r="AN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AM179" i="1"/>
  <c r="AN179" i="1"/>
  <c r="K161" i="1"/>
  <c r="L161" i="1"/>
  <c r="M161" i="1"/>
  <c r="N161" i="1" s="1"/>
  <c r="V161" i="1"/>
  <c r="S61" i="3" s="1"/>
  <c r="Y161" i="1"/>
  <c r="Z161" i="1"/>
  <c r="AB161" i="1"/>
  <c r="AC161" i="1"/>
  <c r="AD161" i="1"/>
  <c r="AE161" i="1"/>
  <c r="R61" i="3" s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1" i="1"/>
  <c r="AM181" i="1"/>
  <c r="AN181" i="1"/>
  <c r="K163" i="1"/>
  <c r="L163" i="1"/>
  <c r="M163" i="1"/>
  <c r="N163" i="1" s="1"/>
  <c r="V163" i="1"/>
  <c r="S62" i="3" s="1"/>
  <c r="Y163" i="1"/>
  <c r="Z163" i="1"/>
  <c r="AB163" i="1"/>
  <c r="AC163" i="1"/>
  <c r="AD163" i="1"/>
  <c r="AG163" i="1" s="1"/>
  <c r="AE163" i="1"/>
  <c r="R62" i="3" s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4" i="1"/>
  <c r="AM184" i="1"/>
  <c r="AN184" i="1"/>
  <c r="K166" i="1"/>
  <c r="L166" i="1"/>
  <c r="M166" i="1"/>
  <c r="N166" i="1" s="1"/>
  <c r="V166" i="1"/>
  <c r="S66" i="3" s="1"/>
  <c r="Y166" i="1"/>
  <c r="Z166" i="1"/>
  <c r="AB166" i="1"/>
  <c r="AC166" i="1"/>
  <c r="AD166" i="1"/>
  <c r="AG166" i="1" s="1"/>
  <c r="AE166" i="1"/>
  <c r="R66" i="3" s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R63" i="3" s="1"/>
  <c r="AF167" i="1"/>
  <c r="AH186" i="1"/>
  <c r="AM186" i="1"/>
  <c r="AN18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9" i="1"/>
  <c r="AM189" i="1"/>
  <c r="AN189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0" i="1"/>
  <c r="AM190" i="1"/>
  <c r="AN190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1" i="1"/>
  <c r="AM191" i="1"/>
  <c r="AN191" i="1"/>
  <c r="K173" i="1"/>
  <c r="L173" i="1"/>
  <c r="M173" i="1"/>
  <c r="N173" i="1"/>
  <c r="T173" i="1"/>
  <c r="V173" i="1"/>
  <c r="Y173" i="1"/>
  <c r="Z173" i="1"/>
  <c r="AA173" i="1" s="1"/>
  <c r="AB173" i="1"/>
  <c r="AC173" i="1"/>
  <c r="AD173" i="1"/>
  <c r="AE173" i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3" i="1"/>
  <c r="AM193" i="1"/>
  <c r="AN193" i="1"/>
  <c r="K175" i="1"/>
  <c r="L175" i="1"/>
  <c r="M175" i="1"/>
  <c r="N175" i="1" s="1"/>
  <c r="V175" i="1"/>
  <c r="S54" i="3" s="1"/>
  <c r="Y175" i="1"/>
  <c r="Z175" i="1"/>
  <c r="AB175" i="1"/>
  <c r="AC175" i="1"/>
  <c r="AD175" i="1"/>
  <c r="AG175" i="1" s="1"/>
  <c r="AE175" i="1"/>
  <c r="AF175" i="1"/>
  <c r="AH194" i="1"/>
  <c r="AM194" i="1"/>
  <c r="AN194" i="1"/>
  <c r="K176" i="1"/>
  <c r="L176" i="1"/>
  <c r="M176" i="1"/>
  <c r="N176" i="1" s="1"/>
  <c r="V176" i="1"/>
  <c r="S67" i="3" s="1"/>
  <c r="Y176" i="1"/>
  <c r="Z176" i="1"/>
  <c r="AB176" i="1"/>
  <c r="AC176" i="1"/>
  <c r="AD176" i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7" i="1"/>
  <c r="AM197" i="1"/>
  <c r="AN197" i="1"/>
  <c r="K179" i="1"/>
  <c r="L179" i="1"/>
  <c r="M179" i="1"/>
  <c r="N179" i="1" s="1"/>
  <c r="V179" i="1"/>
  <c r="Y179" i="1"/>
  <c r="Z179" i="1"/>
  <c r="AA179" i="1" s="1"/>
  <c r="AB179" i="1"/>
  <c r="AC179" i="1"/>
  <c r="AD179" i="1"/>
  <c r="AG179" i="1" s="1"/>
  <c r="AE179" i="1"/>
  <c r="AF179" i="1"/>
  <c r="AH198" i="1"/>
  <c r="AM198" i="1"/>
  <c r="AN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9" i="1"/>
  <c r="AM199" i="1"/>
  <c r="AN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AM200" i="1"/>
  <c r="AN20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1" i="1"/>
  <c r="AM201" i="1"/>
  <c r="AN20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2" i="1"/>
  <c r="AM202" i="1"/>
  <c r="AN202" i="1"/>
  <c r="K184" i="1"/>
  <c r="L184" i="1"/>
  <c r="M184" i="1"/>
  <c r="N184" i="1" s="1"/>
  <c r="V184" i="1"/>
  <c r="S53" i="3" s="1"/>
  <c r="Y184" i="1"/>
  <c r="Z184" i="1"/>
  <c r="AB184" i="1"/>
  <c r="AC184" i="1"/>
  <c r="AD184" i="1"/>
  <c r="T184" i="1" s="1"/>
  <c r="AE184" i="1"/>
  <c r="AF184" i="1"/>
  <c r="AH203" i="1"/>
  <c r="AM203" i="1"/>
  <c r="AN203" i="1"/>
  <c r="K185" i="1"/>
  <c r="L185" i="1"/>
  <c r="M185" i="1"/>
  <c r="N185" i="1" s="1"/>
  <c r="V185" i="1"/>
  <c r="S55" i="3" s="1"/>
  <c r="Y185" i="1"/>
  <c r="Z185" i="1"/>
  <c r="AB185" i="1"/>
  <c r="AC185" i="1"/>
  <c r="AD185" i="1"/>
  <c r="T185" i="1" s="1"/>
  <c r="AE185" i="1"/>
  <c r="AF185" i="1"/>
  <c r="AH204" i="1"/>
  <c r="AM204" i="1"/>
  <c r="AN20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5" i="1"/>
  <c r="AM205" i="1"/>
  <c r="AN205" i="1"/>
  <c r="K187" i="1"/>
  <c r="L187" i="1"/>
  <c r="M187" i="1"/>
  <c r="N187" i="1" s="1"/>
  <c r="V187" i="1"/>
  <c r="S50" i="3" s="1"/>
  <c r="Y187" i="1"/>
  <c r="Z187" i="1"/>
  <c r="AB187" i="1"/>
  <c r="AC187" i="1"/>
  <c r="AD187" i="1"/>
  <c r="AG187" i="1" s="1"/>
  <c r="AE187" i="1"/>
  <c r="AF187" i="1"/>
  <c r="AH206" i="1"/>
  <c r="AM206" i="1"/>
  <c r="AN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AM207" i="1"/>
  <c r="AN20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8" i="1"/>
  <c r="AM208" i="1"/>
  <c r="AN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AM209" i="1"/>
  <c r="AN209" i="1"/>
  <c r="K191" i="1"/>
  <c r="L191" i="1"/>
  <c r="M191" i="1"/>
  <c r="N191" i="1" s="1"/>
  <c r="V191" i="1"/>
  <c r="S64" i="3" s="1"/>
  <c r="Y191" i="1"/>
  <c r="Z191" i="1"/>
  <c r="AB191" i="1"/>
  <c r="AC191" i="1"/>
  <c r="AD191" i="1"/>
  <c r="AE191" i="1"/>
  <c r="AF191" i="1"/>
  <c r="AH210" i="1"/>
  <c r="AM210" i="1"/>
  <c r="AN210" i="1"/>
  <c r="K192" i="1"/>
  <c r="L192" i="1"/>
  <c r="M192" i="1"/>
  <c r="N192" i="1" s="1"/>
  <c r="V192" i="1"/>
  <c r="S68" i="3" s="1"/>
  <c r="Y192" i="1"/>
  <c r="Z192" i="1"/>
  <c r="AB192" i="1"/>
  <c r="AC192" i="1"/>
  <c r="AD192" i="1"/>
  <c r="T192" i="1" s="1"/>
  <c r="AE192" i="1"/>
  <c r="AF192" i="1"/>
  <c r="AH211" i="1"/>
  <c r="AM211" i="1"/>
  <c r="AN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AM212" i="1"/>
  <c r="AN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AM213" i="1"/>
  <c r="AN213" i="1"/>
  <c r="K195" i="1"/>
  <c r="L195" i="1"/>
  <c r="M195" i="1"/>
  <c r="P195" i="1" s="1"/>
  <c r="V195" i="1"/>
  <c r="S56" i="3" s="1"/>
  <c r="Y195" i="1"/>
  <c r="Z195" i="1"/>
  <c r="AB195" i="1"/>
  <c r="AC195" i="1"/>
  <c r="AD195" i="1"/>
  <c r="AE195" i="1"/>
  <c r="AF195" i="1"/>
  <c r="AH214" i="1"/>
  <c r="AM214" i="1"/>
  <c r="AN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AM215" i="1"/>
  <c r="AN215" i="1"/>
  <c r="K197" i="1"/>
  <c r="L197" i="1"/>
  <c r="M197" i="1"/>
  <c r="N197" i="1" s="1"/>
  <c r="V197" i="1"/>
  <c r="S65" i="3" s="1"/>
  <c r="Y197" i="1"/>
  <c r="Z197" i="1"/>
  <c r="AB197" i="1"/>
  <c r="AC197" i="1"/>
  <c r="AD197" i="1"/>
  <c r="T197" i="1" s="1"/>
  <c r="AE197" i="1"/>
  <c r="AF197" i="1"/>
  <c r="AH216" i="1"/>
  <c r="AM216" i="1"/>
  <c r="AN21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AM219" i="1"/>
  <c r="AN21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0" i="1"/>
  <c r="AM220" i="1"/>
  <c r="AN22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2" i="1"/>
  <c r="AM222" i="1"/>
  <c r="AN222" i="1"/>
  <c r="K217" i="1"/>
  <c r="L217" i="1"/>
  <c r="M217" i="1"/>
  <c r="N217" i="1" s="1"/>
  <c r="V217" i="1"/>
  <c r="S73" i="3" s="1"/>
  <c r="Y217" i="1"/>
  <c r="Z217" i="1"/>
  <c r="AB217" i="1"/>
  <c r="AC217" i="1"/>
  <c r="AD217" i="1"/>
  <c r="AG217" i="1" s="1"/>
  <c r="AE217" i="1"/>
  <c r="AF217" i="1"/>
  <c r="AH223" i="1"/>
  <c r="AM223" i="1"/>
  <c r="AN223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4" i="1"/>
  <c r="AM224" i="1"/>
  <c r="AN224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5" i="1"/>
  <c r="AM225" i="1"/>
  <c r="AN225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6" i="1"/>
  <c r="AM226" i="1"/>
  <c r="AN226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7" i="1"/>
  <c r="AM227" i="1"/>
  <c r="AN22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8" i="1"/>
  <c r="AM228" i="1"/>
  <c r="AN228" i="1"/>
  <c r="M71" i="3"/>
  <c r="R71" i="3"/>
  <c r="U71" i="3"/>
  <c r="V71" i="3"/>
  <c r="W71" i="3"/>
  <c r="Y71" i="3" s="1"/>
  <c r="X71" i="3"/>
  <c r="M72" i="3"/>
  <c r="R72" i="3"/>
  <c r="U72" i="3"/>
  <c r="T72" i="3" s="1"/>
  <c r="V72" i="3"/>
  <c r="W72" i="3"/>
  <c r="X72" i="3"/>
  <c r="M70" i="3"/>
  <c r="R70" i="3"/>
  <c r="U70" i="3"/>
  <c r="AC70" i="3" s="1"/>
  <c r="V70" i="3"/>
  <c r="W70" i="3"/>
  <c r="Y70" i="3" s="1"/>
  <c r="X70" i="3"/>
  <c r="M28" i="3"/>
  <c r="S28" i="3"/>
  <c r="U28" i="3"/>
  <c r="AC28" i="3" s="1"/>
  <c r="V28" i="3"/>
  <c r="W28" i="3"/>
  <c r="X28" i="3"/>
  <c r="M35" i="3"/>
  <c r="R35" i="3"/>
  <c r="U35" i="3"/>
  <c r="AC35" i="3" s="1"/>
  <c r="V35" i="3"/>
  <c r="W35" i="3"/>
  <c r="X35" i="3"/>
  <c r="M73" i="3"/>
  <c r="R73" i="3"/>
  <c r="U73" i="3"/>
  <c r="AC73" i="3" s="1"/>
  <c r="V73" i="3"/>
  <c r="W73" i="3"/>
  <c r="X73" i="3"/>
  <c r="M36" i="3"/>
  <c r="S36" i="3"/>
  <c r="U36" i="3"/>
  <c r="AC36" i="3" s="1"/>
  <c r="V36" i="3"/>
  <c r="W36" i="3"/>
  <c r="X36" i="3"/>
  <c r="M59" i="3"/>
  <c r="U59" i="3"/>
  <c r="AC59" i="3" s="1"/>
  <c r="V59" i="3"/>
  <c r="W59" i="3"/>
  <c r="X59" i="3"/>
  <c r="M17" i="3"/>
  <c r="R17" i="3"/>
  <c r="S17" i="3"/>
  <c r="U17" i="3"/>
  <c r="V17" i="3"/>
  <c r="W17" i="3"/>
  <c r="X17" i="3"/>
  <c r="M60" i="3"/>
  <c r="U60" i="3"/>
  <c r="T60" i="3" s="1"/>
  <c r="V60" i="3"/>
  <c r="W60" i="3"/>
  <c r="X60" i="3"/>
  <c r="M37" i="3"/>
  <c r="U37" i="3"/>
  <c r="AC37" i="3" s="1"/>
  <c r="V37" i="3"/>
  <c r="W37" i="3"/>
  <c r="X37" i="3"/>
  <c r="M25" i="3"/>
  <c r="U25" i="3"/>
  <c r="AC25" i="3" s="1"/>
  <c r="V25" i="3"/>
  <c r="W25" i="3"/>
  <c r="X25" i="3"/>
  <c r="M61" i="3"/>
  <c r="U61" i="3"/>
  <c r="AC61" i="3" s="1"/>
  <c r="V61" i="3"/>
  <c r="W61" i="3"/>
  <c r="X61" i="3"/>
  <c r="M38" i="3"/>
  <c r="R38" i="3"/>
  <c r="U38" i="3"/>
  <c r="AC38" i="3" s="1"/>
  <c r="V38" i="3"/>
  <c r="W38" i="3"/>
  <c r="X38" i="3"/>
  <c r="M52" i="3"/>
  <c r="U52" i="3"/>
  <c r="AC52" i="3" s="1"/>
  <c r="V52" i="3"/>
  <c r="W52" i="3"/>
  <c r="X52" i="3"/>
  <c r="M39" i="3"/>
  <c r="R39" i="3"/>
  <c r="S39" i="3"/>
  <c r="U39" i="3"/>
  <c r="AC39" i="3" s="1"/>
  <c r="V39" i="3"/>
  <c r="W39" i="3"/>
  <c r="X39" i="3"/>
  <c r="M62" i="3"/>
  <c r="U62" i="3"/>
  <c r="AC62" i="3" s="1"/>
  <c r="V62" i="3"/>
  <c r="W62" i="3"/>
  <c r="X62" i="3"/>
  <c r="M66" i="3"/>
  <c r="U66" i="3"/>
  <c r="T66" i="3" s="1"/>
  <c r="V66" i="3"/>
  <c r="W66" i="3"/>
  <c r="X66" i="3"/>
  <c r="M10" i="3"/>
  <c r="R10" i="3"/>
  <c r="U10" i="3"/>
  <c r="AC10" i="3" s="1"/>
  <c r="V10" i="3"/>
  <c r="W10" i="3"/>
  <c r="X10" i="3"/>
  <c r="M63" i="3"/>
  <c r="S63" i="3"/>
  <c r="U63" i="3"/>
  <c r="AC63" i="3" s="1"/>
  <c r="V63" i="3"/>
  <c r="W63" i="3"/>
  <c r="X63" i="3"/>
  <c r="M22" i="3"/>
  <c r="U22" i="3"/>
  <c r="AC22" i="3" s="1"/>
  <c r="V22" i="3"/>
  <c r="W22" i="3"/>
  <c r="X22" i="3"/>
  <c r="AD28" i="3"/>
  <c r="M40" i="3"/>
  <c r="R40" i="3"/>
  <c r="U40" i="3"/>
  <c r="AC40" i="3" s="1"/>
  <c r="V40" i="3"/>
  <c r="W40" i="3"/>
  <c r="X40" i="3"/>
  <c r="M21" i="3"/>
  <c r="R21" i="3"/>
  <c r="U21" i="3"/>
  <c r="V21" i="3"/>
  <c r="W21" i="3"/>
  <c r="X21" i="3"/>
  <c r="M20" i="3"/>
  <c r="R20" i="3"/>
  <c r="S20" i="3"/>
  <c r="U20" i="3"/>
  <c r="AC20" i="3" s="1"/>
  <c r="V20" i="3"/>
  <c r="W20" i="3"/>
  <c r="Y20" i="3" s="1"/>
  <c r="X20" i="3"/>
  <c r="M33" i="3"/>
  <c r="U33" i="3"/>
  <c r="AC33" i="3" s="1"/>
  <c r="V33" i="3"/>
  <c r="W33" i="3"/>
  <c r="X33" i="3"/>
  <c r="M18" i="3"/>
  <c r="U18" i="3"/>
  <c r="T18" i="3" s="1"/>
  <c r="V18" i="3"/>
  <c r="W18" i="3"/>
  <c r="X18" i="3"/>
  <c r="AC18" i="3"/>
  <c r="AD33" i="3"/>
  <c r="M26" i="3"/>
  <c r="R26" i="3"/>
  <c r="U26" i="3"/>
  <c r="V26" i="3"/>
  <c r="W26" i="3"/>
  <c r="X26" i="3"/>
  <c r="AC26" i="3"/>
  <c r="M23" i="3"/>
  <c r="R23" i="3"/>
  <c r="U23" i="3"/>
  <c r="V23" i="3"/>
  <c r="W23" i="3"/>
  <c r="Y23" i="3" s="1"/>
  <c r="X23" i="3"/>
  <c r="M19" i="3"/>
  <c r="R19" i="3"/>
  <c r="U19" i="3"/>
  <c r="AC19" i="3" s="1"/>
  <c r="V19" i="3"/>
  <c r="W19" i="3"/>
  <c r="X19" i="3"/>
  <c r="M11" i="3"/>
  <c r="R11" i="3"/>
  <c r="S11" i="3"/>
  <c r="U11" i="3"/>
  <c r="T11" i="3" s="1"/>
  <c r="V11" i="3"/>
  <c r="W11" i="3"/>
  <c r="X11" i="3"/>
  <c r="M54" i="3"/>
  <c r="R54" i="3"/>
  <c r="U54" i="3"/>
  <c r="V54" i="3"/>
  <c r="W54" i="3"/>
  <c r="X54" i="3"/>
  <c r="M34" i="3"/>
  <c r="S34" i="3"/>
  <c r="U34" i="3"/>
  <c r="V34" i="3"/>
  <c r="W34" i="3"/>
  <c r="X34" i="3"/>
  <c r="M30" i="3"/>
  <c r="S30" i="3"/>
  <c r="U30" i="3"/>
  <c r="AC30" i="3" s="1"/>
  <c r="V30" i="3"/>
  <c r="W30" i="3"/>
  <c r="X30" i="3"/>
  <c r="M67" i="3"/>
  <c r="R67" i="3"/>
  <c r="U67" i="3"/>
  <c r="V67" i="3"/>
  <c r="W67" i="3"/>
  <c r="X67" i="3"/>
  <c r="M46" i="3"/>
  <c r="R46" i="3"/>
  <c r="U46" i="3"/>
  <c r="AC46" i="3" s="1"/>
  <c r="V46" i="3"/>
  <c r="W46" i="3"/>
  <c r="X46" i="3"/>
  <c r="M41" i="3"/>
  <c r="S41" i="3"/>
  <c r="U41" i="3"/>
  <c r="AD41" i="3" s="1"/>
  <c r="V41" i="3"/>
  <c r="W41" i="3"/>
  <c r="X41" i="3"/>
  <c r="M14" i="3"/>
  <c r="U14" i="3"/>
  <c r="AC14" i="3" s="1"/>
  <c r="V14" i="3"/>
  <c r="W14" i="3"/>
  <c r="X14" i="3"/>
  <c r="M31" i="3"/>
  <c r="R31" i="3"/>
  <c r="U31" i="3"/>
  <c r="AC31" i="3" s="1"/>
  <c r="V31" i="3"/>
  <c r="W31" i="3"/>
  <c r="X31" i="3"/>
  <c r="M12" i="3"/>
  <c r="S12" i="3"/>
  <c r="U12" i="3"/>
  <c r="AD12" i="3" s="1"/>
  <c r="V12" i="3"/>
  <c r="W12" i="3"/>
  <c r="X12" i="3"/>
  <c r="AC12" i="3"/>
  <c r="M29" i="3"/>
  <c r="U29" i="3"/>
  <c r="AC29" i="3" s="1"/>
  <c r="V29" i="3"/>
  <c r="W29" i="3"/>
  <c r="X29" i="3"/>
  <c r="M13" i="3"/>
  <c r="R13" i="3"/>
  <c r="U13" i="3"/>
  <c r="AC13" i="3" s="1"/>
  <c r="V13" i="3"/>
  <c r="W13" i="3"/>
  <c r="X13" i="3"/>
  <c r="M15" i="3"/>
  <c r="S15" i="3"/>
  <c r="U15" i="3"/>
  <c r="T15" i="3" s="1"/>
  <c r="V15" i="3"/>
  <c r="W15" i="3"/>
  <c r="X15" i="3"/>
  <c r="AC15" i="3"/>
  <c r="M47" i="3"/>
  <c r="U47" i="3"/>
  <c r="AC47" i="3" s="1"/>
  <c r="V47" i="3"/>
  <c r="W47" i="3"/>
  <c r="X47" i="3"/>
  <c r="M53" i="3"/>
  <c r="R53" i="3"/>
  <c r="U53" i="3"/>
  <c r="T53" i="3" s="1"/>
  <c r="V53" i="3"/>
  <c r="W53" i="3"/>
  <c r="X53" i="3"/>
  <c r="M32" i="3"/>
  <c r="R32" i="3"/>
  <c r="S32" i="3"/>
  <c r="U32" i="3"/>
  <c r="V32" i="3"/>
  <c r="W32" i="3"/>
  <c r="X32" i="3"/>
  <c r="M55" i="3"/>
  <c r="R55" i="3"/>
  <c r="U55" i="3"/>
  <c r="V55" i="3"/>
  <c r="W55" i="3"/>
  <c r="X55" i="3"/>
  <c r="M16" i="3"/>
  <c r="R16" i="3"/>
  <c r="U16" i="3"/>
  <c r="AC16" i="3" s="1"/>
  <c r="V16" i="3"/>
  <c r="W16" i="3"/>
  <c r="X16" i="3"/>
  <c r="M50" i="3"/>
  <c r="R50" i="3"/>
  <c r="U50" i="3"/>
  <c r="V50" i="3"/>
  <c r="W50" i="3"/>
  <c r="X50" i="3"/>
  <c r="M42" i="3"/>
  <c r="R42" i="3"/>
  <c r="S42" i="3"/>
  <c r="U42" i="3"/>
  <c r="AC42" i="3" s="1"/>
  <c r="V42" i="3"/>
  <c r="W42" i="3"/>
  <c r="X42" i="3"/>
  <c r="M24" i="3"/>
  <c r="U24" i="3"/>
  <c r="V24" i="3"/>
  <c r="W24" i="3"/>
  <c r="X24" i="3"/>
  <c r="AC24" i="3"/>
  <c r="M64" i="3"/>
  <c r="R64" i="3"/>
  <c r="U64" i="3"/>
  <c r="AC64" i="3" s="1"/>
  <c r="V64" i="3"/>
  <c r="W64" i="3"/>
  <c r="X64" i="3"/>
  <c r="M43" i="3"/>
  <c r="U43" i="3"/>
  <c r="V43" i="3"/>
  <c r="W43" i="3"/>
  <c r="X43" i="3"/>
  <c r="M27" i="3"/>
  <c r="R27" i="3"/>
  <c r="U27" i="3"/>
  <c r="AC27" i="3" s="1"/>
  <c r="V27" i="3"/>
  <c r="W27" i="3"/>
  <c r="X27" i="3"/>
  <c r="M68" i="3"/>
  <c r="R68" i="3"/>
  <c r="U68" i="3"/>
  <c r="AC68" i="3" s="1"/>
  <c r="V68" i="3"/>
  <c r="W68" i="3"/>
  <c r="X68" i="3"/>
  <c r="M58" i="3"/>
  <c r="R58" i="3"/>
  <c r="S58" i="3"/>
  <c r="U58" i="3"/>
  <c r="V58" i="3"/>
  <c r="W58" i="3"/>
  <c r="X58" i="3"/>
  <c r="AD63" i="3"/>
  <c r="M48" i="3"/>
  <c r="R48" i="3"/>
  <c r="U48" i="3"/>
  <c r="AC48" i="3" s="1"/>
  <c r="V48" i="3"/>
  <c r="W48" i="3"/>
  <c r="X48" i="3"/>
  <c r="M44" i="3"/>
  <c r="U44" i="3"/>
  <c r="AC44" i="3" s="1"/>
  <c r="V44" i="3"/>
  <c r="W44" i="3"/>
  <c r="X44" i="3"/>
  <c r="M7" i="3"/>
  <c r="U7" i="3"/>
  <c r="AC7" i="3" s="1"/>
  <c r="V7" i="3"/>
  <c r="W7" i="3"/>
  <c r="X7" i="3"/>
  <c r="AD66" i="3"/>
  <c r="M8" i="3"/>
  <c r="U8" i="3"/>
  <c r="V8" i="3"/>
  <c r="W8" i="3"/>
  <c r="X8" i="3"/>
  <c r="M9" i="3"/>
  <c r="U9" i="3"/>
  <c r="AC9" i="3" s="1"/>
  <c r="V9" i="3"/>
  <c r="W9" i="3"/>
  <c r="X9" i="3"/>
  <c r="M57" i="3"/>
  <c r="R57" i="3"/>
  <c r="U57" i="3"/>
  <c r="T57" i="3" s="1"/>
  <c r="V57" i="3"/>
  <c r="W57" i="3"/>
  <c r="X57" i="3"/>
  <c r="M51" i="3"/>
  <c r="R51" i="3"/>
  <c r="U51" i="3"/>
  <c r="AD70" i="3" s="1"/>
  <c r="V51" i="3"/>
  <c r="W51" i="3"/>
  <c r="X51" i="3"/>
  <c r="M65" i="3"/>
  <c r="R65" i="3"/>
  <c r="U65" i="3"/>
  <c r="V65" i="3"/>
  <c r="W65" i="3"/>
  <c r="X65" i="3"/>
  <c r="M45" i="3"/>
  <c r="S45" i="3"/>
  <c r="U45" i="3"/>
  <c r="AC45" i="3" s="1"/>
  <c r="V45" i="3"/>
  <c r="W45" i="3"/>
  <c r="X45" i="3"/>
  <c r="M49" i="3"/>
  <c r="S49" i="3"/>
  <c r="U49" i="3"/>
  <c r="T49" i="3" s="1"/>
  <c r="V49" i="3"/>
  <c r="W49" i="3"/>
  <c r="X49" i="3"/>
  <c r="S52" i="3" l="1"/>
  <c r="AA205" i="1"/>
  <c r="AA143" i="1"/>
  <c r="AD61" i="3"/>
  <c r="Y63" i="3"/>
  <c r="AC11" i="3"/>
  <c r="AA217" i="1"/>
  <c r="AA194" i="1"/>
  <c r="AA184" i="1"/>
  <c r="AA152" i="1"/>
  <c r="AI144" i="1"/>
  <c r="AA117" i="1"/>
  <c r="AA159" i="1"/>
  <c r="W159" i="1" s="1"/>
  <c r="AA225" i="1"/>
  <c r="X119" i="1"/>
  <c r="R8" i="3"/>
  <c r="AA220" i="1"/>
  <c r="AA201" i="1"/>
  <c r="AA191" i="1"/>
  <c r="AA176" i="1"/>
  <c r="AA164" i="1"/>
  <c r="AA226" i="1"/>
  <c r="X208" i="1"/>
  <c r="AA123" i="1"/>
  <c r="W123" i="1" s="1"/>
  <c r="AA85" i="1"/>
  <c r="AA79" i="1"/>
  <c r="AG55" i="1"/>
  <c r="U55" i="1" s="1"/>
  <c r="S55" i="1" s="1"/>
  <c r="X55" i="1"/>
  <c r="AG48" i="1"/>
  <c r="AA45" i="1"/>
  <c r="AA122" i="1"/>
  <c r="AA120" i="1"/>
  <c r="AA118" i="1"/>
  <c r="AD40" i="3"/>
  <c r="Y34" i="3"/>
  <c r="Y65" i="3"/>
  <c r="Y46" i="3"/>
  <c r="Y25" i="3"/>
  <c r="AD73" i="3"/>
  <c r="Y27" i="3"/>
  <c r="AD59" i="3"/>
  <c r="Y16" i="3"/>
  <c r="AD53" i="3"/>
  <c r="AE73" i="3"/>
  <c r="Y73" i="3"/>
  <c r="AE52" i="3"/>
  <c r="AD52" i="3"/>
  <c r="Y10" i="3"/>
  <c r="T226" i="1"/>
  <c r="X156" i="1"/>
  <c r="AC49" i="3"/>
  <c r="AD56" i="3"/>
  <c r="AE24" i="3"/>
  <c r="AE67" i="3"/>
  <c r="S33" i="3"/>
  <c r="AA180" i="1"/>
  <c r="AG174" i="1"/>
  <c r="Y8" i="3"/>
  <c r="R30" i="3"/>
  <c r="AD36" i="3"/>
  <c r="Y52" i="3"/>
  <c r="R52" i="3"/>
  <c r="T61" i="3"/>
  <c r="X158" i="1"/>
  <c r="AA214" i="1"/>
  <c r="X132" i="1"/>
  <c r="AE71" i="3"/>
  <c r="R9" i="3"/>
  <c r="AE64" i="3"/>
  <c r="AE63" i="3"/>
  <c r="AE61" i="3"/>
  <c r="Y29" i="3"/>
  <c r="Y39" i="3"/>
  <c r="AA221" i="1"/>
  <c r="W221" i="1" s="1"/>
  <c r="AA192" i="1"/>
  <c r="X190" i="1"/>
  <c r="AA160" i="1"/>
  <c r="AA151" i="1"/>
  <c r="AA136" i="1"/>
  <c r="AA131" i="1"/>
  <c r="W131" i="1" s="1"/>
  <c r="T95" i="1"/>
  <c r="AA63" i="1"/>
  <c r="X29" i="1"/>
  <c r="AA21" i="1"/>
  <c r="W21" i="1" s="1"/>
  <c r="AA17" i="1"/>
  <c r="AA15" i="1"/>
  <c r="X154" i="1"/>
  <c r="AC56" i="3"/>
  <c r="AI171" i="1"/>
  <c r="AG170" i="1"/>
  <c r="U170" i="1" s="1"/>
  <c r="AA130" i="1"/>
  <c r="AA126" i="1"/>
  <c r="AA106" i="1"/>
  <c r="AA76" i="1"/>
  <c r="AA64" i="1"/>
  <c r="W64" i="1" s="1"/>
  <c r="AI54" i="1"/>
  <c r="AA39" i="1"/>
  <c r="AA33" i="1"/>
  <c r="AC66" i="3"/>
  <c r="AE56" i="3"/>
  <c r="AD62" i="3"/>
  <c r="AE39" i="3"/>
  <c r="AC34" i="3"/>
  <c r="T19" i="3"/>
  <c r="T62" i="3"/>
  <c r="X181" i="1"/>
  <c r="AG180" i="1"/>
  <c r="U180" i="1" s="1"/>
  <c r="S180" i="1" s="1"/>
  <c r="T149" i="1"/>
  <c r="X149" i="1"/>
  <c r="AG149" i="1"/>
  <c r="AI149" i="1" s="1"/>
  <c r="AG138" i="1"/>
  <c r="X138" i="1"/>
  <c r="T96" i="1"/>
  <c r="AG96" i="1"/>
  <c r="AI96" i="1" s="1"/>
  <c r="S26" i="3"/>
  <c r="S19" i="3"/>
  <c r="AG42" i="1"/>
  <c r="T42" i="1"/>
  <c r="U42" i="1" s="1"/>
  <c r="S42" i="1" s="1"/>
  <c r="X42" i="1"/>
  <c r="T25" i="1"/>
  <c r="X25" i="1"/>
  <c r="AG25" i="1"/>
  <c r="AI25" i="1" s="1"/>
  <c r="X139" i="1"/>
  <c r="S51" i="3"/>
  <c r="S57" i="3"/>
  <c r="T68" i="3"/>
  <c r="T24" i="3"/>
  <c r="Y53" i="3"/>
  <c r="Y26" i="3"/>
  <c r="R33" i="3"/>
  <c r="T71" i="3"/>
  <c r="AC71" i="3"/>
  <c r="AI163" i="1"/>
  <c r="U226" i="1"/>
  <c r="S226" i="1" s="1"/>
  <c r="Y45" i="3"/>
  <c r="AE68" i="3"/>
  <c r="AD67" i="3"/>
  <c r="Y68" i="3"/>
  <c r="AE55" i="3"/>
  <c r="AC50" i="3"/>
  <c r="T31" i="3"/>
  <c r="Y30" i="3"/>
  <c r="AE36" i="3"/>
  <c r="AC17" i="3"/>
  <c r="T17" i="3"/>
  <c r="AA219" i="1"/>
  <c r="T158" i="1"/>
  <c r="U158" i="1" s="1"/>
  <c r="S158" i="1" s="1"/>
  <c r="AA224" i="1"/>
  <c r="X215" i="1"/>
  <c r="AG214" i="1"/>
  <c r="U214" i="1" s="1"/>
  <c r="S214" i="1" s="1"/>
  <c r="T208" i="1"/>
  <c r="AG208" i="1"/>
  <c r="T145" i="1"/>
  <c r="X141" i="1"/>
  <c r="AG136" i="1"/>
  <c r="AI136" i="1" s="1"/>
  <c r="X136" i="1"/>
  <c r="X134" i="1"/>
  <c r="T132" i="1"/>
  <c r="T114" i="1"/>
  <c r="AA113" i="1"/>
  <c r="T112" i="1"/>
  <c r="AG112" i="1"/>
  <c r="AI112" i="1" s="1"/>
  <c r="T43" i="1"/>
  <c r="AG43" i="1"/>
  <c r="AI43" i="1" s="1"/>
  <c r="X33" i="1"/>
  <c r="X135" i="1"/>
  <c r="AC53" i="3"/>
  <c r="AD57" i="3"/>
  <c r="AC57" i="3"/>
  <c r="T31" i="1"/>
  <c r="AG31" i="1"/>
  <c r="W31" i="1" s="1"/>
  <c r="S25" i="3"/>
  <c r="S38" i="3"/>
  <c r="X133" i="1"/>
  <c r="AC60" i="3"/>
  <c r="AC51" i="3"/>
  <c r="AC43" i="3"/>
  <c r="AD38" i="3"/>
  <c r="AC54" i="3"/>
  <c r="AD71" i="3"/>
  <c r="AC65" i="3"/>
  <c r="AC32" i="3"/>
  <c r="T32" i="3"/>
  <c r="AA98" i="1"/>
  <c r="X77" i="1"/>
  <c r="AG77" i="1"/>
  <c r="T77" i="1"/>
  <c r="AC58" i="3"/>
  <c r="AC41" i="3"/>
  <c r="T65" i="3"/>
  <c r="Y44" i="3"/>
  <c r="T67" i="3"/>
  <c r="AC67" i="3"/>
  <c r="Y62" i="3"/>
  <c r="X218" i="1"/>
  <c r="T202" i="1"/>
  <c r="U202" i="1" s="1"/>
  <c r="S202" i="1" s="1"/>
  <c r="AA186" i="1"/>
  <c r="W186" i="1" s="1"/>
  <c r="X162" i="1"/>
  <c r="AG160" i="1"/>
  <c r="AG152" i="1"/>
  <c r="AI152" i="1" s="1"/>
  <c r="X152" i="1"/>
  <c r="T128" i="1"/>
  <c r="AG128" i="1"/>
  <c r="AG103" i="1"/>
  <c r="AI103" i="1" s="1"/>
  <c r="T103" i="1"/>
  <c r="AG98" i="1"/>
  <c r="AI98" i="1" s="1"/>
  <c r="X91" i="1"/>
  <c r="X137" i="1"/>
  <c r="AC72" i="3"/>
  <c r="AC55" i="3"/>
  <c r="Y55" i="3"/>
  <c r="Y47" i="3"/>
  <c r="Y19" i="3"/>
  <c r="Y21" i="3"/>
  <c r="AE28" i="3"/>
  <c r="Y36" i="3"/>
  <c r="Y28" i="3"/>
  <c r="AA198" i="1"/>
  <c r="W198" i="1" s="1"/>
  <c r="AA196" i="1"/>
  <c r="AA185" i="1"/>
  <c r="AI175" i="1"/>
  <c r="AA168" i="1"/>
  <c r="AA166" i="1"/>
  <c r="W166" i="1" s="1"/>
  <c r="AA147" i="1"/>
  <c r="AA140" i="1"/>
  <c r="W140" i="1" s="1"/>
  <c r="AA135" i="1"/>
  <c r="AA116" i="1"/>
  <c r="AA111" i="1"/>
  <c r="AA109" i="1"/>
  <c r="AA104" i="1"/>
  <c r="AA95" i="1"/>
  <c r="W95" i="1" s="1"/>
  <c r="AA94" i="1"/>
  <c r="W94" i="1" s="1"/>
  <c r="AA90" i="1"/>
  <c r="AI88" i="1"/>
  <c r="AA72" i="1"/>
  <c r="W72" i="1" s="1"/>
  <c r="AA68" i="1"/>
  <c r="AA58" i="1"/>
  <c r="W58" i="1" s="1"/>
  <c r="AA54" i="1"/>
  <c r="W54" i="1" s="1"/>
  <c r="AA23" i="1"/>
  <c r="AA19" i="1"/>
  <c r="X155" i="1"/>
  <c r="AA75" i="1"/>
  <c r="AA71" i="1"/>
  <c r="AA59" i="1"/>
  <c r="AA57" i="1"/>
  <c r="AA42" i="1"/>
  <c r="W42" i="1" s="1"/>
  <c r="AA41" i="1"/>
  <c r="W41" i="1" s="1"/>
  <c r="AA20" i="1"/>
  <c r="W20" i="1" s="1"/>
  <c r="AA16" i="1"/>
  <c r="AA133" i="1"/>
  <c r="X153" i="1"/>
  <c r="AG153" i="1"/>
  <c r="AG133" i="1"/>
  <c r="AG26" i="1"/>
  <c r="AI26" i="1" s="1"/>
  <c r="T26" i="1"/>
  <c r="X26" i="1"/>
  <c r="AI187" i="1"/>
  <c r="T176" i="1"/>
  <c r="AG176" i="1"/>
  <c r="S72" i="3"/>
  <c r="T218" i="1"/>
  <c r="X202" i="1"/>
  <c r="W160" i="1"/>
  <c r="X212" i="1"/>
  <c r="AG206" i="1"/>
  <c r="X206" i="1"/>
  <c r="AG205" i="1"/>
  <c r="AI205" i="1" s="1"/>
  <c r="X205" i="1"/>
  <c r="X128" i="1"/>
  <c r="AG117" i="1"/>
  <c r="AI117" i="1" s="1"/>
  <c r="X117" i="1"/>
  <c r="T104" i="1"/>
  <c r="AG104" i="1"/>
  <c r="T60" i="1"/>
  <c r="X60" i="1"/>
  <c r="AA222" i="1"/>
  <c r="W222" i="1" s="1"/>
  <c r="AG194" i="1"/>
  <c r="U194" i="1" s="1"/>
  <c r="S194" i="1" s="1"/>
  <c r="AA182" i="1"/>
  <c r="W182" i="1" s="1"/>
  <c r="T164" i="1"/>
  <c r="AG164" i="1"/>
  <c r="W164" i="1" s="1"/>
  <c r="AI203" i="1"/>
  <c r="T189" i="1"/>
  <c r="T186" i="1"/>
  <c r="U186" i="1" s="1"/>
  <c r="S186" i="1" s="1"/>
  <c r="AI179" i="1"/>
  <c r="X178" i="1"/>
  <c r="T157" i="1"/>
  <c r="S9" i="3"/>
  <c r="S8" i="3"/>
  <c r="AA200" i="1"/>
  <c r="AG196" i="1"/>
  <c r="X193" i="1"/>
  <c r="AG192" i="1"/>
  <c r="W192" i="1" s="1"/>
  <c r="AG190" i="1"/>
  <c r="AI190" i="1" s="1"/>
  <c r="AA170" i="1"/>
  <c r="W170" i="1" s="1"/>
  <c r="AI167" i="1"/>
  <c r="T165" i="1"/>
  <c r="X165" i="1"/>
  <c r="AA163" i="1"/>
  <c r="W163" i="1" s="1"/>
  <c r="AA157" i="1"/>
  <c r="AA228" i="1"/>
  <c r="AG210" i="1"/>
  <c r="AA209" i="1"/>
  <c r="W209" i="1" s="1"/>
  <c r="AA146" i="1"/>
  <c r="X144" i="1"/>
  <c r="T141" i="1"/>
  <c r="AA139" i="1"/>
  <c r="AA127" i="1"/>
  <c r="AA125" i="1"/>
  <c r="T124" i="1"/>
  <c r="X124" i="1"/>
  <c r="AG124" i="1"/>
  <c r="X118" i="1"/>
  <c r="AA110" i="1"/>
  <c r="W110" i="1" s="1"/>
  <c r="X107" i="1"/>
  <c r="AG106" i="1"/>
  <c r="AI106" i="1" s="1"/>
  <c r="AG99" i="1"/>
  <c r="AI99" i="1" s="1"/>
  <c r="X99" i="1"/>
  <c r="T69" i="1"/>
  <c r="X69" i="1"/>
  <c r="AG69" i="1"/>
  <c r="AI69" i="1" s="1"/>
  <c r="T51" i="1"/>
  <c r="X51" i="1"/>
  <c r="AG51" i="1"/>
  <c r="T37" i="1"/>
  <c r="X37" i="1"/>
  <c r="AG37" i="1"/>
  <c r="AI37" i="1" s="1"/>
  <c r="T90" i="1"/>
  <c r="AG90" i="1"/>
  <c r="AI90" i="1" s="1"/>
  <c r="AA50" i="1"/>
  <c r="W50" i="1" s="1"/>
  <c r="AI50" i="1"/>
  <c r="T45" i="1"/>
  <c r="AG45" i="1"/>
  <c r="AI45" i="1" s="1"/>
  <c r="AA148" i="1"/>
  <c r="W148" i="1" s="1"/>
  <c r="AI148" i="1"/>
  <c r="AI140" i="1"/>
  <c r="AG111" i="1"/>
  <c r="W111" i="1" s="1"/>
  <c r="T111" i="1"/>
  <c r="AG68" i="1"/>
  <c r="X68" i="1"/>
  <c r="AG36" i="1"/>
  <c r="AI36" i="1" s="1"/>
  <c r="T36" i="1"/>
  <c r="X36" i="1"/>
  <c r="T21" i="1"/>
  <c r="X21" i="1"/>
  <c r="AG21" i="1"/>
  <c r="AI21" i="1" s="1"/>
  <c r="AA189" i="1"/>
  <c r="AA188" i="1"/>
  <c r="AI183" i="1"/>
  <c r="AA175" i="1"/>
  <c r="W175" i="1" s="1"/>
  <c r="X174" i="1"/>
  <c r="AA169" i="1"/>
  <c r="AI159" i="1"/>
  <c r="AA216" i="1"/>
  <c r="AA213" i="1"/>
  <c r="W213" i="1" s="1"/>
  <c r="AA210" i="1"/>
  <c r="AA204" i="1"/>
  <c r="W204" i="1" s="1"/>
  <c r="AA154" i="1"/>
  <c r="AA144" i="1"/>
  <c r="W144" i="1" s="1"/>
  <c r="AA132" i="1"/>
  <c r="AA128" i="1"/>
  <c r="W128" i="1" s="1"/>
  <c r="AA121" i="1"/>
  <c r="AA114" i="1"/>
  <c r="AA112" i="1"/>
  <c r="AA101" i="1"/>
  <c r="AA92" i="1"/>
  <c r="AA83" i="1"/>
  <c r="AA80" i="1"/>
  <c r="W80" i="1" s="1"/>
  <c r="X76" i="1"/>
  <c r="AA65" i="1"/>
  <c r="AA62" i="1"/>
  <c r="X61" i="1"/>
  <c r="T54" i="1"/>
  <c r="U54" i="1" s="1"/>
  <c r="S54" i="1" s="1"/>
  <c r="AA47" i="1"/>
  <c r="AA34" i="1"/>
  <c r="T29" i="1"/>
  <c r="AA28" i="1"/>
  <c r="W28" i="1" s="1"/>
  <c r="T28" i="1"/>
  <c r="AA27" i="1"/>
  <c r="AA24" i="1"/>
  <c r="W24" i="1" s="1"/>
  <c r="X16" i="1"/>
  <c r="X85" i="1"/>
  <c r="T58" i="1"/>
  <c r="U58" i="1" s="1"/>
  <c r="S58" i="1" s="1"/>
  <c r="AA103" i="1"/>
  <c r="AA102" i="1"/>
  <c r="W102" i="1" s="1"/>
  <c r="AA96" i="1"/>
  <c r="AA84" i="1"/>
  <c r="AA81" i="1"/>
  <c r="AA78" i="1"/>
  <c r="AA73" i="1"/>
  <c r="AA70" i="1"/>
  <c r="AA67" i="1"/>
  <c r="AA60" i="1"/>
  <c r="AA49" i="1"/>
  <c r="AA44" i="1"/>
  <c r="W44" i="1" s="1"/>
  <c r="AA36" i="1"/>
  <c r="AA35" i="1"/>
  <c r="AG29" i="1"/>
  <c r="AI29" i="1" s="1"/>
  <c r="X28" i="1"/>
  <c r="AA26" i="1"/>
  <c r="AG17" i="1"/>
  <c r="AI17" i="1" s="1"/>
  <c r="X17" i="1"/>
  <c r="T221" i="1"/>
  <c r="AG222" i="1"/>
  <c r="U222" i="1" s="1"/>
  <c r="S222" i="1" s="1"/>
  <c r="X222" i="1"/>
  <c r="AG200" i="1"/>
  <c r="U200" i="1" s="1"/>
  <c r="S200" i="1" s="1"/>
  <c r="X221" i="1"/>
  <c r="AG218" i="1"/>
  <c r="U218" i="1" s="1"/>
  <c r="S218" i="1" s="1"/>
  <c r="AA203" i="1"/>
  <c r="W203" i="1" s="1"/>
  <c r="AA202" i="1"/>
  <c r="W202" i="1" s="1"/>
  <c r="AA195" i="1"/>
  <c r="AA193" i="1"/>
  <c r="AA190" i="1"/>
  <c r="W190" i="1" s="1"/>
  <c r="X189" i="1"/>
  <c r="AA187" i="1"/>
  <c r="X186" i="1"/>
  <c r="AG184" i="1"/>
  <c r="W184" i="1" s="1"/>
  <c r="T182" i="1"/>
  <c r="U182" i="1" s="1"/>
  <c r="S182" i="1" s="1"/>
  <c r="AA181" i="1"/>
  <c r="AG178" i="1"/>
  <c r="U178" i="1" s="1"/>
  <c r="S178" i="1" s="1"/>
  <c r="AA174" i="1"/>
  <c r="W174" i="1" s="1"/>
  <c r="X173" i="1"/>
  <c r="AA171" i="1"/>
  <c r="X170" i="1"/>
  <c r="AG168" i="1"/>
  <c r="U168" i="1" s="1"/>
  <c r="S168" i="1" s="1"/>
  <c r="T166" i="1"/>
  <c r="U166" i="1" s="1"/>
  <c r="S166" i="1" s="1"/>
  <c r="AA165" i="1"/>
  <c r="AG162" i="1"/>
  <c r="U162" i="1" s="1"/>
  <c r="S162" i="1" s="1"/>
  <c r="AA158" i="1"/>
  <c r="W158" i="1" s="1"/>
  <c r="X157" i="1"/>
  <c r="AA227" i="1"/>
  <c r="X226" i="1"/>
  <c r="AG224" i="1"/>
  <c r="T216" i="1"/>
  <c r="U216" i="1" s="1"/>
  <c r="S216" i="1" s="1"/>
  <c r="AA215" i="1"/>
  <c r="AG212" i="1"/>
  <c r="U212" i="1" s="1"/>
  <c r="S212" i="1" s="1"/>
  <c r="AA208" i="1"/>
  <c r="X207" i="1"/>
  <c r="AG154" i="1"/>
  <c r="T152" i="1"/>
  <c r="AA145" i="1"/>
  <c r="AG141" i="1"/>
  <c r="AI141" i="1" s="1"/>
  <c r="AG127" i="1"/>
  <c r="X127" i="1"/>
  <c r="AI102" i="1"/>
  <c r="X217" i="1"/>
  <c r="X201" i="1"/>
  <c r="AA199" i="1"/>
  <c r="T198" i="1"/>
  <c r="U198" i="1" s="1"/>
  <c r="S198" i="1" s="1"/>
  <c r="AA197" i="1"/>
  <c r="X194" i="1"/>
  <c r="X185" i="1"/>
  <c r="AA183" i="1"/>
  <c r="W183" i="1" s="1"/>
  <c r="X182" i="1"/>
  <c r="AA177" i="1"/>
  <c r="T177" i="1"/>
  <c r="U174" i="1"/>
  <c r="S174" i="1" s="1"/>
  <c r="X169" i="1"/>
  <c r="AA167" i="1"/>
  <c r="W167" i="1" s="1"/>
  <c r="X166" i="1"/>
  <c r="AA161" i="1"/>
  <c r="T161" i="1"/>
  <c r="W226" i="1"/>
  <c r="X225" i="1"/>
  <c r="AA223" i="1"/>
  <c r="W223" i="1" s="1"/>
  <c r="X216" i="1"/>
  <c r="AA211" i="1"/>
  <c r="T211" i="1"/>
  <c r="AA206" i="1"/>
  <c r="W206" i="1" s="1"/>
  <c r="T204" i="1"/>
  <c r="U204" i="1" s="1"/>
  <c r="S204" i="1" s="1"/>
  <c r="AA149" i="1"/>
  <c r="AG145" i="1"/>
  <c r="U145" i="1" s="1"/>
  <c r="S145" i="1" s="1"/>
  <c r="T144" i="1"/>
  <c r="U144" i="1" s="1"/>
  <c r="S144" i="1" s="1"/>
  <c r="AG132" i="1"/>
  <c r="AI94" i="1"/>
  <c r="AI41" i="1"/>
  <c r="X198" i="1"/>
  <c r="W216" i="1"/>
  <c r="AA207" i="1"/>
  <c r="T207" i="1"/>
  <c r="U206" i="1"/>
  <c r="S206" i="1" s="1"/>
  <c r="AA156" i="1"/>
  <c r="AA155" i="1"/>
  <c r="W155" i="1" s="1"/>
  <c r="T148" i="1"/>
  <c r="AA218" i="1"/>
  <c r="T217" i="1"/>
  <c r="U217" i="1" s="1"/>
  <c r="S217" i="1" s="1"/>
  <c r="X197" i="1"/>
  <c r="AG188" i="1"/>
  <c r="U188" i="1" s="1"/>
  <c r="S188" i="1" s="1"/>
  <c r="AA178" i="1"/>
  <c r="X177" i="1"/>
  <c r="AG172" i="1"/>
  <c r="U172" i="1" s="1"/>
  <c r="S172" i="1" s="1"/>
  <c r="AA162" i="1"/>
  <c r="X161" i="1"/>
  <c r="AG228" i="1"/>
  <c r="U228" i="1" s="1"/>
  <c r="S228" i="1" s="1"/>
  <c r="AA212" i="1"/>
  <c r="X211" i="1"/>
  <c r="AI158" i="1"/>
  <c r="AA141" i="1"/>
  <c r="T140" i="1"/>
  <c r="AA138" i="1"/>
  <c r="W138" i="1" s="1"/>
  <c r="AG137" i="1"/>
  <c r="AI137" i="1" s="1"/>
  <c r="AA137" i="1"/>
  <c r="AI110" i="1"/>
  <c r="T118" i="1"/>
  <c r="T110" i="1"/>
  <c r="U110" i="1" s="1"/>
  <c r="S110" i="1" s="1"/>
  <c r="T102" i="1"/>
  <c r="U102" i="1" s="1"/>
  <c r="S102" i="1" s="1"/>
  <c r="T94" i="1"/>
  <c r="U94" i="1" s="1"/>
  <c r="S94" i="1" s="1"/>
  <c r="AA93" i="1"/>
  <c r="X88" i="1"/>
  <c r="T85" i="1"/>
  <c r="AG81" i="1"/>
  <c r="U81" i="1" s="1"/>
  <c r="X81" i="1"/>
  <c r="T80" i="1"/>
  <c r="U80" i="1" s="1"/>
  <c r="S80" i="1" s="1"/>
  <c r="T72" i="1"/>
  <c r="U72" i="1" s="1"/>
  <c r="S72" i="1" s="1"/>
  <c r="T64" i="1"/>
  <c r="U64" i="1" s="1"/>
  <c r="S64" i="1" s="1"/>
  <c r="T131" i="1"/>
  <c r="U131" i="1" s="1"/>
  <c r="S131" i="1" s="1"/>
  <c r="X123" i="1"/>
  <c r="AG118" i="1"/>
  <c r="AI118" i="1" s="1"/>
  <c r="AA108" i="1"/>
  <c r="AA100" i="1"/>
  <c r="T84" i="1"/>
  <c r="U84" i="1" s="1"/>
  <c r="S84" i="1" s="1"/>
  <c r="AG73" i="1"/>
  <c r="U73" i="1" s="1"/>
  <c r="S73" i="1" s="1"/>
  <c r="X73" i="1"/>
  <c r="AG65" i="1"/>
  <c r="U65" i="1" s="1"/>
  <c r="S65" i="1" s="1"/>
  <c r="X65" i="1"/>
  <c r="AG59" i="1"/>
  <c r="AI59" i="1" s="1"/>
  <c r="X59" i="1"/>
  <c r="AA55" i="1"/>
  <c r="W55" i="1" s="1"/>
  <c r="AG52" i="1"/>
  <c r="AI52" i="1" s="1"/>
  <c r="U48" i="1"/>
  <c r="S48" i="1" s="1"/>
  <c r="AG47" i="1"/>
  <c r="W47" i="1" s="1"/>
  <c r="AA46" i="1"/>
  <c r="T46" i="1"/>
  <c r="U46" i="1" s="1"/>
  <c r="S46" i="1" s="1"/>
  <c r="AA43" i="1"/>
  <c r="T41" i="1"/>
  <c r="U41" i="1" s="1"/>
  <c r="S41" i="1" s="1"/>
  <c r="AA40" i="1"/>
  <c r="W40" i="1" s="1"/>
  <c r="X38" i="1"/>
  <c r="T33" i="1"/>
  <c r="AA32" i="1"/>
  <c r="W32" i="1" s="1"/>
  <c r="T32" i="1"/>
  <c r="U32" i="1" s="1"/>
  <c r="S32" i="1" s="1"/>
  <c r="X30" i="1"/>
  <c r="X24" i="1"/>
  <c r="X20" i="1"/>
  <c r="T16" i="1"/>
  <c r="AA14" i="1"/>
  <c r="T136" i="1"/>
  <c r="AA129" i="1"/>
  <c r="AA124" i="1"/>
  <c r="W124" i="1" s="1"/>
  <c r="T117" i="1"/>
  <c r="AA115" i="1"/>
  <c r="X111" i="1"/>
  <c r="AG108" i="1"/>
  <c r="U108" i="1" s="1"/>
  <c r="S108" i="1" s="1"/>
  <c r="AA107" i="1"/>
  <c r="W107" i="1" s="1"/>
  <c r="T107" i="1"/>
  <c r="U107" i="1" s="1"/>
  <c r="S107" i="1" s="1"/>
  <c r="AA105" i="1"/>
  <c r="X103" i="1"/>
  <c r="AG100" i="1"/>
  <c r="AI100" i="1" s="1"/>
  <c r="AA99" i="1"/>
  <c r="T99" i="1"/>
  <c r="AA97" i="1"/>
  <c r="X95" i="1"/>
  <c r="AG92" i="1"/>
  <c r="U92" i="1" s="1"/>
  <c r="S92" i="1" s="1"/>
  <c r="AA91" i="1"/>
  <c r="W91" i="1" s="1"/>
  <c r="T91" i="1"/>
  <c r="AA89" i="1"/>
  <c r="AA88" i="1"/>
  <c r="W88" i="1" s="1"/>
  <c r="AA87" i="1"/>
  <c r="AG85" i="1"/>
  <c r="AA82" i="1"/>
  <c r="X80" i="1"/>
  <c r="AA77" i="1"/>
  <c r="T76" i="1"/>
  <c r="U76" i="1" s="1"/>
  <c r="S76" i="1" s="1"/>
  <c r="X72" i="1"/>
  <c r="AA69" i="1"/>
  <c r="T68" i="1"/>
  <c r="X64" i="1"/>
  <c r="AA61" i="1"/>
  <c r="AA22" i="1"/>
  <c r="AA18" i="1"/>
  <c r="AG16" i="1"/>
  <c r="AA134" i="1"/>
  <c r="X131" i="1"/>
  <c r="T123" i="1"/>
  <c r="AA119" i="1"/>
  <c r="W114" i="1"/>
  <c r="W112" i="1"/>
  <c r="X84" i="1"/>
  <c r="AA74" i="1"/>
  <c r="AA66" i="1"/>
  <c r="AG61" i="1"/>
  <c r="U61" i="1" s="1"/>
  <c r="S61" i="1" s="1"/>
  <c r="AA53" i="1"/>
  <c r="AA51" i="1"/>
  <c r="W51" i="1" s="1"/>
  <c r="T50" i="1"/>
  <c r="U50" i="1" s="1"/>
  <c r="S50" i="1" s="1"/>
  <c r="X46" i="1"/>
  <c r="AG39" i="1"/>
  <c r="W39" i="1" s="1"/>
  <c r="AA38" i="1"/>
  <c r="W38" i="1" s="1"/>
  <c r="T38" i="1"/>
  <c r="U38" i="1" s="1"/>
  <c r="S38" i="1" s="1"/>
  <c r="AA37" i="1"/>
  <c r="AG35" i="1"/>
  <c r="AI35" i="1" s="1"/>
  <c r="AG33" i="1"/>
  <c r="AI33" i="1" s="1"/>
  <c r="X32" i="1"/>
  <c r="AA30" i="1"/>
  <c r="T30" i="1"/>
  <c r="U30" i="1" s="1"/>
  <c r="S30" i="1" s="1"/>
  <c r="AA29" i="1"/>
  <c r="AG27" i="1"/>
  <c r="AI27" i="1" s="1"/>
  <c r="AA25" i="1"/>
  <c r="T24" i="1"/>
  <c r="T20" i="1"/>
  <c r="W17" i="1"/>
  <c r="AI226" i="1"/>
  <c r="U221" i="1"/>
  <c r="S221" i="1" s="1"/>
  <c r="AI227" i="1"/>
  <c r="W217" i="1"/>
  <c r="W220" i="1"/>
  <c r="AI223" i="1"/>
  <c r="X220" i="1"/>
  <c r="T220" i="1"/>
  <c r="U220" i="1" s="1"/>
  <c r="S220" i="1" s="1"/>
  <c r="X203" i="1"/>
  <c r="T203" i="1"/>
  <c r="U203" i="1" s="1"/>
  <c r="S203" i="1" s="1"/>
  <c r="AI220" i="1"/>
  <c r="AG199" i="1"/>
  <c r="AI199" i="1" s="1"/>
  <c r="T199" i="1"/>
  <c r="X199" i="1"/>
  <c r="AG195" i="1"/>
  <c r="AI195" i="1" s="1"/>
  <c r="T195" i="1"/>
  <c r="X195" i="1"/>
  <c r="AG191" i="1"/>
  <c r="AI191" i="1" s="1"/>
  <c r="T191" i="1"/>
  <c r="X191" i="1"/>
  <c r="W187" i="1"/>
  <c r="W171" i="1"/>
  <c r="W227" i="1"/>
  <c r="AI217" i="1"/>
  <c r="AI213" i="1"/>
  <c r="AI209" i="1"/>
  <c r="AI206" i="1"/>
  <c r="AI174" i="1"/>
  <c r="AI202" i="1"/>
  <c r="W179" i="1"/>
  <c r="AI186" i="1"/>
  <c r="U160" i="1"/>
  <c r="S160" i="1" s="1"/>
  <c r="AI170" i="1"/>
  <c r="U210" i="1"/>
  <c r="S210" i="1" s="1"/>
  <c r="AG219" i="1"/>
  <c r="X219" i="1"/>
  <c r="AI221" i="1"/>
  <c r="W201" i="1"/>
  <c r="T201" i="1"/>
  <c r="U201" i="1" s="1"/>
  <c r="S201" i="1" s="1"/>
  <c r="AI198" i="1"/>
  <c r="AI182" i="1"/>
  <c r="AI166" i="1"/>
  <c r="X187" i="1"/>
  <c r="T187" i="1"/>
  <c r="U187" i="1" s="1"/>
  <c r="S187" i="1" s="1"/>
  <c r="X183" i="1"/>
  <c r="T183" i="1"/>
  <c r="U183" i="1" s="1"/>
  <c r="S183" i="1" s="1"/>
  <c r="AI201" i="1"/>
  <c r="X179" i="1"/>
  <c r="T179" i="1"/>
  <c r="U179" i="1" s="1"/>
  <c r="S179" i="1" s="1"/>
  <c r="X175" i="1"/>
  <c r="T175" i="1"/>
  <c r="U175" i="1" s="1"/>
  <c r="S175" i="1" s="1"/>
  <c r="X171" i="1"/>
  <c r="T171" i="1"/>
  <c r="U171" i="1" s="1"/>
  <c r="S171" i="1" s="1"/>
  <c r="S170" i="1"/>
  <c r="X167" i="1"/>
  <c r="T167" i="1"/>
  <c r="U167" i="1" s="1"/>
  <c r="S167" i="1" s="1"/>
  <c r="X163" i="1"/>
  <c r="T163" i="1"/>
  <c r="U163" i="1" s="1"/>
  <c r="S163" i="1" s="1"/>
  <c r="X159" i="1"/>
  <c r="T159" i="1"/>
  <c r="U159" i="1" s="1"/>
  <c r="S159" i="1" s="1"/>
  <c r="X227" i="1"/>
  <c r="T227" i="1"/>
  <c r="U227" i="1" s="1"/>
  <c r="S227" i="1" s="1"/>
  <c r="X223" i="1"/>
  <c r="T223" i="1"/>
  <c r="U223" i="1" s="1"/>
  <c r="S223" i="1" s="1"/>
  <c r="X213" i="1"/>
  <c r="T213" i="1"/>
  <c r="U213" i="1" s="1"/>
  <c r="S213" i="1" s="1"/>
  <c r="X209" i="1"/>
  <c r="T209" i="1"/>
  <c r="U209" i="1" s="1"/>
  <c r="S209" i="1" s="1"/>
  <c r="T156" i="1"/>
  <c r="AG156" i="1"/>
  <c r="AI155" i="1"/>
  <c r="W146" i="1"/>
  <c r="T142" i="1"/>
  <c r="X142" i="1"/>
  <c r="T139" i="1"/>
  <c r="AG139" i="1"/>
  <c r="AI138" i="1"/>
  <c r="AI128" i="1"/>
  <c r="U127" i="1"/>
  <c r="S127" i="1" s="1"/>
  <c r="AI127" i="1"/>
  <c r="U114" i="1"/>
  <c r="S114" i="1" s="1"/>
  <c r="AI114" i="1"/>
  <c r="X200" i="1"/>
  <c r="AG197" i="1"/>
  <c r="AI197" i="1" s="1"/>
  <c r="X196" i="1"/>
  <c r="AG193" i="1"/>
  <c r="AI193" i="1" s="1"/>
  <c r="X192" i="1"/>
  <c r="AG189" i="1"/>
  <c r="AI189" i="1" s="1"/>
  <c r="X188" i="1"/>
  <c r="AG185" i="1"/>
  <c r="X184" i="1"/>
  <c r="AG181" i="1"/>
  <c r="W181" i="1" s="1"/>
  <c r="X180" i="1"/>
  <c r="AG177" i="1"/>
  <c r="X176" i="1"/>
  <c r="AG173" i="1"/>
  <c r="W173" i="1" s="1"/>
  <c r="X172" i="1"/>
  <c r="AG169" i="1"/>
  <c r="W169" i="1" s="1"/>
  <c r="X168" i="1"/>
  <c r="AG165" i="1"/>
  <c r="AI165" i="1" s="1"/>
  <c r="X164" i="1"/>
  <c r="AG161" i="1"/>
  <c r="W161" i="1" s="1"/>
  <c r="X160" i="1"/>
  <c r="AG157" i="1"/>
  <c r="AI157" i="1" s="1"/>
  <c r="X228" i="1"/>
  <c r="AG225" i="1"/>
  <c r="W225" i="1" s="1"/>
  <c r="X224" i="1"/>
  <c r="AG215" i="1"/>
  <c r="X214" i="1"/>
  <c r="AG211" i="1"/>
  <c r="X210" i="1"/>
  <c r="AG207" i="1"/>
  <c r="AI207" i="1" s="1"/>
  <c r="X204" i="1"/>
  <c r="AI154" i="1"/>
  <c r="AA150" i="1"/>
  <c r="U148" i="1"/>
  <c r="S148" i="1" s="1"/>
  <c r="T146" i="1"/>
  <c r="U146" i="1" s="1"/>
  <c r="S146" i="1" s="1"/>
  <c r="X146" i="1"/>
  <c r="T143" i="1"/>
  <c r="X143" i="1"/>
  <c r="AG143" i="1"/>
  <c r="AG142" i="1"/>
  <c r="X140" i="1"/>
  <c r="T134" i="1"/>
  <c r="AG134" i="1"/>
  <c r="W132" i="1"/>
  <c r="T125" i="1"/>
  <c r="X125" i="1"/>
  <c r="AG125" i="1"/>
  <c r="X110" i="1"/>
  <c r="T109" i="1"/>
  <c r="X109" i="1"/>
  <c r="AG109" i="1"/>
  <c r="W109" i="1" s="1"/>
  <c r="X102" i="1"/>
  <c r="T101" i="1"/>
  <c r="X101" i="1"/>
  <c r="AG101" i="1"/>
  <c r="X94" i="1"/>
  <c r="T93" i="1"/>
  <c r="X93" i="1"/>
  <c r="AG93" i="1"/>
  <c r="T150" i="1"/>
  <c r="X150" i="1"/>
  <c r="T147" i="1"/>
  <c r="X147" i="1"/>
  <c r="AG147" i="1"/>
  <c r="AI146" i="1"/>
  <c r="AI131" i="1"/>
  <c r="AI124" i="1"/>
  <c r="U123" i="1"/>
  <c r="S123" i="1" s="1"/>
  <c r="AI123" i="1"/>
  <c r="T155" i="1"/>
  <c r="U155" i="1" s="1"/>
  <c r="S155" i="1" s="1"/>
  <c r="U154" i="1"/>
  <c r="S154" i="1" s="1"/>
  <c r="T151" i="1"/>
  <c r="X151" i="1"/>
  <c r="AG151" i="1"/>
  <c r="W151" i="1" s="1"/>
  <c r="AG150" i="1"/>
  <c r="X148" i="1"/>
  <c r="AI145" i="1"/>
  <c r="AA142" i="1"/>
  <c r="U140" i="1"/>
  <c r="S140" i="1" s="1"/>
  <c r="T138" i="1"/>
  <c r="U138" i="1" s="1"/>
  <c r="S138" i="1" s="1"/>
  <c r="T129" i="1"/>
  <c r="X129" i="1"/>
  <c r="AG129" i="1"/>
  <c r="W127" i="1"/>
  <c r="X121" i="1"/>
  <c r="T121" i="1"/>
  <c r="AG121" i="1"/>
  <c r="W121" i="1" s="1"/>
  <c r="AG115" i="1"/>
  <c r="T115" i="1"/>
  <c r="X115" i="1"/>
  <c r="X106" i="1"/>
  <c r="T105" i="1"/>
  <c r="X105" i="1"/>
  <c r="AG105" i="1"/>
  <c r="W105" i="1" s="1"/>
  <c r="X98" i="1"/>
  <c r="T97" i="1"/>
  <c r="X97" i="1"/>
  <c r="AG97" i="1"/>
  <c r="W97" i="1" s="1"/>
  <c r="X90" i="1"/>
  <c r="T89" i="1"/>
  <c r="X89" i="1"/>
  <c r="AG89" i="1"/>
  <c r="T116" i="1"/>
  <c r="X116" i="1"/>
  <c r="AI108" i="1"/>
  <c r="AI104" i="1"/>
  <c r="T87" i="1"/>
  <c r="X87" i="1"/>
  <c r="AG87" i="1"/>
  <c r="X86" i="1"/>
  <c r="AG86" i="1"/>
  <c r="AI84" i="1"/>
  <c r="AG135" i="1"/>
  <c r="AG130" i="1"/>
  <c r="AG126" i="1"/>
  <c r="AG122" i="1"/>
  <c r="T120" i="1"/>
  <c r="X120" i="1"/>
  <c r="T119" i="1"/>
  <c r="AG116" i="1"/>
  <c r="X114" i="1"/>
  <c r="AG113" i="1"/>
  <c r="U100" i="1"/>
  <c r="S100" i="1" s="1"/>
  <c r="U96" i="1"/>
  <c r="S96" i="1" s="1"/>
  <c r="AI85" i="1"/>
  <c r="X130" i="1"/>
  <c r="X126" i="1"/>
  <c r="X122" i="1"/>
  <c r="AG120" i="1"/>
  <c r="AG119" i="1"/>
  <c r="W119" i="1" s="1"/>
  <c r="X113" i="1"/>
  <c r="AI107" i="1"/>
  <c r="U95" i="1"/>
  <c r="S95" i="1" s="1"/>
  <c r="AI95" i="1"/>
  <c r="U91" i="1"/>
  <c r="S91" i="1" s="1"/>
  <c r="AI91" i="1"/>
  <c r="T86" i="1"/>
  <c r="X112" i="1"/>
  <c r="X108" i="1"/>
  <c r="X104" i="1"/>
  <c r="X100" i="1"/>
  <c r="X96" i="1"/>
  <c r="X92" i="1"/>
  <c r="T82" i="1"/>
  <c r="X82" i="1"/>
  <c r="AG82" i="1"/>
  <c r="AI72" i="1"/>
  <c r="AI64" i="1"/>
  <c r="S81" i="1"/>
  <c r="AI80" i="1"/>
  <c r="W76" i="1"/>
  <c r="T88" i="1"/>
  <c r="U88" i="1" s="1"/>
  <c r="S88" i="1" s="1"/>
  <c r="AA86" i="1"/>
  <c r="W85" i="1"/>
  <c r="W84" i="1"/>
  <c r="AI76" i="1"/>
  <c r="T56" i="1"/>
  <c r="X56" i="1"/>
  <c r="T53" i="1"/>
  <c r="X53" i="1"/>
  <c r="AG53" i="1"/>
  <c r="X50" i="1"/>
  <c r="T49" i="1"/>
  <c r="X49" i="1"/>
  <c r="AG49" i="1"/>
  <c r="AI38" i="1"/>
  <c r="AI30" i="1"/>
  <c r="AG78" i="1"/>
  <c r="AG74" i="1"/>
  <c r="AG70" i="1"/>
  <c r="AG66" i="1"/>
  <c r="AG62" i="1"/>
  <c r="W62" i="1" s="1"/>
  <c r="T57" i="1"/>
  <c r="X57" i="1"/>
  <c r="AG57" i="1"/>
  <c r="W57" i="1" s="1"/>
  <c r="AG56" i="1"/>
  <c r="X54" i="1"/>
  <c r="AI48" i="1"/>
  <c r="W46" i="1"/>
  <c r="AI44" i="1"/>
  <c r="AG83" i="1"/>
  <c r="AG79" i="1"/>
  <c r="X78" i="1"/>
  <c r="AG75" i="1"/>
  <c r="X74" i="1"/>
  <c r="AG71" i="1"/>
  <c r="X70" i="1"/>
  <c r="AG67" i="1"/>
  <c r="X66" i="1"/>
  <c r="AG63" i="1"/>
  <c r="W63" i="1" s="1"/>
  <c r="X62" i="1"/>
  <c r="X58" i="1"/>
  <c r="AI55" i="1"/>
  <c r="AI46" i="1"/>
  <c r="AI40" i="1"/>
  <c r="AI32" i="1"/>
  <c r="X83" i="1"/>
  <c r="X79" i="1"/>
  <c r="X75" i="1"/>
  <c r="X71" i="1"/>
  <c r="X67" i="1"/>
  <c r="X63" i="1"/>
  <c r="AG60" i="1"/>
  <c r="AA56" i="1"/>
  <c r="AA52" i="1"/>
  <c r="AA48" i="1"/>
  <c r="W48" i="1" s="1"/>
  <c r="AI42" i="1"/>
  <c r="W30" i="1"/>
  <c r="U28" i="1"/>
  <c r="S28" i="1" s="1"/>
  <c r="AI28" i="1"/>
  <c r="U27" i="1"/>
  <c r="S27" i="1" s="1"/>
  <c r="U24" i="1"/>
  <c r="S24" i="1" s="1"/>
  <c r="AI24" i="1"/>
  <c r="U20" i="1"/>
  <c r="S20" i="1" s="1"/>
  <c r="AI20" i="1"/>
  <c r="X52" i="1"/>
  <c r="AI51" i="1"/>
  <c r="X48" i="1"/>
  <c r="X44" i="1"/>
  <c r="T44" i="1"/>
  <c r="U44" i="1" s="1"/>
  <c r="S44" i="1" s="1"/>
  <c r="X40" i="1"/>
  <c r="T40" i="1"/>
  <c r="U40" i="1" s="1"/>
  <c r="S40" i="1" s="1"/>
  <c r="AI39" i="1"/>
  <c r="U21" i="1"/>
  <c r="S21" i="1" s="1"/>
  <c r="X45" i="1"/>
  <c r="X41" i="1"/>
  <c r="AG34" i="1"/>
  <c r="AG22" i="1"/>
  <c r="AG18" i="1"/>
  <c r="AG14" i="1"/>
  <c r="X34" i="1"/>
  <c r="AG23" i="1"/>
  <c r="W23" i="1" s="1"/>
  <c r="X22" i="1"/>
  <c r="AG19" i="1"/>
  <c r="X18" i="1"/>
  <c r="AG15" i="1"/>
  <c r="X47" i="1"/>
  <c r="X43" i="1"/>
  <c r="X39" i="1"/>
  <c r="X35" i="1"/>
  <c r="X31" i="1"/>
  <c r="X27" i="1"/>
  <c r="X23" i="1"/>
  <c r="X19" i="1"/>
  <c r="X15" i="1"/>
  <c r="AE57" i="3"/>
  <c r="Y49" i="3"/>
  <c r="Y48" i="3"/>
  <c r="Y43" i="3"/>
  <c r="Y64" i="3"/>
  <c r="Y50" i="3"/>
  <c r="T13" i="3"/>
  <c r="Y12" i="3"/>
  <c r="T41" i="3"/>
  <c r="Y54" i="3"/>
  <c r="AD34" i="3"/>
  <c r="AD32" i="3"/>
  <c r="Y40" i="3"/>
  <c r="T22" i="3"/>
  <c r="AD24" i="3"/>
  <c r="AE20" i="3"/>
  <c r="Y17" i="3"/>
  <c r="T35" i="3"/>
  <c r="AD65" i="3"/>
  <c r="Y13" i="3"/>
  <c r="Y41" i="3"/>
  <c r="Y67" i="3"/>
  <c r="AE33" i="3"/>
  <c r="AD30" i="3"/>
  <c r="Y38" i="3"/>
  <c r="AD20" i="3"/>
  <c r="Y37" i="3"/>
  <c r="AE16" i="3"/>
  <c r="Y59" i="3"/>
  <c r="AD13" i="3"/>
  <c r="Y35" i="3"/>
  <c r="AE48" i="3"/>
  <c r="AD44" i="3"/>
  <c r="AE41" i="3"/>
  <c r="AD29" i="3"/>
  <c r="AD16" i="3"/>
  <c r="AE12" i="3"/>
  <c r="Y57" i="3"/>
  <c r="AD48" i="3"/>
  <c r="AD45" i="3"/>
  <c r="AE45" i="3"/>
  <c r="AE43" i="3"/>
  <c r="AD21" i="3"/>
  <c r="AD8" i="3"/>
  <c r="Y51" i="3"/>
  <c r="Y7" i="3"/>
  <c r="Y42" i="3"/>
  <c r="T45" i="3"/>
  <c r="Y9" i="3"/>
  <c r="T44" i="3"/>
  <c r="T48" i="3"/>
  <c r="Y24" i="3"/>
  <c r="T55" i="3"/>
  <c r="Y32" i="3"/>
  <c r="AE51" i="3"/>
  <c r="AD49" i="3"/>
  <c r="AE49" i="3"/>
  <c r="Y31" i="3"/>
  <c r="AE44" i="3"/>
  <c r="T30" i="3"/>
  <c r="AD37" i="3"/>
  <c r="AE37" i="3"/>
  <c r="Y18" i="3"/>
  <c r="AE32" i="3"/>
  <c r="AC21" i="3"/>
  <c r="T40" i="3"/>
  <c r="Y22" i="3"/>
  <c r="AE27" i="3"/>
  <c r="AD25" i="3"/>
  <c r="AE25" i="3"/>
  <c r="T39" i="3"/>
  <c r="T38" i="3"/>
  <c r="Y61" i="3"/>
  <c r="AE19" i="3"/>
  <c r="AD17" i="3"/>
  <c r="AE17" i="3"/>
  <c r="T59" i="3"/>
  <c r="T73" i="3"/>
  <c r="AE11" i="3"/>
  <c r="AD9" i="3"/>
  <c r="AE9" i="3"/>
  <c r="AD72" i="3"/>
  <c r="AE65" i="3"/>
  <c r="AD64" i="3"/>
  <c r="T42" i="3"/>
  <c r="AE53" i="3"/>
  <c r="AE47" i="3"/>
  <c r="T14" i="3"/>
  <c r="AE40" i="3"/>
  <c r="T33" i="3"/>
  <c r="AE29" i="3"/>
  <c r="T63" i="3"/>
  <c r="AE23" i="3"/>
  <c r="AE21" i="3"/>
  <c r="T25" i="3"/>
  <c r="AE15" i="3"/>
  <c r="AE13" i="3"/>
  <c r="T28" i="3"/>
  <c r="Y58" i="3"/>
  <c r="Y15" i="3"/>
  <c r="Y14" i="3"/>
  <c r="Y11" i="3"/>
  <c r="Y33" i="3"/>
  <c r="Y66" i="3"/>
  <c r="Y60" i="3"/>
  <c r="Y72" i="3"/>
  <c r="T51" i="3"/>
  <c r="AE70" i="3"/>
  <c r="T9" i="3"/>
  <c r="T8" i="3"/>
  <c r="AD60" i="3"/>
  <c r="AD54" i="3"/>
  <c r="T16" i="3"/>
  <c r="AE54" i="3"/>
  <c r="AD51" i="3"/>
  <c r="T29" i="3"/>
  <c r="T64" i="3"/>
  <c r="AE58" i="3"/>
  <c r="AD55" i="3"/>
  <c r="AD42" i="3"/>
  <c r="T46" i="3"/>
  <c r="AE42" i="3"/>
  <c r="AD39" i="3"/>
  <c r="T34" i="3"/>
  <c r="AE72" i="3"/>
  <c r="AD68" i="3"/>
  <c r="AC8" i="3"/>
  <c r="T58" i="3"/>
  <c r="AE62" i="3"/>
  <c r="T27" i="3"/>
  <c r="T43" i="3"/>
  <c r="T50" i="3"/>
  <c r="AD46" i="3"/>
  <c r="T12" i="3"/>
  <c r="AE46" i="3"/>
  <c r="AD43" i="3"/>
  <c r="AC23" i="3"/>
  <c r="AD35" i="3"/>
  <c r="T23" i="3"/>
  <c r="AE35" i="3"/>
  <c r="T7" i="3"/>
  <c r="AE66" i="3"/>
  <c r="AE60" i="3"/>
  <c r="AE59" i="3"/>
  <c r="AD58" i="3"/>
  <c r="AD50" i="3"/>
  <c r="T47" i="3"/>
  <c r="AE50" i="3"/>
  <c r="AD47" i="3"/>
  <c r="AE31" i="3"/>
  <c r="T20" i="3"/>
  <c r="AE38" i="3"/>
  <c r="T54" i="3"/>
  <c r="AE34" i="3"/>
  <c r="T26" i="3"/>
  <c r="AD31" i="3"/>
  <c r="AE30" i="3"/>
  <c r="T21" i="3"/>
  <c r="AD27" i="3"/>
  <c r="AE26" i="3"/>
  <c r="T10" i="3"/>
  <c r="AD23" i="3"/>
  <c r="AE22" i="3"/>
  <c r="T52" i="3"/>
  <c r="AD19" i="3"/>
  <c r="AE18" i="3"/>
  <c r="T37" i="3"/>
  <c r="AD15" i="3"/>
  <c r="AE14" i="3"/>
  <c r="T36" i="3"/>
  <c r="AD11" i="3"/>
  <c r="AE10" i="3"/>
  <c r="T70" i="3"/>
  <c r="AD26" i="3"/>
  <c r="AD22" i="3"/>
  <c r="AD18" i="3"/>
  <c r="AD14" i="3"/>
  <c r="AD10" i="3"/>
  <c r="AE8" i="3"/>
  <c r="W82" i="1" l="1"/>
  <c r="U184" i="1"/>
  <c r="S184" i="1" s="1"/>
  <c r="U152" i="1"/>
  <c r="S152" i="1" s="1"/>
  <c r="U17" i="1"/>
  <c r="S17" i="1" s="1"/>
  <c r="W52" i="1"/>
  <c r="W66" i="1"/>
  <c r="W89" i="1"/>
  <c r="U52" i="1"/>
  <c r="S52" i="1" s="1"/>
  <c r="W69" i="1"/>
  <c r="W99" i="1"/>
  <c r="W43" i="1"/>
  <c r="U59" i="1"/>
  <c r="S59" i="1" s="1"/>
  <c r="AI92" i="1"/>
  <c r="W103" i="1"/>
  <c r="W176" i="1"/>
  <c r="AI73" i="1"/>
  <c r="U103" i="1"/>
  <c r="S103" i="1" s="1"/>
  <c r="AI162" i="1"/>
  <c r="AI61" i="1"/>
  <c r="W125" i="1"/>
  <c r="W177" i="1"/>
  <c r="W185" i="1"/>
  <c r="W208" i="1"/>
  <c r="W224" i="1"/>
  <c r="W49" i="1"/>
  <c r="W199" i="1"/>
  <c r="U77" i="1"/>
  <c r="S77" i="1" s="1"/>
  <c r="W101" i="1"/>
  <c r="U99" i="1"/>
  <c r="S99" i="1" s="1"/>
  <c r="U104" i="1"/>
  <c r="S104" i="1" s="1"/>
  <c r="W86" i="1"/>
  <c r="W178" i="1"/>
  <c r="W218" i="1"/>
  <c r="W81" i="1"/>
  <c r="U36" i="1"/>
  <c r="S36" i="1" s="1"/>
  <c r="AI111" i="1"/>
  <c r="W115" i="1"/>
  <c r="W195" i="1"/>
  <c r="U192" i="1"/>
  <c r="S192" i="1" s="1"/>
  <c r="W25" i="1"/>
  <c r="U98" i="1"/>
  <c r="S98" i="1" s="1"/>
  <c r="W149" i="1"/>
  <c r="W26" i="1"/>
  <c r="W96" i="1"/>
  <c r="U69" i="1"/>
  <c r="S69" i="1" s="1"/>
  <c r="W98" i="1"/>
  <c r="U25" i="1"/>
  <c r="S25" i="1" s="1"/>
  <c r="U149" i="1"/>
  <c r="S149" i="1" s="1"/>
  <c r="W180" i="1"/>
  <c r="W22" i="1"/>
  <c r="AI77" i="1"/>
  <c r="W70" i="1"/>
  <c r="AI81" i="1"/>
  <c r="U111" i="1"/>
  <c r="S111" i="1" s="1"/>
  <c r="U112" i="1"/>
  <c r="S112" i="1" s="1"/>
  <c r="AI224" i="1"/>
  <c r="U106" i="1"/>
  <c r="S106" i="1" s="1"/>
  <c r="W77" i="1"/>
  <c r="U118" i="1"/>
  <c r="S118" i="1" s="1"/>
  <c r="U132" i="1"/>
  <c r="S132" i="1" s="1"/>
  <c r="W154" i="1"/>
  <c r="W104" i="1"/>
  <c r="U128" i="1"/>
  <c r="S128" i="1" s="1"/>
  <c r="U43" i="1"/>
  <c r="S43" i="1" s="1"/>
  <c r="U208" i="1"/>
  <c r="S208" i="1" s="1"/>
  <c r="W141" i="1"/>
  <c r="W168" i="1"/>
  <c r="W133" i="1"/>
  <c r="W214" i="1"/>
  <c r="W19" i="1"/>
  <c r="AI47" i="1"/>
  <c r="U35" i="1"/>
  <c r="S35" i="1" s="1"/>
  <c r="AI65" i="1"/>
  <c r="W78" i="1"/>
  <c r="W116" i="1"/>
  <c r="W147" i="1"/>
  <c r="U224" i="1"/>
  <c r="S224" i="1" s="1"/>
  <c r="W37" i="1"/>
  <c r="W92" i="1"/>
  <c r="U136" i="1"/>
  <c r="S136" i="1" s="1"/>
  <c r="W162" i="1"/>
  <c r="W117" i="1"/>
  <c r="U37" i="1"/>
  <c r="S37" i="1" s="1"/>
  <c r="AI31" i="1"/>
  <c r="U176" i="1"/>
  <c r="S176" i="1" s="1"/>
  <c r="W152" i="1"/>
  <c r="W18" i="1"/>
  <c r="U29" i="1"/>
  <c r="S29" i="1" s="1"/>
  <c r="U39" i="1"/>
  <c r="S39" i="1" s="1"/>
  <c r="W53" i="1"/>
  <c r="U117" i="1"/>
  <c r="S117" i="1" s="1"/>
  <c r="W142" i="1"/>
  <c r="AI132" i="1"/>
  <c r="W93" i="1"/>
  <c r="W191" i="1"/>
  <c r="AI228" i="1"/>
  <c r="U190" i="1"/>
  <c r="S190" i="1" s="1"/>
  <c r="AI194" i="1"/>
  <c r="W194" i="1"/>
  <c r="AI222" i="1"/>
  <c r="W59" i="1"/>
  <c r="U85" i="1"/>
  <c r="S85" i="1" s="1"/>
  <c r="W118" i="1"/>
  <c r="W212" i="1"/>
  <c r="W36" i="1"/>
  <c r="U68" i="1"/>
  <c r="S68" i="1" s="1"/>
  <c r="W205" i="1"/>
  <c r="U31" i="1"/>
  <c r="S31" i="1" s="1"/>
  <c r="W136" i="1"/>
  <c r="U137" i="1"/>
  <c r="S137" i="1" s="1"/>
  <c r="U205" i="1"/>
  <c r="S205" i="1" s="1"/>
  <c r="AI178" i="1"/>
  <c r="W29" i="1"/>
  <c r="W65" i="1"/>
  <c r="W196" i="1"/>
  <c r="AI153" i="1"/>
  <c r="U153" i="1"/>
  <c r="S153" i="1" s="1"/>
  <c r="W153" i="1"/>
  <c r="AI133" i="1"/>
  <c r="U133" i="1"/>
  <c r="S133" i="1" s="1"/>
  <c r="U26" i="1"/>
  <c r="S26" i="1" s="1"/>
  <c r="AI185" i="1"/>
  <c r="U196" i="1"/>
  <c r="S196" i="1" s="1"/>
  <c r="U90" i="1"/>
  <c r="S90" i="1" s="1"/>
  <c r="W73" i="1"/>
  <c r="U51" i="1"/>
  <c r="S51" i="1" s="1"/>
  <c r="U164" i="1"/>
  <c r="S164" i="1" s="1"/>
  <c r="AI161" i="1"/>
  <c r="W90" i="1"/>
  <c r="W56" i="1"/>
  <c r="AI68" i="1"/>
  <c r="W87" i="1"/>
  <c r="U33" i="1"/>
  <c r="S33" i="1" s="1"/>
  <c r="W68" i="1"/>
  <c r="U47" i="1"/>
  <c r="S47" i="1" s="1"/>
  <c r="W74" i="1"/>
  <c r="AI169" i="1"/>
  <c r="AI173" i="1"/>
  <c r="AI177" i="1"/>
  <c r="AI181" i="1"/>
  <c r="U141" i="1"/>
  <c r="S141" i="1" s="1"/>
  <c r="W210" i="1"/>
  <c r="U124" i="1"/>
  <c r="S124" i="1" s="1"/>
  <c r="U45" i="1"/>
  <c r="S45" i="1" s="1"/>
  <c r="W45" i="1"/>
  <c r="W106" i="1"/>
  <c r="W219" i="1"/>
  <c r="AI219" i="1"/>
  <c r="U16" i="1"/>
  <c r="S16" i="1" s="1"/>
  <c r="AI16" i="1"/>
  <c r="W108" i="1"/>
  <c r="W188" i="1"/>
  <c r="W211" i="1"/>
  <c r="AI211" i="1"/>
  <c r="W35" i="1"/>
  <c r="W137" i="1"/>
  <c r="W16" i="1"/>
  <c r="W145" i="1"/>
  <c r="W228" i="1"/>
  <c r="W200" i="1"/>
  <c r="W215" i="1"/>
  <c r="AI215" i="1"/>
  <c r="W33" i="1"/>
  <c r="W61" i="1"/>
  <c r="W100" i="1"/>
  <c r="W27" i="1"/>
  <c r="W172" i="1"/>
  <c r="U60" i="1"/>
  <c r="S60" i="1" s="1"/>
  <c r="AI60" i="1"/>
  <c r="U75" i="1"/>
  <c r="S75" i="1" s="1"/>
  <c r="AI75" i="1"/>
  <c r="U83" i="1"/>
  <c r="S83" i="1" s="1"/>
  <c r="AI83" i="1"/>
  <c r="AI66" i="1"/>
  <c r="U66" i="1"/>
  <c r="S66" i="1" s="1"/>
  <c r="AI49" i="1"/>
  <c r="U49" i="1"/>
  <c r="S49" i="1" s="1"/>
  <c r="U53" i="1"/>
  <c r="S53" i="1" s="1"/>
  <c r="AI53" i="1"/>
  <c r="U120" i="1"/>
  <c r="S120" i="1" s="1"/>
  <c r="AI120" i="1"/>
  <c r="W120" i="1"/>
  <c r="AI113" i="1"/>
  <c r="U113" i="1"/>
  <c r="S113" i="1" s="1"/>
  <c r="U130" i="1"/>
  <c r="S130" i="1" s="1"/>
  <c r="AI130" i="1"/>
  <c r="U115" i="1"/>
  <c r="S115" i="1" s="1"/>
  <c r="AI115" i="1"/>
  <c r="AI150" i="1"/>
  <c r="U150" i="1"/>
  <c r="S150" i="1" s="1"/>
  <c r="AI125" i="1"/>
  <c r="U125" i="1"/>
  <c r="S125" i="1" s="1"/>
  <c r="W150" i="1"/>
  <c r="U156" i="1"/>
  <c r="S156" i="1" s="1"/>
  <c r="AI156" i="1"/>
  <c r="U199" i="1"/>
  <c r="S199" i="1" s="1"/>
  <c r="AI218" i="1"/>
  <c r="AI34" i="1"/>
  <c r="U34" i="1"/>
  <c r="S34" i="1" s="1"/>
  <c r="U19" i="1"/>
  <c r="S19" i="1" s="1"/>
  <c r="AI19" i="1"/>
  <c r="AI14" i="1"/>
  <c r="U14" i="1"/>
  <c r="S14" i="1" s="1"/>
  <c r="U71" i="1"/>
  <c r="S71" i="1" s="1"/>
  <c r="AI71" i="1"/>
  <c r="W14" i="1"/>
  <c r="AI70" i="1"/>
  <c r="U70" i="1"/>
  <c r="S70" i="1" s="1"/>
  <c r="W71" i="1"/>
  <c r="U135" i="1"/>
  <c r="S135" i="1" s="1"/>
  <c r="AI135" i="1"/>
  <c r="AI86" i="1"/>
  <c r="U86" i="1"/>
  <c r="S86" i="1" s="1"/>
  <c r="U151" i="1"/>
  <c r="S151" i="1" s="1"/>
  <c r="AI151" i="1"/>
  <c r="U147" i="1"/>
  <c r="S147" i="1" s="1"/>
  <c r="AI147" i="1"/>
  <c r="AI134" i="1"/>
  <c r="U134" i="1"/>
  <c r="S134" i="1" s="1"/>
  <c r="AI142" i="1"/>
  <c r="U142" i="1"/>
  <c r="S142" i="1" s="1"/>
  <c r="AI160" i="1"/>
  <c r="U207" i="1"/>
  <c r="S207" i="1" s="1"/>
  <c r="AI168" i="1"/>
  <c r="U215" i="1"/>
  <c r="S215" i="1" s="1"/>
  <c r="AI176" i="1"/>
  <c r="U157" i="1"/>
  <c r="S157" i="1" s="1"/>
  <c r="AI184" i="1"/>
  <c r="U165" i="1"/>
  <c r="S165" i="1" s="1"/>
  <c r="AI192" i="1"/>
  <c r="U173" i="1"/>
  <c r="S173" i="1" s="1"/>
  <c r="AI200" i="1"/>
  <c r="U181" i="1"/>
  <c r="S181" i="1" s="1"/>
  <c r="AI208" i="1"/>
  <c r="U189" i="1"/>
  <c r="S189" i="1" s="1"/>
  <c r="AI216" i="1"/>
  <c r="U197" i="1"/>
  <c r="S197" i="1" s="1"/>
  <c r="W134" i="1"/>
  <c r="U139" i="1"/>
  <c r="S139" i="1" s="1"/>
  <c r="AI139" i="1"/>
  <c r="W197" i="1"/>
  <c r="U219" i="1"/>
  <c r="S219" i="1" s="1"/>
  <c r="AI225" i="1"/>
  <c r="W207" i="1"/>
  <c r="U15" i="1"/>
  <c r="S15" i="1" s="1"/>
  <c r="AI15" i="1"/>
  <c r="AI22" i="1"/>
  <c r="U22" i="1"/>
  <c r="S22" i="1" s="1"/>
  <c r="AI18" i="1"/>
  <c r="U18" i="1"/>
  <c r="S18" i="1" s="1"/>
  <c r="U67" i="1"/>
  <c r="S67" i="1" s="1"/>
  <c r="AI67" i="1"/>
  <c r="W15" i="1"/>
  <c r="AI56" i="1"/>
  <c r="U56" i="1"/>
  <c r="S56" i="1" s="1"/>
  <c r="W60" i="1"/>
  <c r="AI74" i="1"/>
  <c r="U74" i="1"/>
  <c r="S74" i="1" s="1"/>
  <c r="W67" i="1"/>
  <c r="W75" i="1"/>
  <c r="AI82" i="1"/>
  <c r="U82" i="1"/>
  <c r="S82" i="1" s="1"/>
  <c r="W83" i="1"/>
  <c r="U116" i="1"/>
  <c r="S116" i="1" s="1"/>
  <c r="AI116" i="1"/>
  <c r="U122" i="1"/>
  <c r="S122" i="1" s="1"/>
  <c r="AI122" i="1"/>
  <c r="W113" i="1"/>
  <c r="AI89" i="1"/>
  <c r="U89" i="1"/>
  <c r="S89" i="1" s="1"/>
  <c r="AI97" i="1"/>
  <c r="U97" i="1"/>
  <c r="S97" i="1" s="1"/>
  <c r="AI105" i="1"/>
  <c r="U105" i="1"/>
  <c r="S105" i="1" s="1"/>
  <c r="U121" i="1"/>
  <c r="S121" i="1" s="1"/>
  <c r="AI121" i="1"/>
  <c r="AI93" i="1"/>
  <c r="U93" i="1"/>
  <c r="S93" i="1" s="1"/>
  <c r="AI101" i="1"/>
  <c r="U101" i="1"/>
  <c r="S101" i="1" s="1"/>
  <c r="AI109" i="1"/>
  <c r="U109" i="1"/>
  <c r="S109" i="1" s="1"/>
  <c r="U143" i="1"/>
  <c r="S143" i="1" s="1"/>
  <c r="AI143" i="1"/>
  <c r="W135" i="1"/>
  <c r="W130" i="1"/>
  <c r="W157" i="1"/>
  <c r="W189" i="1"/>
  <c r="W122" i="1"/>
  <c r="W165" i="1"/>
  <c r="U191" i="1"/>
  <c r="S191" i="1" s="1"/>
  <c r="AI210" i="1"/>
  <c r="U23" i="1"/>
  <c r="S23" i="1" s="1"/>
  <c r="AI23" i="1"/>
  <c r="U63" i="1"/>
  <c r="S63" i="1" s="1"/>
  <c r="AI63" i="1"/>
  <c r="U79" i="1"/>
  <c r="S79" i="1" s="1"/>
  <c r="W79" i="1"/>
  <c r="AI79" i="1"/>
  <c r="U57" i="1"/>
  <c r="S57" i="1" s="1"/>
  <c r="AI57" i="1"/>
  <c r="AI62" i="1"/>
  <c r="U62" i="1"/>
  <c r="S62" i="1" s="1"/>
  <c r="AI78" i="1"/>
  <c r="U78" i="1"/>
  <c r="S78" i="1" s="1"/>
  <c r="W34" i="1"/>
  <c r="AI119" i="1"/>
  <c r="U119" i="1"/>
  <c r="S119" i="1" s="1"/>
  <c r="U126" i="1"/>
  <c r="S126" i="1" s="1"/>
  <c r="AI126" i="1"/>
  <c r="AI87" i="1"/>
  <c r="U87" i="1"/>
  <c r="S87" i="1" s="1"/>
  <c r="AI129" i="1"/>
  <c r="U129" i="1"/>
  <c r="S129" i="1" s="1"/>
  <c r="W129" i="1"/>
  <c r="AI164" i="1"/>
  <c r="U211" i="1"/>
  <c r="S211" i="1" s="1"/>
  <c r="AI172" i="1"/>
  <c r="U225" i="1"/>
  <c r="S225" i="1" s="1"/>
  <c r="AI180" i="1"/>
  <c r="U161" i="1"/>
  <c r="S161" i="1" s="1"/>
  <c r="AI188" i="1"/>
  <c r="U169" i="1"/>
  <c r="S169" i="1" s="1"/>
  <c r="AI196" i="1"/>
  <c r="U177" i="1"/>
  <c r="S177" i="1" s="1"/>
  <c r="AI204" i="1"/>
  <c r="U185" i="1"/>
  <c r="S185" i="1" s="1"/>
  <c r="AI212" i="1"/>
  <c r="U193" i="1"/>
  <c r="S193" i="1" s="1"/>
  <c r="W143" i="1"/>
  <c r="W193" i="1"/>
  <c r="W156" i="1"/>
  <c r="W126" i="1"/>
  <c r="W139" i="1"/>
  <c r="U195" i="1"/>
  <c r="S195" i="1" s="1"/>
  <c r="AI214" i="1"/>
  <c r="B3" i="6"/>
  <c r="S69" i="3"/>
  <c r="M69" i="3"/>
  <c r="R69" i="3"/>
  <c r="U69" i="3"/>
  <c r="AC69" i="3" s="1"/>
  <c r="V69" i="3"/>
  <c r="W69" i="3"/>
  <c r="X69" i="3"/>
  <c r="AD69" i="3" l="1"/>
  <c r="AE69" i="3"/>
  <c r="Y69" i="3"/>
  <c r="T69" i="3"/>
  <c r="AD7" i="3" l="1"/>
  <c r="AE7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N71" i="3" s="1"/>
  <c r="G12" i="4"/>
  <c r="G13" i="4"/>
  <c r="G14" i="4"/>
  <c r="G15" i="4"/>
  <c r="G16" i="4"/>
  <c r="N35" i="3" s="1"/>
  <c r="G17" i="4"/>
  <c r="G18" i="4"/>
  <c r="N28" i="3" s="1"/>
  <c r="G19" i="4"/>
  <c r="G20" i="4"/>
  <c r="G21" i="4"/>
  <c r="G22" i="4"/>
  <c r="N36" i="3" s="1"/>
  <c r="G23" i="4"/>
  <c r="G24" i="4"/>
  <c r="G25" i="4"/>
  <c r="N73" i="3" s="1"/>
  <c r="G26" i="4"/>
  <c r="G27" i="4"/>
  <c r="G28" i="4"/>
  <c r="G29" i="4"/>
  <c r="G30" i="4"/>
  <c r="N59" i="3" s="1"/>
  <c r="G31" i="4"/>
  <c r="G32" i="4"/>
  <c r="G33" i="4"/>
  <c r="G34" i="4"/>
  <c r="G35" i="4"/>
  <c r="G36" i="4"/>
  <c r="G37" i="4"/>
  <c r="G38" i="4"/>
  <c r="G39" i="4"/>
  <c r="N37" i="3" s="1"/>
  <c r="G40" i="4"/>
  <c r="G41" i="4"/>
  <c r="G42" i="4"/>
  <c r="G43" i="4"/>
  <c r="N17" i="3" s="1"/>
  <c r="G44" i="4"/>
  <c r="G45" i="4"/>
  <c r="G46" i="4"/>
  <c r="N60" i="3" s="1"/>
  <c r="G47" i="4"/>
  <c r="G48" i="4"/>
  <c r="G49" i="4"/>
  <c r="G50" i="4"/>
  <c r="G51" i="4"/>
  <c r="N39" i="3" s="1"/>
  <c r="G52" i="4"/>
  <c r="N61" i="3" s="1"/>
  <c r="G53" i="4"/>
  <c r="G54" i="4"/>
  <c r="G55" i="4"/>
  <c r="G56" i="4"/>
  <c r="G57" i="4"/>
  <c r="G58" i="4"/>
  <c r="G59" i="4"/>
  <c r="G60" i="4"/>
  <c r="G61" i="4"/>
  <c r="G62" i="4"/>
  <c r="N10" i="3" s="1"/>
  <c r="G63" i="4"/>
  <c r="G64" i="4"/>
  <c r="G65" i="4"/>
  <c r="G66" i="4"/>
  <c r="G67" i="4"/>
  <c r="N66" i="3" s="1"/>
  <c r="G68" i="4"/>
  <c r="G69" i="4"/>
  <c r="G70" i="4"/>
  <c r="N40" i="3" s="1"/>
  <c r="G71" i="4"/>
  <c r="N63" i="3" s="1"/>
  <c r="G72" i="4"/>
  <c r="G73" i="4"/>
  <c r="G74" i="4"/>
  <c r="G75" i="4"/>
  <c r="G76" i="4"/>
  <c r="G77" i="4"/>
  <c r="G78" i="4"/>
  <c r="N22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23" i="3" s="1"/>
  <c r="G101" i="4"/>
  <c r="G102" i="4"/>
  <c r="G103" i="4"/>
  <c r="G104" i="4"/>
  <c r="G105" i="4"/>
  <c r="G106" i="4"/>
  <c r="G107" i="4"/>
  <c r="G108" i="4"/>
  <c r="N54" i="3" s="1"/>
  <c r="G109" i="4"/>
  <c r="G110" i="4"/>
  <c r="G111" i="4"/>
  <c r="G112" i="4"/>
  <c r="N46" i="3" s="1"/>
  <c r="G113" i="4"/>
  <c r="N41" i="3" s="1"/>
  <c r="G114" i="4"/>
  <c r="N67" i="3" s="1"/>
  <c r="G115" i="4"/>
  <c r="G116" i="4"/>
  <c r="G117" i="4"/>
  <c r="N14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N69" i="3" s="1"/>
  <c r="G130" i="4"/>
  <c r="G131" i="4"/>
  <c r="G132" i="4"/>
  <c r="G133" i="4"/>
  <c r="G134" i="4"/>
  <c r="G135" i="4"/>
  <c r="G136" i="4"/>
  <c r="G137" i="4"/>
  <c r="G138" i="4"/>
  <c r="G139" i="4"/>
  <c r="G140" i="4"/>
  <c r="N13" i="3" s="1"/>
  <c r="G141" i="4"/>
  <c r="G142" i="4"/>
  <c r="G143" i="4"/>
  <c r="N15" i="3" s="1"/>
  <c r="G144" i="4"/>
  <c r="G145" i="4"/>
  <c r="G146" i="4"/>
  <c r="N29" i="3" s="1"/>
  <c r="G147" i="4"/>
  <c r="N47" i="3" s="1"/>
  <c r="G148" i="4"/>
  <c r="G149" i="4"/>
  <c r="G150" i="4"/>
  <c r="G151" i="4"/>
  <c r="G152" i="4"/>
  <c r="G153" i="4"/>
  <c r="G154" i="4"/>
  <c r="N53" i="3" s="1"/>
  <c r="G155" i="4"/>
  <c r="G156" i="4"/>
  <c r="G157" i="4"/>
  <c r="N32" i="3" s="1"/>
  <c r="G158" i="4"/>
  <c r="G159" i="4"/>
  <c r="G160" i="4"/>
  <c r="N55" i="3" s="1"/>
  <c r="G161" i="4"/>
  <c r="G162" i="4"/>
  <c r="N16" i="3" s="1"/>
  <c r="G163" i="4"/>
  <c r="G164" i="4"/>
  <c r="N42" i="3" s="1"/>
  <c r="G165" i="4"/>
  <c r="G166" i="4"/>
  <c r="G167" i="4"/>
  <c r="G168" i="4"/>
  <c r="N50" i="3" s="1"/>
  <c r="G169" i="4"/>
  <c r="G170" i="4"/>
  <c r="G171" i="4"/>
  <c r="G172" i="4"/>
  <c r="G173" i="4"/>
  <c r="N43" i="3" s="1"/>
  <c r="G174" i="4"/>
  <c r="G175" i="4"/>
  <c r="G176" i="4"/>
  <c r="N24" i="3" s="1"/>
  <c r="G177" i="4"/>
  <c r="G178" i="4"/>
  <c r="G179" i="4"/>
  <c r="N64" i="3" s="1"/>
  <c r="G180" i="4"/>
  <c r="G181" i="4"/>
  <c r="N68" i="3" s="1"/>
  <c r="G182" i="4"/>
  <c r="N27" i="3" s="1"/>
  <c r="G183" i="4"/>
  <c r="G184" i="4"/>
  <c r="G185" i="4"/>
  <c r="G186" i="4"/>
  <c r="G187" i="4"/>
  <c r="G188" i="4"/>
  <c r="G189" i="4"/>
  <c r="G190" i="4"/>
  <c r="N48" i="3" s="1"/>
  <c r="G191" i="4"/>
  <c r="G192" i="4"/>
  <c r="G193" i="4"/>
  <c r="G194" i="4"/>
  <c r="G195" i="4"/>
  <c r="G196" i="4"/>
  <c r="G197" i="4"/>
  <c r="G198" i="4"/>
  <c r="G199" i="4"/>
  <c r="N44" i="3" s="1"/>
  <c r="G200" i="4"/>
  <c r="G201" i="4"/>
  <c r="G202" i="4"/>
  <c r="G203" i="4"/>
  <c r="G204" i="4"/>
  <c r="G205" i="4"/>
  <c r="N45" i="3" s="1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N49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7" i="3" l="1"/>
  <c r="N51" i="3"/>
  <c r="N65" i="3"/>
  <c r="N12" i="3"/>
  <c r="N31" i="3"/>
  <c r="N26" i="3"/>
  <c r="N19" i="3"/>
  <c r="N11" i="3"/>
  <c r="N18" i="3"/>
  <c r="N33" i="3"/>
  <c r="N52" i="3"/>
  <c r="N62" i="3"/>
  <c r="N9" i="3"/>
  <c r="N7" i="3"/>
  <c r="N8" i="3"/>
  <c r="N34" i="3"/>
  <c r="N30" i="3"/>
  <c r="N21" i="3"/>
  <c r="N20" i="3"/>
  <c r="N25" i="3"/>
  <c r="N38" i="3"/>
  <c r="N58" i="3"/>
  <c r="N70" i="3"/>
  <c r="N7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<sst xmlns="http://schemas.openxmlformats.org/spreadsheetml/2006/main" count="3121" uniqueCount="1043">
  <si>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</si>
  <si>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</si>
  <si>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</si>
  <si>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</si>
  <si>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</si>
  <si>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</si>
  <si>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</si>
  <si>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</si>
  <si>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</si>
  <si>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</si>
  <si>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</si>
  <si>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</si>
  <si>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</si>
  <si>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</si>
  <si>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</si>
  <si>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</si>
  <si>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</si>
  <si>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</si>
  <si>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</si>
  <si>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</si>
  <si>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</si>
  <si>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</si>
  <si>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</si>
  <si>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</si>
  <si>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</si>
  <si>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</si>
  <si>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</si>
  <si>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</si>
  <si>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</si>
  <si>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</si>
  <si>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</si>
  <si>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</si>
  <si>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</si>
  <si>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</si>
  <si>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</si>
  <si>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</si>
  <si>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</si>
  <si>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</si>
  <si>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</si>
  <si>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</si>
  <si>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</si>
  <si>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</si>
  <si>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</si>
  <si>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</si>
  <si>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</si>
  <si>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</si>
  <si>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</si>
  <si>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</si>
  <si>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</si>
  <si>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</si>
  <si>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</si>
  <si>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</si>
  <si>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</si>
  <si>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</si>
  <si>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</si>
  <si>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</si>
  <si>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</si>
  <si>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</si>
  <si>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</si>
  <si>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</si>
  <si>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</si>
  <si>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</si>
  <si>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</si>
  <si>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</si>
  <si>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</si>
  <si>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</si>
  <si>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</si>
  <si>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</si>
  <si>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</si>
  <si>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</si>
  <si>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</si>
  <si>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</si>
  <si>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</si>
  <si>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</si>
  <si>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</si>
  <si>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</si>
  <si>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</si>
  <si>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</si>
  <si>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</si>
  <si>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</si>
  <si>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</si>
  <si>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</si>
  <si>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</si>
  <si>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</si>
  <si>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</si>
  <si>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</si>
  <si>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</si>
  <si>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</si>
  <si>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</si>
  <si>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</si>
  <si>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</si>
  <si>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</si>
  <si>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</si>
  <si>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</si>
  <si>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</si>
  <si>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</si>
  <si>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</si>
  <si>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</si>
  <si>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</si>
  <si>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</si>
  <si>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</si>
  <si>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</si>
  <si>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</si>
  <si>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</si>
  <si>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</si>
  <si>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</si>
  <si>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</si>
  <si>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</si>
  <si>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</si>
  <si>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</si>
  <si>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</si>
  <si>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</si>
  <si>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</si>
  <si>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</si>
  <si>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</si>
  <si>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</si>
  <si>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</si>
  <si>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</si>
  <si>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</si>
  <si>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</si>
  <si>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</si>
  <si>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</si>
  <si>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</si>
  <si>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</si>
  <si>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</si>
  <si>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</si>
  <si>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</si>
  <si>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</si>
  <si>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</si>
  <si>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</si>
  <si>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</si>
  <si>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</si>
  <si>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</si>
  <si>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</si>
  <si>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</si>
  <si>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</si>
  <si>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</si>
  <si>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</si>
  <si>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</si>
  <si>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</si>
  <si>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</si>
  <si>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</si>
  <si>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</si>
  <si>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</si>
  <si>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</si>
  <si>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</si>
  <si>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</si>
  <si>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</si>
  <si>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</si>
  <si>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</si>
  <si>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</si>
  <si>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</si>
  <si>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</si>
  <si>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</si>
  <si>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</si>
  <si>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</si>
  <si>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</si>
  <si>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</si>
  <si>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</si>
  <si>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</si>
  <si>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</si>
  <si>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</si>
  <si>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</si>
  <si>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</si>
  <si>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</si>
  <si>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</si>
  <si>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</si>
  <si>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</si>
  <si>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</si>
  <si>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</si>
  <si>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</si>
  <si>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</si>
  <si>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</si>
  <si>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</si>
  <si>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</si>
  <si>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</si>
  <si>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</si>
  <si>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</si>
  <si>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</si>
  <si>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</si>
  <si>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</si>
  <si>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</si>
  <si>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</si>
  <si>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</si>
  <si>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</si>
  <si>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</si>
  <si>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</si>
  <si>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</si>
  <si>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</si>
  <si>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</si>
  <si>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</si>
  <si>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</si>
  <si>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</si>
  <si>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</si>
  <si>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</si>
  <si>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</si>
  <si>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</si>
  <si>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</si>
  <si>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</si>
  <si>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</si>
  <si>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</si>
  <si>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</si>
  <si>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</si>
  <si>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</si>
  <si>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</si>
  <si>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</si>
  <si>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</si>
  <si>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</si>
  <si>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</si>
  <si>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</si>
  <si>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</si>
  <si>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</si>
  <si>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</si>
  <si>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</si>
  <si>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</si>
  <si>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</si>
  <si>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</si>
  <si>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</si>
  <si>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</si>
  <si>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</si>
  <si>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</si>
  <si>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</si>
  <si>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</si>
  <si>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</si>
  <si>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</si>
  <si>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</si>
  <si>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</si>
  <si>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</si>
  <si>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</si>
  <si>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</si>
  <si>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</si>
  <si>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</si>
  <si>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</si>
  <si>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</si>
  <si>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</si>
  <si>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</si>
  <si>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</si>
  <si>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</si>
  <si>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</si>
  <si>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</si>
  <si>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</si>
  <si>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</si>
  <si>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</si>
  <si>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</si>
  <si>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</si>
  <si>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</si>
  <si>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</si>
  <si>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</si>
  <si>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</si>
  <si>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</si>
  <si>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</si>
  <si>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</si>
  <si>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</si>
  <si>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</si>
  <si>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</si>
  <si>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</si>
  <si>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</si>
  <si>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</si>
  <si>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</si>
  <si>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</si>
  <si>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</si>
  <si>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</si>
  <si>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</si>
  <si>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</si>
  <si>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</si>
  <si>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</si>
  <si>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</si>
  <si>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</si>
  <si>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</si>
  <si>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</si>
  <si>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</si>
  <si>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</si>
  <si>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</si>
  <si>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</si>
  <si>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</si>
  <si>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</si>
  <si>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</si>
  <si>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</si>
  <si>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</si>
  <si>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</si>
  <si>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</si>
  <si>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</si>
  <si>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</si>
  <si>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</si>
  <si>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</si>
  <si>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</si>
  <si>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</si>
  <si>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</si>
  <si>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</si>
  <si>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</si>
  <si>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</si>
  <si>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</si>
  <si>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</si>
  <si>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</si>
  <si>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</si>
  <si>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</si>
  <si>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</si>
  <si>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</si>
  <si>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</si>
  <si>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</si>
  <si>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</si>
  <si>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</si>
  <si>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</si>
  <si>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</si>
  <si>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</si>
  <si>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</si>
  <si>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</si>
  <si>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</si>
  <si>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</si>
  <si>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</si>
  <si>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</si>
  <si>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</si>
  <si>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</si>
  <si>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</si>
  <si>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</si>
  <si>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</si>
  <si>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</si>
  <si>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</si>
  <si>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</si>
  <si>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</si>
  <si>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</si>
  <si>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</si>
  <si>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</si>
  <si>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</si>
  <si>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</si>
  <si>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</si>
  <si>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</si>
  <si>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</si>
  <si>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</si>
  <si>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</si>
  <si>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</si>
  <si>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</si>
  <si>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</si>
  <si>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</si>
  <si>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</si>
  <si>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</si>
  <si>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</si>
  <si>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</si>
  <si>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</si>
  <si>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</si>
  <si>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</si>
  <si>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</si>
  <si>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</si>
  <si>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</si>
  <si>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</si>
  <si>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</si>
  <si>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</si>
  <si>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</si>
  <si>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</si>
  <si>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</si>
  <si>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</si>
  <si>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</si>
  <si>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</si>
  <si>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</si>
  <si>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</si>
  <si>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</si>
  <si>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</si>
  <si>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</si>
  <si>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</si>
  <si>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</si>
  <si>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</si>
  <si>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</si>
  <si>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</si>
  <si>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</si>
  <si>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</si>
  <si>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</si>
  <si>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</si>
  <si>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</si>
  <si>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</si>
  <si>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</si>
  <si>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</si>
  <si>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</si>
  <si>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</si>
  <si>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</si>
  <si>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</si>
  <si>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</si>
  <si>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</si>
  <si>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</si>
  <si>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</si>
  <si>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</si>
  <si>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</si>
  <si>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</si>
  <si>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</si>
  <si>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</si>
  <si>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</si>
  <si>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</si>
  <si>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</si>
  <si>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</si>
  <si>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</si>
  <si>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</si>
  <si>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</si>
  <si>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</si>
  <si>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</si>
  <si>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</si>
  <si>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</si>
  <si>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</si>
  <si>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</si>
  <si>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204:161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</si>
  <si>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</si>
  <si>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</si>
  <si>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</si>
  <si>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</si>
  <si>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</si>
  <si>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</si>
  <si>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</si>
  <si>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204:139</t>
  </si>
  <si>
    <t>204:141</t>
  </si>
  <si>
    <t>204:163</t>
  </si>
  <si>
    <t>204:134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</si>
  <si>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</si>
  <si>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</si>
  <si>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</si>
  <si>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</si>
  <si>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</si>
  <si>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</si>
  <si>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</si>
  <si>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204:232989</t>
  </si>
  <si>
    <t>204:233308</t>
  </si>
  <si>
    <t>YORK</t>
  </si>
  <si>
    <t>EDGAR</t>
  </si>
  <si>
    <t>204:446</t>
  </si>
  <si>
    <t>rtdc.l.rtdc.4009:itc</t>
  </si>
  <si>
    <t>rtdc.l.rtdc.4045:itc</t>
  </si>
  <si>
    <t>204:471</t>
  </si>
  <si>
    <t>204:233297</t>
  </si>
  <si>
    <t>204:145</t>
  </si>
  <si>
    <t>204:466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</si>
  <si>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</si>
  <si>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</si>
  <si>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</si>
  <si>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</si>
  <si>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</si>
  <si>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</si>
  <si>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</si>
  <si>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</si>
  <si>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SIGNAL</t>
  </si>
  <si>
    <t>Signal based authority (5)</t>
  </si>
  <si>
    <t>Y</t>
  </si>
  <si>
    <t>rtdc.l.rtdc.4042:itc</t>
  </si>
  <si>
    <t>GUZMAN</t>
  </si>
  <si>
    <t>DANNY</t>
  </si>
  <si>
    <t>204:232971</t>
  </si>
  <si>
    <t>204:165</t>
  </si>
  <si>
    <t>204:232963</t>
  </si>
  <si>
    <t>300:58931</t>
  </si>
  <si>
    <t>Early arrival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</si>
  <si>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</si>
  <si>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</si>
  <si>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</si>
  <si>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</si>
  <si>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</si>
  <si>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</si>
  <si>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</si>
  <si>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</si>
  <si>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</si>
  <si>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</si>
  <si>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</si>
  <si>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</si>
  <si>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</si>
  <si>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</si>
  <si>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</si>
  <si>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</si>
  <si>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</si>
  <si>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</si>
  <si>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</si>
  <si>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</si>
  <si>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</si>
  <si>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</si>
  <si>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</si>
  <si>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</si>
  <si>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204:233321</t>
  </si>
  <si>
    <t>204:233312</t>
  </si>
  <si>
    <t>204:484</t>
  </si>
  <si>
    <t>204:233300</t>
  </si>
  <si>
    <t>Onboard in-route failure</t>
  </si>
  <si>
    <t>Wi-MAX data drop</t>
  </si>
  <si>
    <t>rtdc.l.rtdc.4001:itc</t>
  </si>
  <si>
    <t>rtdc.l.rtdc.4002:itc</t>
  </si>
  <si>
    <t>YANAI</t>
  </si>
  <si>
    <t>IAN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</si>
  <si>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</si>
  <si>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</si>
  <si>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</si>
  <si>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</si>
  <si>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</si>
  <si>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</si>
  <si>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</si>
  <si>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</si>
  <si>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</si>
  <si>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</si>
  <si>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204:233289</t>
  </si>
  <si>
    <t>204:233306</t>
  </si>
  <si>
    <t>204:233317</t>
  </si>
  <si>
    <t>204:232980</t>
  </si>
  <si>
    <t>204:467</t>
  </si>
  <si>
    <t>204:233305</t>
  </si>
  <si>
    <t>204:136</t>
  </si>
  <si>
    <t>204:233291</t>
  </si>
  <si>
    <t>204:233002</t>
  </si>
  <si>
    <t>204:232969</t>
  </si>
  <si>
    <t>204:233274</t>
  </si>
  <si>
    <t>204:233278</t>
  </si>
  <si>
    <t>204:127</t>
  </si>
  <si>
    <t>204:233302</t>
  </si>
  <si>
    <t>204:464</t>
  </si>
  <si>
    <t>rtdc.l.rtdc.4054:itc</t>
  </si>
  <si>
    <t>ROBINSON</t>
  </si>
  <si>
    <t>KADDIBA</t>
  </si>
  <si>
    <t>SHOOK</t>
  </si>
  <si>
    <t>BRANDNER</t>
  </si>
  <si>
    <t>MELINDA</t>
  </si>
  <si>
    <t>MACDONALD</t>
  </si>
  <si>
    <t>THOMAS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</si>
  <si>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</si>
  <si>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</si>
  <si>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</si>
  <si>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</si>
  <si>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</si>
  <si>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</si>
  <si>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</si>
  <si>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</si>
  <si>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</si>
  <si>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</si>
  <si>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</si>
  <si>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204:233272</t>
  </si>
  <si>
    <t>204:233293</t>
  </si>
  <si>
    <t>204:233288</t>
  </si>
  <si>
    <t>204:232981</t>
  </si>
  <si>
    <t>204:232973</t>
  </si>
  <si>
    <t>204:233276</t>
  </si>
  <si>
    <t>204:233311</t>
  </si>
  <si>
    <t>204:233345</t>
  </si>
  <si>
    <t>300:23302</t>
  </si>
  <si>
    <t>204:478</t>
  </si>
  <si>
    <t>300:58933</t>
  </si>
  <si>
    <t>SANTIZO</t>
  </si>
  <si>
    <t>D. EDY</t>
  </si>
  <si>
    <t>DAVIS</t>
  </si>
  <si>
    <t>WENDY</t>
  </si>
  <si>
    <t>STEWART</t>
  </si>
  <si>
    <t>LEVIN</t>
  </si>
  <si>
    <t>SCOTT</t>
  </si>
  <si>
    <t>LALONDE</t>
  </si>
  <si>
    <t>GREGORY</t>
  </si>
  <si>
    <t>rtdc.l.rtdc.4039:itc</t>
  </si>
  <si>
    <t>SAFIEF</t>
  </si>
  <si>
    <t>AEIMEN</t>
  </si>
  <si>
    <t>242-09</t>
  </si>
  <si>
    <t>309-09</t>
  </si>
  <si>
    <t>244-09</t>
  </si>
  <si>
    <t>311-09</t>
  </si>
  <si>
    <t>313-09</t>
  </si>
  <si>
    <t>rtdc.l.rtdc.4040:itc</t>
  </si>
  <si>
    <t>51-10</t>
  </si>
  <si>
    <t>204:438</t>
  </si>
  <si>
    <t>204:233309</t>
  </si>
  <si>
    <t>204:232982</t>
  </si>
  <si>
    <t>204:150</t>
  </si>
  <si>
    <t>204:233001</t>
  </si>
  <si>
    <t>204:233004</t>
  </si>
  <si>
    <t>204:233280</t>
  </si>
  <si>
    <t>204:429</t>
  </si>
  <si>
    <t>204:232964</t>
  </si>
  <si>
    <t>204:232957</t>
  </si>
  <si>
    <t>204:189</t>
  </si>
  <si>
    <t>204:232972</t>
  </si>
  <si>
    <t>204:477</t>
  </si>
  <si>
    <t>204:233298</t>
  </si>
  <si>
    <t>204:233362</t>
  </si>
  <si>
    <t>204:233325</t>
  </si>
  <si>
    <t>300:58623</t>
  </si>
  <si>
    <t>300:58619</t>
  </si>
  <si>
    <t>300:58935</t>
  </si>
  <si>
    <t>204:741</t>
  </si>
  <si>
    <t>300:58926</t>
  </si>
  <si>
    <t>300:58943</t>
  </si>
  <si>
    <t>300:58626</t>
  </si>
  <si>
    <t>204:233000</t>
  </si>
  <si>
    <t>204:233364</t>
  </si>
  <si>
    <t>204:447</t>
  </si>
  <si>
    <t>204:170</t>
  </si>
  <si>
    <t>204:473</t>
  </si>
  <si>
    <t>204:232974</t>
  </si>
  <si>
    <t>204:233285</t>
  </si>
  <si>
    <t>204:233314</t>
  </si>
  <si>
    <t>300:23310</t>
  </si>
  <si>
    <t>204:1165</t>
  </si>
  <si>
    <t>204:107322</t>
  </si>
  <si>
    <t>302-10</t>
  </si>
  <si>
    <t>rtdc.l.rtdc.4025:itc</t>
  </si>
  <si>
    <t>304-10</t>
  </si>
  <si>
    <t>306-10</t>
  </si>
  <si>
    <t>Unknown (0)</t>
  </si>
  <si>
    <t>rtdc.l.rtdc.4006:itc</t>
  </si>
  <si>
    <t>105-10</t>
  </si>
  <si>
    <t>102-10</t>
  </si>
  <si>
    <t>rtdc.l.rtdc.4018:itc</t>
  </si>
  <si>
    <t>901-10</t>
  </si>
  <si>
    <t>104-10</t>
  </si>
  <si>
    <t>rtdc.l.rtdc.4017:itc</t>
  </si>
  <si>
    <t>800-10</t>
  </si>
  <si>
    <t>119-10</t>
  </si>
  <si>
    <t>802-10</t>
  </si>
  <si>
    <t>112-10</t>
  </si>
  <si>
    <t>116-10</t>
  </si>
  <si>
    <t>804-10</t>
  </si>
  <si>
    <t>806-10</t>
  </si>
  <si>
    <t>118-10</t>
  </si>
  <si>
    <t>809-10</t>
  </si>
  <si>
    <t>126-10</t>
  </si>
  <si>
    <t>810-10</t>
  </si>
  <si>
    <t>141-10</t>
  </si>
  <si>
    <t>130-10</t>
  </si>
  <si>
    <t>144-10</t>
  </si>
  <si>
    <t>rtdc.l.rtdc.4005:itc</t>
  </si>
  <si>
    <t>148-10</t>
  </si>
  <si>
    <t>rtdc.l.rtdc.4015:itc</t>
  </si>
  <si>
    <t>152-10</t>
  </si>
  <si>
    <t>157-10</t>
  </si>
  <si>
    <t>818-10</t>
  </si>
  <si>
    <t>158-10</t>
  </si>
  <si>
    <t>SWITCH UNKNOWN</t>
  </si>
  <si>
    <t>Track device (7)</t>
  </si>
  <si>
    <t>819-10</t>
  </si>
  <si>
    <t>167-10</t>
  </si>
  <si>
    <t>162-10</t>
  </si>
  <si>
    <t>166-10</t>
  </si>
  <si>
    <t>172-10</t>
  </si>
  <si>
    <t>rtdc.l.rtdc.4026:itc</t>
  </si>
  <si>
    <t>187-10</t>
  </si>
  <si>
    <t>180-10</t>
  </si>
  <si>
    <t>182-10</t>
  </si>
  <si>
    <t>191-10</t>
  </si>
  <si>
    <t>827-10</t>
  </si>
  <si>
    <t>197-10</t>
  </si>
  <si>
    <t>828-10</t>
  </si>
  <si>
    <t>201-10</t>
  </si>
  <si>
    <t>830-10</t>
  </si>
  <si>
    <t>196-10</t>
  </si>
  <si>
    <t>204-10</t>
  </si>
  <si>
    <t>834-10</t>
  </si>
  <si>
    <t>202-10</t>
  </si>
  <si>
    <t>208-10</t>
  </si>
  <si>
    <t>835-10</t>
  </si>
  <si>
    <t>838-10</t>
  </si>
  <si>
    <t>217-10</t>
  </si>
  <si>
    <t>216-10</t>
  </si>
  <si>
    <t>218-10</t>
  </si>
  <si>
    <t>840-10</t>
  </si>
  <si>
    <t>220-10</t>
  </si>
  <si>
    <t>237-10</t>
  </si>
  <si>
    <t>101-10</t>
  </si>
  <si>
    <t>50-10</t>
  </si>
  <si>
    <t>ACKERMAN</t>
  </si>
  <si>
    <t>JARED</t>
  </si>
  <si>
    <t>103-10</t>
  </si>
  <si>
    <t>STARKS</t>
  </si>
  <si>
    <t>ANGELINA</t>
  </si>
  <si>
    <t>308-10</t>
  </si>
  <si>
    <t>BONDS</t>
  </si>
  <si>
    <t>REYNALDO</t>
  </si>
  <si>
    <t>310-10</t>
  </si>
  <si>
    <t>107-10</t>
  </si>
  <si>
    <t>rtdc.l.rtdc.4016:itc</t>
  </si>
  <si>
    <t>109-10</t>
  </si>
  <si>
    <t>111-10</t>
  </si>
  <si>
    <t>113-10</t>
  </si>
  <si>
    <t>106-10</t>
  </si>
  <si>
    <t>108-10</t>
  </si>
  <si>
    <t>115-10</t>
  </si>
  <si>
    <t>110-10</t>
  </si>
  <si>
    <t>117-10</t>
  </si>
  <si>
    <t>801-10</t>
  </si>
  <si>
    <t>902-10</t>
  </si>
  <si>
    <t>114-10</t>
  </si>
  <si>
    <t>803-10</t>
  </si>
  <si>
    <t>121-10</t>
  </si>
  <si>
    <t>WILLIAMS</t>
  </si>
  <si>
    <t>DONTE</t>
  </si>
  <si>
    <t>123-10</t>
  </si>
  <si>
    <t>120-10</t>
  </si>
  <si>
    <t>125-10</t>
  </si>
  <si>
    <t>805-10</t>
  </si>
  <si>
    <t>127-10</t>
  </si>
  <si>
    <t>MAYBERRY</t>
  </si>
  <si>
    <t>BILL</t>
  </si>
  <si>
    <t>807-10</t>
  </si>
  <si>
    <t>122-10</t>
  </si>
  <si>
    <t>124-10</t>
  </si>
  <si>
    <t>129-10</t>
  </si>
  <si>
    <t>131-10</t>
  </si>
  <si>
    <t>808-10</t>
  </si>
  <si>
    <t>128-10</t>
  </si>
  <si>
    <t>133-10</t>
  </si>
  <si>
    <t>135-10</t>
  </si>
  <si>
    <t>811-10</t>
  </si>
  <si>
    <t>137-10</t>
  </si>
  <si>
    <t>132-10</t>
  </si>
  <si>
    <t>139-10</t>
  </si>
  <si>
    <t>903-10</t>
  </si>
  <si>
    <t>812-10</t>
  </si>
  <si>
    <t>134-10</t>
  </si>
  <si>
    <t>136-10</t>
  </si>
  <si>
    <t>138-10</t>
  </si>
  <si>
    <t>813-10</t>
  </si>
  <si>
    <t>143-10</t>
  </si>
  <si>
    <t>140-10</t>
  </si>
  <si>
    <t>145-10</t>
  </si>
  <si>
    <t>YANG</t>
  </si>
  <si>
    <t>JAN</t>
  </si>
  <si>
    <t>147-10</t>
  </si>
  <si>
    <t>142-10</t>
  </si>
  <si>
    <t>814-10</t>
  </si>
  <si>
    <t>149-10</t>
  </si>
  <si>
    <t>151-10</t>
  </si>
  <si>
    <t>815-10</t>
  </si>
  <si>
    <t>146-10</t>
  </si>
  <si>
    <t>153-10</t>
  </si>
  <si>
    <t>rtdc.l.rtdc.4051:itc</t>
  </si>
  <si>
    <t>52-10</t>
  </si>
  <si>
    <t>155-10</t>
  </si>
  <si>
    <t>816-10</t>
  </si>
  <si>
    <t>150-10</t>
  </si>
  <si>
    <t>rtdc.l.rtdc.4052:itc</t>
  </si>
  <si>
    <t>53-10</t>
  </si>
  <si>
    <t>SPECTOR</t>
  </si>
  <si>
    <t>154-10</t>
  </si>
  <si>
    <t>159-10</t>
  </si>
  <si>
    <t>817-10</t>
  </si>
  <si>
    <t>161-10</t>
  </si>
  <si>
    <t>156-10</t>
  </si>
  <si>
    <t>163-10</t>
  </si>
  <si>
    <t>CLARK</t>
  </si>
  <si>
    <t>KATHLEEN</t>
  </si>
  <si>
    <t>165-10</t>
  </si>
  <si>
    <t>ROMERO</t>
  </si>
  <si>
    <t>CHAD</t>
  </si>
  <si>
    <t>160-10</t>
  </si>
  <si>
    <t>LOCKLEAR</t>
  </si>
  <si>
    <t>TRAVIS</t>
  </si>
  <si>
    <t>169-10</t>
  </si>
  <si>
    <t>164-10</t>
  </si>
  <si>
    <t>171-10</t>
  </si>
  <si>
    <t>820-10</t>
  </si>
  <si>
    <t>173-10</t>
  </si>
  <si>
    <t>168-10</t>
  </si>
  <si>
    <t>170-10</t>
  </si>
  <si>
    <t>175-10</t>
  </si>
  <si>
    <t>177-10</t>
  </si>
  <si>
    <t>821-10</t>
  </si>
  <si>
    <t>179-10</t>
  </si>
  <si>
    <t>MENGES</t>
  </si>
  <si>
    <t>BRAD</t>
  </si>
  <si>
    <t>174-10</t>
  </si>
  <si>
    <t>822-10</t>
  </si>
  <si>
    <t>181-10</t>
  </si>
  <si>
    <t>176-10</t>
  </si>
  <si>
    <t>183-10</t>
  </si>
  <si>
    <t>185-10</t>
  </si>
  <si>
    <t>178-10</t>
  </si>
  <si>
    <t>823-10</t>
  </si>
  <si>
    <t>824-10</t>
  </si>
  <si>
    <t>184-10</t>
  </si>
  <si>
    <t>189-10</t>
  </si>
  <si>
    <t>186-10</t>
  </si>
  <si>
    <t>193-10</t>
  </si>
  <si>
    <t>825-10</t>
  </si>
  <si>
    <t>904-10</t>
  </si>
  <si>
    <t>188-10</t>
  </si>
  <si>
    <t>195-10</t>
  </si>
  <si>
    <t>826-10</t>
  </si>
  <si>
    <t>190-10</t>
  </si>
  <si>
    <t>192-10</t>
  </si>
  <si>
    <t>199-10</t>
  </si>
  <si>
    <t>194-10</t>
  </si>
  <si>
    <t>829-10</t>
  </si>
  <si>
    <t>198-10</t>
  </si>
  <si>
    <t>831-10</t>
  </si>
  <si>
    <t>203-10</t>
  </si>
  <si>
    <t>205-10</t>
  </si>
  <si>
    <t>200-10</t>
  </si>
  <si>
    <t>207-10</t>
  </si>
  <si>
    <t>832-10</t>
  </si>
  <si>
    <t>209-10</t>
  </si>
  <si>
    <t>833-10</t>
  </si>
  <si>
    <t>211-10</t>
  </si>
  <si>
    <t>206-10</t>
  </si>
  <si>
    <t>213-10</t>
  </si>
  <si>
    <t>215-10</t>
  </si>
  <si>
    <t>836-10</t>
  </si>
  <si>
    <t>210-10</t>
  </si>
  <si>
    <t>70-10</t>
  </si>
  <si>
    <t>837-10</t>
  </si>
  <si>
    <t>71-10</t>
  </si>
  <si>
    <t>212-10</t>
  </si>
  <si>
    <t>219-10</t>
  </si>
  <si>
    <t>FORTUNATO</t>
  </si>
  <si>
    <t>FRANK</t>
  </si>
  <si>
    <t>214-10</t>
  </si>
  <si>
    <t>54-10</t>
  </si>
  <si>
    <t>303-10</t>
  </si>
  <si>
    <t>839-10</t>
  </si>
  <si>
    <t>221-10</t>
  </si>
  <si>
    <t>906-10</t>
  </si>
  <si>
    <t>841-10</t>
  </si>
  <si>
    <t>305-10</t>
  </si>
  <si>
    <t>223-10</t>
  </si>
  <si>
    <t>307-10</t>
  </si>
  <si>
    <t>222-10</t>
  </si>
  <si>
    <t>225-10</t>
  </si>
  <si>
    <t>224-10</t>
  </si>
  <si>
    <t>843-10</t>
  </si>
  <si>
    <t>227-10</t>
  </si>
  <si>
    <t>842-10</t>
  </si>
  <si>
    <t>226-10</t>
  </si>
  <si>
    <t>229-10</t>
  </si>
  <si>
    <t>845-10</t>
  </si>
  <si>
    <t>231-10</t>
  </si>
  <si>
    <t>228-10</t>
  </si>
  <si>
    <t>844-10</t>
  </si>
  <si>
    <t>233-10</t>
  </si>
  <si>
    <t>230-10</t>
  </si>
  <si>
    <t>847-10</t>
  </si>
  <si>
    <t>235-10</t>
  </si>
  <si>
    <t>232-10</t>
  </si>
  <si>
    <t>908-10</t>
  </si>
  <si>
    <t>234-10</t>
  </si>
  <si>
    <t>239-10</t>
  </si>
  <si>
    <t>236-10</t>
  </si>
  <si>
    <t>241-10</t>
  </si>
  <si>
    <t>238-10</t>
  </si>
  <si>
    <t>243-10</t>
  </si>
  <si>
    <t>240-10</t>
  </si>
  <si>
    <t>315-10</t>
  </si>
  <si>
    <t>242-10</t>
  </si>
  <si>
    <t>309-10</t>
  </si>
  <si>
    <t>244-10</t>
  </si>
  <si>
    <t>311-10</t>
  </si>
  <si>
    <t>313-10</t>
  </si>
  <si>
    <t>partly-cloudy-night</t>
  </si>
  <si>
    <t>204:754</t>
  </si>
  <si>
    <t>204:233303</t>
  </si>
  <si>
    <t>204:232660</t>
  </si>
  <si>
    <t>204:233338</t>
  </si>
  <si>
    <t>204:232715</t>
  </si>
  <si>
    <t>204:723</t>
  </si>
  <si>
    <t>204:232650</t>
  </si>
  <si>
    <t>204:233286</t>
  </si>
  <si>
    <t>204:232959</t>
  </si>
  <si>
    <t>204:180</t>
  </si>
  <si>
    <t>204:779</t>
  </si>
  <si>
    <t>204:233282</t>
  </si>
  <si>
    <t>204:797</t>
  </si>
  <si>
    <t>204:232991</t>
  </si>
  <si>
    <t>204:169</t>
  </si>
  <si>
    <t>204:232988</t>
  </si>
  <si>
    <t>204:167</t>
  </si>
  <si>
    <t>204:149</t>
  </si>
  <si>
    <t>204:232998</t>
  </si>
  <si>
    <t>204:232976</t>
  </si>
  <si>
    <t>204:143</t>
  </si>
  <si>
    <t>204:232564</t>
  </si>
  <si>
    <t>204:444</t>
  </si>
  <si>
    <t>204:233331</t>
  </si>
  <si>
    <t>204:233307</t>
  </si>
  <si>
    <t>204:88243</t>
  </si>
  <si>
    <t>204:232987</t>
  </si>
  <si>
    <t>204:233299</t>
  </si>
  <si>
    <t>204:232984</t>
  </si>
  <si>
    <t>204:181</t>
  </si>
  <si>
    <t>204:233347</t>
  </si>
  <si>
    <t>204:233021</t>
  </si>
  <si>
    <t>204:233383</t>
  </si>
  <si>
    <t>204:233059</t>
  </si>
  <si>
    <t>204:233284</t>
  </si>
  <si>
    <t>204:127837</t>
  </si>
  <si>
    <t>204:176</t>
  </si>
  <si>
    <t>204:232996</t>
  </si>
  <si>
    <t>204:480</t>
  </si>
  <si>
    <t>204:232948</t>
  </si>
  <si>
    <t>204:233046</t>
  </si>
  <si>
    <t>204:172</t>
  </si>
  <si>
    <t>204:64710</t>
  </si>
  <si>
    <t>204:475</t>
  </si>
  <si>
    <t>204:192</t>
  </si>
  <si>
    <t>204:233349</t>
  </si>
  <si>
    <t>204:233064</t>
  </si>
  <si>
    <t>204:233067</t>
  </si>
  <si>
    <t>204:183</t>
  </si>
  <si>
    <t>204:233211</t>
  </si>
  <si>
    <t>204:232898</t>
  </si>
  <si>
    <t>204:508</t>
  </si>
  <si>
    <t>204:232970</t>
  </si>
  <si>
    <t>204:426</t>
  </si>
  <si>
    <t>204:233268</t>
  </si>
  <si>
    <t>204:488</t>
  </si>
  <si>
    <t>204:233281</t>
  </si>
  <si>
    <t>204:233360</t>
  </si>
  <si>
    <t>204:233025</t>
  </si>
  <si>
    <t>204:233318</t>
  </si>
  <si>
    <t>204:233374</t>
  </si>
  <si>
    <t>204:233055</t>
  </si>
  <si>
    <t>204:511</t>
  </si>
  <si>
    <t>204:233323</t>
  </si>
  <si>
    <t>204:233245</t>
  </si>
  <si>
    <t>204:232932</t>
  </si>
  <si>
    <t>204:233366</t>
  </si>
  <si>
    <t>204:233051</t>
  </si>
  <si>
    <t>204:233253</t>
  </si>
  <si>
    <t>204:232953</t>
  </si>
  <si>
    <t>300:19368</t>
  </si>
  <si>
    <t>204:116</t>
  </si>
  <si>
    <t>300:23299</t>
  </si>
  <si>
    <t>300:23476</t>
  </si>
  <si>
    <t>204:121</t>
  </si>
  <si>
    <t>300:23308</t>
  </si>
  <si>
    <t>300:25129</t>
  </si>
  <si>
    <t>204:433</t>
  </si>
  <si>
    <t>300:23034</t>
  </si>
  <si>
    <t>300:23695</t>
  </si>
  <si>
    <t>300:22767</t>
  </si>
  <si>
    <t>300:23072</t>
  </si>
  <si>
    <t>204:106994</t>
  </si>
  <si>
    <t>204:1045</t>
  </si>
  <si>
    <t>300:23504</t>
  </si>
  <si>
    <t>204:887</t>
  </si>
  <si>
    <t>204:1199</t>
  </si>
  <si>
    <t>300:24254</t>
  </si>
  <si>
    <t>300:22094</t>
  </si>
  <si>
    <t>204:967</t>
  </si>
  <si>
    <t>204:1475</t>
  </si>
  <si>
    <t>300:23301</t>
  </si>
  <si>
    <t>300:58696</t>
  </si>
  <si>
    <t>204:705</t>
  </si>
  <si>
    <t>204:981</t>
  </si>
  <si>
    <t>300:59010</t>
  </si>
  <si>
    <t>300:58692</t>
  </si>
  <si>
    <t>204:691</t>
  </si>
  <si>
    <t>204:974</t>
  </si>
  <si>
    <t>300:58965</t>
  </si>
  <si>
    <t>300:58647</t>
  </si>
  <si>
    <t>204:699</t>
  </si>
  <si>
    <t>204:965</t>
  </si>
  <si>
    <t>300:59005</t>
  </si>
  <si>
    <t>300:58687</t>
  </si>
  <si>
    <t>204:696</t>
  </si>
  <si>
    <t>204:985</t>
  </si>
  <si>
    <t>300:58963</t>
  </si>
  <si>
    <t>300:58656</t>
  </si>
  <si>
    <t>204:689</t>
  </si>
  <si>
    <t>204:978</t>
  </si>
  <si>
    <t>300:58984</t>
  </si>
  <si>
    <t>300:58694</t>
  </si>
  <si>
    <t>204:768</t>
  </si>
  <si>
    <t>300:58961</t>
  </si>
  <si>
    <t>300:58645</t>
  </si>
  <si>
    <t>204:673</t>
  </si>
  <si>
    <t>300:58973</t>
  </si>
  <si>
    <t>300:58649</t>
  </si>
  <si>
    <t>204:675</t>
  </si>
  <si>
    <t>204:964</t>
  </si>
  <si>
    <t>300:58666</t>
  </si>
  <si>
    <t>204:701</t>
  </si>
  <si>
    <t>204:972</t>
  </si>
  <si>
    <t>300:58978</t>
  </si>
  <si>
    <t>300:58668</t>
  </si>
  <si>
    <t>204:670</t>
  </si>
  <si>
    <t>204:971</t>
  </si>
  <si>
    <t>300:58640</t>
  </si>
  <si>
    <t>300:59012</t>
  </si>
  <si>
    <t>300:58690</t>
  </si>
  <si>
    <t>204:635</t>
  </si>
  <si>
    <t>204:930</t>
  </si>
  <si>
    <t>300:58986</t>
  </si>
  <si>
    <t>300:58662</t>
  </si>
  <si>
    <t>204:657</t>
  </si>
  <si>
    <t>300:58677</t>
  </si>
  <si>
    <t>204:951</t>
  </si>
  <si>
    <t>204:659</t>
  </si>
  <si>
    <t>204:943</t>
  </si>
  <si>
    <t>300:58999</t>
  </si>
  <si>
    <t>300:58685</t>
  </si>
  <si>
    <t>204:633</t>
  </si>
  <si>
    <t>204:939</t>
  </si>
  <si>
    <t>300:58960</t>
  </si>
  <si>
    <t>300:58651</t>
  </si>
  <si>
    <t>204:682</t>
  </si>
  <si>
    <t>204:932</t>
  </si>
  <si>
    <t>300:58608</t>
  </si>
  <si>
    <t>204:664</t>
  </si>
  <si>
    <t>300:26664</t>
  </si>
  <si>
    <t>204:934</t>
  </si>
  <si>
    <t>204:671</t>
  </si>
  <si>
    <t>204:899</t>
  </si>
  <si>
    <t>300:58611</t>
  </si>
  <si>
    <t>204:677</t>
  </si>
  <si>
    <t>204:941</t>
  </si>
  <si>
    <t>300:58924</t>
  </si>
  <si>
    <t>300:58613</t>
  </si>
  <si>
    <t>204:645</t>
  </si>
  <si>
    <t>204:957</t>
  </si>
  <si>
    <t>204:948</t>
  </si>
  <si>
    <t>300:58918</t>
  </si>
  <si>
    <t>300:29714</t>
  </si>
  <si>
    <t>300:59001</t>
  </si>
  <si>
    <t>300:23468</t>
  </si>
  <si>
    <t>204:1056</t>
  </si>
  <si>
    <t>300:25450</t>
  </si>
  <si>
    <t>300:22908</t>
  </si>
  <si>
    <t>204:656</t>
  </si>
  <si>
    <t>300:28784</t>
  </si>
  <si>
    <t>300:58604</t>
  </si>
  <si>
    <t>300:21774</t>
  </si>
  <si>
    <t>start /low /b %USERPROFILE%\Documents\GitHub\eaglep3\Utilities\DownloadLogsFromS3.py --loco 4053 --day 2017-04-10</t>
  </si>
  <si>
    <t>start /low /b %USERPROFILE%\Documents\GitHub\eaglep3\Utilities\DownloadLogsFromS3.py --loco 4026 --day 2017-04-10</t>
  </si>
  <si>
    <t>start /low /b %USERPROFILE%\Documents\GitHub\eaglep3\Utilities\DownloadLogsFromS3.py --loco 4021 --day 2017-04-10</t>
  </si>
  <si>
    <t>start /low /b %USERPROFILE%\Documents\GitHub\eaglep3\Utilities\DownloadLogsFromS3.py --loco 4005 --day 2017-04-11</t>
  </si>
  <si>
    <t>start /low /b %USERPROFILE%\Documents\GitHub\eaglep3\Utilities\DownloadLogsFromS3.py --loco 4041 --day 2017-04-10</t>
  </si>
  <si>
    <t>start /low /b %USERPROFILE%\Documents\GitHub\eaglep3\Utilities\DownloadLogsFromS3.py --loco 4015 --day 2017-04-10</t>
  </si>
  <si>
    <t>start /low /b %USERPROFILE%\Documents\GitHub\eaglep3\Utilities\DownloadLogsFromS3.py --loco 4006 --day 2017-04-10</t>
  </si>
  <si>
    <t>start /low /b %USERPROFILE%\Documents\GitHub\eaglep3\Utilities\DownloadLogsFromS3.py --loco 4005 --day 2017-04-10</t>
  </si>
  <si>
    <t>start /low /b %USERPROFILE%\Documents\GitHub\eaglep3\Utilities\DownloadLogsFromS3.py --loco 4014 --day 2017-04-10</t>
  </si>
  <si>
    <t>start /low /b %USERPROFILE%\Documents\GitHub\eaglep3\Utilities\DownloadLogsFromS3.py --loco 4054 --day 2017-04-10</t>
  </si>
  <si>
    <t>start /low /b %USERPROFILE%\Documents\GitHub\eaglep3\Utilities\DownloadLogsFromS3.py --loco 4015 --day 2017-04-11</t>
  </si>
  <si>
    <t>start /low /b %USERPROFILE%\Documents\GitHub\eaglep3\Utilities\DownloadLogsFromS3.py --loco 4013 --day 2017-04-10</t>
  </si>
  <si>
    <t>start /low /b %USERPROFILE%\Documents\GitHub\eaglep3\Utilities\DownloadLogsFromS3.py --loco 4025 --day 2017-04-10</t>
  </si>
  <si>
    <t>start /low /b %USERPROFILE%\Documents\GitHub\eaglep3\Utilities\DownloadLogsFromS3.py --loco 4025 --day 2017-04-11</t>
  </si>
  <si>
    <t>start /low /b %USERPROFILE%\Documents\GitHub\eaglep3\Utilities\DownloadLogsFromS3.py --loco 4019 --day 2017-04-11</t>
  </si>
  <si>
    <t>start /low /b %USERPROFILE%\Documents\GitHub\eaglep3\Utilities\DownloadLogsFromS3.py --loco 4042 --day 2017-04-10</t>
  </si>
  <si>
    <t>start /low /b %USERPROFILE%\Documents\GitHub\eaglep3\Utilities\DownloadLogsFromS3.py --loco 4020 --day 2017-04-10</t>
  </si>
  <si>
    <t>start /low /b %USERPROFILE%\Documents\GitHub\eaglep3\Utilities\DownloadLogsFromS3.py --loco 4006 --day 2017-04-11</t>
  </si>
  <si>
    <t>start /low /b %USERPROFILE%\Documents\GitHub\eaglep3\Utilities\DownloadLogsFromS3.py --loco 4042 --day 2017-04-11</t>
  </si>
  <si>
    <t>start /low /b %USERPROFILE%\Documents\GitHub\eaglep3\Utilities\DownloadLogsFromS3.py --loco 4021 --day 2017-04-11</t>
  </si>
  <si>
    <t>start /low /b %USERPROFILE%\Documents\GitHub\eaglep3\Utilities\DownloadLogsFromS3.py --loco 4017 --day 2017-04-10</t>
  </si>
  <si>
    <t>start /low /b %USERPROFILE%\Documents\GitHub\eaglep3\Utilities\DownloadLogsFromS3.py --loco 4018 --day 2017-04-10</t>
  </si>
  <si>
    <t>start /low /b %USERPROFILE%\Documents\GitHub\eaglep3\Utilities\DownloadLogsFromS3.py --loco 4022 --day 2017-04-10</t>
  </si>
  <si>
    <t>start /low /b %USERPROFILE%\Documents\GitHub\eaglep3\Utilities\DownloadLogsFromS3.py --loco 4018 --day 2017-04-11</t>
  </si>
  <si>
    <t>Departure test not performed</t>
  </si>
  <si>
    <t>CCROC/crew/equipment mismatch</t>
  </si>
  <si>
    <t>http://stevetu21.github.io/eaglep3/load_kml.html?kml=http://rtdc.gmaps-snips.s3.amazonaws.com/34ff0867-474d-4d54-830c-6a6659f34f26.kml</t>
  </si>
  <si>
    <t>DUS 28S STOP</t>
  </si>
  <si>
    <t>Overspeed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</si>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</sst>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zoomScaleNormal="100" workbookViewId="0">
      <selection activeCell="R77" sqref="R7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1042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42835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COUNTIFS($N$13:$N$9328,"&gt;0",$AG$13:$AG$9328,I1)</f>
        <v>140</v>
      </c>
      <c r="K5" s="40"/>
      <c r="L5" s="40"/>
      <c r="M5" s="41">
        <f>AVERAGEIFS($N$13:$N$9328,$AG$13:$AG$9328,I1)</f>
        <v>39.12666666669039</v>
      </c>
      <c r="N5" s="39">
        <f t="array" ref="N5">MIN(IF($AG$13:$AG$9328=I1,IF(ISNUMBER($N$13:$N$9328),IF($N$13:$N$9328&gt;0,$N$13:$N$9328))))</f>
        <v>34.433333335909992</v>
      </c>
      <c r="O5" s="3">
        <f t="array" ref="O5">MAX(IF($AG$13:$AG$9328=I1,IF(ISNUMBER($N$13:$N$9328),IF($N$13:$N$9328&gt;0,$N$13:$N$9328))))</f>
        <v>46.766666660550982</v>
      </c>
      <c r="P5" s="2"/>
      <c r="R5" s="74" t="s">
        <v>17</v>
      </c>
      <c r="S5" s="50">
        <f>COUNTIFS($N$13:$N$9328,"&gt;0",$AG$13:$AG$9328,R1)</f>
        <v>46</v>
      </c>
      <c r="T5" s="40"/>
      <c r="U5" s="173"/>
      <c r="V5" s="170">
        <f>AVERAGEIFS($N$13:$N$9328,$AG$13:$AG$9328,R1)</f>
        <v>15.198188406496268</v>
      </c>
      <c r="W5" s="171">
        <f t="array" ref="W5">MIN(IF($AG$13:$AG$9328=R1,IF(ISNUMBER($N$13:$N$9328),IF($N$13:$N$9328&gt;0,$N$13:$N$9328))))</f>
        <v>12.566666670609266</v>
      </c>
      <c r="X5" s="172">
        <f t="array" ref="X5">MAX(IF($AG$13:$AG$9328=R1,IF(ISNUMBER($N$13:$N$9328),IF($N$13:$N$9328&gt;0,$N$13:$N$9328))))</f>
        <v>21.066666666883975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COUNTIFS($P$13:$P$9328,"&gt;0",$AG$13:$AG$9328,I1)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COUNTIFS($P$13:$P$9328,"&gt;0",$AG$13:$AG$9328,R1)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39.12666666669039</v>
      </c>
      <c r="N8" s="39">
        <f>N5</f>
        <v>34.433333335909992</v>
      </c>
      <c r="O8" s="3">
        <f>O5</f>
        <v>46.766666660550982</v>
      </c>
      <c r="P8" s="2"/>
      <c r="R8" s="74" t="s">
        <v>16</v>
      </c>
      <c r="S8" s="50">
        <f>S5</f>
        <v>46</v>
      </c>
      <c r="T8" s="40"/>
      <c r="U8" s="173"/>
      <c r="V8" s="170">
        <f>V5</f>
        <v>15.198188406496268</v>
      </c>
      <c r="W8" s="171">
        <f>W5</f>
        <v>12.566666670609266</v>
      </c>
      <c r="X8" s="172">
        <f>X5</f>
        <v>21.066666666883975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0.97222222222222221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- 2017-04-10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0.98842592592592582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651</v>
      </c>
      <c r="B13" s="7">
        <v>4042</v>
      </c>
      <c r="C13" s="21" t="s">
        <v>215</v>
      </c>
      <c r="D13" s="21" t="s">
        <v>840</v>
      </c>
      <c r="E13" s="13">
        <v>42835.132824074077</v>
      </c>
      <c r="F13" s="13">
        <v>42835.135729166665</v>
      </c>
      <c r="G13" s="7">
        <v>1</v>
      </c>
      <c r="H13" s="21" t="s">
        <v>841</v>
      </c>
      <c r="I13" s="13">
        <v>42835.160474537035</v>
      </c>
      <c r="J13" s="7">
        <v>0</v>
      </c>
      <c r="K13" s="97" t="str">
        <f t="shared" ref="K13:K76" si="0">IF(ISEVEN(B13),(B13-1)&amp;"/"&amp;B13,B13&amp;"/"&amp;(B13+1))</f>
        <v>4041/4042</v>
      </c>
      <c r="L13" s="21" t="str">
        <f>VLOOKUP(A13,'Trips&amp;Operators'!$C$1:$G$99999,5,FALSE)</f>
        <v>SANTIZO D. EDY</v>
      </c>
      <c r="M13" s="6">
        <f t="shared" ref="M13:M76" si="1">I13-F13</f>
        <v>2.47453703705105E-2</v>
      </c>
      <c r="N13" s="7">
        <f t="shared" ref="N13:N44" si="2">24*60*SUM($M13:$M13)</f>
        <v>35.63333333353512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-10T02:11:16-0600',mode:absolute,to:'2017-04-10T04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83" t="str">
        <f t="shared" ref="W13:W76" si="6">IF(AA13&lt;IF(AG13="EC",23,5.65),"Y","N")</f>
        <v>N</v>
      </c>
      <c r="X13" s="183" t="e">
        <f t="shared" ref="X13:X44" si="7">VALUE(LEFT(AD13,4))-VALUE(LEFT(AD12,4))</f>
        <v>#VALUE!</v>
      </c>
      <c r="Y13" s="62">
        <f t="shared" ref="Y13:Y44" si="8">RIGHT(D13,LEN(D13)-4)/10000</f>
        <v>7.5399999999999995E-2</v>
      </c>
      <c r="Z13" s="62">
        <f t="shared" ref="Z13:Z44" si="9">RIGHT(H13,LEN(H13)-4)/10000</f>
        <v>23.330300000000001</v>
      </c>
      <c r="AA13" s="62">
        <f t="shared" ref="AA13:AA76" si="10">ABS(Z13-Y13)</f>
        <v>23.254900000000003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0101-10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/stypes="app*4042*20170410*"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4042 --swversion DE.1.0.9.0 --startMP 204:754 --initTime 2017-04-10T03:11:16 --startdatetime 2017-04-10T03:15:27 --delay 1 --endMP 204:233303 --enddatetime 2017-04-10T03:51:05 --enforcementcount 0 &gt;&gt;C:\Users\stu\Documents\GitHub\eaglep3-reporting\EC\2017-04-10-refined-times.txt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{"issue":{"subject":"","project_id":79,"tracker_id":40,"status_id":1,"priority_id":2,"assigned_to_id":23,"start_date":"2017-04-10","description":"","custom_fields":[{"id":1,"name":"Subdivision","value":"EC"},{"id":4,"name":"Milepost","value":"23.3303"},{"id":17,"name":"Train ID","value":"101-10"},{"id":16,"name":"Locomotive ID","value":"4042"},{"id":130,"name":"Impact","value":""},{"id":150,"name":"Time of Event (Mountain Time)","value":"03:51:05"},{"id":151,"name":"Denver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4042 --day 2017-04-10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595</v>
      </c>
      <c r="B14" s="7">
        <v>4013</v>
      </c>
      <c r="C14" s="21" t="s">
        <v>215</v>
      </c>
      <c r="D14" s="21" t="s">
        <v>842</v>
      </c>
      <c r="E14" s="13">
        <v>42835.165150462963</v>
      </c>
      <c r="F14" s="13">
        <v>42835.174525462964</v>
      </c>
      <c r="G14" s="7">
        <v>1</v>
      </c>
      <c r="H14" s="21" t="s">
        <v>557</v>
      </c>
      <c r="I14" s="13">
        <v>42835.200416666667</v>
      </c>
      <c r="J14" s="7">
        <v>0</v>
      </c>
      <c r="K14" s="97" t="str">
        <f t="shared" si="0"/>
        <v>4013/4014</v>
      </c>
      <c r="L14" s="21" t="str">
        <f>VLOOKUP(A14,'Trips&amp;Operators'!$C$1:$G$99999,5,FALSE)</f>
        <v>SANTIZO D. EDY</v>
      </c>
      <c r="M14" s="6">
        <f t="shared" si="1"/>
        <v>2.5891203702485655E-2</v>
      </c>
      <c r="N14" s="7">
        <f t="shared" si="2"/>
        <v>37.283333331579342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-10T02:57:49-0600',mode:absolute,to:'2017-04-10T05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23.265999999999998</v>
      </c>
      <c r="Z14" s="62">
        <f t="shared" si="9"/>
        <v>1.4999999999999999E-2</v>
      </c>
      <c r="AA14" s="62">
        <f t="shared" si="10"/>
        <v>23.250999999999998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0102-10</v>
      </c>
      <c r="AE14" s="85" t="str">
        <f t="shared" si="12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14" s="82" t="str">
        <f t="shared" si="13"/>
        <v>"C:\Program Files (x86)\AstroGrep\AstroGrep.exe" /e /r /s /spath="%USERPROFILE%\AppData\Local\Temp\OnboardLogs" /stypes="app*4013*20170410*"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4013 --swversion DE.1.0.9.0 --startMP 204:232660 --initTime 2017-04-10T03:57:49 --startdatetime 2017-04-10T04:11:19 --delay 1 --endMP 204:150 --enddatetime 2017-04-10T04:48:36 --enforcementcount 0 &gt;&gt;C:\Users\stu\Documents\GitHub\eaglep3-reporting\EC\2017-04-10-refined-times.txt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{"issue":{"subject":"","project_id":79,"tracker_id":40,"status_id":1,"priority_id":2,"assigned_to_id":23,"start_date":"2017-04-10","description":"","custom_fields":[{"id":1,"name":"Subdivision","value":"EC"},{"id":4,"name":"Milepost","value":"0.015"},{"id":17,"name":"Train ID","value":"102-10"},{"id":16,"name":"Locomotive ID","value":"4013"},{"id":130,"name":"Impact","value":""},{"id":150,"name":"Time of Event (Mountain Time)","value":"04:48:36"},{"id":151,"name":"Denver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4013 --day 2017-04-10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655</v>
      </c>
      <c r="B15" s="7">
        <v>4054</v>
      </c>
      <c r="C15" s="21" t="s">
        <v>215</v>
      </c>
      <c r="D15" s="21" t="s">
        <v>573</v>
      </c>
      <c r="E15" s="13">
        <v>42835.151759259257</v>
      </c>
      <c r="F15" s="13">
        <v>42835.156469907408</v>
      </c>
      <c r="G15" s="7">
        <v>2</v>
      </c>
      <c r="H15" s="21" t="s">
        <v>843</v>
      </c>
      <c r="I15" s="13">
        <v>42835.182268518518</v>
      </c>
      <c r="J15" s="7">
        <v>0</v>
      </c>
      <c r="K15" s="97" t="str">
        <f t="shared" si="0"/>
        <v>4053/4054</v>
      </c>
      <c r="L15" s="21" t="str">
        <f>VLOOKUP(A15,'Trips&amp;Operators'!$C$1:$G$99999,5,FALSE)</f>
        <v>ACKERMAN JARED</v>
      </c>
      <c r="M15" s="6">
        <f t="shared" si="1"/>
        <v>2.5798611110076308E-2</v>
      </c>
      <c r="N15" s="7">
        <f t="shared" si="2"/>
        <v>37.149999998509884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-10T02:38:32-0600',mode:absolute,to:'2017-04-10T05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7.4099999999999999E-2</v>
      </c>
      <c r="Z15" s="62">
        <f t="shared" si="9"/>
        <v>23.3338</v>
      </c>
      <c r="AA15" s="62">
        <f t="shared" si="10"/>
        <v>23.259699999999999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0103-10</v>
      </c>
      <c r="AE15" s="85" t="str">
        <f t="shared" si="12"/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15" s="82" t="str">
        <f t="shared" si="13"/>
        <v>"C:\Program Files (x86)\AstroGrep\AstroGrep.exe" /e /r /s /spath="%USERPROFILE%\AppData\Local\Temp\OnboardLogs" /stypes="app*4054*20170410*"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103-10 --locoid 4054 --swversion DE.1.0.9.0 --startMP 204:741 --initTime 2017-04-10T03:38:32 --startdatetime 2017-04-10T03:45:19 --delay 2 --endMP 204:233338 --enddatetime 2017-04-10T04:22:28 --enforcementcount 0 &gt;&gt;C:\Users\stu\Documents\GitHub\eaglep3-reporting\EC\2017-04-10-refined-times.txt</v>
      </c>
      <c r="AI15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{"issue":{"subject":"","project_id":79,"tracker_id":40,"status_id":1,"priority_id":2,"assigned_to_id":23,"start_date":"2017-04-10","description":"","custom_fields":[{"id":1,"name":"Subdivision","value":"EC"},{"id":4,"name":"Milepost","value":"23.3338"},{"id":17,"name":"Train ID","value":"103-10"},{"id":16,"name":"Locomotive ID","value":"4054"},{"id":130,"name":"Impact","value":""},{"id":150,"name":"Time of Event (Mountain Time)","value":"04:22:28"},{"id":151,"name":"Denver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4054 --day 2017-04-10</v>
      </c>
      <c r="AN15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598</v>
      </c>
      <c r="B16" s="7">
        <v>4025</v>
      </c>
      <c r="C16" s="21" t="s">
        <v>215</v>
      </c>
      <c r="D16" s="21" t="s">
        <v>844</v>
      </c>
      <c r="E16" s="13">
        <v>42835.189212962963</v>
      </c>
      <c r="F16" s="13">
        <v>42835.195370370369</v>
      </c>
      <c r="G16" s="7">
        <v>1</v>
      </c>
      <c r="H16" s="21" t="s">
        <v>564</v>
      </c>
      <c r="I16" s="13">
        <v>42835.222534722219</v>
      </c>
      <c r="J16" s="7">
        <v>0</v>
      </c>
      <c r="K16" s="97" t="str">
        <f t="shared" si="0"/>
        <v>4025/4026</v>
      </c>
      <c r="L16" s="21" t="str">
        <f>VLOOKUP(A16,'Trips&amp;Operators'!$C$1:$G$99999,5,FALSE)</f>
        <v>ACKERMAN JARED</v>
      </c>
      <c r="M16" s="6">
        <f t="shared" si="1"/>
        <v>2.7164351849933155E-2</v>
      </c>
      <c r="N16" s="7">
        <f t="shared" si="2"/>
        <v>39.116666663903743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-10T03:32:28-0600',mode:absolute,to:'2017-04-10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23.2715</v>
      </c>
      <c r="Z16" s="62">
        <f t="shared" si="9"/>
        <v>1.89E-2</v>
      </c>
      <c r="AA16" s="62">
        <f t="shared" si="10"/>
        <v>23.252600000000001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0104-10</v>
      </c>
      <c r="AE16" s="85" t="str">
        <f t="shared" si="12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6" s="82" t="str">
        <f t="shared" si="13"/>
        <v>"C:\Program Files (x86)\AstroGrep\AstroGrep.exe" /e /r /s /spath="%USERPROFILE%\AppData\Local\Temp\OnboardLogs" /stypes="app*4025*20170410*"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104-10 --locoid 4025 --swversion DE.1.0.9.0 --startMP 204:232715 --initTime 2017-04-10T04:32:28 --startdatetime 2017-04-10T04:41:20 --delay 1 --endMP 204:189 --enddatetime 2017-04-10T05:20:27 --enforcementcount 0 &gt;&gt;C:\Users\stu\Documents\GitHub\eaglep3-reporting\EC\2017-04-10-refined-times.txt</v>
      </c>
      <c r="AI16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{"issue":{"subject":"","project_id":79,"tracker_id":40,"status_id":1,"priority_id":2,"assigned_to_id":23,"start_date":"2017-04-10","description":"","custom_fields":[{"id":1,"name":"Subdivision","value":"EC"},{"id":4,"name":"Milepost","value":"0.0189"},{"id":17,"name":"Train ID","value":"104-10"},{"id":16,"name":"Locomotive ID","value":"4025"},{"id":130,"name":"Impact","value":""},{"id":150,"name":"Time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4025 --day 2017-04-10</v>
      </c>
      <c r="AN16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594</v>
      </c>
      <c r="B17" s="7">
        <v>4006</v>
      </c>
      <c r="C17" s="21" t="s">
        <v>215</v>
      </c>
      <c r="D17" s="21" t="s">
        <v>845</v>
      </c>
      <c r="E17" s="13">
        <v>42835.173946759256</v>
      </c>
      <c r="F17" s="13">
        <v>42835.177581018521</v>
      </c>
      <c r="G17" s="7">
        <v>3</v>
      </c>
      <c r="H17" s="21" t="s">
        <v>424</v>
      </c>
      <c r="I17" s="13">
        <v>42835.202881944446</v>
      </c>
      <c r="J17" s="7">
        <v>0</v>
      </c>
      <c r="K17" s="97" t="str">
        <f t="shared" si="0"/>
        <v>4005/4006</v>
      </c>
      <c r="L17" s="21" t="str">
        <f>VLOOKUP(A17,'Trips&amp;Operators'!$C$1:$G$99999,5,FALSE)</f>
        <v>STARKS ANGELINA</v>
      </c>
      <c r="M17" s="6">
        <f t="shared" si="1"/>
        <v>2.5300925924966577E-2</v>
      </c>
      <c r="N17" s="7">
        <f t="shared" si="2"/>
        <v>36.433333331951872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-10T03:10:29-0600',mode:absolute,to:'2017-04-10T05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7.2300000000000003E-2</v>
      </c>
      <c r="Z17" s="62">
        <f t="shared" si="9"/>
        <v>23.329699999999999</v>
      </c>
      <c r="AA17" s="62">
        <f t="shared" si="10"/>
        <v>23.257400000000001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0105-10</v>
      </c>
      <c r="AE17" s="85" t="str">
        <f t="shared" si="12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7" s="82" t="str">
        <f t="shared" si="13"/>
        <v>"C:\Program Files (x86)\AstroGrep\AstroGrep.exe" /e /r /s /spath="%USERPROFILE%\AppData\Local\Temp\OnboardLogs" /stypes="app*4006*20170410*"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105-10 --locoid 4006 --swversion DE.1.0.9.0 --startMP 204:723 --initTime 2017-04-10T04:10:29 --startdatetime 2017-04-10T04:15:43 --delay 3 --endMP 204:233297 --enddatetime 2017-04-10T04:52:09 --enforcementcount 0 &gt;&gt;C:\Users\stu\Documents\GitHub\eaglep3-reporting\EC\2017-04-10-refined-times.txt</v>
      </c>
      <c r="AI17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ID","value":"105-10"},{"id":16,"name":"Locomotive ID","value":"4006"},{"id":130,"name":"Impact","value":""},{"id":150,"name":"Time of Event (Mountain Time)","value":"04:52:09"},{"id":151,"name":"Denver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4006 --day 2017-04-10</v>
      </c>
      <c r="AN17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667</v>
      </c>
      <c r="B18" s="7">
        <v>4001</v>
      </c>
      <c r="C18" s="21" t="s">
        <v>215</v>
      </c>
      <c r="D18" s="21" t="s">
        <v>846</v>
      </c>
      <c r="E18" s="13">
        <v>42835.215081018519</v>
      </c>
      <c r="F18" s="13">
        <v>42835.216608796298</v>
      </c>
      <c r="G18" s="7">
        <v>1</v>
      </c>
      <c r="H18" s="21" t="s">
        <v>425</v>
      </c>
      <c r="I18" s="13">
        <v>42835.244305555556</v>
      </c>
      <c r="J18" s="7">
        <v>0</v>
      </c>
      <c r="K18" s="97" t="str">
        <f t="shared" si="0"/>
        <v>4001/4002</v>
      </c>
      <c r="L18" s="21" t="str">
        <f>VLOOKUP(A18,'Trips&amp;Operators'!$C$1:$G$99999,5,FALSE)</f>
        <v>STARKS ANGELINA</v>
      </c>
      <c r="M18" s="6">
        <f t="shared" si="1"/>
        <v>2.7696759258105885E-2</v>
      </c>
      <c r="N18" s="7">
        <f t="shared" si="2"/>
        <v>39.883333331672475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-10T04:09:43-0600',mode:absolute,to:'2017-04-10T06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23.265000000000001</v>
      </c>
      <c r="Z18" s="62">
        <f t="shared" si="9"/>
        <v>1.4500000000000001E-2</v>
      </c>
      <c r="AA18" s="62">
        <f t="shared" si="10"/>
        <v>23.250499999999999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0106-10</v>
      </c>
      <c r="AE18" s="85" t="str">
        <f t="shared" si="12"/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8" s="82" t="str">
        <f t="shared" si="13"/>
        <v>"C:\Program Files (x86)\AstroGrep\AstroGrep.exe" /e /r /s /spath="%USERPROFILE%\AppData\Local\Temp\OnboardLogs" /stypes="app*4001*20170410*"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106-10 --locoid 4001 --swversion DE.1.0.9.0 --startMP 204:232650 --initTime 2017-04-10T05:09:43 --startdatetime 2017-04-10T05:11:55 --delay 1 --endMP 204:145 --enddatetime 2017-04-10T05:51:48 --enforcementcount 0 &gt;&gt;C:\Users\stu\Documents\GitHub\eaglep3-reporting\EC\2017-04-10-refined-times.txt</v>
      </c>
      <c r="AI18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{"issue":{"subject":"","project_id":79,"tracker_id":40,"status_id":1,"priority_id":2,"assigned_to_id":23,"start_date":"2017-04-10","description":"","custom_fields":[{"id":1,"name":"Subdivision","value":"EC"},{"id":4,"name":"Milepost","value":"0.0145"},{"id":17,"name":"Train ID","value":"106-10"},{"id":16,"name":"Locomotive ID","value":"4001"},{"id":130,"name":"Impact","value":""},{"id":150,"name":"Time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4001 --day 2017-04-10</v>
      </c>
      <c r="AN18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662</v>
      </c>
      <c r="B19" s="7">
        <v>4020</v>
      </c>
      <c r="C19" s="21" t="s">
        <v>215</v>
      </c>
      <c r="D19" s="21" t="s">
        <v>579</v>
      </c>
      <c r="E19" s="13">
        <v>42835.180717592593</v>
      </c>
      <c r="F19" s="13">
        <v>42835.187696759262</v>
      </c>
      <c r="G19" s="7">
        <v>3</v>
      </c>
      <c r="H19" s="21" t="s">
        <v>490</v>
      </c>
      <c r="I19" s="13">
        <v>42835.214479166665</v>
      </c>
      <c r="J19" s="7">
        <v>0</v>
      </c>
      <c r="K19" s="97" t="str">
        <f t="shared" si="0"/>
        <v>4019/4020</v>
      </c>
      <c r="L19" s="21" t="str">
        <f>VLOOKUP(A19,'Trips&amp;Operators'!$C$1:$G$99999,5,FALSE)</f>
        <v>BONDS REYNALDO</v>
      </c>
      <c r="M19" s="6">
        <f t="shared" si="1"/>
        <v>2.6782407403516117E-2</v>
      </c>
      <c r="N19" s="7">
        <f t="shared" si="2"/>
        <v>38.566666661063209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-10T03:20:14-0600',mode:absolute,to:'2017-04-10T06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4.4699999999999997E-2</v>
      </c>
      <c r="Z19" s="62">
        <f t="shared" si="9"/>
        <v>23.328900000000001</v>
      </c>
      <c r="AA19" s="62">
        <f t="shared" si="10"/>
        <v>23.284200000000002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0107-10</v>
      </c>
      <c r="AE19" s="85" t="str">
        <f t="shared" si="12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9" s="82" t="str">
        <f t="shared" si="13"/>
        <v>"C:\Program Files (x86)\AstroGrep\AstroGrep.exe" /e /r /s /spath="%USERPROFILE%\AppData\Local\Temp\OnboardLogs" /stypes="app*4020*20170410*"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107-10 --locoid 4020 --swversion DE.1.0.9.0 --startMP 204:447 --initTime 2017-04-10T04:20:14 --startdatetime 2017-04-10T04:30:17 --delay 3 --endMP 204:233289 --enddatetime 2017-04-10T05:08:51 --enforcementcount 0 &gt;&gt;C:\Users\stu\Documents\GitHub\eaglep3-reporting\EC\2017-04-10-refined-times.txt</v>
      </c>
      <c r="AI19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{"issue":{"subject":"","project_id":79,"tracker_id":40,"status_id":1,"priority_id":2,"assigned_to_id":23,"start_date":"2017-04-10","description":"","custom_fields":[{"id":1,"name":"Subdivision","value":"EC"},{"id":4,"name":"Milepost","value":"23.3289"},{"id":17,"name":"Train ID","value":"107-10"},{"id":16,"name":"Locomotive ID","value":"4020"},{"id":130,"name":"Impact","value":""},{"id":150,"name":"Time of Event (Mountain Time)","value":"05:08:51"},{"id":151,"name":"Denver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4020 --day 2017-04-10</v>
      </c>
      <c r="AN19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668</v>
      </c>
      <c r="B20" s="7">
        <v>4019</v>
      </c>
      <c r="C20" s="21" t="s">
        <v>215</v>
      </c>
      <c r="D20" s="21" t="s">
        <v>562</v>
      </c>
      <c r="E20" s="13">
        <v>42835.219259259262</v>
      </c>
      <c r="F20" s="13">
        <v>42835.226643518516</v>
      </c>
      <c r="G20" s="7">
        <v>0</v>
      </c>
      <c r="H20" s="21" t="s">
        <v>397</v>
      </c>
      <c r="I20" s="13">
        <v>42835.254444444443</v>
      </c>
      <c r="J20" s="7">
        <v>0</v>
      </c>
      <c r="K20" s="97" t="str">
        <f t="shared" si="0"/>
        <v>4019/4020</v>
      </c>
      <c r="L20" s="21" t="str">
        <f>VLOOKUP(A20,'Trips&amp;Operators'!$C$1:$G$99999,5,FALSE)</f>
        <v>BONDS REYNALDO</v>
      </c>
      <c r="M20" s="6">
        <f t="shared" si="1"/>
        <v>2.7800925927294884E-2</v>
      </c>
      <c r="N20" s="7">
        <f t="shared" si="2"/>
        <v>40.033333335304633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-10T04:15:44-0600',mode:absolute,to:'2017-04-10T07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23.296399999999998</v>
      </c>
      <c r="Z20" s="62">
        <f t="shared" si="9"/>
        <v>1.61E-2</v>
      </c>
      <c r="AA20" s="62">
        <f t="shared" si="10"/>
        <v>23.280299999999997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0108-10</v>
      </c>
      <c r="AE20" s="85" t="str">
        <f t="shared" si="12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20" s="82" t="str">
        <f t="shared" si="13"/>
        <v>"C:\Program Files (x86)\AstroGrep\AstroGrep.exe" /e /r /s /spath="%USERPROFILE%\AppData\Local\Temp\OnboardLogs" /stypes="app*4019*20170410*"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108-10 --locoid 4019 --swversion DE.1.0.9.0 --startMP 204:232964 --initTime 2017-04-10T05:15:44 --startdatetime 2017-04-10T05:26:22 --delay 0 --endMP 204:161 --enddatetime 2017-04-10T06:06:24 --enforcementcount 0 &gt;&gt;C:\Users\stu\Documents\GitHub\eaglep3-reporting\EC\2017-04-10-refined-times.txt</v>
      </c>
      <c r="AI20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{"issue":{"subject":"","project_id":79,"tracker_id":40,"status_id":1,"priority_id":2,"assigned_to_id":23,"start_date":"2017-04-10","description":"","custom_fields":[{"id":1,"name":"Subdivision","value":"EC"},{"id":4,"name":"Milepost","value":"0.0161"},{"id":17,"name":"Train ID","value":"108-10"},{"id":16,"name":"Locomotive ID","value":"4019"},{"id":130,"name":"Impact","value":""},{"id":150,"name":"Time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4019 --day 2017-04-10</v>
      </c>
      <c r="AN20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664</v>
      </c>
      <c r="B21" s="7">
        <v>4016</v>
      </c>
      <c r="C21" s="21" t="s">
        <v>215</v>
      </c>
      <c r="D21" s="21" t="s">
        <v>430</v>
      </c>
      <c r="E21" s="13">
        <v>42835.19017361111</v>
      </c>
      <c r="F21" s="13">
        <v>42835.198078703703</v>
      </c>
      <c r="G21" s="7">
        <v>1</v>
      </c>
      <c r="H21" s="21" t="s">
        <v>847</v>
      </c>
      <c r="I21" s="13">
        <v>42835.224305555559</v>
      </c>
      <c r="J21" s="7">
        <v>0</v>
      </c>
      <c r="K21" s="97" t="str">
        <f t="shared" si="0"/>
        <v>4015/4016</v>
      </c>
      <c r="L21" s="21" t="str">
        <f>VLOOKUP(A21,'Trips&amp;Operators'!$C$1:$G$99999,5,FALSE)</f>
        <v>SHOOK JOHN</v>
      </c>
      <c r="M21" s="6">
        <f t="shared" si="1"/>
        <v>2.6226851856335998E-2</v>
      </c>
      <c r="N21" s="7">
        <f t="shared" si="2"/>
        <v>37.766666673123837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-10T03:33:51-0600',mode:absolute,to:'2017-04-10T06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4.58E-2</v>
      </c>
      <c r="Z21" s="62">
        <f t="shared" si="9"/>
        <v>23.328600000000002</v>
      </c>
      <c r="AA21" s="62">
        <f t="shared" si="10"/>
        <v>23.282800000000002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0109-10</v>
      </c>
      <c r="AE21" s="85" t="str">
        <f t="shared" si="12"/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21" s="82" t="str">
        <f t="shared" si="13"/>
        <v>"C:\Program Files (x86)\AstroGrep\AstroGrep.exe" /e /r /s /spath="%USERPROFILE%\AppData\Local\Temp\OnboardLogs" /stypes="app*4016*20170410*"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109-10 --locoid 4016 --swversion DE.1.0.9.0 --startMP 204:458 --initTime 2017-04-10T04:33:51 --startdatetime 2017-04-10T04:45:14 --delay 1 --endMP 204:233286 --enddatetime 2017-04-10T05:23:00 --enforcementcount 0 &gt;&gt;C:\Users\stu\Documents\GitHub\eaglep3-reporting\EC\2017-04-10-refined-times.txt</v>
      </c>
      <c r="AI21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{"issue":{"subject":"","project_id":79,"tracker_id":40,"status_id":1,"priority_id":2,"assigned_to_id":23,"start_date":"2017-04-10","description":"","custom_fields":[{"id":1,"name":"Subdivision","value":"EC"},{"id":4,"name":"Milepost","value":"23.3286"},{"id":17,"name":"Train ID","value":"109-10"},{"id":16,"name":"Locomotive ID","value":"4016"},{"id":130,"name":"Impact","value":""},{"id":150,"name":"Time of Event (Mountain Time)","value":"05:23:00"},{"id":151,"name":"Denver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4016 --day 2017-04-10</v>
      </c>
      <c r="AN21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670</v>
      </c>
      <c r="B22" s="7">
        <v>4015</v>
      </c>
      <c r="C22" s="21" t="s">
        <v>215</v>
      </c>
      <c r="D22" s="21" t="s">
        <v>848</v>
      </c>
      <c r="E22" s="13">
        <v>42835.226643518516</v>
      </c>
      <c r="F22" s="13">
        <v>42835.236967592595</v>
      </c>
      <c r="G22" s="7">
        <v>1</v>
      </c>
      <c r="H22" s="21" t="s">
        <v>849</v>
      </c>
      <c r="I22" s="13">
        <v>42835.264907407407</v>
      </c>
      <c r="J22" s="7">
        <v>0</v>
      </c>
      <c r="K22" s="97" t="str">
        <f t="shared" si="0"/>
        <v>4015/4016</v>
      </c>
      <c r="L22" s="21" t="str">
        <f>VLOOKUP(A22,'Trips&amp;Operators'!$C$1:$G$99999,5,FALSE)</f>
        <v>SHOOK JOHN</v>
      </c>
      <c r="M22" s="6">
        <f t="shared" si="1"/>
        <v>2.7939814812270924E-2</v>
      </c>
      <c r="N22" s="7">
        <f t="shared" si="2"/>
        <v>40.233333329670131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-10T04:26:22-0600',mode:absolute,to:'2017-04-10T07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23.2959</v>
      </c>
      <c r="Z22" s="62">
        <f t="shared" si="9"/>
        <v>1.7999999999999999E-2</v>
      </c>
      <c r="AA22" s="62">
        <f t="shared" si="10"/>
        <v>23.277899999999999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0110-10</v>
      </c>
      <c r="AE22" s="85" t="str">
        <f t="shared" si="12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22" s="82" t="str">
        <f t="shared" si="13"/>
        <v>"C:\Program Files (x86)\AstroGrep\AstroGrep.exe" /e /r /s /spath="%USERPROFILE%\AppData\Local\Temp\OnboardLogs" /stypes="app*4015*20170410*"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110-10 --locoid 4015 --swversion DE.1.0.9.0 --startMP 204:232959 --initTime 2017-04-10T05:26:22 --startdatetime 2017-04-10T05:41:14 --delay 1 --endMP 204:180 --enddatetime 2017-04-10T06:21:28 --enforcementcount 0 &gt;&gt;C:\Users\stu\Documents\GitHub\eaglep3-reporting\EC\2017-04-10-refined-times.txt</v>
      </c>
      <c r="AI22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{"issue":{"subject":"","project_id":79,"tracker_id":40,"status_id":1,"priority_id":2,"assigned_to_id":23,"start_date":"2017-04-10","description":"","custom_fields":[{"id":1,"name":"Subdivision","value":"EC"},{"id":4,"name":"Milepost","value":"0.018"},{"id":17,"name":"Train ID","value":"110-10"},{"id":16,"name":"Locomotive ID","value":"4015"},{"id":130,"name":"Impact","value":""},{"id":150,"name":"Time of Event (Mountain Time)","value":"06:21:28"},{"id":151,"name":"Denver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4015 --day 2017-04-10</v>
      </c>
      <c r="AN22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665</v>
      </c>
      <c r="B23" s="7">
        <v>4042</v>
      </c>
      <c r="C23" s="21" t="s">
        <v>215</v>
      </c>
      <c r="D23" s="21" t="s">
        <v>850</v>
      </c>
      <c r="E23" s="13">
        <v>42835.202974537038</v>
      </c>
      <c r="F23" s="13">
        <v>42835.208981481483</v>
      </c>
      <c r="G23" s="7">
        <v>1</v>
      </c>
      <c r="H23" s="21" t="s">
        <v>491</v>
      </c>
      <c r="I23" s="13">
        <v>42835.233078703706</v>
      </c>
      <c r="J23" s="7">
        <v>0</v>
      </c>
      <c r="K23" s="97" t="str">
        <f t="shared" si="0"/>
        <v>4041/4042</v>
      </c>
      <c r="L23" s="21" t="str">
        <f>VLOOKUP(A23,'Trips&amp;Operators'!$C$1:$G$99999,5,FALSE)</f>
        <v>YORK EDGAR</v>
      </c>
      <c r="M23" s="6">
        <f t="shared" si="1"/>
        <v>2.4097222223645076E-2</v>
      </c>
      <c r="N23" s="7">
        <f t="shared" si="2"/>
        <v>34.70000000204891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-10T03:52:17-0600',mode:absolute,to:'2017-04-10T06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7.7899999999999997E-2</v>
      </c>
      <c r="Z23" s="62">
        <f t="shared" si="9"/>
        <v>23.3306</v>
      </c>
      <c r="AA23" s="62">
        <f t="shared" si="10"/>
        <v>23.252700000000001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0111-10</v>
      </c>
      <c r="AE23" s="85" t="str">
        <f t="shared" si="12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23" s="82" t="str">
        <f t="shared" si="13"/>
        <v>"C:\Program Files (x86)\AstroGrep\AstroGrep.exe" /e /r /s /spath="%USERPROFILE%\AppData\Local\Temp\OnboardLogs" /stypes="app*4042*20170410*"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111-10 --locoid 4042 --swversion DE.1.0.9.0 --startMP 204:779 --initTime 2017-04-10T04:52:17 --startdatetime 2017-04-10T05:00:56 --delay 1 --endMP 204:233306 --enddatetime 2017-04-10T05:35:38 --enforcementcount 0 &gt;&gt;C:\Users\stu\Documents\GitHub\eaglep3-reporting\EC\2017-04-10-refined-times.txt</v>
      </c>
      <c r="AI23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{"issue":{"subject":"","project_id":79,"tracker_id":40,"status_id":1,"priority_id":2,"assigned_to_id":23,"start_date":"2017-04-10","description":"","custom_fields":[{"id":1,"name":"Subdivision","value":"EC"},{"id":4,"name":"Milepost","value":"23.3306"},{"id":17,"name":"Train ID","value":"111-10"},{"id":16,"name":"Locomotive ID","value":"4042"},{"id":130,"name":"Impact","value":""},{"id":150,"name":"Time of Event (Mountain Time)","value":"05:35:38"},{"id":151,"name":"Denver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4042 --day 2017-04-10</v>
      </c>
      <c r="AN23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603</v>
      </c>
      <c r="B24" s="7">
        <v>4041</v>
      </c>
      <c r="C24" s="21" t="s">
        <v>215</v>
      </c>
      <c r="D24" s="21" t="s">
        <v>415</v>
      </c>
      <c r="E24" s="13">
        <v>42835.233923611115</v>
      </c>
      <c r="F24" s="13">
        <v>42835.247581018521</v>
      </c>
      <c r="G24" s="7">
        <v>0</v>
      </c>
      <c r="H24" s="21" t="s">
        <v>408</v>
      </c>
      <c r="I24" s="13">
        <v>42835.273587962962</v>
      </c>
      <c r="J24" s="7">
        <v>0</v>
      </c>
      <c r="K24" s="97" t="str">
        <f t="shared" si="0"/>
        <v>4041/4042</v>
      </c>
      <c r="L24" s="21" t="str">
        <f>VLOOKUP(A24,'Trips&amp;Operators'!$C$1:$G$99999,5,FALSE)</f>
        <v>YORK EDGAR</v>
      </c>
      <c r="M24" s="6">
        <f t="shared" si="1"/>
        <v>2.6006944441178348E-2</v>
      </c>
      <c r="N24" s="7">
        <f t="shared" si="2"/>
        <v>37.449999995296821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-10T04:36:51-0600',mode:absolute,to:'2017-04-10T07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23.299299999999999</v>
      </c>
      <c r="Z24" s="62">
        <f t="shared" si="9"/>
        <v>1.34E-2</v>
      </c>
      <c r="AA24" s="62">
        <f t="shared" si="10"/>
        <v>23.285899999999998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0112-10</v>
      </c>
      <c r="AE24" s="85" t="str">
        <f t="shared" si="12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24" s="82" t="str">
        <f t="shared" si="13"/>
        <v>"C:\Program Files (x86)\AstroGrep\AstroGrep.exe" /e /r /s /spath="%USERPROFILE%\AppData\Local\Temp\OnboardLogs" /stypes="app*4041*20170410*"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112-10 --locoid 4041 --swversion DE.1.0.9.0 --startMP 204:232993 --initTime 2017-04-10T05:36:51 --startdatetime 2017-04-10T05:56:31 --delay 0 --endMP 204:134 --enddatetime 2017-04-10T06:33:58 --enforcementcount 0 &gt;&gt;C:\Users\stu\Documents\GitHub\eaglep3-reporting\EC\2017-04-10-refined-times.txt</v>
      </c>
      <c r="AI24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{"issue":{"subject":"","project_id":79,"tracker_id":40,"status_id":1,"priority_id":2,"assigned_to_id":23,"start_date":"2017-04-10","description":"","custom_fields":[{"id":1,"name":"Subdivision","value":"EC"},{"id":4,"name":"Milepost","value":"0.0134"},{"id":17,"name":"Train ID","value":"112-10"},{"id":16,"name":"Locomotive ID","value":"4041"},{"id":130,"name":"Impact","value":""},{"id":150,"name":"Time of Event (Mountain Time)","value":"06:33:58"},{"id":151,"name":"Denver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4041 --day 2017-04-10</v>
      </c>
      <c r="AN24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666</v>
      </c>
      <c r="B25" s="7">
        <v>4014</v>
      </c>
      <c r="C25" s="21" t="s">
        <v>215</v>
      </c>
      <c r="D25" s="21" t="s">
        <v>561</v>
      </c>
      <c r="E25" s="13">
        <v>42835.209965277776</v>
      </c>
      <c r="F25" s="13">
        <v>42835.218935185185</v>
      </c>
      <c r="G25" s="7">
        <v>2</v>
      </c>
      <c r="H25" s="21" t="s">
        <v>851</v>
      </c>
      <c r="I25" s="13">
        <v>42835.244270833333</v>
      </c>
      <c r="J25" s="7">
        <v>0</v>
      </c>
      <c r="K25" s="97" t="str">
        <f t="shared" si="0"/>
        <v>4013/4014</v>
      </c>
      <c r="L25" s="21" t="str">
        <f>VLOOKUP(A25,'Trips&amp;Operators'!$C$1:$G$99999,5,FALSE)</f>
        <v>SANTIZO D. EDY</v>
      </c>
      <c r="M25" s="6">
        <f t="shared" si="1"/>
        <v>2.5335648148029577E-2</v>
      </c>
      <c r="N25" s="7">
        <f t="shared" si="2"/>
        <v>36.483333333162591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-10T04:02:21-0600',mode:absolute,to:'2017-04-10T06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4.2900000000000001E-2</v>
      </c>
      <c r="Z25" s="62">
        <f t="shared" si="9"/>
        <v>23.328199999999999</v>
      </c>
      <c r="AA25" s="62">
        <f t="shared" si="10"/>
        <v>23.285299999999999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0113-10</v>
      </c>
      <c r="AE25" s="85" t="str">
        <f t="shared" si="12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25" s="82" t="str">
        <f t="shared" si="13"/>
        <v>"C:\Program Files (x86)\AstroGrep\AstroGrep.exe" /e /r /s /spath="%USERPROFILE%\AppData\Local\Temp\OnboardLogs" /stypes="app*4014*20170410*"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113-10 --locoid 4014 --swversion DE.1.0.9.0 --startMP 204:429 --initTime 2017-04-10T05:02:21 --startdatetime 2017-04-10T05:15:16 --delay 2 --endMP 204:233282 --enddatetime 2017-04-10T05:51:45 --enforcementcount 0 &gt;&gt;C:\Users\stu\Documents\GitHub\eaglep3-reporting\EC\2017-04-10-refined-times.txt</v>
      </c>
      <c r="AI25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{"issue":{"subject":"","project_id":79,"tracker_id":40,"status_id":1,"priority_id":2,"assigned_to_id":23,"start_date":"2017-04-10","description":"","custom_fields":[{"id":1,"name":"Subdivision","value":"EC"},{"id":4,"name":"Milepost","value":"23.3282"},{"id":17,"name":"Train ID","value":"113-10"},{"id":16,"name":"Locomotive ID","value":"4014"},{"id":130,"name":"Impact","value":""},{"id":150,"name":"Time of Event (Mountain Time)","value":"05:51:45"},{"id":151,"name":"Denver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4014 --day 2017-04-10</v>
      </c>
      <c r="AN25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674</v>
      </c>
      <c r="B26" s="7">
        <v>4013</v>
      </c>
      <c r="C26" s="21" t="s">
        <v>215</v>
      </c>
      <c r="D26" s="21" t="s">
        <v>400</v>
      </c>
      <c r="E26" s="13">
        <v>42835.246041666665</v>
      </c>
      <c r="F26" s="13">
        <v>42835.257800925923</v>
      </c>
      <c r="G26" s="7">
        <v>1</v>
      </c>
      <c r="H26" s="21" t="s">
        <v>557</v>
      </c>
      <c r="I26" s="13">
        <v>42835.284317129626</v>
      </c>
      <c r="J26" s="7">
        <v>0</v>
      </c>
      <c r="K26" s="97" t="str">
        <f t="shared" si="0"/>
        <v>4013/4014</v>
      </c>
      <c r="L26" s="21" t="str">
        <f>VLOOKUP(A26,'Trips&amp;Operators'!$C$1:$G$99999,5,FALSE)</f>
        <v>SANTIZO D. EDY</v>
      </c>
      <c r="M26" s="6">
        <f t="shared" si="1"/>
        <v>2.6516203703067731E-2</v>
      </c>
      <c r="N26" s="7">
        <f t="shared" si="2"/>
        <v>38.183333332417533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-10T04:54:18-0600',mode:absolute,to:'2017-04-10T07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23.297699999999999</v>
      </c>
      <c r="Z26" s="62">
        <f t="shared" si="9"/>
        <v>1.4999999999999999E-2</v>
      </c>
      <c r="AA26" s="62">
        <f t="shared" si="10"/>
        <v>23.282699999999998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0114-10</v>
      </c>
      <c r="AE26" s="85" t="str">
        <f t="shared" si="12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26" s="82" t="str">
        <f t="shared" si="13"/>
        <v>"C:\Program Files (x86)\AstroGrep\AstroGrep.exe" /e /r /s /spath="%USERPROFILE%\AppData\Local\Temp\OnboardLogs" /stypes="app*4013*20170410*"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114-10 --locoid 4013 --swversion DE.1.0.9.0 --startMP 204:232977 --initTime 2017-04-10T05:54:18 --startdatetime 2017-04-10T06:11:14 --delay 1 --endMP 204:150 --enddatetime 2017-04-10T06:49:25 --enforcementcount 0 &gt;&gt;C:\Users\stu\Documents\GitHub\eaglep3-reporting\EC\2017-04-10-refined-times.txt</v>
      </c>
      <c r="AI26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{"issue":{"subject":"","project_id":79,"tracker_id":40,"status_id":1,"priority_id":2,"assigned_to_id":23,"start_date":"2017-04-10","description":"","custom_fields":[{"id":1,"name":"Subdivision","value":"EC"},{"id":4,"name":"Milepost","value":"0.015"},{"id":17,"name":"Train ID","value":"114-10"},{"id":16,"name":"Locomotive ID","value":"4013"},{"id":130,"name":"Impact","value":""},{"id":150,"name":"Time of Event (Mountain Time)","value":"06:49:25"},{"id":151,"name":"Denver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4013 --day 2017-04-10</v>
      </c>
      <c r="AN26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669</v>
      </c>
      <c r="B27" s="7">
        <v>4054</v>
      </c>
      <c r="C27" s="21" t="s">
        <v>215</v>
      </c>
      <c r="D27" s="21" t="s">
        <v>852</v>
      </c>
      <c r="E27" s="13">
        <v>42835.228020833332</v>
      </c>
      <c r="F27" s="13">
        <v>42835.229386574072</v>
      </c>
      <c r="G27" s="7">
        <v>1</v>
      </c>
      <c r="H27" s="21" t="s">
        <v>473</v>
      </c>
      <c r="I27" s="13">
        <v>42835.254236111112</v>
      </c>
      <c r="J27" s="7">
        <v>0</v>
      </c>
      <c r="K27" s="97" t="str">
        <f t="shared" si="0"/>
        <v>4053/4054</v>
      </c>
      <c r="L27" s="21" t="str">
        <f>VLOOKUP(A27,'Trips&amp;Operators'!$C$1:$G$99999,5,FALSE)</f>
        <v>ROBINSON KADDIBA</v>
      </c>
      <c r="M27" s="6">
        <f t="shared" si="1"/>
        <v>2.4849537039699499E-2</v>
      </c>
      <c r="N27" s="7">
        <f t="shared" si="2"/>
        <v>35.783333337167278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-10T04:28:21-0600',mode:absolute,to:'2017-04-10T07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7.9699999999999993E-2</v>
      </c>
      <c r="Z27" s="62">
        <f t="shared" si="9"/>
        <v>23.33</v>
      </c>
      <c r="AA27" s="62">
        <f t="shared" si="10"/>
        <v>23.250299999999999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0115-10</v>
      </c>
      <c r="AE27" s="85" t="str">
        <f t="shared" si="12"/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27" s="82" t="str">
        <f t="shared" si="13"/>
        <v>"C:\Program Files (x86)\AstroGrep\AstroGrep.exe" /e /r /s /spath="%USERPROFILE%\AppData\Local\Temp\OnboardLogs" /stypes="app*4054*20170410*"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115-10 --locoid 4054 --swversion DE.1.0.9.0 --startMP 204:797 --initTime 2017-04-10T05:28:21 --startdatetime 2017-04-10T05:30:19 --delay 1 --endMP 204:233300 --enddatetime 2017-04-10T06:06:06 --enforcementcount 0 &gt;&gt;C:\Users\stu\Documents\GitHub\eaglep3-reporting\EC\2017-04-10-refined-times.txt</v>
      </c>
      <c r="AI27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{"issue":{"subject":"","project_id":79,"tracker_id":40,"status_id":1,"priority_id":2,"assigned_to_id":23,"start_date":"2017-04-10","description":"","custom_fields":[{"id":1,"name":"Subdivision","value":"EC"},{"id":4,"name":"Milepost","value":"23.33"},{"id":17,"name":"Train ID","value":"115-10"},{"id":16,"name":"Locomotive ID","value":"4054"},{"id":130,"name":"Impact","value":""},{"id":150,"name":"Time of Event (Mountain Time)","value":"06:06:06"},{"id":151,"name":"Denver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4054 --day 2017-04-10</v>
      </c>
      <c r="AN27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604</v>
      </c>
      <c r="B28" s="7">
        <v>4053</v>
      </c>
      <c r="C28" s="21" t="s">
        <v>215</v>
      </c>
      <c r="D28" s="21" t="s">
        <v>853</v>
      </c>
      <c r="E28" s="13">
        <v>42835.260787037034</v>
      </c>
      <c r="F28" s="13">
        <v>42835.268217592595</v>
      </c>
      <c r="G28" s="7">
        <v>1</v>
      </c>
      <c r="H28" s="21" t="s">
        <v>397</v>
      </c>
      <c r="I28" s="13">
        <v>42835.295775462961</v>
      </c>
      <c r="J28" s="7">
        <v>0</v>
      </c>
      <c r="K28" s="97" t="str">
        <f t="shared" si="0"/>
        <v>4053/4054</v>
      </c>
      <c r="L28" s="21" t="str">
        <f>VLOOKUP(A28,'Trips&amp;Operators'!$C$1:$G$99999,5,FALSE)</f>
        <v>WILLIAMS DONTE</v>
      </c>
      <c r="M28" s="6">
        <f t="shared" si="1"/>
        <v>2.7557870365853887E-2</v>
      </c>
      <c r="N28" s="7">
        <f t="shared" si="2"/>
        <v>39.683333326829597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-10T05:15:32-0600',mode:absolute,to:'2017-04-10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23.299099999999999</v>
      </c>
      <c r="Z28" s="62">
        <f t="shared" si="9"/>
        <v>1.61E-2</v>
      </c>
      <c r="AA28" s="62">
        <f t="shared" si="10"/>
        <v>23.282999999999998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0116-10</v>
      </c>
      <c r="AE28" s="85" t="str">
        <f t="shared" si="12"/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28" s="82" t="str">
        <f t="shared" si="13"/>
        <v>"C:\Program Files (x86)\AstroGrep\AstroGrep.exe" /e /r /s /spath="%USERPROFILE%\AppData\Local\Temp\OnboardLogs" /stypes="app*4053*20170410*"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116-10 --locoid 4053 --swversion DE.1.0.9.0 --startMP 204:232991 --initTime 2017-04-10T06:15:32 --startdatetime 2017-04-10T06:26:14 --delay 1 --endMP 204:161 --enddatetime 2017-04-10T07:05:55 --enforcementcount 0 &gt;&gt;C:\Users\stu\Documents\GitHub\eaglep3-reporting\EC\2017-04-10-refined-times.txt</v>
      </c>
      <c r="AI28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{"issue":{"subject":"","project_id":79,"tracker_id":40,"status_id":1,"priority_id":2,"assigned_to_id":23,"start_date":"2017-04-10","description":"","custom_fields":[{"id":1,"name":"Subdivision","value":"EC"},{"id":4,"name":"Milepost","value":"0.0161"},{"id":17,"name":"Train ID","value":"116-10"},{"id":16,"name":"Locomotive ID","value":"4053"},{"id":130,"name":"Impact","value":""},{"id":150,"name":"Time of Event (Mountain Time)","value":"07:05:55"},{"id":151,"name":"Denver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4053 --day 2017-04-10</v>
      </c>
      <c r="AN28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671</v>
      </c>
      <c r="B29" s="7">
        <v>4026</v>
      </c>
      <c r="C29" s="21" t="s">
        <v>215</v>
      </c>
      <c r="D29" s="21" t="s">
        <v>566</v>
      </c>
      <c r="E29" s="13">
        <v>42835.233402777776</v>
      </c>
      <c r="F29" s="13">
        <v>42835.239861111113</v>
      </c>
      <c r="G29" s="7">
        <v>1</v>
      </c>
      <c r="H29" s="21" t="s">
        <v>424</v>
      </c>
      <c r="I29" s="13">
        <v>42835.264652777776</v>
      </c>
      <c r="J29" s="7">
        <v>0</v>
      </c>
      <c r="K29" s="97" t="str">
        <f t="shared" si="0"/>
        <v>4025/4026</v>
      </c>
      <c r="L29" s="21" t="str">
        <f>VLOOKUP(A29,'Trips&amp;Operators'!$C$1:$G$99999,5,FALSE)</f>
        <v>ACKERMAN JARED</v>
      </c>
      <c r="M29" s="6">
        <f t="shared" si="1"/>
        <v>2.4791666663077194E-2</v>
      </c>
      <c r="N29" s="7">
        <f t="shared" si="2"/>
        <v>35.69999999483116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-10T04:36:06-0600',mode:absolute,to:'2017-04-10T07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4.7699999999999999E-2</v>
      </c>
      <c r="Z29" s="62">
        <f t="shared" si="9"/>
        <v>23.329699999999999</v>
      </c>
      <c r="AA29" s="62">
        <f t="shared" si="10"/>
        <v>23.282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0117-10</v>
      </c>
      <c r="AE29" s="85" t="str">
        <f t="shared" si="12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29" s="82" t="str">
        <f t="shared" si="13"/>
        <v>"C:\Program Files (x86)\AstroGrep\AstroGrep.exe" /e /r /s /spath="%USERPROFILE%\AppData\Local\Temp\OnboardLogs" /stypes="app*4026*20170410*"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117-10 --locoid 4026 --swversion DE.1.0.9.0 --startMP 204:477 --initTime 2017-04-10T05:36:06 --startdatetime 2017-04-10T05:45:24 --delay 1 --endMP 204:233297 --enddatetime 2017-04-10T06:21:06 --enforcementcount 0 &gt;&gt;C:\Users\stu\Documents\GitHub\eaglep3-reporting\EC\2017-04-10-refined-times.txt</v>
      </c>
      <c r="AI29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ID","value":"117-10"},{"id":16,"name":"Locomotive ID","value":"4026"},{"id":130,"name":"Impact","value":""},{"id":150,"name":"Time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4026 --day 2017-04-10</v>
      </c>
      <c r="AN29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607</v>
      </c>
      <c r="B30" s="7">
        <v>4025</v>
      </c>
      <c r="C30" s="21" t="s">
        <v>215</v>
      </c>
      <c r="D30" s="21" t="s">
        <v>556</v>
      </c>
      <c r="E30" s="13">
        <v>42835.271828703706</v>
      </c>
      <c r="F30" s="13">
        <v>42835.278645833336</v>
      </c>
      <c r="G30" s="7">
        <v>1</v>
      </c>
      <c r="H30" s="21" t="s">
        <v>854</v>
      </c>
      <c r="I30" s="13">
        <v>42835.305914351855</v>
      </c>
      <c r="J30" s="7">
        <v>0</v>
      </c>
      <c r="K30" s="97" t="str">
        <f t="shared" si="0"/>
        <v>4025/4026</v>
      </c>
      <c r="L30" s="21" t="str">
        <f>VLOOKUP(A30,'Trips&amp;Operators'!$C$1:$G$99999,5,FALSE)</f>
        <v>ACKERMAN JARED</v>
      </c>
      <c r="M30" s="6">
        <f t="shared" si="1"/>
        <v>2.7268518519122154E-2</v>
      </c>
      <c r="N30" s="7">
        <f t="shared" si="2"/>
        <v>39.266666667535901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-10T05:31:26-0600',mode:absolute,to:'2017-04-10T08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23.298200000000001</v>
      </c>
      <c r="Z30" s="62">
        <f t="shared" si="9"/>
        <v>1.6899999999999998E-2</v>
      </c>
      <c r="AA30" s="62">
        <f t="shared" si="10"/>
        <v>23.281300000000002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0118-10</v>
      </c>
      <c r="AE30" s="85" t="str">
        <f t="shared" si="12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30" s="82" t="str">
        <f t="shared" si="13"/>
        <v>"C:\Program Files (x86)\AstroGrep\AstroGrep.exe" /e /r /s /spath="%USERPROFILE%\AppData\Local\Temp\OnboardLogs" /stypes="app*4025*20170410*"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118-10 --locoid 4025 --swversion DE.1.0.9.0 --startMP 204:232982 --initTime 2017-04-10T06:31:26 --startdatetime 2017-04-10T06:41:15 --delay 1 --endMP 204:169 --enddatetime 2017-04-10T07:20:31 --enforcementcount 0 &gt;&gt;C:\Users\stu\Documents\GitHub\eaglep3-reporting\EC\2017-04-10-refined-times.txt</v>
      </c>
      <c r="AI30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{"issue":{"subject":"","project_id":79,"tracker_id":40,"status_id":1,"priority_id":2,"assigned_to_id":23,"start_date":"2017-04-10","description":"","custom_fields":[{"id":1,"name":"Subdivision","value":"EC"},{"id":4,"name":"Milepost","value":"0.0169"},{"id":17,"name":"Train ID","value":"118-10"},{"id":16,"name":"Locomotive ID","value":"4025"},{"id":130,"name":"Impact","value":""},{"id":150,"name":"Time of Event (Mountain Time)","value":"07:20:31"},{"id":151,"name":"Denver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4025 --day 2017-04-10</v>
      </c>
      <c r="AN30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601</v>
      </c>
      <c r="B31" s="7">
        <v>4006</v>
      </c>
      <c r="C31" s="21" t="s">
        <v>215</v>
      </c>
      <c r="D31" s="21" t="s">
        <v>840</v>
      </c>
      <c r="E31" s="13">
        <v>42835.249560185184</v>
      </c>
      <c r="F31" s="13">
        <v>42835.250590277778</v>
      </c>
      <c r="G31" s="7">
        <v>1</v>
      </c>
      <c r="H31" s="21" t="s">
        <v>525</v>
      </c>
      <c r="I31" s="13">
        <v>42835.276678240742</v>
      </c>
      <c r="J31" s="7">
        <v>0</v>
      </c>
      <c r="K31" s="97" t="str">
        <f t="shared" si="0"/>
        <v>4005/4006</v>
      </c>
      <c r="L31" s="21" t="str">
        <f>VLOOKUP(A31,'Trips&amp;Operators'!$C$1:$G$99999,5,FALSE)</f>
        <v>STARKS ANGELINA</v>
      </c>
      <c r="M31" s="6">
        <f t="shared" si="1"/>
        <v>2.6087962964083999E-2</v>
      </c>
      <c r="N31" s="7">
        <f t="shared" si="2"/>
        <v>37.566666668280959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-10T04:59:22-0600',mode:absolute,to:'2017-04-10T07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7.5399999999999995E-2</v>
      </c>
      <c r="Z31" s="62">
        <f t="shared" si="9"/>
        <v>23.3293</v>
      </c>
      <c r="AA31" s="62">
        <f t="shared" si="10"/>
        <v>23.253900000000002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0119-10</v>
      </c>
      <c r="AE31" s="85" t="str">
        <f t="shared" si="12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31" s="82" t="str">
        <f t="shared" si="13"/>
        <v>"C:\Program Files (x86)\AstroGrep\AstroGrep.exe" /e /r /s /spath="%USERPROFILE%\AppData\Local\Temp\OnboardLogs" /stypes="app*4006*20170410*"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119-10 --locoid 4006 --swversion DE.1.0.9.0 --startMP 204:754 --initTime 2017-04-10T05:59:22 --startdatetime 2017-04-10T06:00:51 --delay 1 --endMP 204:233293 --enddatetime 2017-04-10T06:38:25 --enforcementcount 0 &gt;&gt;C:\Users\stu\Documents\GitHub\eaglep3-reporting\EC\2017-04-10-refined-times.txt</v>
      </c>
      <c r="AI31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{"issue":{"subject":"","project_id":79,"tracker_id":40,"status_id":1,"priority_id":2,"assigned_to_id":23,"start_date":"2017-04-10","description":"","custom_fields":[{"id":1,"name":"Subdivision","value":"EC"},{"id":4,"name":"Milepost","value":"23.3293"},{"id":17,"name":"Train ID","value":"119-10"},{"id":16,"name":"Locomotive ID","value":"4006"},{"id":130,"name":"Impact","value":""},{"id":150,"name":"Time of Event (Mountain Time)","value":"06:38:25"},{"id":151,"name":"Denver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4006 --day 2017-04-10</v>
      </c>
      <c r="AN31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680</v>
      </c>
      <c r="B32" s="7">
        <v>4005</v>
      </c>
      <c r="C32" s="21" t="s">
        <v>215</v>
      </c>
      <c r="D32" s="21" t="s">
        <v>431</v>
      </c>
      <c r="E32" s="13">
        <v>42835.278564814813</v>
      </c>
      <c r="F32" s="13">
        <v>42835.289247685185</v>
      </c>
      <c r="G32" s="7">
        <v>14</v>
      </c>
      <c r="H32" s="21" t="s">
        <v>425</v>
      </c>
      <c r="I32" s="13">
        <v>42835.321377314816</v>
      </c>
      <c r="J32" s="7">
        <v>0</v>
      </c>
      <c r="K32" s="97" t="str">
        <f t="shared" si="0"/>
        <v>4005/4006</v>
      </c>
      <c r="L32" s="21" t="str">
        <f>VLOOKUP(A32,'Trips&amp;Operators'!$C$1:$G$99999,5,FALSE)</f>
        <v>STARKS ANGELINA</v>
      </c>
      <c r="M32" s="6">
        <f t="shared" si="1"/>
        <v>3.2129629631526768E-2</v>
      </c>
      <c r="N32" s="7">
        <f t="shared" si="2"/>
        <v>46.266666669398546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-10T05:41:08-0600',mode:absolute,to:'2017-04-10T08:42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23.298500000000001</v>
      </c>
      <c r="Z32" s="62">
        <f t="shared" si="9"/>
        <v>1.4500000000000001E-2</v>
      </c>
      <c r="AA32" s="62">
        <f t="shared" si="10"/>
        <v>23.283999999999999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0120-10</v>
      </c>
      <c r="AE32" s="85" t="str">
        <f t="shared" si="12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32" s="82" t="str">
        <f t="shared" si="13"/>
        <v>"C:\Program Files (x86)\AstroGrep\AstroGrep.exe" /e /r /s /spath="%USERPROFILE%\AppData\Local\Temp\OnboardLogs" /stypes="app*4005*20170410*"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120-10 --locoid 4005 --swversion DE.1.0.9.0 --startMP 204:232985 --initTime 2017-04-10T06:41:08 --startdatetime 2017-04-10T06:56:31 --delay 14 --endMP 204:145 --enddatetime 2017-04-10T07:42:47 --enforcementcount 0 &gt;&gt;C:\Users\stu\Documents\GitHub\eaglep3-reporting\EC\2017-04-10-refined-times.txt</v>
      </c>
      <c r="AI32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{"issue":{"subject":"","project_id":79,"tracker_id":40,"status_id":1,"priority_id":2,"assigned_to_id":23,"start_date":"2017-04-10","description":"","custom_fields":[{"id":1,"name":"Subdivision","value":"EC"},{"id":4,"name":"Milepost","value":"0.0145"},{"id":17,"name":"Train ID","value":"120-10"},{"id":16,"name":"Locomotive ID","value":"4005"},{"id":130,"name":"Impact","value":""},{"id":150,"name":"Time of Event (Mountain Time)","value":"07:42:47"},{"id":151,"name":"Denver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4005 --day 2017-04-10</v>
      </c>
      <c r="AN32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676</v>
      </c>
      <c r="B33" s="7">
        <v>4020</v>
      </c>
      <c r="C33" s="21" t="s">
        <v>215</v>
      </c>
      <c r="D33" s="21" t="s">
        <v>414</v>
      </c>
      <c r="E33" s="13">
        <v>42835.257280092592</v>
      </c>
      <c r="F33" s="13">
        <v>42835.260671296295</v>
      </c>
      <c r="G33" s="7">
        <v>1</v>
      </c>
      <c r="H33" s="21" t="s">
        <v>500</v>
      </c>
      <c r="I33" s="13">
        <v>42835.286365740743</v>
      </c>
      <c r="J33" s="7">
        <v>0</v>
      </c>
      <c r="K33" s="97" t="str">
        <f t="shared" si="0"/>
        <v>4019/4020</v>
      </c>
      <c r="L33" s="21" t="str">
        <f>VLOOKUP(A33,'Trips&amp;Operators'!$C$1:$G$99999,5,FALSE)</f>
        <v>BONDS REYNALDO</v>
      </c>
      <c r="M33" s="6">
        <f t="shared" si="1"/>
        <v>2.5694444448163267E-2</v>
      </c>
      <c r="N33" s="7">
        <f t="shared" si="2"/>
        <v>37.000000005355105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-10T05:10:29-0600',mode:absolute,to:'2017-04-10T07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4.6199999999999998E-2</v>
      </c>
      <c r="Z33" s="62">
        <f t="shared" si="9"/>
        <v>23.327400000000001</v>
      </c>
      <c r="AA33" s="62">
        <f t="shared" si="10"/>
        <v>23.281200000000002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0121-10</v>
      </c>
      <c r="AE33" s="85" t="str">
        <f t="shared" si="12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33" s="82" t="str">
        <f t="shared" si="13"/>
        <v>"C:\Program Files (x86)\AstroGrep\AstroGrep.exe" /e /r /s /spath="%USERPROFILE%\AppData\Local\Temp\OnboardLogs" /stypes="app*4020*20170410*"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121-10 --locoid 4020 --swversion DE.1.0.9.0 --startMP 204:462 --initTime 2017-04-10T06:10:29 --startdatetime 2017-04-10T06:15:22 --delay 1 --endMP 204:233274 --enddatetime 2017-04-10T06:52:22 --enforcementcount 0 &gt;&gt;C:\Users\stu\Documents\GitHub\eaglep3-reporting\EC\2017-04-10-refined-times.txt</v>
      </c>
      <c r="AI33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{"issue":{"subject":"","project_id":79,"tracker_id":40,"status_id":1,"priority_id":2,"assigned_to_id":23,"start_date":"2017-04-10","description":"","custom_fields":[{"id":1,"name":"Subdivision","value":"EC"},{"id":4,"name":"Milepost","value":"23.3274"},{"id":17,"name":"Train ID","value":"121-10"},{"id":16,"name":"Locomotive ID","value":"4020"},{"id":130,"name":"Impact","value":""},{"id":150,"name":"Time of Event (Mountain Time)","value":"06:52:22"},{"id":151,"name":"Denver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4020 --day 2017-04-10</v>
      </c>
      <c r="AN33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687</v>
      </c>
      <c r="B34" s="7">
        <v>4019</v>
      </c>
      <c r="C34" s="21" t="s">
        <v>215</v>
      </c>
      <c r="D34" s="21" t="s">
        <v>855</v>
      </c>
      <c r="E34" s="13">
        <v>42835.2968287037</v>
      </c>
      <c r="F34" s="13">
        <v>42835.299583333333</v>
      </c>
      <c r="G34" s="7">
        <v>1</v>
      </c>
      <c r="H34" s="21" t="s">
        <v>406</v>
      </c>
      <c r="I34" s="13">
        <v>42835.327592592592</v>
      </c>
      <c r="J34" s="7">
        <v>0</v>
      </c>
      <c r="K34" s="97" t="str">
        <f t="shared" si="0"/>
        <v>4019/4020</v>
      </c>
      <c r="L34" s="21" t="str">
        <f>VLOOKUP(A34,'Trips&amp;Operators'!$C$1:$G$99999,5,FALSE)</f>
        <v>BONDS REYNALDO</v>
      </c>
      <c r="M34" s="6">
        <f t="shared" si="1"/>
        <v>2.8009259258396924E-2</v>
      </c>
      <c r="N34" s="7">
        <f t="shared" si="2"/>
        <v>40.33333333209157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-10T06:07:26-0600',mode:absolute,to:'2017-04-10T08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23.2988</v>
      </c>
      <c r="Z34" s="62">
        <f t="shared" si="9"/>
        <v>1.41E-2</v>
      </c>
      <c r="AA34" s="62">
        <f t="shared" si="10"/>
        <v>23.284700000000001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0122-10</v>
      </c>
      <c r="AE34" s="85" t="str">
        <f t="shared" si="12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34" s="82" t="str">
        <f t="shared" si="13"/>
        <v>"C:\Program Files (x86)\AstroGrep\AstroGrep.exe" /e /r /s /spath="%USERPROFILE%\AppData\Local\Temp\OnboardLogs" /stypes="app*4019*20170410*"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122-10 --locoid 4019 --swversion DE.1.0.9.0 --startMP 204:232988 --initTime 2017-04-10T07:07:26 --startdatetime 2017-04-10T07:11:24 --delay 1 --endMP 204:141 --enddatetime 2017-04-10T07:51:44 --enforcementcount 0 &gt;&gt;C:\Users\stu\Documents\GitHub\eaglep3-reporting\EC\2017-04-10-refined-times.txt</v>
      </c>
      <c r="AI34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{"issue":{"subject":"","project_id":79,"tracker_id":40,"status_id":1,"priority_id":2,"assigned_to_id":23,"start_date":"2017-04-10","description":"","custom_fields":[{"id":1,"name":"Subdivision","value":"EC"},{"id":4,"name":"Milepost","value":"0.0141"},{"id":17,"name":"Train ID","value":"122-10"},{"id":16,"name":"Locomotive ID","value":"4019"},{"id":130,"name":"Impact","value":""},{"id":150,"name":"Time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4019 --day 2017-04-10</v>
      </c>
      <c r="AN34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679</v>
      </c>
      <c r="B35" s="7">
        <v>4016</v>
      </c>
      <c r="C35" s="21" t="s">
        <v>215</v>
      </c>
      <c r="D35" s="21" t="s">
        <v>209</v>
      </c>
      <c r="E35" s="13">
        <v>42835.266643518517</v>
      </c>
      <c r="F35" s="13">
        <v>42835.271180555559</v>
      </c>
      <c r="G35" s="7">
        <v>1</v>
      </c>
      <c r="H35" s="21" t="s">
        <v>584</v>
      </c>
      <c r="I35" s="13">
        <v>42835.296435185184</v>
      </c>
      <c r="J35" s="7">
        <v>0</v>
      </c>
      <c r="K35" s="97" t="str">
        <f t="shared" si="0"/>
        <v>4015/4016</v>
      </c>
      <c r="L35" s="21" t="str">
        <f>VLOOKUP(A35,'Trips&amp;Operators'!$C$1:$G$99999,5,FALSE)</f>
        <v>SHOOK JOHN</v>
      </c>
      <c r="M35" s="6">
        <f t="shared" si="1"/>
        <v>2.5254629625123926E-2</v>
      </c>
      <c r="N35" s="7">
        <f t="shared" si="2"/>
        <v>36.366666660178453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-10T05:23:58-0600',mode:absolute,to:'2017-04-10T08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4.53E-2</v>
      </c>
      <c r="Z35" s="62">
        <f t="shared" si="9"/>
        <v>23.331399999999999</v>
      </c>
      <c r="AA35" s="62">
        <f t="shared" si="10"/>
        <v>23.286099999999998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0123-10</v>
      </c>
      <c r="AE35" s="85" t="str">
        <f t="shared" si="12"/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35" s="82" t="str">
        <f t="shared" si="13"/>
        <v>"C:\Program Files (x86)\AstroGrep\AstroGrep.exe" /e /r /s /spath="%USERPROFILE%\AppData\Local\Temp\OnboardLogs" /stypes="app*4016*20170410*"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123-10 --locoid 4016 --swversion DE.1.0.9.0 --startMP 204:453 --initTime 2017-04-10T06:23:58 --startdatetime 2017-04-10T06:30:30 --delay 1 --endMP 204:233314 --enddatetime 2017-04-10T07:06:52 --enforcementcount 0 &gt;&gt;C:\Users\stu\Documents\GitHub\eaglep3-reporting\EC\2017-04-10-refined-times.txt</v>
      </c>
      <c r="AI35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{"issue":{"subject":"","project_id":79,"tracker_id":40,"status_id":1,"priority_id":2,"assigned_to_id":23,"start_date":"2017-04-10","description":"","custom_fields":[{"id":1,"name":"Subdivision","value":"EC"},{"id":4,"name":"Milepost","value":"23.3314"},{"id":17,"name":"Train ID","value":"123-10"},{"id":16,"name":"Locomotive ID","value":"4016"},{"id":130,"name":"Impact","value":""},{"id":150,"name":"Time of Event (Mountain Time)","value":"07:06:52"},{"id":151,"name":"Denver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4016 --day 2017-04-10</v>
      </c>
      <c r="AN35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688</v>
      </c>
      <c r="B36" s="7">
        <v>4015</v>
      </c>
      <c r="C36" s="21" t="s">
        <v>215</v>
      </c>
      <c r="D36" s="21" t="s">
        <v>498</v>
      </c>
      <c r="E36" s="13">
        <v>42835.298055555555</v>
      </c>
      <c r="F36" s="13">
        <v>42835.309872685182</v>
      </c>
      <c r="G36" s="7">
        <v>1</v>
      </c>
      <c r="H36" s="21" t="s">
        <v>856</v>
      </c>
      <c r="I36" s="13">
        <v>42835.338541666664</v>
      </c>
      <c r="J36" s="7">
        <v>0</v>
      </c>
      <c r="K36" s="97" t="str">
        <f t="shared" si="0"/>
        <v>4015/4016</v>
      </c>
      <c r="L36" s="21" t="str">
        <f>VLOOKUP(A36,'Trips&amp;Operators'!$C$1:$G$99999,5,FALSE)</f>
        <v>SHOOK JOHN</v>
      </c>
      <c r="M36" s="6">
        <f t="shared" si="1"/>
        <v>2.8668981482042E-2</v>
      </c>
      <c r="N36" s="7">
        <f t="shared" si="2"/>
        <v>41.28333333414048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-10T06:09:12-0600',mode:absolute,to:'2017-04-10T09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23.3002</v>
      </c>
      <c r="Z36" s="62">
        <f t="shared" si="9"/>
        <v>1.67E-2</v>
      </c>
      <c r="AA36" s="62">
        <f t="shared" si="10"/>
        <v>23.2835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0124-10</v>
      </c>
      <c r="AE36" s="85" t="str">
        <f t="shared" si="12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36" s="82" t="str">
        <f t="shared" si="13"/>
        <v>"C:\Program Files (x86)\AstroGrep\AstroGrep.exe" /e /r /s /spath="%USERPROFILE%\AppData\Local\Temp\OnboardLogs" /stypes="app*4015*20170410*"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124-10 --locoid 4015 --swversion DE.1.0.9.0 --startMP 204:233002 --initTime 2017-04-10T07:09:12 --startdatetime 2017-04-10T07:26:13 --delay 1 --endMP 204:167 --enddatetime 2017-04-10T08:07:30 --enforcementcount 0 &gt;&gt;C:\Users\stu\Documents\GitHub\eaglep3-reporting\EC\2017-04-10-refined-times.txt</v>
      </c>
      <c r="AI36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{"issue":{"subject":"","project_id":79,"tracker_id":40,"status_id":1,"priority_id":2,"assigned_to_id":23,"start_date":"2017-04-10","description":"","custom_fields":[{"id":1,"name":"Subdivision","value":"EC"},{"id":4,"name":"Milepost","value":"0.0167"},{"id":17,"name":"Train ID","value":"124-10"},{"id":16,"name":"Locomotive ID","value":"4015"},{"id":130,"name":"Impact","value":""},{"id":150,"name":"Time of Event (Mountain Time)","value":"08:07:30"},{"id":151,"name":"Denver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4015 --day 2017-04-10</v>
      </c>
      <c r="AN36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681</v>
      </c>
      <c r="B37" s="7">
        <v>4042</v>
      </c>
      <c r="C37" s="21" t="s">
        <v>215</v>
      </c>
      <c r="D37" s="21" t="s">
        <v>205</v>
      </c>
      <c r="E37" s="13">
        <v>42835.278391203705</v>
      </c>
      <c r="F37" s="13">
        <v>42835.281574074077</v>
      </c>
      <c r="G37" s="7">
        <v>3</v>
      </c>
      <c r="H37" s="21" t="s">
        <v>529</v>
      </c>
      <c r="I37" s="13">
        <v>42835.305648148147</v>
      </c>
      <c r="J37" s="7">
        <v>0</v>
      </c>
      <c r="K37" s="97" t="str">
        <f t="shared" si="0"/>
        <v>4041/4042</v>
      </c>
      <c r="L37" s="21" t="str">
        <f>VLOOKUP(A37,'Trips&amp;Operators'!$C$1:$G$99999,5,FALSE)</f>
        <v>YORK EDGAR</v>
      </c>
      <c r="M37" s="6">
        <f t="shared" si="1"/>
        <v>2.4074074070085771E-2</v>
      </c>
      <c r="N37" s="7">
        <f t="shared" si="2"/>
        <v>34.666666660923511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-10T05:40:53-0600',mode:absolute,to:'2017-04-10T08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4.5699999999999998E-2</v>
      </c>
      <c r="Z37" s="62">
        <f t="shared" si="9"/>
        <v>23.3276</v>
      </c>
      <c r="AA37" s="62">
        <f t="shared" si="10"/>
        <v>23.2819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0125-10</v>
      </c>
      <c r="AE37" s="85" t="str">
        <f t="shared" si="12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37" s="82" t="str">
        <f t="shared" si="13"/>
        <v>"C:\Program Files (x86)\AstroGrep\AstroGrep.exe" /e /r /s /spath="%USERPROFILE%\AppData\Local\Temp\OnboardLogs" /stypes="app*4042*20170410*"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125-10 --locoid 4042 --swversion DE.1.0.9.0 --startMP 204:457 --initTime 2017-04-10T06:40:53 --startdatetime 2017-04-10T06:45:28 --delay 3 --endMP 204:233276 --enddatetime 2017-04-10T07:20:08 --enforcementcount 0 &gt;&gt;C:\Users\stu\Documents\GitHub\eaglep3-reporting\EC\2017-04-10-refined-times.txt</v>
      </c>
      <c r="AI37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{"issue":{"subject":"","project_id":79,"tracker_id":40,"status_id":1,"priority_id":2,"assigned_to_id":23,"start_date":"2017-04-10","description":"","custom_fields":[{"id":1,"name":"Subdivision","value":"EC"},{"id":4,"name":"Milepost","value":"23.3276"},{"id":17,"name":"Train ID","value":"125-10"},{"id":16,"name":"Locomotive ID","value":"4042"},{"id":130,"name":"Impact","value":""},{"id":150,"name":"Time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4042 --day 2017-04-10</v>
      </c>
      <c r="AN37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609</v>
      </c>
      <c r="B38" s="7">
        <v>4041</v>
      </c>
      <c r="C38" s="21" t="s">
        <v>215</v>
      </c>
      <c r="D38" s="21" t="s">
        <v>848</v>
      </c>
      <c r="E38" s="13">
        <v>42835.307175925926</v>
      </c>
      <c r="F38" s="13">
        <v>42835.3205787037</v>
      </c>
      <c r="G38" s="7">
        <v>0</v>
      </c>
      <c r="H38" s="21" t="s">
        <v>211</v>
      </c>
      <c r="I38" s="13">
        <v>42835.347060185188</v>
      </c>
      <c r="J38" s="7">
        <v>0</v>
      </c>
      <c r="K38" s="97" t="str">
        <f t="shared" si="0"/>
        <v>4041/4042</v>
      </c>
      <c r="L38" s="21" t="str">
        <f>VLOOKUP(A38,'Trips&amp;Operators'!$C$1:$G$99999,5,FALSE)</f>
        <v>YORK EDGAR</v>
      </c>
      <c r="M38" s="6">
        <f t="shared" si="1"/>
        <v>2.6481481487280689E-2</v>
      </c>
      <c r="N38" s="7">
        <f t="shared" si="2"/>
        <v>38.133333341684192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-10T06:22:20-0600',mode:absolute,to:'2017-04-10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23.2959</v>
      </c>
      <c r="Z38" s="62">
        <f t="shared" si="9"/>
        <v>1.5599999999999999E-2</v>
      </c>
      <c r="AA38" s="62">
        <f t="shared" si="10"/>
        <v>23.2803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 t="shared" si="11"/>
        <v>0126-10</v>
      </c>
      <c r="AE38" s="85" t="str">
        <f t="shared" si="12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38" s="82" t="str">
        <f t="shared" si="13"/>
        <v>"C:\Program Files (x86)\AstroGrep\AstroGrep.exe" /e /r /s /spath="%USERPROFILE%\AppData\Local\Temp\OnboardLogs" /stypes="app*4041*20170410*"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126-10 --locoid 4041 --swversion DE.1.0.9.0 --startMP 204:232959 --initTime 2017-04-10T07:22:20 --startdatetime 2017-04-10T07:41:38 --delay 0 --endMP 204:156 --enddatetime 2017-04-10T08:19:46 --enforcementcount 0 &gt;&gt;C:\Users\stu\Documents\GitHub\eaglep3-reporting\EC\2017-04-10-refined-times.txt</v>
      </c>
      <c r="AI38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ID","value":"126-10"},{"id":16,"name":"Locomotive ID","value":"4041"},{"id":130,"name":"Impact","value":""},{"id":150,"name":"Time of Event (Mountain Time)","value":"08:19:46"},{"id":151,"name":"Denver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4041 --day 2017-04-10</v>
      </c>
      <c r="AN38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683</v>
      </c>
      <c r="B39" s="7">
        <v>4014</v>
      </c>
      <c r="C39" s="21" t="s">
        <v>215</v>
      </c>
      <c r="D39" s="21" t="s">
        <v>209</v>
      </c>
      <c r="E39" s="13">
        <v>42835.28738425926</v>
      </c>
      <c r="F39" s="13">
        <v>42835.292407407411</v>
      </c>
      <c r="G39" s="7">
        <v>1</v>
      </c>
      <c r="H39" s="21" t="s">
        <v>470</v>
      </c>
      <c r="I39" s="13">
        <v>42835.318252314813</v>
      </c>
      <c r="J39" s="7">
        <v>0</v>
      </c>
      <c r="K39" s="97" t="str">
        <f t="shared" si="0"/>
        <v>4013/4014</v>
      </c>
      <c r="L39" s="21" t="str">
        <f>VLOOKUP(A39,'Trips&amp;Operators'!$C$1:$G$99999,5,FALSE)</f>
        <v>MAYBERRY BILL</v>
      </c>
      <c r="M39" s="6">
        <f t="shared" si="1"/>
        <v>2.5844907402643003E-2</v>
      </c>
      <c r="N39" s="7">
        <f t="shared" si="2"/>
        <v>37.216666659805924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-10T05:53:50-0600',mode:absolute,to:'2017-04-10T08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4.53E-2</v>
      </c>
      <c r="Z39" s="62">
        <f t="shared" si="9"/>
        <v>23.332100000000001</v>
      </c>
      <c r="AA39" s="62">
        <f t="shared" si="10"/>
        <v>23.286799999999999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0127-10</v>
      </c>
      <c r="AE39" s="85" t="str">
        <f t="shared" si="12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39" s="82" t="str">
        <f t="shared" si="13"/>
        <v>"C:\Program Files (x86)\AstroGrep\AstroGrep.exe" /e /r /s /spath="%USERPROFILE%\AppData\Local\Temp\OnboardLogs" /stypes="app*4014*20170410*"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127-10 --locoid 4014 --swversion DE.1.0.9.0 --startMP 204:453 --initTime 2017-04-10T06:53:50 --startdatetime 2017-04-10T07:01:04 --delay 1 --endMP 204:233321 --enddatetime 2017-04-10T07:38:17 --enforcementcount 0 &gt;&gt;C:\Users\stu\Documents\GitHub\eaglep3-reporting\EC\2017-04-10-refined-times.txt</v>
      </c>
      <c r="AI39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{"issue":{"subject":"","project_id":79,"tracker_id":40,"status_id":1,"priority_id":2,"assigned_to_id":23,"start_date":"2017-04-10","description":"","custom_fields":[{"id":1,"name":"Subdivision","value":"EC"},{"id":4,"name":"Milepost","value":"23.3321"},{"id":17,"name":"Train ID","value":"127-10"},{"id":16,"name":"Locomotive ID","value":"4014"},{"id":130,"name":"Impact","value":""},{"id":150,"name":"Time of Event (Mountain Time)","value":"07:38:17"},{"id":151,"name":"Denver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4014 --day 2017-04-10</v>
      </c>
      <c r="AN39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692</v>
      </c>
      <c r="B40" s="7">
        <v>4013</v>
      </c>
      <c r="C40" s="21" t="s">
        <v>215</v>
      </c>
      <c r="D40" s="21" t="s">
        <v>431</v>
      </c>
      <c r="E40" s="13">
        <v>42835.319837962961</v>
      </c>
      <c r="F40" s="13">
        <v>42835.330821759257</v>
      </c>
      <c r="G40" s="7">
        <v>3</v>
      </c>
      <c r="H40" s="21" t="s">
        <v>203</v>
      </c>
      <c r="I40" s="13">
        <v>42835.359398148146</v>
      </c>
      <c r="J40" s="7">
        <v>0</v>
      </c>
      <c r="K40" s="97" t="str">
        <f t="shared" si="0"/>
        <v>4013/4014</v>
      </c>
      <c r="L40" s="21" t="str">
        <f>VLOOKUP(A40,'Trips&amp;Operators'!$C$1:$G$99999,5,FALSE)</f>
        <v>MAYBERRY BILL</v>
      </c>
      <c r="M40" s="6">
        <f t="shared" si="1"/>
        <v>2.8576388889632653E-2</v>
      </c>
      <c r="N40" s="7">
        <f t="shared" si="2"/>
        <v>41.150000001071021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-10T06:40:34-0600',mode:absolute,to:'2017-04-10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23.298500000000001</v>
      </c>
      <c r="Z40" s="62">
        <f t="shared" si="9"/>
        <v>1.54E-2</v>
      </c>
      <c r="AA40" s="62">
        <f t="shared" si="10"/>
        <v>23.283100000000001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0128-10</v>
      </c>
      <c r="AE40" s="85" t="str">
        <f t="shared" si="12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40" s="82" t="str">
        <f t="shared" si="13"/>
        <v>"C:\Program Files (x86)\AstroGrep\AstroGrep.exe" /e /r /s /spath="%USERPROFILE%\AppData\Local\Temp\OnboardLogs" /stypes="app*4013*20170410*"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128-10 --locoid 4013 --swversion DE.1.0.9.0 --startMP 204:232985 --initTime 2017-04-10T07:40:34 --startdatetime 2017-04-10T07:56:23 --delay 3 --endMP 204:154 --enddatetime 2017-04-10T08:37:32 --enforcementcount 0 &gt;&gt;C:\Users\stu\Documents\GitHub\eaglep3-reporting\EC\2017-04-10-refined-times.txt</v>
      </c>
      <c r="AI40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ID","value":"128-10"},{"id":16,"name":"Locomotive ID","value":"4013"},{"id":130,"name":"Impact","value":""},{"id":150,"name":"Time of Event (Mountain Time)","value":"08:37:32"},{"id":151,"name":"Denver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4013 --day 2017-04-10</v>
      </c>
      <c r="AN40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689</v>
      </c>
      <c r="B41" s="7">
        <v>4054</v>
      </c>
      <c r="C41" s="21" t="s">
        <v>215</v>
      </c>
      <c r="D41" s="21" t="s">
        <v>561</v>
      </c>
      <c r="E41" s="13">
        <v>42835.298784722225</v>
      </c>
      <c r="F41" s="13">
        <v>42835.302418981482</v>
      </c>
      <c r="G41" s="7">
        <v>1</v>
      </c>
      <c r="H41" s="21" t="s">
        <v>847</v>
      </c>
      <c r="I41" s="13">
        <v>42835.327928240738</v>
      </c>
      <c r="J41" s="7">
        <v>0</v>
      </c>
      <c r="K41" s="97" t="str">
        <f t="shared" si="0"/>
        <v>4053/4054</v>
      </c>
      <c r="L41" s="21" t="str">
        <f>VLOOKUP(A41,'Trips&amp;Operators'!$C$1:$G$99999,5,FALSE)</f>
        <v>WILLIAMS DONTE</v>
      </c>
      <c r="M41" s="6">
        <f t="shared" si="1"/>
        <v>2.5509259256068617E-2</v>
      </c>
      <c r="N41" s="7">
        <f t="shared" si="2"/>
        <v>36.733333328738809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-10T06:10:15-0600',mode:absolute,to:'2017-04-10T08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4.2900000000000001E-2</v>
      </c>
      <c r="Z41" s="62">
        <f t="shared" si="9"/>
        <v>23.328600000000002</v>
      </c>
      <c r="AA41" s="62">
        <f t="shared" si="10"/>
        <v>23.285700000000002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0129-10</v>
      </c>
      <c r="AE41" s="85" t="str">
        <f t="shared" si="12"/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41" s="82" t="str">
        <f t="shared" si="13"/>
        <v>"C:\Program Files (x86)\AstroGrep\AstroGrep.exe" /e /r /s /spath="%USERPROFILE%\AppData\Local\Temp\OnboardLogs" /stypes="app*4054*20170410*"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129-10 --locoid 4054 --swversion DE.1.0.9.0 --startMP 204:429 --initTime 2017-04-10T07:10:15 --startdatetime 2017-04-10T07:15:29 --delay 1 --endMP 204:233286 --enddatetime 2017-04-10T07:52:13 --enforcementcount 0 &gt;&gt;C:\Users\stu\Documents\GitHub\eaglep3-reporting\EC\2017-04-10-refined-times.txt</v>
      </c>
      <c r="AI41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{"issue":{"subject":"","project_id":79,"tracker_id":40,"status_id":1,"priority_id":2,"assigned_to_id":23,"start_date":"2017-04-10","description":"","custom_fields":[{"id":1,"name":"Subdivision","value":"EC"},{"id":4,"name":"Milepost","value":"23.3286"},{"id":17,"name":"Train ID","value":"129-10"},{"id":16,"name":"Locomotive ID","value":"4054"},{"id":130,"name":"Impact","value":""},{"id":150,"name":"Time of Event (Mountain Time)","value":"07:52:13"},{"id":151,"name":"Denver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4054 --day 2017-04-10</v>
      </c>
      <c r="AN41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612</v>
      </c>
      <c r="B42" s="7">
        <v>4053</v>
      </c>
      <c r="C42" s="21" t="s">
        <v>215</v>
      </c>
      <c r="D42" s="21" t="s">
        <v>528</v>
      </c>
      <c r="E42" s="13">
        <v>42835.335243055553</v>
      </c>
      <c r="F42" s="13">
        <v>42835.341793981483</v>
      </c>
      <c r="G42" s="7">
        <v>2</v>
      </c>
      <c r="H42" s="21" t="s">
        <v>407</v>
      </c>
      <c r="I42" s="13">
        <v>42835.36917824074</v>
      </c>
      <c r="J42" s="7">
        <v>0</v>
      </c>
      <c r="K42" s="97" t="str">
        <f t="shared" si="0"/>
        <v>4053/4054</v>
      </c>
      <c r="L42" s="21" t="str">
        <f>VLOOKUP(A42,'Trips&amp;Operators'!$C$1:$G$99999,5,FALSE)</f>
        <v>WILLIAMS DONTE</v>
      </c>
      <c r="M42" s="6">
        <f t="shared" si="1"/>
        <v>2.7384259257814847E-2</v>
      </c>
      <c r="N42" s="7">
        <f t="shared" si="2"/>
        <v>39.43333333125338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-10T07:02:45-0600',mode:absolute,to:'2017-04-10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23.2973</v>
      </c>
      <c r="Z42" s="62">
        <f t="shared" si="9"/>
        <v>1.6299999999999999E-2</v>
      </c>
      <c r="AA42" s="62">
        <f t="shared" si="10"/>
        <v>23.280999999999999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0130-10</v>
      </c>
      <c r="AE42" s="85" t="str">
        <f t="shared" si="12"/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42" s="82" t="str">
        <f t="shared" si="13"/>
        <v>"C:\Program Files (x86)\AstroGrep\AstroGrep.exe" /e /r /s /spath="%USERPROFILE%\AppData\Local\Temp\OnboardLogs" /stypes="app*4053*20170410*"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130-10 --locoid 4053 --swversion DE.1.0.9.0 --startMP 204:232973 --initTime 2017-04-10T08:02:45 --startdatetime 2017-04-10T08:12:11 --delay 2 --endMP 204:163 --enddatetime 2017-04-10T08:51:37 --enforcementcount 0 &gt;&gt;C:\Users\stu\Documents\GitHub\eaglep3-reporting\EC\2017-04-10-refined-times.txt</v>
      </c>
      <c r="AI42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{"issue":{"subject":"","project_id":79,"tracker_id":40,"status_id":1,"priority_id":2,"assigned_to_id":23,"start_date":"2017-04-10","description":"","custom_fields":[{"id":1,"name":"Subdivision","value":"EC"},{"id":4,"name":"Milepost","value":"0.0163"},{"id":17,"name":"Train ID","value":"130-10"},{"id":16,"name":"Locomotive ID","value":"4053"},{"id":130,"name":"Impact","value":""},{"id":150,"name":"Time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4053 --day 2017-04-10</v>
      </c>
      <c r="AN42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690</v>
      </c>
      <c r="B43" s="7">
        <v>4026</v>
      </c>
      <c r="C43" s="21" t="s">
        <v>215</v>
      </c>
      <c r="D43" s="21" t="s">
        <v>504</v>
      </c>
      <c r="E43" s="13">
        <v>42835.307395833333</v>
      </c>
      <c r="F43" s="13">
        <v>42835.312673611108</v>
      </c>
      <c r="G43" s="7">
        <v>1</v>
      </c>
      <c r="H43" s="21" t="s">
        <v>471</v>
      </c>
      <c r="I43" s="13">
        <v>42835.337673611109</v>
      </c>
      <c r="J43" s="7">
        <v>0</v>
      </c>
      <c r="K43" s="97" t="str">
        <f t="shared" si="0"/>
        <v>4025/4026</v>
      </c>
      <c r="L43" s="21" t="str">
        <f>VLOOKUP(A43,'Trips&amp;Operators'!$C$1:$G$99999,5,FALSE)</f>
        <v>ACKERMAN JARED</v>
      </c>
      <c r="M43" s="6">
        <f t="shared" si="1"/>
        <v>2.5000000001455192E-2</v>
      </c>
      <c r="N43" s="7">
        <f t="shared" si="2"/>
        <v>36.000000002095476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-10T06:22:39-0600',mode:absolute,to:'2017-04-10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4.6399999999999997E-2</v>
      </c>
      <c r="Z43" s="62">
        <f t="shared" si="9"/>
        <v>23.331199999999999</v>
      </c>
      <c r="AA43" s="62">
        <f t="shared" si="10"/>
        <v>23.284800000000001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0131-10</v>
      </c>
      <c r="AE43" s="85" t="str">
        <f t="shared" si="12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43" s="82" t="str">
        <f t="shared" si="13"/>
        <v>"C:\Program Files (x86)\AstroGrep\AstroGrep.exe" /e /r /s /spath="%USERPROFILE%\AppData\Local\Temp\OnboardLogs" /stypes="app*4026*20170410*"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131-10 --locoid 4026 --swversion DE.1.0.9.0 --startMP 204:464 --initTime 2017-04-10T07:22:39 --startdatetime 2017-04-10T07:30:15 --delay 1 --endMP 204:233312 --enddatetime 2017-04-10T08:06:15 --enforcementcount 0 &gt;&gt;C:\Users\stu\Documents\GitHub\eaglep3-reporting\EC\2017-04-10-refined-times.txt</v>
      </c>
      <c r="AI43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{"issue":{"subject":"","project_id":79,"tracker_id":40,"status_id":1,"priority_id":2,"assigned_to_id":23,"start_date":"2017-04-10","description":"","custom_fields":[{"id":1,"name":"Subdivision","value":"EC"},{"id":4,"name":"Milepost","value":"23.3312"},{"id":17,"name":"Train ID","value":"131-10"},{"id":16,"name":"Locomotive ID","value":"4026"},{"id":130,"name":"Impact","value":""},{"id":150,"name":"Time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4026 --day 2017-04-10</v>
      </c>
      <c r="AN43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697</v>
      </c>
      <c r="B44" s="7">
        <v>4025</v>
      </c>
      <c r="C44" s="21" t="s">
        <v>215</v>
      </c>
      <c r="D44" s="21" t="s">
        <v>853</v>
      </c>
      <c r="E44" s="13">
        <v>42835.343217592592</v>
      </c>
      <c r="F44" s="13">
        <v>42835.3516087963</v>
      </c>
      <c r="G44" s="7">
        <v>1</v>
      </c>
      <c r="H44" s="21" t="s">
        <v>404</v>
      </c>
      <c r="I44" s="13">
        <v>42835.378796296296</v>
      </c>
      <c r="J44" s="7">
        <v>0</v>
      </c>
      <c r="K44" s="97" t="str">
        <f t="shared" si="0"/>
        <v>4025/4026</v>
      </c>
      <c r="L44" s="21" t="str">
        <f>VLOOKUP(A44,'Trips&amp;Operators'!$C$1:$G$99999,5,FALSE)</f>
        <v>ACKERMAN JARED</v>
      </c>
      <c r="M44" s="6">
        <f t="shared" si="1"/>
        <v>2.7187499996216502E-2</v>
      </c>
      <c r="N44" s="7">
        <f t="shared" si="2"/>
        <v>39.149999994551763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-10T07:14:14-0600',mode:absolute,to:'2017-04-10T10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23.299099999999999</v>
      </c>
      <c r="Z44" s="62">
        <f t="shared" si="9"/>
        <v>1.38E-2</v>
      </c>
      <c r="AA44" s="62">
        <f t="shared" si="10"/>
        <v>23.285299999999999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0132-10</v>
      </c>
      <c r="AE44" s="85" t="str">
        <f t="shared" si="12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44" s="82" t="str">
        <f t="shared" si="13"/>
        <v>"C:\Program Files (x86)\AstroGrep\AstroGrep.exe" /e /r /s /spath="%USERPROFILE%\AppData\Local\Temp\OnboardLogs" /stypes="app*4025*20170410*"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132-10 --locoid 4025 --swversion DE.1.0.9.0 --startMP 204:232991 --initTime 2017-04-10T08:14:14 --startdatetime 2017-04-10T08:26:19 --delay 1 --endMP 204:138 --enddatetime 2017-04-10T09:05:28 --enforcementcount 0 &gt;&gt;C:\Users\stu\Documents\GitHub\eaglep3-reporting\EC\2017-04-10-refined-times.txt</v>
      </c>
      <c r="AI44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{"issue":{"subject":"","project_id":79,"tracker_id":40,"status_id":1,"priority_id":2,"assigned_to_id":23,"start_date":"2017-04-10","description":"","custom_fields":[{"id":1,"name":"Subdivision","value":"EC"},{"id":4,"name":"Milepost","value":"0.0138"},{"id":17,"name":"Train ID","value":"132-10"},{"id":16,"name":"Locomotive ID","value":"4025"},{"id":130,"name":"Impact","value":""},{"id":150,"name":"Time of Event (Mountain Time)","value":"09:05:28"},{"id":151,"name":"Denver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4025 --day 2017-04-10</v>
      </c>
      <c r="AN44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693</v>
      </c>
      <c r="B45" s="7">
        <v>4006</v>
      </c>
      <c r="C45" s="21" t="s">
        <v>215</v>
      </c>
      <c r="D45" s="21" t="s">
        <v>420</v>
      </c>
      <c r="E45" s="13">
        <v>42835.323506944442</v>
      </c>
      <c r="F45" s="13">
        <v>42835.324814814812</v>
      </c>
      <c r="G45" s="7">
        <v>1</v>
      </c>
      <c r="H45" s="21" t="s">
        <v>497</v>
      </c>
      <c r="I45" s="13">
        <v>42835.350370370368</v>
      </c>
      <c r="J45" s="7">
        <v>0</v>
      </c>
      <c r="K45" s="97" t="str">
        <f t="shared" si="0"/>
        <v>4005/4006</v>
      </c>
      <c r="L45" s="21" t="str">
        <f>VLOOKUP(A45,'Trips&amp;Operators'!$C$1:$G$99999,5,FALSE)</f>
        <v>STARKS ANGELINA</v>
      </c>
      <c r="M45" s="6">
        <f t="shared" si="1"/>
        <v>2.5555555555911269E-2</v>
      </c>
      <c r="N45" s="7">
        <f t="shared" ref="N45:N69" si="23">24*60*SUM($M45:$M45)</f>
        <v>36.800000000512227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-10T06:45:51-0600',mode:absolute,to:'2017-04-10T09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183" t="str">
        <f t="shared" si="6"/>
        <v>N</v>
      </c>
      <c r="X45" s="183">
        <f t="shared" ref="X45:X76" si="24">VALUE(LEFT(AD45,4))-VALUE(LEFT(AD44,4))</f>
        <v>1</v>
      </c>
      <c r="Y45" s="62">
        <f t="shared" ref="Y45:Y76" si="25">RIGHT(D45,LEN(D45)-4)/10000</f>
        <v>4.4600000000000001E-2</v>
      </c>
      <c r="Z45" s="62">
        <f t="shared" ref="Z45:Z76" si="26">RIGHT(H45,LEN(H45)-4)/10000</f>
        <v>23.3291</v>
      </c>
      <c r="AA45" s="62">
        <f t="shared" si="10"/>
        <v>23.284500000000001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0133-10</v>
      </c>
      <c r="AE45" s="85" t="str">
        <f t="shared" si="12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45" s="82" t="str">
        <f t="shared" si="13"/>
        <v>"C:\Program Files (x86)\AstroGrep\AstroGrep.exe" /e /r /s /spath="%USERPROFILE%\AppData\Local\Temp\OnboardLogs" /stypes="app*4006*20170410*"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133-10 --locoid 4006 --swversion DE.1.0.9.0 --startMP 204:446 --initTime 2017-04-10T07:45:51 --startdatetime 2017-04-10T07:47:44 --delay 1 --endMP 204:233291 --enddatetime 2017-04-10T08:24:32 --enforcementcount 0 &gt;&gt;C:\Users\stu\Documents\GitHub\eaglep3-reporting\EC\2017-04-10-refined-times.txt</v>
      </c>
      <c r="AI45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{"issue":{"subject":"","project_id":79,"tracker_id":40,"status_id":1,"priority_id":2,"assigned_to_id":23,"start_date":"2017-04-10","description":"","custom_fields":[{"id":1,"name":"Subdivision","value":"EC"},{"id":4,"name":"Milepost","value":"23.3291"},{"id":17,"name":"Train ID","value":"133-10"},{"id":16,"name":"Locomotive ID","value":"4006"},{"id":130,"name":"Impact","value":""},{"id":150,"name":"Time of Event (Mountain Time)","value":"08:24:32"},{"id":151,"name":"Denver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4006 --day 2017-04-10</v>
      </c>
      <c r="AN45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701</v>
      </c>
      <c r="B46" s="7">
        <v>4005</v>
      </c>
      <c r="C46" s="21" t="s">
        <v>215</v>
      </c>
      <c r="D46" s="21" t="s">
        <v>855</v>
      </c>
      <c r="E46" s="13">
        <v>42835.360208333332</v>
      </c>
      <c r="F46" s="13">
        <v>42835.362037037034</v>
      </c>
      <c r="G46" s="7">
        <v>1</v>
      </c>
      <c r="H46" s="21" t="s">
        <v>857</v>
      </c>
      <c r="I46" s="13">
        <v>42835.390462962961</v>
      </c>
      <c r="J46" s="7">
        <v>0</v>
      </c>
      <c r="K46" s="97" t="str">
        <f t="shared" si="0"/>
        <v>4005/4006</v>
      </c>
      <c r="L46" s="21" t="str">
        <f>VLOOKUP(A46,'Trips&amp;Operators'!$C$1:$G$99999,5,FALSE)</f>
        <v>STARKS ANGELINA</v>
      </c>
      <c r="M46" s="6">
        <f t="shared" si="1"/>
        <v>2.842592592787696E-2</v>
      </c>
      <c r="N46" s="7">
        <f t="shared" si="23"/>
        <v>40.933333336142823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-10T07:38:42-0600',mode:absolute,to:'2017-04-10T10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183" t="str">
        <f t="shared" si="6"/>
        <v>N</v>
      </c>
      <c r="X46" s="183">
        <f t="shared" si="24"/>
        <v>1</v>
      </c>
      <c r="Y46" s="62">
        <f t="shared" si="25"/>
        <v>23.2988</v>
      </c>
      <c r="Z46" s="62">
        <f t="shared" si="26"/>
        <v>1.49E-2</v>
      </c>
      <c r="AA46" s="62">
        <f t="shared" si="10"/>
        <v>23.283899999999999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0134-10</v>
      </c>
      <c r="AE46" s="85" t="str">
        <f t="shared" si="12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46" s="82" t="str">
        <f t="shared" si="13"/>
        <v>"C:\Program Files (x86)\AstroGrep\AstroGrep.exe" /e /r /s /spath="%USERPROFILE%\AppData\Local\Temp\OnboardLogs" /stypes="app*4005*20170410*"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134-10 --locoid 4005 --swversion DE.1.0.9.0 --startMP 204:232988 --initTime 2017-04-10T08:38:42 --startdatetime 2017-04-10T08:41:20 --delay 1 --endMP 204:149 --enddatetime 2017-04-10T09:22:16 --enforcementcount 0 &gt;&gt;C:\Users\stu\Documents\GitHub\eaglep3-reporting\EC\2017-04-10-refined-times.txt</v>
      </c>
      <c r="AI46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{"issue":{"subject":"","project_id":79,"tracker_id":40,"status_id":1,"priority_id":2,"assigned_to_id":23,"start_date":"2017-04-10","description":"","custom_fields":[{"id":1,"name":"Subdivision","value":"EC"},{"id":4,"name":"Milepost","value":"0.0149"},{"id":17,"name":"Train ID","value":"134-10"},{"id":16,"name":"Locomotive ID","value":"4005"},{"id":130,"name":"Impact","value":""},{"id":150,"name":"Time of Event (Mountain Time)","value":"09:22:16"},{"id":151,"name":"Denver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4005 --day 2017-04-10</v>
      </c>
      <c r="AN46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694</v>
      </c>
      <c r="B47" s="7">
        <v>4020</v>
      </c>
      <c r="C47" s="21" t="s">
        <v>215</v>
      </c>
      <c r="D47" s="21" t="s">
        <v>204</v>
      </c>
      <c r="E47" s="13">
        <v>42835.329074074078</v>
      </c>
      <c r="F47" s="13">
        <v>42835.333622685182</v>
      </c>
      <c r="G47" s="7">
        <v>1</v>
      </c>
      <c r="H47" s="21" t="s">
        <v>569</v>
      </c>
      <c r="I47" s="13">
        <v>42835.359895833331</v>
      </c>
      <c r="J47" s="7">
        <v>0</v>
      </c>
      <c r="K47" s="97" t="str">
        <f t="shared" si="0"/>
        <v>4019/4020</v>
      </c>
      <c r="L47" s="21" t="str">
        <f>VLOOKUP(A47,'Trips&amp;Operators'!$C$1:$G$99999,5,FALSE)</f>
        <v>BONDS REYNALDO</v>
      </c>
      <c r="M47" s="6">
        <f t="shared" si="1"/>
        <v>2.6273148148902692E-2</v>
      </c>
      <c r="N47" s="7">
        <f t="shared" si="23"/>
        <v>37.833333334419876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-10T06:53:52-0600',mode:absolute,to:'2017-04-10T09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83" t="str">
        <f t="shared" si="6"/>
        <v>N</v>
      </c>
      <c r="X47" s="183">
        <f t="shared" si="24"/>
        <v>1</v>
      </c>
      <c r="Y47" s="62">
        <f t="shared" si="25"/>
        <v>4.5100000000000001E-2</v>
      </c>
      <c r="Z47" s="62">
        <f t="shared" si="26"/>
        <v>23.3325</v>
      </c>
      <c r="AA47" s="62">
        <f t="shared" si="10"/>
        <v>23.287399999999998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0135-10</v>
      </c>
      <c r="AE47" s="85" t="str">
        <f t="shared" si="12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47" s="82" t="str">
        <f t="shared" si="13"/>
        <v>"C:\Program Files (x86)\AstroGrep\AstroGrep.exe" /e /r /s /spath="%USERPROFILE%\AppData\Local\Temp\OnboardLogs" /stypes="app*4020*20170410*"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135-10 --locoid 4020 --swversion DE.1.0.9.0 --startMP 204:451 --initTime 2017-04-10T07:53:52 --startdatetime 2017-04-10T08:00:25 --delay 1 --endMP 204:233325 --enddatetime 2017-04-10T08:38:15 --enforcementcount 0 &gt;&gt;C:\Users\stu\Documents\GitHub\eaglep3-reporting\EC\2017-04-10-refined-times.txt</v>
      </c>
      <c r="AI47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{"issue":{"subject":"","project_id":79,"tracker_id":40,"status_id":1,"priority_id":2,"assigned_to_id":23,"start_date":"2017-04-10","description":"","custom_fields":[{"id":1,"name":"Subdivision","value":"EC"},{"id":4,"name":"Milepost","value":"23.3325"},{"id":17,"name":"Train ID","value":"135-10"},{"id":16,"name":"Locomotive ID","value":"4020"},{"id":130,"name":"Impact","value":""},{"id":150,"name":"Time of Event (Mountain Time)","value":"08:38:15"},{"id":151,"name":"Denver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4020 --day 2017-04-10</v>
      </c>
      <c r="AN47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702</v>
      </c>
      <c r="B48" s="7">
        <v>4019</v>
      </c>
      <c r="C48" s="21" t="s">
        <v>215</v>
      </c>
      <c r="D48" s="21" t="s">
        <v>858</v>
      </c>
      <c r="E48" s="13">
        <v>42835.370416666665</v>
      </c>
      <c r="F48" s="13">
        <v>42835.372569444444</v>
      </c>
      <c r="G48" s="7">
        <v>0</v>
      </c>
      <c r="H48" s="21" t="s">
        <v>557</v>
      </c>
      <c r="I48" s="13">
        <v>42835.401273148149</v>
      </c>
      <c r="J48" s="7">
        <v>0</v>
      </c>
      <c r="K48" s="97" t="str">
        <f t="shared" si="0"/>
        <v>4019/4020</v>
      </c>
      <c r="L48" s="21" t="str">
        <f>VLOOKUP(A48,'Trips&amp;Operators'!$C$1:$G$99999,5,FALSE)</f>
        <v>BONDS REYNALDO</v>
      </c>
      <c r="M48" s="6">
        <f t="shared" si="1"/>
        <v>2.8703703705104999E-2</v>
      </c>
      <c r="N48" s="7">
        <f t="shared" si="23"/>
        <v>41.333333335351199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-10T07:53:24-0600',mode:absolute,to:'2017-04-10T10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83" t="str">
        <f t="shared" si="6"/>
        <v>N</v>
      </c>
      <c r="X48" s="183">
        <f t="shared" si="24"/>
        <v>1</v>
      </c>
      <c r="Y48" s="62">
        <f t="shared" si="25"/>
        <v>23.299800000000001</v>
      </c>
      <c r="Z48" s="62">
        <f t="shared" si="26"/>
        <v>1.4999999999999999E-2</v>
      </c>
      <c r="AA48" s="62">
        <f t="shared" si="10"/>
        <v>23.284800000000001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0136-10</v>
      </c>
      <c r="AE48" s="85" t="str">
        <f t="shared" si="12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48" s="82" t="str">
        <f t="shared" si="13"/>
        <v>"C:\Program Files (x86)\AstroGrep\AstroGrep.exe" /e /r /s /spath="%USERPROFILE%\AppData\Local\Temp\OnboardLogs" /stypes="app*4019*20170410*"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136-10 --locoid 4019 --swversion DE.1.0.9.0 --startMP 204:232998 --initTime 2017-04-10T08:53:24 --startdatetime 2017-04-10T08:56:30 --delay 0 --endMP 204:150 --enddatetime 2017-04-10T09:37:50 --enforcementcount 0 &gt;&gt;C:\Users\stu\Documents\GitHub\eaglep3-reporting\EC\2017-04-10-refined-times.txt</v>
      </c>
      <c r="AI48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{"issue":{"subject":"","project_id":79,"tracker_id":40,"status_id":1,"priority_id":2,"assigned_to_id":23,"start_date":"2017-04-10","description":"","custom_fields":[{"id":1,"name":"Subdivision","value":"EC"},{"id":4,"name":"Milepost","value":"0.015"},{"id":17,"name":"Train ID","value":"136-10"},{"id":16,"name":"Locomotive ID","value":"4019"},{"id":130,"name":"Impact","value":""},{"id":150,"name":"Time of Event (Mountain Time)","value":"09:37:50"},{"id":151,"name":"Denver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4019 --day 2017-04-10</v>
      </c>
      <c r="AN48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696</v>
      </c>
      <c r="B49" s="7">
        <v>4016</v>
      </c>
      <c r="C49" s="21" t="s">
        <v>215</v>
      </c>
      <c r="D49" s="21" t="s">
        <v>414</v>
      </c>
      <c r="E49" s="13">
        <v>42835.340300925927</v>
      </c>
      <c r="F49" s="13">
        <v>42835.343912037039</v>
      </c>
      <c r="G49" s="7">
        <v>1</v>
      </c>
      <c r="H49" s="21" t="s">
        <v>495</v>
      </c>
      <c r="I49" s="13">
        <v>42835.368645833332</v>
      </c>
      <c r="J49" s="7">
        <v>0</v>
      </c>
      <c r="K49" s="97" t="str">
        <f t="shared" si="0"/>
        <v>4015/4016</v>
      </c>
      <c r="L49" s="21" t="str">
        <f>VLOOKUP(A49,'Trips&amp;Operators'!$C$1:$G$99999,5,FALSE)</f>
        <v>SHOOK JOHN</v>
      </c>
      <c r="M49" s="6">
        <f t="shared" si="1"/>
        <v>2.4733796293730848E-2</v>
      </c>
      <c r="N49" s="7">
        <f t="shared" si="23"/>
        <v>35.61666666297242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-10T07:10:02-0600',mode:absolute,to:'2017-04-10T09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83" t="str">
        <f t="shared" si="6"/>
        <v>N</v>
      </c>
      <c r="X49" s="183">
        <f t="shared" si="24"/>
        <v>1</v>
      </c>
      <c r="Y49" s="62">
        <f t="shared" si="25"/>
        <v>4.6199999999999998E-2</v>
      </c>
      <c r="Z49" s="62">
        <f t="shared" si="26"/>
        <v>23.330500000000001</v>
      </c>
      <c r="AA49" s="62">
        <f t="shared" si="10"/>
        <v>23.284300000000002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0137-10</v>
      </c>
      <c r="AE49" s="85" t="str">
        <f t="shared" si="12"/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49" s="82" t="str">
        <f t="shared" si="13"/>
        <v>"C:\Program Files (x86)\AstroGrep\AstroGrep.exe" /e /r /s /spath="%USERPROFILE%\AppData\Local\Temp\OnboardLogs" /stypes="app*4016*20170410*"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137-10 --locoid 4016 --swversion DE.1.0.9.0 --startMP 204:462 --initTime 2017-04-10T08:10:02 --startdatetime 2017-04-10T08:15:14 --delay 1 --endMP 204:233305 --enddatetime 2017-04-10T08:50:51 --enforcementcount 0 &gt;&gt;C:\Users\stu\Documents\GitHub\eaglep3-reporting\EC\2017-04-10-refined-times.txt</v>
      </c>
      <c r="AI49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{"issue":{"subject":"","project_id":79,"tracker_id":40,"status_id":1,"priority_id":2,"assigned_to_id":23,"start_date":"2017-04-10","description":"","custom_fields":[{"id":1,"name":"Subdivision","value":"EC"},{"id":4,"name":"Milepost","value":"23.3305"},{"id":17,"name":"Train ID","value":"137-10"},{"id":16,"name":"Locomotive ID","value":"4016"},{"id":130,"name":"Impact","value":""},{"id":150,"name":"Time of Event (Mountain Time)","value":"08:50:51"},{"id":151,"name":"Denver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4016 --day 2017-04-10</v>
      </c>
      <c r="AN49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703</v>
      </c>
      <c r="B50" s="7">
        <v>4015</v>
      </c>
      <c r="C50" s="21" t="s">
        <v>215</v>
      </c>
      <c r="D50" s="21" t="s">
        <v>858</v>
      </c>
      <c r="E50" s="13">
        <v>42835.370520833334</v>
      </c>
      <c r="F50" s="13">
        <v>42835.382789351854</v>
      </c>
      <c r="G50" s="7">
        <v>0</v>
      </c>
      <c r="H50" s="21" t="s">
        <v>203</v>
      </c>
      <c r="I50" s="13">
        <v>42835.413321759261</v>
      </c>
      <c r="J50" s="7">
        <v>0</v>
      </c>
      <c r="K50" s="97" t="str">
        <f t="shared" si="0"/>
        <v>4015/4016</v>
      </c>
      <c r="L50" s="21" t="str">
        <f>VLOOKUP(A50,'Trips&amp;Operators'!$C$1:$G$99999,5,FALSE)</f>
        <v>SHOOK JOHN</v>
      </c>
      <c r="M50" s="6">
        <f t="shared" si="1"/>
        <v>3.0532407407008577E-2</v>
      </c>
      <c r="N50" s="7">
        <f t="shared" si="23"/>
        <v>43.966666666092351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-10T07:53:33-0600',mode:absolute,to:'2017-04-10T10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83" t="str">
        <f t="shared" si="6"/>
        <v>N</v>
      </c>
      <c r="X50" s="183">
        <f t="shared" si="24"/>
        <v>1</v>
      </c>
      <c r="Y50" s="62">
        <f t="shared" si="25"/>
        <v>23.299800000000001</v>
      </c>
      <c r="Z50" s="62">
        <f t="shared" si="26"/>
        <v>1.54E-2</v>
      </c>
      <c r="AA50" s="62">
        <f t="shared" si="10"/>
        <v>23.284400000000002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0138-10</v>
      </c>
      <c r="AE50" s="85" t="str">
        <f t="shared" si="12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50" s="82" t="str">
        <f t="shared" si="13"/>
        <v>"C:\Program Files (x86)\AstroGrep\AstroGrep.exe" /e /r /s /spath="%USERPROFILE%\AppData\Local\Temp\OnboardLogs" /stypes="app*4015*20170410*"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138-10 --locoid 4015 --swversion DE.1.0.9.0 --startMP 204:232998 --initTime 2017-04-10T08:53:33 --startdatetime 2017-04-10T09:11:13 --delay 0 --endMP 204:154 --enddatetime 2017-04-10T09:55:11 --enforcementcount 0 &gt;&gt;C:\Users\stu\Documents\GitHub\eaglep3-reporting\EC\2017-04-10-refined-times.txt</v>
      </c>
      <c r="AI50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ID","value":"138-10"},{"id":16,"name":"Locomotive ID","value":"4015"},{"id":130,"name":"Impact","value":""},{"id":150,"name":"Time of Event (Mountain Time)","value":"09:55:11"},{"id":151,"name":"Denver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4015 --day 2017-04-10</v>
      </c>
      <c r="AN50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698</v>
      </c>
      <c r="B51" s="7">
        <v>4042</v>
      </c>
      <c r="C51" s="21" t="s">
        <v>215</v>
      </c>
      <c r="D51" s="21" t="s">
        <v>430</v>
      </c>
      <c r="E51" s="13">
        <v>42835.348124999997</v>
      </c>
      <c r="F51" s="13">
        <v>42835.354375000003</v>
      </c>
      <c r="G51" s="7">
        <v>0</v>
      </c>
      <c r="H51" s="21" t="s">
        <v>503</v>
      </c>
      <c r="I51" s="13">
        <v>42835.379560185182</v>
      </c>
      <c r="J51" s="7">
        <v>0</v>
      </c>
      <c r="K51" s="97" t="str">
        <f t="shared" si="0"/>
        <v>4041/4042</v>
      </c>
      <c r="L51" s="21" t="str">
        <f>VLOOKUP(A51,'Trips&amp;Operators'!$C$1:$G$99999,5,FALSE)</f>
        <v>YORK EDGAR</v>
      </c>
      <c r="M51" s="6">
        <f t="shared" si="1"/>
        <v>2.5185185178997926E-2</v>
      </c>
      <c r="N51" s="7">
        <f t="shared" si="23"/>
        <v>36.266666657757014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-10T07:21:18-0600',mode:absolute,to:'2017-04-10T10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83" t="str">
        <f t="shared" si="6"/>
        <v>N</v>
      </c>
      <c r="X51" s="183">
        <f t="shared" si="24"/>
        <v>1</v>
      </c>
      <c r="Y51" s="62">
        <f t="shared" si="25"/>
        <v>4.58E-2</v>
      </c>
      <c r="Z51" s="62">
        <f t="shared" si="26"/>
        <v>23.330200000000001</v>
      </c>
      <c r="AA51" s="62">
        <f t="shared" si="10"/>
        <v>23.284400000000002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0139-10</v>
      </c>
      <c r="AE51" s="85" t="str">
        <f t="shared" si="12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51" s="82" t="str">
        <f t="shared" si="13"/>
        <v>"C:\Program Files (x86)\AstroGrep\AstroGrep.exe" /e /r /s /spath="%USERPROFILE%\AppData\Local\Temp\OnboardLogs" /stypes="app*4042*20170410*"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139-10 --locoid 4042 --swversion DE.1.0.9.0 --startMP 204:458 --initTime 2017-04-10T08:21:18 --startdatetime 2017-04-10T08:30:18 --delay 0 --endMP 204:233302 --enddatetime 2017-04-10T09:06:34 --enforcementcount 0 &gt;&gt;C:\Users\stu\Documents\GitHub\eaglep3-reporting\EC\2017-04-10-refined-times.txt</v>
      </c>
      <c r="AI51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{"issue":{"subject":"","project_id":79,"tracker_id":40,"status_id":1,"priority_id":2,"assigned_to_id":23,"start_date":"2017-04-10","description":"","custom_fields":[{"id":1,"name":"Subdivision","value":"EC"},{"id":4,"name":"Milepost","value":"23.3302"},{"id":17,"name":"Train ID","value":"139-10"},{"id":16,"name":"Locomotive ID","value":"4042"},{"id":130,"name":"Impact","value":""},{"id":150,"name":"Time of Event (Mountain Time)","value":"09:06:34"},{"id":151,"name":"Denver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4042 --day 2017-04-10</v>
      </c>
      <c r="AN51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706</v>
      </c>
      <c r="B52" s="7">
        <v>4041</v>
      </c>
      <c r="C52" s="21" t="s">
        <v>215</v>
      </c>
      <c r="D52" s="21" t="s">
        <v>859</v>
      </c>
      <c r="E52" s="13">
        <v>42835.380266203705</v>
      </c>
      <c r="F52" s="13">
        <v>42835.393379629626</v>
      </c>
      <c r="G52" s="7">
        <v>0</v>
      </c>
      <c r="H52" s="21" t="s">
        <v>580</v>
      </c>
      <c r="I52" s="13">
        <v>42835.420023148145</v>
      </c>
      <c r="J52" s="7">
        <v>0</v>
      </c>
      <c r="K52" s="97" t="str">
        <f t="shared" si="0"/>
        <v>4041/4042</v>
      </c>
      <c r="L52" s="21" t="str">
        <f>VLOOKUP(A52,'Trips&amp;Operators'!$C$1:$G$99999,5,FALSE)</f>
        <v>YORK EDGAR</v>
      </c>
      <c r="M52" s="6">
        <f t="shared" si="1"/>
        <v>2.6643518518540077E-2</v>
      </c>
      <c r="N52" s="7">
        <f t="shared" si="23"/>
        <v>38.366666666697711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-10T08:07:35-0600',mode:absolute,to:'2017-04-10T11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83" t="str">
        <f t="shared" si="6"/>
        <v>N</v>
      </c>
      <c r="X52" s="183">
        <f t="shared" si="24"/>
        <v>1</v>
      </c>
      <c r="Y52" s="62">
        <f t="shared" si="25"/>
        <v>23.297599999999999</v>
      </c>
      <c r="Z52" s="62">
        <f t="shared" si="26"/>
        <v>1.7000000000000001E-2</v>
      </c>
      <c r="AA52" s="62">
        <f t="shared" si="10"/>
        <v>23.2806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0140-10</v>
      </c>
      <c r="AE52" s="85" t="str">
        <f t="shared" si="12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52" s="82" t="str">
        <f t="shared" si="13"/>
        <v>"C:\Program Files (x86)\AstroGrep\AstroGrep.exe" /e /r /s /spath="%USERPROFILE%\AppData\Local\Temp\OnboardLogs" /stypes="app*4041*20170410*"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140-10 --locoid 4041 --swversion DE.1.0.9.0 --startMP 204:232976 --initTime 2017-04-10T09:07:35 --startdatetime 2017-04-10T09:26:28 --delay 0 --endMP 204:170 --enddatetime 2017-04-10T10:04:50 --enforcementcount 0 &gt;&gt;C:\Users\stu\Documents\GitHub\eaglep3-reporting\EC\2017-04-10-refined-times.txt</v>
      </c>
      <c r="AI52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{"issue":{"subject":"","project_id":79,"tracker_id":40,"status_id":1,"priority_id":2,"assigned_to_id":23,"start_date":"2017-04-10","description":"","custom_fields":[{"id":1,"name":"Subdivision","value":"EC"},{"id":4,"name":"Milepost","value":"0.017"},{"id":17,"name":"Train ID","value":"140-10"},{"id":16,"name":"Locomotive ID","value":"4041"},{"id":130,"name":"Impact","value":""},{"id":150,"name":"Time of Event (Mountain Time)","value":"10:04:50"},{"id":151,"name":"Denver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4041 --day 2017-04-10</v>
      </c>
      <c r="AN52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611</v>
      </c>
      <c r="B53" s="7">
        <v>4014</v>
      </c>
      <c r="C53" s="21" t="s">
        <v>215</v>
      </c>
      <c r="D53" s="21" t="s">
        <v>393</v>
      </c>
      <c r="E53" s="13">
        <v>42835.361145833333</v>
      </c>
      <c r="F53" s="13">
        <v>42835.364849537036</v>
      </c>
      <c r="G53" s="7">
        <v>1</v>
      </c>
      <c r="H53" s="21" t="s">
        <v>495</v>
      </c>
      <c r="I53" s="13">
        <v>42835.390196759261</v>
      </c>
      <c r="J53" s="7">
        <v>0</v>
      </c>
      <c r="K53" s="97" t="str">
        <f t="shared" si="0"/>
        <v>4013/4014</v>
      </c>
      <c r="L53" s="21" t="str">
        <f>VLOOKUP(A53,'Trips&amp;Operators'!$C$1:$G$99999,5,FALSE)</f>
        <v>MAYBERRY BILL</v>
      </c>
      <c r="M53" s="6">
        <f t="shared" si="1"/>
        <v>2.5347222224809229E-2</v>
      </c>
      <c r="N53" s="7">
        <f t="shared" si="23"/>
        <v>36.50000000372529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-10T07:40:03-0600',mode:absolute,to:'2017-04-10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183" t="str">
        <f t="shared" si="6"/>
        <v>N</v>
      </c>
      <c r="X53" s="183">
        <f t="shared" si="24"/>
        <v>1</v>
      </c>
      <c r="Y53" s="62">
        <f t="shared" si="25"/>
        <v>4.4900000000000002E-2</v>
      </c>
      <c r="Z53" s="62">
        <f t="shared" si="26"/>
        <v>23.330500000000001</v>
      </c>
      <c r="AA53" s="62">
        <f t="shared" si="10"/>
        <v>23.285600000000002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0141-10</v>
      </c>
      <c r="AE53" s="85" t="str">
        <f t="shared" si="12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53" s="82" t="str">
        <f t="shared" si="13"/>
        <v>"C:\Program Files (x86)\AstroGrep\AstroGrep.exe" /e /r /s /spath="%USERPROFILE%\AppData\Local\Temp\OnboardLogs" /stypes="app*4014*20170410*"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141-10 --locoid 4014 --swversion DE.1.0.9.0 --startMP 204:449 --initTime 2017-04-10T08:40:03 --startdatetime 2017-04-10T08:45:23 --delay 1 --endMP 204:233305 --enddatetime 2017-04-10T09:21:53 --enforcementcount 0 &gt;&gt;C:\Users\stu\Documents\GitHub\eaglep3-reporting\EC\2017-04-10-refined-times.txt</v>
      </c>
      <c r="AI53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{"issue":{"subject":"","project_id":79,"tracker_id":40,"status_id":1,"priority_id":2,"assigned_to_id":23,"start_date":"2017-04-10","description":"","custom_fields":[{"id":1,"name":"Subdivision","value":"EC"},{"id":4,"name":"Milepost","value":"23.3305"},{"id":17,"name":"Train ID","value":"141-10"},{"id":16,"name":"Locomotive ID","value":"4014"},{"id":130,"name":"Impact","value":""},{"id":150,"name":"Time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4014 --day 2017-04-10</v>
      </c>
      <c r="AN53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711</v>
      </c>
      <c r="B54" s="7">
        <v>4013</v>
      </c>
      <c r="C54" s="21" t="s">
        <v>215</v>
      </c>
      <c r="D54" s="21" t="s">
        <v>556</v>
      </c>
      <c r="E54" s="13">
        <v>42835.396423611113</v>
      </c>
      <c r="F54" s="13">
        <v>42835.403715277775</v>
      </c>
      <c r="G54" s="7">
        <v>1</v>
      </c>
      <c r="H54" s="21" t="s">
        <v>860</v>
      </c>
      <c r="I54" s="13">
        <v>42835.431192129632</v>
      </c>
      <c r="J54" s="7">
        <v>0</v>
      </c>
      <c r="K54" s="97" t="str">
        <f t="shared" si="0"/>
        <v>4013/4014</v>
      </c>
      <c r="L54" s="21" t="str">
        <f>VLOOKUP(A54,'Trips&amp;Operators'!$C$1:$G$99999,5,FALSE)</f>
        <v>MAYBERRY BILL</v>
      </c>
      <c r="M54" s="6">
        <f t="shared" si="1"/>
        <v>2.7476851857500151E-2</v>
      </c>
      <c r="N54" s="7">
        <f t="shared" si="23"/>
        <v>39.566666674800217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-10T08:30:51-0600',mode:absolute,to:'2017-04-10T11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183" t="str">
        <f t="shared" si="6"/>
        <v>N</v>
      </c>
      <c r="X54" s="183">
        <f t="shared" si="24"/>
        <v>1</v>
      </c>
      <c r="Y54" s="62">
        <f t="shared" si="25"/>
        <v>23.298200000000001</v>
      </c>
      <c r="Z54" s="62">
        <f t="shared" si="26"/>
        <v>1.43E-2</v>
      </c>
      <c r="AA54" s="62">
        <f t="shared" si="10"/>
        <v>23.283900000000003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0142-10</v>
      </c>
      <c r="AE54" s="85" t="str">
        <f t="shared" si="12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54" s="82" t="str">
        <f t="shared" si="13"/>
        <v>"C:\Program Files (x86)\AstroGrep\AstroGrep.exe" /e /r /s /spath="%USERPROFILE%\AppData\Local\Temp\OnboardLogs" /stypes="app*4013*20170410*"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142-10 --locoid 4013 --swversion DE.1.0.9.0 --startMP 204:232982 --initTime 2017-04-10T09:30:51 --startdatetime 2017-04-10T09:41:21 --delay 1 --endMP 204:143 --enddatetime 2017-04-10T10:20:55 --enforcementcount 0 &gt;&gt;C:\Users\stu\Documents\GitHub\eaglep3-reporting\EC\2017-04-10-refined-times.txt</v>
      </c>
      <c r="AI54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ID","value":"142-10"},{"id":16,"name":"Locomotive ID","value":"4013"},{"id":130,"name":"Impact","value":""},{"id":150,"name":"Time of Event (Mountain Time)","value":"10:20:55"},{"id":151,"name":"Denver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4013 --day 2017-04-10</v>
      </c>
      <c r="AN54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705</v>
      </c>
      <c r="B55" s="7">
        <v>4054</v>
      </c>
      <c r="C55" s="21" t="s">
        <v>215</v>
      </c>
      <c r="D55" s="21" t="s">
        <v>504</v>
      </c>
      <c r="E55" s="13">
        <v>42835.372650462959</v>
      </c>
      <c r="F55" s="13">
        <v>42835.375289351854</v>
      </c>
      <c r="G55" s="7">
        <v>1</v>
      </c>
      <c r="H55" s="21" t="s">
        <v>417</v>
      </c>
      <c r="I55" s="13">
        <v>42835.401550925926</v>
      </c>
      <c r="J55" s="7">
        <v>0</v>
      </c>
      <c r="K55" s="97" t="str">
        <f t="shared" si="0"/>
        <v>4053/4054</v>
      </c>
      <c r="L55" s="21" t="str">
        <f>VLOOKUP(A55,'Trips&amp;Operators'!$C$1:$G$99999,5,FALSE)</f>
        <v>WILLIAMS DONTE</v>
      </c>
      <c r="M55" s="6">
        <f t="shared" si="1"/>
        <v>2.626157407212304E-2</v>
      </c>
      <c r="N55" s="7">
        <f t="shared" si="23"/>
        <v>37.816666663857177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-10T07:56:37-0600',mode:absolute,to:'2017-04-10T10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83" t="str">
        <f t="shared" si="6"/>
        <v>N</v>
      </c>
      <c r="X55" s="183">
        <f t="shared" si="24"/>
        <v>1</v>
      </c>
      <c r="Y55" s="62">
        <f t="shared" si="25"/>
        <v>4.6399999999999997E-2</v>
      </c>
      <c r="Z55" s="62">
        <f t="shared" si="26"/>
        <v>23.3308</v>
      </c>
      <c r="AA55" s="62">
        <f t="shared" si="10"/>
        <v>23.284400000000002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0143-10</v>
      </c>
      <c r="AE55" s="85" t="str">
        <f t="shared" si="12"/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55" s="82" t="str">
        <f t="shared" si="13"/>
        <v>"C:\Program Files (x86)\AstroGrep\AstroGrep.exe" /e /r /s /spath="%USERPROFILE%\AppData\Local\Temp\OnboardLogs" /stypes="app*4054*20170410*"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143-10 --locoid 4054 --swversion DE.1.0.9.0 --startMP 204:464 --initTime 2017-04-10T08:56:37 --startdatetime 2017-04-10T09:00:25 --delay 1 --endMP 204:233308 --enddatetime 2017-04-10T09:38:14 --enforcementcount 0 &gt;&gt;C:\Users\stu\Documents\GitHub\eaglep3-reporting\EC\2017-04-10-refined-times.txt</v>
      </c>
      <c r="AI55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{"issue":{"subject":"","project_id":79,"tracker_id":40,"status_id":1,"priority_id":2,"assigned_to_id":23,"start_date":"2017-04-10","description":"","custom_fields":[{"id":1,"name":"Subdivision","value":"EC"},{"id":4,"name":"Milepost","value":"23.3308"},{"id":17,"name":"Train ID","value":"143-10"},{"id":16,"name":"Locomotive ID","value":"4054"},{"id":130,"name":"Impact","value":""},{"id":150,"name":"Time of Event (Mountain Time)","value":"09:38:14"},{"id":151,"name":"Denver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4054 --day 2017-04-10</v>
      </c>
      <c r="AN55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613</v>
      </c>
      <c r="B56" s="7">
        <v>4053</v>
      </c>
      <c r="C56" s="21" t="s">
        <v>215</v>
      </c>
      <c r="D56" s="21" t="s">
        <v>577</v>
      </c>
      <c r="E56" s="13">
        <v>42835.411076388889</v>
      </c>
      <c r="F56" s="13">
        <v>42835.414120370369</v>
      </c>
      <c r="G56" s="7">
        <v>1</v>
      </c>
      <c r="H56" s="21" t="s">
        <v>211</v>
      </c>
      <c r="I56" s="13">
        <v>42835.441874999997</v>
      </c>
      <c r="J56" s="7">
        <v>0</v>
      </c>
      <c r="K56" s="97" t="str">
        <f t="shared" si="0"/>
        <v>4053/4054</v>
      </c>
      <c r="L56" s="21" t="str">
        <f>VLOOKUP(A56,'Trips&amp;Operators'!$C$1:$G$99999,5,FALSE)</f>
        <v>WILLIAMS DONTE</v>
      </c>
      <c r="M56" s="6">
        <f t="shared" si="1"/>
        <v>2.7754629627452232E-2</v>
      </c>
      <c r="N56" s="7">
        <f t="shared" si="23"/>
        <v>39.966666663531214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83" t="str">
        <f t="shared" si="6"/>
        <v>N</v>
      </c>
      <c r="X56" s="183">
        <f t="shared" si="24"/>
        <v>1</v>
      </c>
      <c r="Y56" s="62">
        <f t="shared" si="25"/>
        <v>23.3</v>
      </c>
      <c r="Z56" s="62">
        <f t="shared" si="26"/>
        <v>1.5599999999999999E-2</v>
      </c>
      <c r="AA56" s="62">
        <f t="shared" si="10"/>
        <v>23.284400000000002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0144-10</v>
      </c>
      <c r="AE56" s="85" t="str">
        <f t="shared" si="12"/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56" s="82" t="str">
        <f t="shared" si="13"/>
        <v>"C:\Program Files (x86)\AstroGrep\AstroGrep.exe" /e /r /s /spath="%USERPROFILE%\AppData\Local\Temp\OnboardLogs" /stypes="app*4053*20170410*"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144-10 --locoid 4053 --swversion DE.1.0.9.0 --startMP 204:233000 --initTime 2017-04-10T09:51:57 --startdatetime 2017-04-10T09:56:20 --delay 1 --endMP 204:156 --enddatetime 2017-04-10T10:36:18 --enforcementcount 0 &gt;&gt;C:\Users\stu\Documents\GitHub\eaglep3-reporting\EC\2017-04-10-refined-times.txt</v>
      </c>
      <c r="AI56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ID","value":"144-10"},{"id":16,"name":"Locomotive ID","value":"4053"},{"id":130,"name":"Impact","value":""},{"id":150,"name":"Time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4053 --day 2017-04-10</v>
      </c>
      <c r="AN56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707</v>
      </c>
      <c r="B57" s="7">
        <v>4026</v>
      </c>
      <c r="C57" s="21" t="s">
        <v>215</v>
      </c>
      <c r="D57" s="21" t="s">
        <v>554</v>
      </c>
      <c r="E57" s="13">
        <v>42835.38175925926</v>
      </c>
      <c r="F57" s="13">
        <v>42835.386076388888</v>
      </c>
      <c r="G57" s="7">
        <v>2</v>
      </c>
      <c r="H57" s="21" t="s">
        <v>560</v>
      </c>
      <c r="I57" s="13">
        <v>42835.411724537036</v>
      </c>
      <c r="J57" s="7">
        <v>0</v>
      </c>
      <c r="K57" s="97" t="str">
        <f t="shared" si="0"/>
        <v>4025/4026</v>
      </c>
      <c r="L57" s="21" t="str">
        <f>VLOOKUP(A57,'Trips&amp;Operators'!$C$1:$G$99999,5,FALSE)</f>
        <v>YANG JAN</v>
      </c>
      <c r="M57" s="6">
        <f t="shared" si="1"/>
        <v>2.5648148148320615E-2</v>
      </c>
      <c r="N57" s="7">
        <f t="shared" si="23"/>
        <v>36.933333333581686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-10T08:09:44-0600',mode:absolute,to:'2017-04-10T10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183" t="str">
        <f t="shared" si="6"/>
        <v>N</v>
      </c>
      <c r="X57" s="183">
        <f t="shared" si="24"/>
        <v>1</v>
      </c>
      <c r="Y57" s="62">
        <f t="shared" si="25"/>
        <v>4.3799999999999999E-2</v>
      </c>
      <c r="Z57" s="62">
        <f t="shared" si="26"/>
        <v>23.327999999999999</v>
      </c>
      <c r="AA57" s="62">
        <f t="shared" si="10"/>
        <v>23.284199999999998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0145-10</v>
      </c>
      <c r="AE57" s="85" t="str">
        <f t="shared" si="12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57" s="82" t="str">
        <f t="shared" si="13"/>
        <v>"C:\Program Files (x86)\AstroGrep\AstroGrep.exe" /e /r /s /spath="%USERPROFILE%\AppData\Local\Temp\OnboardLogs" /stypes="app*4026*20170410*"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145-10 --locoid 4026 --swversion DE.1.0.9.0 --startMP 204:438 --initTime 2017-04-10T09:09:44 --startdatetime 2017-04-10T09:15:57 --delay 2 --endMP 204:233280 --enddatetime 2017-04-10T09:52:53 --enforcementcount 0 &gt;&gt;C:\Users\stu\Documents\GitHub\eaglep3-reporting\EC\2017-04-10-refined-times.txt</v>
      </c>
      <c r="AI57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{"issue":{"subject":"","project_id":79,"tracker_id":40,"status_id":1,"priority_id":2,"assigned_to_id":23,"start_date":"2017-04-10","description":"","custom_fields":[{"id":1,"name":"Subdivision","value":"EC"},{"id":4,"name":"Milepost","value":"23.328"},{"id":17,"name":"Train ID","value":"145-10"},{"id":16,"name":"Locomotive ID","value":"4026"},{"id":130,"name":"Impact","value":""},{"id":150,"name":"Time of Event (Mountain Time)","value":"09:52:53"},{"id":151,"name":"Denver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4026 --day 2017-04-10</v>
      </c>
      <c r="AN57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716</v>
      </c>
      <c r="B58" s="7">
        <v>4025</v>
      </c>
      <c r="C58" s="21" t="s">
        <v>215</v>
      </c>
      <c r="D58" s="21" t="s">
        <v>489</v>
      </c>
      <c r="E58" s="13">
        <v>42835.420023148145</v>
      </c>
      <c r="F58" s="13">
        <v>42835.424525462964</v>
      </c>
      <c r="G58" s="7">
        <v>2</v>
      </c>
      <c r="H58" s="21" t="s">
        <v>197</v>
      </c>
      <c r="I58" s="13">
        <v>42835.452581018515</v>
      </c>
      <c r="J58" s="7">
        <v>0</v>
      </c>
      <c r="K58" s="97" t="str">
        <f t="shared" si="0"/>
        <v>4025/4026</v>
      </c>
      <c r="L58" s="21" t="str">
        <f>VLOOKUP(A58,'Trips&amp;Operators'!$C$1:$G$99999,5,FALSE)</f>
        <v>YANG JAN</v>
      </c>
      <c r="M58" s="6">
        <f t="shared" si="1"/>
        <v>2.8055555550963618E-2</v>
      </c>
      <c r="N58" s="7">
        <f t="shared" si="23"/>
        <v>40.39999999338761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-10T09:04:50-0600',mode:absolute,to:'2017-04-10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83" t="str">
        <f t="shared" si="6"/>
        <v>N</v>
      </c>
      <c r="X58" s="183">
        <f t="shared" si="24"/>
        <v>1</v>
      </c>
      <c r="Y58" s="62">
        <f t="shared" si="25"/>
        <v>23.297799999999999</v>
      </c>
      <c r="Z58" s="62">
        <f t="shared" si="26"/>
        <v>1.52E-2</v>
      </c>
      <c r="AA58" s="62">
        <f t="shared" si="10"/>
        <v>23.282599999999999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0146-10</v>
      </c>
      <c r="AE58" s="85" t="str">
        <f t="shared" si="12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58" s="82" t="str">
        <f t="shared" si="13"/>
        <v>"C:\Program Files (x86)\AstroGrep\AstroGrep.exe" /e /r /s /spath="%USERPROFILE%\AppData\Local\Temp\OnboardLogs" /stypes="app*4025*20170410*"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146-10 --locoid 4025 --swversion DE.1.0.9.0 --startMP 204:232978 --initTime 2017-04-10T10:04:50 --startdatetime 2017-04-10T10:11:19 --delay 2 --endMP 204:152 --enddatetime 2017-04-10T10:51:43 --enforcementcount 0 &gt;&gt;C:\Users\stu\Documents\GitHub\eaglep3-reporting\EC\2017-04-10-refined-times.txt</v>
      </c>
      <c r="AI58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ID","value":"146-10"},{"id":16,"name":"Locomotive ID","value":"4025"},{"id":130,"name":"Impact","value":""},{"id":150,"name":"Time of Event (Mountain Time)","value":"10:51:43"},{"id":151,"name":"Denver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4025 --day 2017-04-10</v>
      </c>
      <c r="AN58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710</v>
      </c>
      <c r="B59" s="7">
        <v>4006</v>
      </c>
      <c r="C59" s="21" t="s">
        <v>215</v>
      </c>
      <c r="D59" s="21" t="s">
        <v>494</v>
      </c>
      <c r="E59" s="13">
        <v>42835.39340277778</v>
      </c>
      <c r="F59" s="13">
        <v>42835.395983796298</v>
      </c>
      <c r="G59" s="7">
        <v>1</v>
      </c>
      <c r="H59" s="21" t="s">
        <v>490</v>
      </c>
      <c r="I59" s="13">
        <v>42835.421724537038</v>
      </c>
      <c r="J59" s="7">
        <v>0</v>
      </c>
      <c r="K59" s="97" t="str">
        <f t="shared" si="0"/>
        <v>4005/4006</v>
      </c>
      <c r="L59" s="21" t="str">
        <f>VLOOKUP(A59,'Trips&amp;Operators'!$C$1:$G$99999,5,FALSE)</f>
        <v>STARKS ANGELINA</v>
      </c>
      <c r="M59" s="6">
        <f t="shared" si="1"/>
        <v>2.5740740740729962E-2</v>
      </c>
      <c r="N59" s="7">
        <f t="shared" si="23"/>
        <v>37.066666666651145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-10T08:26:30-0600',mode:absolute,to:'2017-04-10T11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183" t="str">
        <f t="shared" si="6"/>
        <v>N</v>
      </c>
      <c r="X59" s="183">
        <f t="shared" si="24"/>
        <v>1</v>
      </c>
      <c r="Y59" s="62">
        <f t="shared" si="25"/>
        <v>4.6699999999999998E-2</v>
      </c>
      <c r="Z59" s="62">
        <f t="shared" si="26"/>
        <v>23.328900000000001</v>
      </c>
      <c r="AA59" s="62">
        <f t="shared" si="10"/>
        <v>23.2822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0147-10</v>
      </c>
      <c r="AE59" s="85" t="str">
        <f t="shared" si="12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59" s="82" t="str">
        <f t="shared" si="13"/>
        <v>"C:\Program Files (x86)\AstroGrep\AstroGrep.exe" /e /r /s /spath="%USERPROFILE%\AppData\Local\Temp\OnboardLogs" /stypes="app*4006*20170410*"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147-10 --locoid 4006 --swversion DE.1.0.9.0 --startMP 204:467 --initTime 2017-04-10T09:26:30 --startdatetime 2017-04-10T09:30:13 --delay 1 --endMP 204:233289 --enddatetime 2017-04-10T10:07:17 --enforcementcount 0 &gt;&gt;C:\Users\stu\Documents\GitHub\eaglep3-reporting\EC\2017-04-10-refined-times.txt</v>
      </c>
      <c r="AI59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{"issue":{"subject":"","project_id":79,"tracker_id":40,"status_id":1,"priority_id":2,"assigned_to_id":23,"start_date":"2017-04-10","description":"","custom_fields":[{"id":1,"name":"Subdivision","value":"EC"},{"id":4,"name":"Milepost","value":"23.3289"},{"id":17,"name":"Train ID","value":"147-10"},{"id":16,"name":"Locomotive ID","value":"4006"},{"id":130,"name":"Impact","value":""},{"id":150,"name":"Time of Event (Mountain Time)","value":"10:07:17"},{"id":151,"name":"Denver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4006 --day 2017-04-10</v>
      </c>
      <c r="AN59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615</v>
      </c>
      <c r="B60" s="7">
        <v>4005</v>
      </c>
      <c r="C60" s="21" t="s">
        <v>215</v>
      </c>
      <c r="D60" s="21" t="s">
        <v>861</v>
      </c>
      <c r="E60" s="13">
        <v>42835.433564814812</v>
      </c>
      <c r="F60" s="13">
        <v>42835.435347222221</v>
      </c>
      <c r="G60" s="7">
        <v>2</v>
      </c>
      <c r="H60" s="21" t="s">
        <v>197</v>
      </c>
      <c r="I60" s="13">
        <v>42835.462800925925</v>
      </c>
      <c r="J60" s="7">
        <v>0</v>
      </c>
      <c r="K60" s="97" t="str">
        <f t="shared" si="0"/>
        <v>4005/4006</v>
      </c>
      <c r="L60" s="21" t="str">
        <f>VLOOKUP(A60,'Trips&amp;Operators'!$C$1:$G$99999,5,FALSE)</f>
        <v>STARKS ANGELINA</v>
      </c>
      <c r="M60" s="6">
        <f t="shared" si="1"/>
        <v>2.7453703703940846E-2</v>
      </c>
      <c r="N60" s="7">
        <f t="shared" si="23"/>
        <v>39.533333333674818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183" t="str">
        <f t="shared" si="6"/>
        <v>N</v>
      </c>
      <c r="X60" s="183">
        <f t="shared" si="24"/>
        <v>1</v>
      </c>
      <c r="Y60" s="62">
        <f t="shared" si="25"/>
        <v>23.256399999999999</v>
      </c>
      <c r="Z60" s="62">
        <f t="shared" si="26"/>
        <v>1.52E-2</v>
      </c>
      <c r="AA60" s="62">
        <f t="shared" si="10"/>
        <v>23.241199999999999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0148-10</v>
      </c>
      <c r="AE60" s="85" t="str">
        <f t="shared" si="12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60" s="82" t="str">
        <f t="shared" si="13"/>
        <v>"C:\Program Files (x86)\AstroGrep\AstroGrep.exe" /e /r /s /spath="%USERPROFILE%\AppData\Local\Temp\OnboardLogs" /stypes="app*4005*20170410*"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148-10 --locoid 4005 --swversion DE.1.0.9.0 --startMP 204:232564 --initTime 2017-04-10T10:24:20 --startdatetime 2017-04-10T10:26:54 --delay 2 --endMP 204:152 --enddatetime 2017-04-10T11:06:26 --enforcementcount 0 &gt;&gt;C:\Users\stu\Documents\GitHub\eaglep3-reporting\EC\2017-04-10-refined-times.txt</v>
      </c>
      <c r="AI60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ID","value":"148-10"},{"id":16,"name":"Locomotive ID","value":"4005"},{"id":130,"name":"Impact","value":""},{"id":150,"name":"Time of Event (Mountain Time)","value":"11:06:26"},{"id":151,"name":"Denver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4005 --day 2017-04-10</v>
      </c>
      <c r="AN60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713</v>
      </c>
      <c r="B61" s="7">
        <v>4020</v>
      </c>
      <c r="C61" s="21" t="s">
        <v>215</v>
      </c>
      <c r="D61" s="21" t="s">
        <v>393</v>
      </c>
      <c r="E61" s="13">
        <v>42835.403136574074</v>
      </c>
      <c r="F61" s="13">
        <v>42835.406724537039</v>
      </c>
      <c r="G61" s="7">
        <v>1</v>
      </c>
      <c r="H61" s="21" t="s">
        <v>501</v>
      </c>
      <c r="I61" s="13">
        <v>42835.432685185187</v>
      </c>
      <c r="J61" s="7">
        <v>0</v>
      </c>
      <c r="K61" s="97" t="str">
        <f t="shared" si="0"/>
        <v>4019/4020</v>
      </c>
      <c r="L61" s="21" t="str">
        <f>VLOOKUP(A61,'Trips&amp;Operators'!$C$1:$G$99999,5,FALSE)</f>
        <v>BONDS REYNALDO</v>
      </c>
      <c r="M61" s="6">
        <f t="shared" si="1"/>
        <v>2.5960648148611654E-2</v>
      </c>
      <c r="N61" s="7">
        <f t="shared" si="23"/>
        <v>37.383333334000781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-10T08:40:31-0600',mode:absolute,to:'2017-04-10T11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83" t="str">
        <f t="shared" si="6"/>
        <v>N</v>
      </c>
      <c r="X61" s="183">
        <f t="shared" si="24"/>
        <v>1</v>
      </c>
      <c r="Y61" s="62">
        <f t="shared" si="25"/>
        <v>4.4900000000000002E-2</v>
      </c>
      <c r="Z61" s="62">
        <f t="shared" si="26"/>
        <v>23.3278</v>
      </c>
      <c r="AA61" s="62">
        <f t="shared" si="10"/>
        <v>23.282900000000001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0149-10</v>
      </c>
      <c r="AE61" s="85" t="str">
        <f t="shared" si="12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61" s="82" t="str">
        <f t="shared" si="13"/>
        <v>"C:\Program Files (x86)\AstroGrep\AstroGrep.exe" /e /r /s /spath="%USERPROFILE%\AppData\Local\Temp\OnboardLogs" /stypes="app*4020*20170410*"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149-10 --locoid 4020 --swversion DE.1.0.9.0 --startMP 204:449 --initTime 2017-04-10T09:40:31 --startdatetime 2017-04-10T09:45:41 --delay 1 --endMP 204:233278 --enddatetime 2017-04-10T10:23:04 --enforcementcount 0 &gt;&gt;C:\Users\stu\Documents\GitHub\eaglep3-reporting\EC\2017-04-10-refined-times.txt</v>
      </c>
      <c r="AI61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{"issue":{"subject":"","project_id":79,"tracker_id":40,"status_id":1,"priority_id":2,"assigned_to_id":23,"start_date":"2017-04-10","description":"","custom_fields":[{"id":1,"name":"Subdivision","value":"EC"},{"id":4,"name":"Milepost","value":"23.3278"},{"id":17,"name":"Train ID","value":"149-10"},{"id":16,"name":"Locomotive ID","value":"4020"},{"id":130,"name":"Impact","value":""},{"id":150,"name":"Time of Event (Mountain Time)","value":"10:23:04"},{"id":151,"name":"Denver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4020 --day 2017-04-10</v>
      </c>
      <c r="AN61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722</v>
      </c>
      <c r="B62" s="7">
        <v>4019</v>
      </c>
      <c r="C62" s="21" t="s">
        <v>215</v>
      </c>
      <c r="D62" s="21" t="s">
        <v>855</v>
      </c>
      <c r="E62" s="13">
        <v>42835.442824074074</v>
      </c>
      <c r="F62" s="13">
        <v>42835.4455787037</v>
      </c>
      <c r="G62" s="7">
        <v>1</v>
      </c>
      <c r="H62" s="21" t="s">
        <v>860</v>
      </c>
      <c r="I62" s="13">
        <v>42835.473379629628</v>
      </c>
      <c r="J62" s="7">
        <v>0</v>
      </c>
      <c r="K62" s="97" t="str">
        <f t="shared" si="0"/>
        <v>4019/4020</v>
      </c>
      <c r="L62" s="21" t="str">
        <f>VLOOKUP(A62,'Trips&amp;Operators'!$C$1:$G$99999,5,FALSE)</f>
        <v>BONDS REYNALDO</v>
      </c>
      <c r="M62" s="6">
        <f t="shared" si="1"/>
        <v>2.7800925927294884E-2</v>
      </c>
      <c r="N62" s="7">
        <f t="shared" si="23"/>
        <v>40.033333335304633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-10T09:37:40-0600',mode:absolute,to:'2017-04-10T12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83" t="str">
        <f t="shared" si="6"/>
        <v>N</v>
      </c>
      <c r="X62" s="183">
        <f t="shared" si="24"/>
        <v>1</v>
      </c>
      <c r="Y62" s="62">
        <f t="shared" si="25"/>
        <v>23.2988</v>
      </c>
      <c r="Z62" s="62">
        <f t="shared" si="26"/>
        <v>1.43E-2</v>
      </c>
      <c r="AA62" s="62">
        <f t="shared" si="10"/>
        <v>23.284500000000001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0150-10</v>
      </c>
      <c r="AE62" s="85" t="str">
        <f t="shared" si="12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62" s="82" t="str">
        <f t="shared" si="13"/>
        <v>"C:\Program Files (x86)\AstroGrep\AstroGrep.exe" /e /r /s /spath="%USERPROFILE%\AppData\Local\Temp\OnboardLogs" /stypes="app*4019*20170410*"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150-10 --locoid 4019 --swversion DE.1.0.9.0 --startMP 204:232988 --initTime 2017-04-10T10:37:40 --startdatetime 2017-04-10T10:41:38 --delay 1 --endMP 204:143 --enddatetime 2017-04-10T11:21:40 --enforcementcount 0 &gt;&gt;C:\Users\stu\Documents\GitHub\eaglep3-reporting\EC\2017-04-10-refined-times.txt</v>
      </c>
      <c r="AI62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ID","value":"150-10"},{"id":16,"name":"Locomotive ID","value":"4019"},{"id":130,"name":"Impact","value":""},{"id":150,"name":"Time of Event (Mountain Time)","value":"11:21:40"},{"id":151,"name":"Denver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4019 --day 2017-04-10</v>
      </c>
      <c r="AN62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714</v>
      </c>
      <c r="B63" s="7">
        <v>4016</v>
      </c>
      <c r="C63" s="21" t="s">
        <v>215</v>
      </c>
      <c r="D63" s="21" t="s">
        <v>862</v>
      </c>
      <c r="E63" s="13">
        <v>42835.414571759262</v>
      </c>
      <c r="F63" s="13">
        <v>42835.41684027778</v>
      </c>
      <c r="G63" s="7">
        <v>1</v>
      </c>
      <c r="H63" s="21" t="s">
        <v>863</v>
      </c>
      <c r="I63" s="13">
        <v>42835.442094907405</v>
      </c>
      <c r="J63" s="7">
        <v>0</v>
      </c>
      <c r="K63" s="97" t="str">
        <f t="shared" si="0"/>
        <v>4015/4016</v>
      </c>
      <c r="L63" s="21" t="str">
        <f>VLOOKUP(A63,'Trips&amp;Operators'!$C$1:$G$99999,5,FALSE)</f>
        <v>SHOOK JOHN</v>
      </c>
      <c r="M63" s="6">
        <f t="shared" si="1"/>
        <v>2.5254629625123926E-2</v>
      </c>
      <c r="N63" s="7">
        <f t="shared" si="23"/>
        <v>36.366666660178453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-10T08:56:59-0600',mode:absolute,to:'2017-04-10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3" t="str">
        <f t="shared" si="6"/>
        <v>N</v>
      </c>
      <c r="X63" s="183">
        <f t="shared" si="24"/>
        <v>1</v>
      </c>
      <c r="Y63" s="62">
        <f t="shared" si="25"/>
        <v>4.4400000000000002E-2</v>
      </c>
      <c r="Z63" s="62">
        <f t="shared" si="26"/>
        <v>23.333100000000002</v>
      </c>
      <c r="AA63" s="62">
        <f t="shared" si="10"/>
        <v>23.288700000000002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0151-10</v>
      </c>
      <c r="AE63" s="85" t="str">
        <f t="shared" si="12"/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63" s="82" t="str">
        <f t="shared" si="13"/>
        <v>"C:\Program Files (x86)\AstroGrep\AstroGrep.exe" /e /r /s /spath="%USERPROFILE%\AppData\Local\Temp\OnboardLogs" /stypes="app*4016*20170410*"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151-10 --locoid 4016 --swversion DE.1.0.9.0 --startMP 204:444 --initTime 2017-04-10T09:56:59 --startdatetime 2017-04-10T10:00:15 --delay 1 --endMP 204:233331 --enddatetime 2017-04-10T10:36:37 --enforcementcount 0 &gt;&gt;C:\Users\stu\Documents\GitHub\eaglep3-reporting\EC\2017-04-10-refined-times.txt</v>
      </c>
      <c r="AI63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{"issue":{"subject":"","project_id":79,"tracker_id":40,"status_id":1,"priority_id":2,"assigned_to_id":23,"start_date":"2017-04-10","description":"","custom_fields":[{"id":1,"name":"Subdivision","value":"EC"},{"id":4,"name":"Milepost","value":"23.3331"},{"id":17,"name":"Train ID","value":"151-10"},{"id":16,"name":"Locomotive ID","value":"4016"},{"id":130,"name":"Impact","value":""},{"id":150,"name":"Time of Event (Mountain Time)","value":"10:36:37"},{"id":151,"name":"Denver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4016 --day 2017-04-10</v>
      </c>
      <c r="AN63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617</v>
      </c>
      <c r="B64" s="7">
        <v>4015</v>
      </c>
      <c r="C64" s="21" t="s">
        <v>215</v>
      </c>
      <c r="D64" s="21" t="s">
        <v>559</v>
      </c>
      <c r="E64" s="13">
        <v>42835.443773148145</v>
      </c>
      <c r="F64" s="13">
        <v>42835.455740740741</v>
      </c>
      <c r="G64" s="7">
        <v>1</v>
      </c>
      <c r="H64" s="21" t="s">
        <v>427</v>
      </c>
      <c r="I64" s="13">
        <v>42835.48646990741</v>
      </c>
      <c r="J64" s="7">
        <v>0</v>
      </c>
      <c r="K64" s="97" t="str">
        <f t="shared" si="0"/>
        <v>4015/4016</v>
      </c>
      <c r="L64" s="21" t="str">
        <f>VLOOKUP(A64,'Trips&amp;Operators'!$C$1:$G$99999,5,FALSE)</f>
        <v>SHOOK JOHN</v>
      </c>
      <c r="M64" s="6">
        <f t="shared" si="1"/>
        <v>3.0729166668606922E-2</v>
      </c>
      <c r="N64" s="7">
        <f t="shared" si="23"/>
        <v>44.250000002793968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83" t="str">
        <f t="shared" si="6"/>
        <v>N</v>
      </c>
      <c r="X64" s="183">
        <f t="shared" si="24"/>
        <v>1</v>
      </c>
      <c r="Y64" s="62">
        <f t="shared" si="25"/>
        <v>23.3004</v>
      </c>
      <c r="Z64" s="62">
        <f t="shared" si="26"/>
        <v>1.6E-2</v>
      </c>
      <c r="AA64" s="62">
        <f t="shared" si="10"/>
        <v>23.284400000000002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 t="shared" si="11"/>
        <v>0152-10</v>
      </c>
      <c r="AE64" s="85" t="str">
        <f t="shared" si="12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64" s="82" t="str">
        <f t="shared" si="13"/>
        <v>"C:\Program Files (x86)\AstroGrep\AstroGrep.exe" /e /r /s /spath="%USERPROFILE%\AppData\Local\Temp\OnboardLogs" /stypes="app*4015*20170410*"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152-10 --locoid 4015 --swversion DE.1.0.9.0 --startMP 204:233004 --initTime 2017-04-10T10:39:02 --startdatetime 2017-04-10T10:56:16 --delay 1 --endMP 204:160 --enddatetime 2017-04-10T11:40:31 --enforcementcount 0 &gt;&gt;C:\Users\stu\Documents\GitHub\eaglep3-reporting\EC\2017-04-10-refined-times.txt</v>
      </c>
      <c r="AI64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{"issue":{"subject":"","project_id":79,"tracker_id":40,"status_id":1,"priority_id":2,"assigned_to_id":23,"start_date":"2017-04-10","description":"","custom_fields":[{"id":1,"name":"Subdivision","value":"EC"},{"id":4,"name":"Milepost","value":"0.016"},{"id":17,"name":"Train ID","value":"152-10"},{"id":16,"name":"Locomotive ID","value":"4015"},{"id":130,"name":"Impact","value":""},{"id":150,"name":"Time of Event (Mountain Time)","value":"11:40:31"},{"id":151,"name":"Denver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4015 --day 2017-04-10</v>
      </c>
      <c r="AN64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17:40:31"},{"id":29,"name":"Sharepoint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717</v>
      </c>
      <c r="B65" s="7">
        <v>4042</v>
      </c>
      <c r="C65" s="21" t="s">
        <v>215</v>
      </c>
      <c r="D65" s="21" t="s">
        <v>488</v>
      </c>
      <c r="E65" s="13">
        <v>42835.420972222222</v>
      </c>
      <c r="F65" s="13">
        <v>42835.427546296298</v>
      </c>
      <c r="G65" s="7">
        <v>1</v>
      </c>
      <c r="H65" s="21" t="s">
        <v>555</v>
      </c>
      <c r="I65" s="13">
        <v>42835.451458333337</v>
      </c>
      <c r="J65" s="7">
        <v>0</v>
      </c>
      <c r="K65" s="97" t="str">
        <f t="shared" si="0"/>
        <v>4041/4042</v>
      </c>
      <c r="L65" s="21" t="str">
        <f>VLOOKUP(A65,'Trips&amp;Operators'!$C$1:$G$99999,5,FALSE)</f>
        <v>YORK EDGAR</v>
      </c>
      <c r="M65" s="6">
        <f t="shared" si="1"/>
        <v>2.3912037038826384E-2</v>
      </c>
      <c r="N65" s="7">
        <f t="shared" si="23"/>
        <v>34.433333335909992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-10T09:06:12-0600',mode:absolute,to:'2017-04-10T11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83" t="str">
        <f t="shared" si="6"/>
        <v>N</v>
      </c>
      <c r="X65" s="183">
        <f t="shared" si="24"/>
        <v>1</v>
      </c>
      <c r="Y65" s="62">
        <f t="shared" si="25"/>
        <v>4.6899999999999997E-2</v>
      </c>
      <c r="Z65" s="62">
        <f t="shared" si="26"/>
        <v>23.3309</v>
      </c>
      <c r="AA65" s="62">
        <f t="shared" si="10"/>
        <v>23.283999999999999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0153-10</v>
      </c>
      <c r="AE65" s="85" t="str">
        <f t="shared" si="12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65" s="82" t="str">
        <f t="shared" si="13"/>
        <v>"C:\Program Files (x86)\AstroGrep\AstroGrep.exe" /e /r /s /spath="%USERPROFILE%\AppData\Local\Temp\OnboardLogs" /stypes="app*4042*20170410*"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153-10 --locoid 4042 --swversion DE.1.0.9.0 --startMP 204:469 --initTime 2017-04-10T10:06:12 --startdatetime 2017-04-10T10:15:40 --delay 1 --endMP 204:233309 --enddatetime 2017-04-10T10:50:06 --enforcementcount 0 &gt;&gt;C:\Users\stu\Documents\GitHub\eaglep3-reporting\EC\2017-04-10-refined-times.txt</v>
      </c>
      <c r="AI65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{"issue":{"subject":"","project_id":79,"tracker_id":40,"status_id":1,"priority_id":2,"assigned_to_id":23,"start_date":"2017-04-10","description":"","custom_fields":[{"id":1,"name":"Subdivision","value":"EC"},{"id":4,"name":"Milepost","value":"23.3309"},{"id":17,"name":"Train ID","value":"153-10"},{"id":16,"name":"Locomotive ID","value":"4042"},{"id":130,"name":"Impact","value":""},{"id":150,"name":"Time of Event (Mountain Time)","value":"10:50:06"},{"id":151,"name":"Denver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4042 --day 2017-04-10</v>
      </c>
      <c r="AN65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726</v>
      </c>
      <c r="B66" s="7">
        <v>4041</v>
      </c>
      <c r="C66" s="21" t="s">
        <v>215</v>
      </c>
      <c r="D66" s="21" t="s">
        <v>493</v>
      </c>
      <c r="E66" s="13">
        <v>42835.452326388891</v>
      </c>
      <c r="F66" s="13">
        <v>42835.466226851851</v>
      </c>
      <c r="G66" s="7">
        <v>1</v>
      </c>
      <c r="H66" s="21" t="s">
        <v>211</v>
      </c>
      <c r="I66" s="13">
        <v>42835.493217592593</v>
      </c>
      <c r="J66" s="7">
        <v>0</v>
      </c>
      <c r="K66" s="97" t="str">
        <f t="shared" si="0"/>
        <v>4041/4042</v>
      </c>
      <c r="L66" s="21" t="str">
        <f>VLOOKUP(A66,'Trips&amp;Operators'!$C$1:$G$99999,5,FALSE)</f>
        <v>YORK EDGAR</v>
      </c>
      <c r="M66" s="6">
        <f t="shared" si="1"/>
        <v>2.6990740741894115E-2</v>
      </c>
      <c r="N66" s="7">
        <f t="shared" si="23"/>
        <v>38.866666668327525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-10T09:51:21-0600',mode:absolute,to:'2017-04-10T12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83" t="str">
        <f t="shared" si="6"/>
        <v>N</v>
      </c>
      <c r="X66" s="183">
        <f t="shared" si="24"/>
        <v>1</v>
      </c>
      <c r="Y66" s="62">
        <f t="shared" si="25"/>
        <v>23.297999999999998</v>
      </c>
      <c r="Z66" s="62">
        <f t="shared" si="26"/>
        <v>1.5599999999999999E-2</v>
      </c>
      <c r="AA66" s="62">
        <f t="shared" si="10"/>
        <v>23.282399999999999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0154-10</v>
      </c>
      <c r="AE66" s="85" t="str">
        <f t="shared" si="12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66" s="82" t="str">
        <f t="shared" si="13"/>
        <v>"C:\Program Files (x86)\AstroGrep\AstroGrep.exe" /e /r /s /spath="%USERPROFILE%\AppData\Local\Temp\OnboardLogs" /stypes="app*4041*20170410*"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154-10 --locoid 4041 --swversion DE.1.0.9.0 --startMP 204:232980 --initTime 2017-04-10T10:51:21 --startdatetime 2017-04-10T11:11:22 --delay 1 --endMP 204:156 --enddatetime 2017-04-10T11:50:14 --enforcementcount 0 &gt;&gt;C:\Users\stu\Documents\GitHub\eaglep3-reporting\EC\2017-04-10-refined-times.txt</v>
      </c>
      <c r="AI66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ID","value":"154-10"},{"id":16,"name":"Locomotive ID","value":"4041"},{"id":130,"name":"Impact","value":""},{"id":150,"name":"Time of Event (Mountain Time)","value":"11:50:14"},{"id":151,"name":"Denver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4041 --day 2017-04-10</v>
      </c>
      <c r="AN66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720</v>
      </c>
      <c r="B67" s="7">
        <v>4014</v>
      </c>
      <c r="C67" s="21" t="s">
        <v>215</v>
      </c>
      <c r="D67" s="21" t="s">
        <v>206</v>
      </c>
      <c r="E67" s="13">
        <v>42835.435497685183</v>
      </c>
      <c r="F67" s="13">
        <v>42835.437650462962</v>
      </c>
      <c r="G67" s="7">
        <v>1</v>
      </c>
      <c r="H67" s="21" t="s">
        <v>413</v>
      </c>
      <c r="I67" s="13">
        <v>42835.464108796295</v>
      </c>
      <c r="J67" s="7">
        <v>0</v>
      </c>
      <c r="K67" s="97" t="str">
        <f t="shared" si="0"/>
        <v>4013/4014</v>
      </c>
      <c r="L67" s="21" t="str">
        <f>VLOOKUP(A67,'Trips&amp;Operators'!$C$1:$G$99999,5,FALSE)</f>
        <v>DAVIS WENDY</v>
      </c>
      <c r="M67" s="6">
        <f t="shared" si="1"/>
        <v>2.6458333333721384E-2</v>
      </c>
      <c r="N67" s="7">
        <f t="shared" si="23"/>
        <v>38.100000000558794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-10T09:27:07-0600',mode:absolute,to:'2017-04-10T12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183" t="str">
        <f t="shared" si="6"/>
        <v>N</v>
      </c>
      <c r="X67" s="183">
        <f t="shared" si="24"/>
        <v>1</v>
      </c>
      <c r="Y67" s="62">
        <f t="shared" si="25"/>
        <v>4.5999999999999999E-2</v>
      </c>
      <c r="Z67" s="62">
        <f t="shared" si="26"/>
        <v>23.330400000000001</v>
      </c>
      <c r="AA67" s="62">
        <f t="shared" si="10"/>
        <v>23.284400000000002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0155-10</v>
      </c>
      <c r="AE67" s="85" t="str">
        <f t="shared" si="12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67" s="82" t="str">
        <f t="shared" si="13"/>
        <v>"C:\Program Files (x86)\AstroGrep\AstroGrep.exe" /e /r /s /spath="%USERPROFILE%\AppData\Local\Temp\OnboardLogs" /stypes="app*4014*20170410*"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155-10 --locoid 4014 --swversion DE.1.0.9.0 --startMP 204:460 --initTime 2017-04-10T10:27:07 --startdatetime 2017-04-10T10:30:13 --delay 1 --endMP 204:233304 --enddatetime 2017-04-10T11:08:19 --enforcementcount 0 &gt;&gt;C:\Users\stu\Documents\GitHub\eaglep3-reporting\EC\2017-04-10-refined-times.txt</v>
      </c>
      <c r="AI67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{"issue":{"subject":"","project_id":79,"tracker_id":40,"status_id":1,"priority_id":2,"assigned_to_id":23,"start_date":"2017-04-10","description":"","custom_fields":[{"id":1,"name":"Subdivision","value":"EC"},{"id":4,"name":"Milepost","value":"23.3304"},{"id":17,"name":"Train ID","value":"155-10"},{"id":16,"name":"Locomotive ID","value":"4014"},{"id":130,"name":"Impact","value":""},{"id":150,"name":"Time of Event (Mountain Time)","value":"11:08:19"},{"id":151,"name":"Denver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4014 --day 2017-04-10</v>
      </c>
      <c r="AN67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730</v>
      </c>
      <c r="B68" s="7">
        <v>4013</v>
      </c>
      <c r="C68" s="21" t="s">
        <v>215</v>
      </c>
      <c r="D68" s="21" t="s">
        <v>853</v>
      </c>
      <c r="E68" s="13">
        <v>42835.47351851852</v>
      </c>
      <c r="F68" s="13">
        <v>42835.4765625</v>
      </c>
      <c r="G68" s="7">
        <v>2</v>
      </c>
      <c r="H68" s="21" t="s">
        <v>425</v>
      </c>
      <c r="I68" s="13">
        <v>42835.504224537035</v>
      </c>
      <c r="J68" s="7">
        <v>0</v>
      </c>
      <c r="K68" s="97" t="str">
        <f t="shared" si="0"/>
        <v>4013/4014</v>
      </c>
      <c r="L68" s="21" t="str">
        <f>VLOOKUP(A68,'Trips&amp;Operators'!$C$1:$G$99999,5,FALSE)</f>
        <v>DAVIS WENDY</v>
      </c>
      <c r="M68" s="6">
        <f t="shared" si="1"/>
        <v>2.7662037035042886E-2</v>
      </c>
      <c r="N68" s="7">
        <f t="shared" si="23"/>
        <v>39.833333330461755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-10T10:21:52-0600',mode:absolute,to:'2017-04-10T13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183" t="str">
        <f t="shared" si="6"/>
        <v>N</v>
      </c>
      <c r="X68" s="183">
        <f t="shared" si="24"/>
        <v>1</v>
      </c>
      <c r="Y68" s="62">
        <f t="shared" si="25"/>
        <v>23.299099999999999</v>
      </c>
      <c r="Z68" s="62">
        <f t="shared" si="26"/>
        <v>1.4500000000000001E-2</v>
      </c>
      <c r="AA68" s="62">
        <f t="shared" si="10"/>
        <v>23.284599999999998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0156-10</v>
      </c>
      <c r="AE68" s="85" t="str">
        <f t="shared" si="12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68" s="82" t="str">
        <f t="shared" si="13"/>
        <v>"C:\Program Files (x86)\AstroGrep\AstroGrep.exe" /e /r /s /spath="%USERPROFILE%\AppData\Local\Temp\OnboardLogs" /stypes="app*4013*20170410*"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156-10 --locoid 4013 --swversion DE.1.0.9.0 --startMP 204:232991 --initTime 2017-04-10T11:21:52 --startdatetime 2017-04-10T11:26:15 --delay 2 --endMP 204:145 --enddatetime 2017-04-10T12:06:05 --enforcementcount 0 &gt;&gt;C:\Users\stu\Documents\GitHub\eaglep3-reporting\EC\2017-04-10-refined-times.txt</v>
      </c>
      <c r="AI68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{"issue":{"subject":"","project_id":79,"tracker_id":40,"status_id":1,"priority_id":2,"assigned_to_id":23,"start_date":"2017-04-10","description":"","custom_fields":[{"id":1,"name":"Subdivision","value":"EC"},{"id":4,"name":"Milepost","value":"0.0145"},{"id":17,"name":"Train ID","value":"156-10"},{"id":16,"name":"Locomotive ID","value":"4013"},{"id":130,"name":"Impact","value":""},{"id":150,"name":"Time of Event (Mountain Time)","value":"12:06:05"},{"id":151,"name":"Denver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4013 --day 2017-04-10</v>
      </c>
      <c r="AN68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618</v>
      </c>
      <c r="B69" s="7">
        <v>4054</v>
      </c>
      <c r="C69" s="21" t="s">
        <v>215</v>
      </c>
      <c r="D69" s="21" t="s">
        <v>426</v>
      </c>
      <c r="E69" s="13">
        <v>42835.444421296299</v>
      </c>
      <c r="F69" s="13">
        <v>42835.44866898148</v>
      </c>
      <c r="G69" s="7">
        <v>1</v>
      </c>
      <c r="H69" s="21" t="s">
        <v>864</v>
      </c>
      <c r="I69" s="13">
        <v>42835.474641203706</v>
      </c>
      <c r="J69" s="7">
        <v>0</v>
      </c>
      <c r="K69" s="97" t="str">
        <f t="shared" si="0"/>
        <v>4053/4054</v>
      </c>
      <c r="L69" s="21" t="str">
        <f>VLOOKUP(A69,'Trips&amp;Operators'!$C$1:$G$99999,5,FALSE)</f>
        <v>WILLIAMS DONTE</v>
      </c>
      <c r="M69" s="6">
        <f t="shared" si="1"/>
        <v>2.5972222225391306E-2</v>
      </c>
      <c r="N69" s="7">
        <f t="shared" si="23"/>
        <v>37.400000004563481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-10T09:39:58-0600',mode:absolute,to:'2017-04-10T12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83" t="str">
        <f t="shared" si="6"/>
        <v>N</v>
      </c>
      <c r="X69" s="183">
        <f t="shared" si="24"/>
        <v>1</v>
      </c>
      <c r="Y69" s="62">
        <f t="shared" si="25"/>
        <v>4.6600000000000003E-2</v>
      </c>
      <c r="Z69" s="62">
        <f t="shared" si="26"/>
        <v>23.3307</v>
      </c>
      <c r="AA69" s="62">
        <f t="shared" si="10"/>
        <v>23.284099999999999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0157-10</v>
      </c>
      <c r="AE69" s="85" t="str">
        <f t="shared" si="12"/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69" s="82" t="str">
        <f t="shared" si="13"/>
        <v>"C:\Program Files (x86)\AstroGrep\AstroGrep.exe" /e /r /s /spath="%USERPROFILE%\AppData\Local\Temp\OnboardLogs" /stypes="app*4054*20170410*"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157-10 --locoid 4054 --swversion DE.1.0.9.0 --startMP 204:466 --initTime 2017-04-10T10:39:58 --startdatetime 2017-04-10T10:46:05 --delay 1 --endMP 204:233307 --enddatetime 2017-04-10T11:23:29 --enforcementcount 0 &gt;&gt;C:\Users\stu\Documents\GitHub\eaglep3-reporting\EC\2017-04-10-refined-times.txt</v>
      </c>
      <c r="AI69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{"issue":{"subject":"","project_id":79,"tracker_id":40,"status_id":1,"priority_id":2,"assigned_to_id":23,"start_date":"2017-04-10","description":"","custom_fields":[{"id":1,"name":"Subdivision","value":"EC"},{"id":4,"name":"Milepost","value":"23.3307"},{"id":17,"name":"Train ID","value":"157-10"},{"id":16,"name":"Locomotive ID","value":"4054"},{"id":130,"name":"Impact","value":""},{"id":150,"name":"Time of Event (Mountain Time)","value":"11:23:29"},{"id":151,"name":"Denver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4054 --day 2017-04-10</v>
      </c>
      <c r="AN69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620</v>
      </c>
      <c r="B70" s="7">
        <v>4053</v>
      </c>
      <c r="C70" s="21" t="s">
        <v>215</v>
      </c>
      <c r="D70" s="21" t="s">
        <v>558</v>
      </c>
      <c r="E70" s="13">
        <v>42835.482499999998</v>
      </c>
      <c r="F70" s="13">
        <v>42835.487199074072</v>
      </c>
      <c r="G70" s="7">
        <v>2</v>
      </c>
      <c r="H70" s="21" t="s">
        <v>865</v>
      </c>
      <c r="I70" s="13">
        <v>42835.502199074072</v>
      </c>
      <c r="J70" s="7">
        <v>0</v>
      </c>
      <c r="K70" s="97" t="str">
        <f t="shared" si="0"/>
        <v>4053/4054</v>
      </c>
      <c r="L70" s="21" t="str">
        <f>VLOOKUP(A70,'Trips&amp;Operators'!$C$1:$G$99999,5,FALSE)</f>
        <v>WILLIAMS DONTE</v>
      </c>
      <c r="M70" s="6">
        <f t="shared" si="1"/>
        <v>1.4999999999417923E-2</v>
      </c>
      <c r="N70" s="7"/>
      <c r="O70" s="7"/>
      <c r="P70" s="7">
        <f>24*60*SUM($M70:$M70)</f>
        <v>21.59999999916181</v>
      </c>
      <c r="Q70" s="22"/>
      <c r="R70" s="22" t="s">
        <v>475</v>
      </c>
      <c r="S70" s="31">
        <f t="shared" si="3"/>
        <v>0.16666666666666666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-10T10:34:48-0600',mode:absolute,to:'2017-04-10T13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183" t="str">
        <f t="shared" si="6"/>
        <v>Y</v>
      </c>
      <c r="X70" s="183">
        <f t="shared" si="24"/>
        <v>1</v>
      </c>
      <c r="Y70" s="62">
        <f t="shared" si="25"/>
        <v>23.3001</v>
      </c>
      <c r="Z70" s="62">
        <f t="shared" si="26"/>
        <v>8.8242999999999991</v>
      </c>
      <c r="AA70" s="62">
        <f t="shared" si="10"/>
        <v>14.475800000000001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0158-10</v>
      </c>
      <c r="AE70" s="85" t="str">
        <f t="shared" si="12"/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70" s="82" t="str">
        <f t="shared" si="13"/>
        <v>"C:\Program Files (x86)\AstroGrep\AstroGrep.exe" /e /r /s /spath="%USERPROFILE%\AppData\Local\Temp\OnboardLogs" /stypes="app*4053*20170410*"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158-10 --locoid 4053 --swversion DE.1.0.9.0 --startMP 204:233001 --initTime 2017-04-10T11:34:48 --startdatetime 2017-04-10T11:41:34 --delay 2 --endMP 204:88243 --enddatetime 2017-04-10T12:03:10 --enforcementcount 0 &gt;&gt;C:\Users\stu\Documents\GitHub\eaglep3-reporting\EC\2017-04-10-refined-times.txt</v>
      </c>
      <c r="AI70" s="104" t="str">
        <f t="shared" si="20"/>
        <v>echo {"issue":{"subject":"Wi-MAX data drop","project_id":79,"tracker_id":40,"status_id":1,"priority_id":2,"assigned_to_id":23,"start_date":"2017-04-10","description":"","custom_fields":[{"id":1,"name":"Subdivision","value":"EC"},{"id":4,"name":"Milepost","value":"8.8243"},{"id":17,"name":"Train ID","value":"158-10"},{"id":16,"name":"Locomotive ID","value":"4053"},{"id":130,"name":"Impact","value":""},{"id":150,"name":"Time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4053 --day 2017-04-10</v>
      </c>
      <c r="AN70" s="159" t="str">
        <f t="shared" si="22"/>
        <v>echo {"issue":{"subject":"Wi-MAX data drop","project_id":30,"tracker_id":4,"status_id":1,"priority_id":1,"assigned_to_id":10,"start_date":"2017-04-10","description":"","custom_fields":[{"id":30,"name":"Category","value":"Issue"},{"id":3,"name":"Functional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727</v>
      </c>
      <c r="B71" s="7">
        <v>4026</v>
      </c>
      <c r="C71" s="21" t="s">
        <v>215</v>
      </c>
      <c r="D71" s="21" t="s">
        <v>430</v>
      </c>
      <c r="E71" s="13">
        <v>42835.454687500001</v>
      </c>
      <c r="F71" s="13">
        <v>42835.458518518521</v>
      </c>
      <c r="G71" s="7">
        <v>2</v>
      </c>
      <c r="H71" s="21" t="s">
        <v>567</v>
      </c>
      <c r="I71" s="13">
        <v>42835.48400462963</v>
      </c>
      <c r="J71" s="7">
        <v>0</v>
      </c>
      <c r="K71" s="97" t="str">
        <f t="shared" si="0"/>
        <v>4025/4026</v>
      </c>
      <c r="L71" s="21" t="str">
        <f>VLOOKUP(A71,'Trips&amp;Operators'!$C$1:$G$99999,5,FALSE)</f>
        <v>STEWART MICHAEL</v>
      </c>
      <c r="M71" s="6">
        <f t="shared" si="1"/>
        <v>2.548611110978527E-2</v>
      </c>
      <c r="N71" s="7">
        <f t="shared" ref="N71:N83" si="27">24*60*SUM($M71:$M71)</f>
        <v>36.699999998090789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-10T09:54:45-0600',mode:absolute,to:'2017-04-10T12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183" t="str">
        <f t="shared" si="6"/>
        <v>N</v>
      </c>
      <c r="X71" s="183">
        <f t="shared" si="24"/>
        <v>1</v>
      </c>
      <c r="Y71" s="62">
        <f t="shared" si="25"/>
        <v>4.58E-2</v>
      </c>
      <c r="Z71" s="62">
        <f t="shared" si="26"/>
        <v>23.329799999999999</v>
      </c>
      <c r="AA71" s="62">
        <f t="shared" si="10"/>
        <v>23.283999999999999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0159-10</v>
      </c>
      <c r="AE71" s="85" t="str">
        <f t="shared" si="12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71" s="82" t="str">
        <f t="shared" si="13"/>
        <v>"C:\Program Files (x86)\AstroGrep\AstroGrep.exe" /e /r /s /spath="%USERPROFILE%\AppData\Local\Temp\OnboardLogs" /stypes="app*4026*20170410*"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159-10 --locoid 4026 --swversion DE.1.0.9.0 --startMP 204:458 --initTime 2017-04-10T10:54:45 --startdatetime 2017-04-10T11:00:16 --delay 2 --endMP 204:233298 --enddatetime 2017-04-10T11:36:58 --enforcementcount 0 &gt;&gt;C:\Users\stu\Documents\GitHub\eaglep3-reporting\EC\2017-04-10-refined-times.txt</v>
      </c>
      <c r="AI71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{"issue":{"subject":"","project_id":79,"tracker_id":40,"status_id":1,"priority_id":2,"assigned_to_id":23,"start_date":"2017-04-10","description":"","custom_fields":[{"id":1,"name":"Subdivision","value":"EC"},{"id":4,"name":"Milepost","value":"23.3298"},{"id":17,"name":"Train ID","value":"159-10"},{"id":16,"name":"Locomotive ID","value":"4026"},{"id":130,"name":"Impact","value":""},{"id":150,"name":"Time of Event (Mountain Time)","value":"11:36:58"},{"id":151,"name":"Denver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4026 --day 2017-04-10</v>
      </c>
      <c r="AN71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737</v>
      </c>
      <c r="B72" s="7">
        <v>4025</v>
      </c>
      <c r="C72" s="21" t="s">
        <v>215</v>
      </c>
      <c r="D72" s="21" t="s">
        <v>866</v>
      </c>
      <c r="E72" s="13">
        <v>42835.492488425924</v>
      </c>
      <c r="F72" s="13">
        <v>42835.497465277775</v>
      </c>
      <c r="G72" s="7">
        <v>2</v>
      </c>
      <c r="H72" s="21" t="s">
        <v>211</v>
      </c>
      <c r="I72" s="13">
        <v>42835.524652777778</v>
      </c>
      <c r="J72" s="7">
        <v>0</v>
      </c>
      <c r="K72" s="97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2.718750000349246E-2</v>
      </c>
      <c r="N72" s="7">
        <f t="shared" si="27"/>
        <v>39.150000005029142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-10T10:49:11-0600',mode:absolute,to:'2017-04-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83" t="str">
        <f t="shared" si="6"/>
        <v>N</v>
      </c>
      <c r="X72" s="183">
        <f t="shared" si="24"/>
        <v>1</v>
      </c>
      <c r="Y72" s="62">
        <f t="shared" si="25"/>
        <v>23.2987</v>
      </c>
      <c r="Z72" s="62">
        <f t="shared" si="26"/>
        <v>1.5599999999999999E-2</v>
      </c>
      <c r="AA72" s="62">
        <f t="shared" si="10"/>
        <v>23.283100000000001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0160-10</v>
      </c>
      <c r="AE72" s="85" t="str">
        <f t="shared" si="12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72" s="82" t="str">
        <f t="shared" si="13"/>
        <v>"C:\Program Files (x86)\AstroGrep\AstroGrep.exe" /e /r /s /spath="%USERPROFILE%\AppData\Local\Temp\OnboardLogs" /stypes="app*4025*20170410*"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160-10 --locoid 4025 --swversion DE.1.0.9.0 --startMP 204:232987 --initTime 2017-04-10T11:49:11 --startdatetime 2017-04-10T11:56:21 --delay 2 --endMP 204:156 --enddatetime 2017-04-10T12:35:30 --enforcementcount 0 &gt;&gt;C:\Users\stu\Documents\GitHub\eaglep3-reporting\EC\2017-04-10-refined-times.txt</v>
      </c>
      <c r="AI72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ID","value":"160-10"},{"id":16,"name":"Locomotive ID","value":"4025"},{"id":130,"name":"Impact","value":""},{"id":150,"name":"Time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4025 --day 2017-04-10</v>
      </c>
      <c r="AN72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729</v>
      </c>
      <c r="B73" s="7">
        <v>4006</v>
      </c>
      <c r="C73" s="21" t="s">
        <v>215</v>
      </c>
      <c r="D73" s="21" t="s">
        <v>393</v>
      </c>
      <c r="E73" s="13">
        <v>42835.465416666666</v>
      </c>
      <c r="F73" s="13">
        <v>42835.469039351854</v>
      </c>
      <c r="G73" s="7">
        <v>2</v>
      </c>
      <c r="H73" s="21" t="s">
        <v>867</v>
      </c>
      <c r="I73" s="13">
        <v>42835.495659722219</v>
      </c>
      <c r="J73" s="7">
        <v>0</v>
      </c>
      <c r="K73" s="97" t="str">
        <f t="shared" si="0"/>
        <v>4005/4006</v>
      </c>
      <c r="L73" s="21" t="str">
        <f>VLOOKUP(A73,'Trips&amp;Operators'!$C$1:$G$99999,5,FALSE)</f>
        <v>DAVIS MICHAEL</v>
      </c>
      <c r="M73" s="6">
        <f t="shared" si="1"/>
        <v>2.6620370364980772E-2</v>
      </c>
      <c r="N73" s="7">
        <f t="shared" si="27"/>
        <v>38.333333325572312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-10T10:10:12-0600',mode:absolute,to:'2017-04-10T12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3" s="183" t="str">
        <f t="shared" si="6"/>
        <v>N</v>
      </c>
      <c r="X73" s="183">
        <f t="shared" si="24"/>
        <v>1</v>
      </c>
      <c r="Y73" s="62">
        <f t="shared" si="25"/>
        <v>4.4900000000000002E-2</v>
      </c>
      <c r="Z73" s="62">
        <f t="shared" si="26"/>
        <v>23.329899999999999</v>
      </c>
      <c r="AA73" s="62">
        <f t="shared" si="10"/>
        <v>23.285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0161-10</v>
      </c>
      <c r="AE73" s="85" t="str">
        <f t="shared" si="12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73" s="82" t="str">
        <f t="shared" si="13"/>
        <v>"C:\Program Files (x86)\AstroGrep\AstroGrep.exe" /e /r /s /spath="%USERPROFILE%\AppData\Local\Temp\OnboardLogs" /stypes="app*4006*20170410*"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161-10 --locoid 4006 --swversion DE.1.0.9.0 --startMP 204:449 --initTime 2017-04-10T11:10:12 --startdatetime 2017-04-10T11:15:25 --delay 2 --endMP 204:233299 --enddatetime 2017-04-10T11:53:45 --enforcementcount 0 &gt;&gt;C:\Users\stu\Documents\GitHub\eaglep3-reporting\EC\2017-04-10-refined-times.txt</v>
      </c>
      <c r="AI73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{"issue":{"subject":"","project_id":79,"tracker_id":40,"status_id":1,"priority_id":2,"assigned_to_id":23,"start_date":"2017-04-10","description":"","custom_fields":[{"id":1,"name":"Subdivision","value":"EC"},{"id":4,"name":"Milepost","value":"23.3299"},{"id":17,"name":"Train ID","value":"161-10"},{"id":16,"name":"Locomotive ID","value":"4006"},{"id":130,"name":"Impact","value":""},{"id":150,"name":"Time of Event (Mountain Time)","value":"11:53:45"},{"id":151,"name":"Denver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4006 --day 2017-04-10</v>
      </c>
      <c r="AN73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625</v>
      </c>
      <c r="B74" s="7">
        <v>4005</v>
      </c>
      <c r="C74" s="21" t="s">
        <v>215</v>
      </c>
      <c r="D74" s="21" t="s">
        <v>868</v>
      </c>
      <c r="E74" s="13">
        <v>42835.504594907405</v>
      </c>
      <c r="F74" s="13">
        <v>42835.507893518516</v>
      </c>
      <c r="G74" s="7">
        <v>1</v>
      </c>
      <c r="H74" s="21" t="s">
        <v>406</v>
      </c>
      <c r="I74" s="13">
        <v>42835.537164351852</v>
      </c>
      <c r="J74" s="7">
        <v>0</v>
      </c>
      <c r="K74" s="97" t="str">
        <f t="shared" si="0"/>
        <v>4005/4006</v>
      </c>
      <c r="L74" s="21" t="str">
        <f>VLOOKUP(A74,'Trips&amp;Operators'!$C$1:$G$99999,5,FALSE)</f>
        <v>DAVIS MICHAEL</v>
      </c>
      <c r="M74" s="6">
        <f t="shared" si="1"/>
        <v>2.9270833336340729E-2</v>
      </c>
      <c r="N74" s="7">
        <f t="shared" si="27"/>
        <v>42.15000000433065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-10T11:06:37-0600',mode:absolute,to:'2017-04-10T13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183" t="str">
        <f t="shared" si="6"/>
        <v>N</v>
      </c>
      <c r="X74" s="183">
        <f t="shared" si="24"/>
        <v>1</v>
      </c>
      <c r="Y74" s="62">
        <f t="shared" si="25"/>
        <v>23.298400000000001</v>
      </c>
      <c r="Z74" s="62">
        <f t="shared" si="26"/>
        <v>1.41E-2</v>
      </c>
      <c r="AA74" s="62">
        <f t="shared" si="10"/>
        <v>23.284300000000002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0162-10</v>
      </c>
      <c r="AE74" s="85" t="str">
        <f t="shared" si="12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74" s="82" t="str">
        <f t="shared" si="13"/>
        <v>"C:\Program Files (x86)\AstroGrep\AstroGrep.exe" /e /r /s /spath="%USERPROFILE%\AppData\Local\Temp\OnboardLogs" /stypes="app*4005*20170410*"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162-10 --locoid 4005 --swversion DE.1.0.9.0 --startMP 204:232984 --initTime 2017-04-10T12:06:37 --startdatetime 2017-04-10T12:11:22 --delay 1 --endMP 204:141 --enddatetime 2017-04-10T12:53:31 --enforcementcount 0 &gt;&gt;C:\Users\stu\Documents\GitHub\eaglep3-reporting\EC\2017-04-10-refined-times.txt</v>
      </c>
      <c r="AI74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{"issue":{"subject":"","project_id":79,"tracker_id":40,"status_id":1,"priority_id":2,"assigned_to_id":23,"start_date":"2017-04-10","description":"","custom_fields":[{"id":1,"name":"Subdivision","value":"EC"},{"id":4,"name":"Milepost","value":"0.0141"},{"id":17,"name":"Train ID","value":"162-10"},{"id":16,"name":"Locomotive ID","value":"4005"},{"id":130,"name":"Impact","value":""},{"id":150,"name":"Time of Event (Mountain Time)","value":"12:53:31"},{"id":151,"name":"Denver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4005 --day 2017-04-10</v>
      </c>
      <c r="AN74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731</v>
      </c>
      <c r="B75" s="7">
        <v>4020</v>
      </c>
      <c r="C75" s="21" t="s">
        <v>215</v>
      </c>
      <c r="D75" s="21" t="s">
        <v>204</v>
      </c>
      <c r="E75" s="13">
        <v>42835.476215277777</v>
      </c>
      <c r="F75" s="13">
        <v>42835.479328703703</v>
      </c>
      <c r="G75" s="7">
        <v>1</v>
      </c>
      <c r="H75" s="21" t="s">
        <v>584</v>
      </c>
      <c r="I75" s="13">
        <v>42835.50513888889</v>
      </c>
      <c r="J75" s="7">
        <v>0</v>
      </c>
      <c r="K75" s="97" t="str">
        <f t="shared" si="0"/>
        <v>4019/4020</v>
      </c>
      <c r="L75" s="21" t="str">
        <f>VLOOKUP(A75,'Trips&amp;Operators'!$C$1:$G$99999,5,FALSE)</f>
        <v>CLARK KATHLEEN</v>
      </c>
      <c r="M75" s="6">
        <f t="shared" si="1"/>
        <v>2.5810185186855961E-2</v>
      </c>
      <c r="N75" s="7">
        <f t="shared" si="27"/>
        <v>37.166666669072583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-10T10:25:45-0600',mode:absolute,to:'2017-04-10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183" t="str">
        <f t="shared" si="6"/>
        <v>N</v>
      </c>
      <c r="X75" s="183">
        <f t="shared" si="24"/>
        <v>1</v>
      </c>
      <c r="Y75" s="62">
        <f t="shared" si="25"/>
        <v>4.5100000000000001E-2</v>
      </c>
      <c r="Z75" s="62">
        <f t="shared" si="26"/>
        <v>23.331399999999999</v>
      </c>
      <c r="AA75" s="62">
        <f t="shared" si="10"/>
        <v>23.286299999999997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0163-10</v>
      </c>
      <c r="AE75" s="85" t="str">
        <f t="shared" si="12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75" s="82" t="str">
        <f t="shared" si="13"/>
        <v>"C:\Program Files (x86)\AstroGrep\AstroGrep.exe" /e /r /s /spath="%USERPROFILE%\AppData\Local\Temp\OnboardLogs" /stypes="app*4020*20170410*"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163-10 --locoid 4020 --swversion DE.1.0.9.0 --startMP 204:451 --initTime 2017-04-10T11:25:45 --startdatetime 2017-04-10T11:30:14 --delay 1 --endMP 204:233314 --enddatetime 2017-04-10T12:07:24 --enforcementcount 0 &gt;&gt;C:\Users\stu\Documents\GitHub\eaglep3-reporting\EC\2017-04-10-refined-times.txt</v>
      </c>
      <c r="AI75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{"issue":{"subject":"","project_id":79,"tracker_id":40,"status_id":1,"priority_id":2,"assigned_to_id":23,"start_date":"2017-04-10","description":"","custom_fields":[{"id":1,"name":"Subdivision","value":"EC"},{"id":4,"name":"Milepost","value":"23.3314"},{"id":17,"name":"Train ID","value":"163-10"},{"id":16,"name":"Locomotive ID","value":"4020"},{"id":130,"name":"Impact","value":""},{"id":150,"name":"Time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4020 --day 2017-04-10</v>
      </c>
      <c r="AN75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741</v>
      </c>
      <c r="B76" s="7">
        <v>4019</v>
      </c>
      <c r="C76" s="21" t="s">
        <v>215</v>
      </c>
      <c r="D76" s="21" t="s">
        <v>582</v>
      </c>
      <c r="E76" s="13">
        <v>42835.514247685183</v>
      </c>
      <c r="F76" s="13">
        <v>42835.518217592595</v>
      </c>
      <c r="G76" s="7">
        <v>1</v>
      </c>
      <c r="H76" s="21" t="s">
        <v>869</v>
      </c>
      <c r="I76" s="13">
        <v>42835.546493055554</v>
      </c>
      <c r="J76" s="7">
        <v>0</v>
      </c>
      <c r="K76" s="97" t="str">
        <f t="shared" si="0"/>
        <v>4019/4020</v>
      </c>
      <c r="L76" s="21" t="str">
        <f>VLOOKUP(A76,'Trips&amp;Operators'!$C$1:$G$99999,5,FALSE)</f>
        <v>CLARK KATHLEEN</v>
      </c>
      <c r="M76" s="6">
        <f t="shared" si="1"/>
        <v>2.827546295884531E-2</v>
      </c>
      <c r="N76" s="7">
        <f t="shared" si="27"/>
        <v>40.716666660737246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-10T11:20:31-0600',mode:absolute,to:'2017-04-10T14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6" s="183" t="str">
        <f t="shared" si="6"/>
        <v>N</v>
      </c>
      <c r="X76" s="183">
        <f t="shared" si="24"/>
        <v>1</v>
      </c>
      <c r="Y76" s="62">
        <f t="shared" si="25"/>
        <v>23.2974</v>
      </c>
      <c r="Z76" s="62">
        <f t="shared" si="26"/>
        <v>1.8100000000000002E-2</v>
      </c>
      <c r="AA76" s="62">
        <f t="shared" si="10"/>
        <v>23.279299999999999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0164-10</v>
      </c>
      <c r="AE76" s="85" t="str">
        <f t="shared" si="12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76" s="82" t="str">
        <f t="shared" si="13"/>
        <v>"C:\Program Files (x86)\AstroGrep\AstroGrep.exe" /e /r /s /spath="%USERPROFILE%\AppData\Local\Temp\OnboardLogs" /stypes="app*4019*20170410*"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164-10 --locoid 4019 --swversion DE.1.0.9.0 --startMP 204:232974 --initTime 2017-04-10T12:20:31 --startdatetime 2017-04-10T12:26:14 --delay 1 --endMP 204:181 --enddatetime 2017-04-10T13:06:57 --enforcementcount 0 &gt;&gt;C:\Users\stu\Documents\GitHub\eaglep3-reporting\EC\2017-04-10-refined-times.txt</v>
      </c>
      <c r="AI76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{"issue":{"subject":"","project_id":79,"tracker_id":40,"status_id":1,"priority_id":2,"assigned_to_id":23,"start_date":"2017-04-10","description":"","custom_fields":[{"id":1,"name":"Subdivision","value":"EC"},{"id":4,"name":"Milepost","value":"0.0181"},{"id":17,"name":"Train ID","value":"164-10"},{"id":16,"name":"Locomotive ID","value":"4019"},{"id":130,"name":"Impact","value":""},{"id":150,"name":"Time of Event (Mountain Time)","value":"13:06:57"},{"id":151,"name":"Denver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4019 --day 2017-04-10</v>
      </c>
      <c r="AN76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734</v>
      </c>
      <c r="B77" s="7">
        <v>4016</v>
      </c>
      <c r="C77" s="21" t="s">
        <v>215</v>
      </c>
      <c r="D77" s="21" t="s">
        <v>423</v>
      </c>
      <c r="E77" s="13">
        <v>42835.488391203704</v>
      </c>
      <c r="F77" s="13">
        <v>42835.490567129629</v>
      </c>
      <c r="G77" s="7">
        <v>1</v>
      </c>
      <c r="H77" s="21" t="s">
        <v>870</v>
      </c>
      <c r="I77" s="13">
        <v>42835.514560185184</v>
      </c>
      <c r="J77" s="7">
        <v>0</v>
      </c>
      <c r="K77" s="97" t="str">
        <f t="shared" ref="K77:K140" si="28">IF(ISEVEN(B77),(B77-1)&amp;"/"&amp;B77,B77&amp;"/"&amp;(B77+1))</f>
        <v>4015/4016</v>
      </c>
      <c r="L77" s="21" t="str">
        <f>VLOOKUP(A77,'Trips&amp;Operators'!$C$1:$G$99999,5,FALSE)</f>
        <v>ROMERO CHAD</v>
      </c>
      <c r="M77" s="6">
        <f t="shared" ref="M77:M140" si="29">I77-F77</f>
        <v>2.3993055554456078E-2</v>
      </c>
      <c r="N77" s="7">
        <f t="shared" si="27"/>
        <v>34.549999998416752</v>
      </c>
      <c r="O77" s="7"/>
      <c r="P77" s="7"/>
      <c r="Q77" s="22"/>
      <c r="R77" s="22"/>
      <c r="S77" s="31">
        <f t="shared" ref="S77:S140" si="30">SUM(U77:U77)/IF(AG77="EC",12,1)</f>
        <v>1</v>
      </c>
      <c r="T77" s="46" t="str">
        <f t="shared" ref="T77:T140" si="31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-10T10:43:17-0600',mode:absolute,to:'2017-04-10T13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83" t="str">
        <f t="shared" ref="W77:W140" si="33">IF(AA77&lt;IF(AG77="EC",23,5.65),"Y","N")</f>
        <v>N</v>
      </c>
      <c r="X77" s="183">
        <f t="shared" ref="X77:X108" si="34">VALUE(LEFT(AD77,4))-VALUE(LEFT(AD76,4))</f>
        <v>1</v>
      </c>
      <c r="Y77" s="62">
        <f t="shared" ref="Y77:Y108" si="35">RIGHT(D77,LEN(D77)-4)/10000</f>
        <v>4.7100000000000003E-2</v>
      </c>
      <c r="Z77" s="62">
        <f t="shared" ref="Z77:Z108" si="36">RIGHT(H77,LEN(H77)-4)/10000</f>
        <v>23.334700000000002</v>
      </c>
      <c r="AA77" s="62">
        <f t="shared" ref="AA77:AA140" si="37">ABS(Z77-Y77)</f>
        <v>23.287600000000001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8">IF(LEN(A77)=6,"0"&amp;A77,A77)</f>
        <v>0165-10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/stypes="app*4016*20170410*" /stext=" 18:.+((SYSTEM_STATE.+slice.+state.+changed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165-10 --locoid 4016 --swversion DE.1.0.9.0 --startMP 204:471 --initTime 2017-04-10T11:43:17 --startdatetime 2017-04-10T11:46:25 --delay 1 --endMP 204:233347 --enddatetime 2017-04-10T12:20:58 --enforcementcount 0 &gt;&gt;C:\Users\stu\Documents\GitHub\eaglep3-reporting\EC\2017-04-10-refined-times.txt</v>
      </c>
      <c r="AI77" s="104" t="str">
        <f t="shared" si="20"/>
        <v>echo {"issue":{"subject":"","project_id":79,"tracker_id":40,"status_id":1,"priority_id":2,"assigned_to_id":23,"start_date":"2017-04-10","description":"","custom_fields":[{"id":1,"name":"Subdivision","value":"EC"},{"id":4,"name":"Milepost","value":"23.3347"},{"id":17,"name":"Train ID","value":"165-10"},{"id":16,"name":"Locomotive ID","value":"4016"},{"id":130,"name":"Impact","value":""},{"id":150,"name":"Time of Event (Mountain Time)","value":"12:20:58"},{"id":151,"name":"Denver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4016 --day 2017-04-10</v>
      </c>
      <c r="AN77" s="159" t="str">
        <f t="shared" si="2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626</v>
      </c>
      <c r="B78" s="7">
        <v>4015</v>
      </c>
      <c r="C78" s="21" t="s">
        <v>215</v>
      </c>
      <c r="D78" s="21" t="s">
        <v>871</v>
      </c>
      <c r="E78" s="13">
        <v>42835.519768518519</v>
      </c>
      <c r="F78" s="13">
        <v>42835.528761574074</v>
      </c>
      <c r="G78" s="7">
        <v>2</v>
      </c>
      <c r="H78" s="21" t="s">
        <v>860</v>
      </c>
      <c r="I78" s="13">
        <v>42835.555138888885</v>
      </c>
      <c r="J78" s="7">
        <v>0</v>
      </c>
      <c r="K78" s="97" t="str">
        <f t="shared" si="28"/>
        <v>4015/4016</v>
      </c>
      <c r="L78" s="21" t="str">
        <f>VLOOKUP(A78,'Trips&amp;Operators'!$C$1:$G$99999,5,FALSE)</f>
        <v>ROMERO CHAD</v>
      </c>
      <c r="M78" s="6">
        <f t="shared" si="29"/>
        <v>2.6377314810815733E-2</v>
      </c>
      <c r="N78" s="7">
        <f t="shared" si="27"/>
        <v>37.983333327574655</v>
      </c>
      <c r="O78" s="7"/>
      <c r="P78" s="7"/>
      <c r="Q78" s="22"/>
      <c r="R78" s="22"/>
      <c r="S78" s="31">
        <f t="shared" si="30"/>
        <v>1</v>
      </c>
      <c r="T78" s="46" t="str">
        <f t="shared" si="31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2"/>
        <v>https://d0f6bd738d7f1b3e5a7ca70fe4ff75f0.us-east-1.aws.found.io/app/kibana#/discover/Steve-Slow-Train-Analysis-(2080s-and-2083s)?_g=(refreshInterval:(display:Off,pause:!f,section:0,value:0),time:(from:'2017-04-10T11:28:28-0600',mode:absolute,to:'2017-04-10T14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83" t="str">
        <f t="shared" si="33"/>
        <v>N</v>
      </c>
      <c r="X78" s="183">
        <f t="shared" si="34"/>
        <v>1</v>
      </c>
      <c r="Y78" s="62">
        <f t="shared" si="35"/>
        <v>23.302099999999999</v>
      </c>
      <c r="Z78" s="62">
        <f t="shared" si="36"/>
        <v>1.43E-2</v>
      </c>
      <c r="AA78" s="62">
        <f t="shared" si="37"/>
        <v>23.287800000000001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0166-10</v>
      </c>
      <c r="AE78" s="85" t="str">
        <f t="shared" si="39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78" s="82" t="str">
        <f t="shared" si="40"/>
        <v>"C:\Program Files (x86)\AstroGrep\AstroGrep.exe" /e /r /s /spath="%USERPROFILE%\AppData\Local\Temp\OnboardLogs" /stypes="app*4015*20170410*" /stext=" 19:.+((SYSTEM_STATE.+slice.+state.+changed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ref="AH78:AH142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166-10 --locoid 4015 --swversion DE.1.0.9.0 --startMP 204:233021 --initTime 2017-04-10T12:28:28 --startdatetime 2017-04-10T12:41:25 --delay 2 --endMP 204:143 --enddatetime 2017-04-10T13:19:24 --enforcementcount 0 &gt;&gt;C:\Users\stu\Documents\GitHub\eaglep3-reporting\EC\2017-04-10-refined-times.txt</v>
      </c>
      <c r="AI78" s="104" t="str">
        <f t="shared" ref="AI78:AI142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ID","value":"166-10"},{"id":16,"name":"Locomotive ID","value":"4015"},{"id":130,"name":"Impact","value":""},{"id":150,"name":"Time of Event (Mountain Time)","value":"13:19:24"},{"id":151,"name":"Denver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2" si="44">"start /low /b "&amp;dls3logs&amp;" --loco "&amp;B78&amp;" --day "&amp;TEXT(F78,"YYYY-MM-DD")</f>
        <v>start /low /b %USERPROFILE%\Documents\GitHub\eaglep3\Utilities\DownloadLogsFromS3.py --loco 4015 --day 2017-04-10</v>
      </c>
      <c r="AN78" s="159" t="str">
        <f t="shared" ref="AN78:AN142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624</v>
      </c>
      <c r="B79" s="7">
        <v>4042</v>
      </c>
      <c r="C79" s="21" t="s">
        <v>215</v>
      </c>
      <c r="D79" s="21" t="s">
        <v>488</v>
      </c>
      <c r="E79" s="13">
        <v>42835.494872685187</v>
      </c>
      <c r="F79" s="13">
        <v>42835.500185185185</v>
      </c>
      <c r="G79" s="7">
        <v>1</v>
      </c>
      <c r="H79" s="21" t="s">
        <v>872</v>
      </c>
      <c r="I79" s="13">
        <v>42835.526296296295</v>
      </c>
      <c r="J79" s="7">
        <v>0</v>
      </c>
      <c r="K79" s="97" t="str">
        <f t="shared" si="28"/>
        <v>4041/4042</v>
      </c>
      <c r="L79" s="21" t="str">
        <f>VLOOKUP(A79,'Trips&amp;Operators'!$C$1:$G$99999,5,FALSE)</f>
        <v>LOCKLEAR TRAVIS</v>
      </c>
      <c r="M79" s="6">
        <f t="shared" si="29"/>
        <v>2.6111111110367347E-2</v>
      </c>
      <c r="N79" s="7">
        <f t="shared" si="27"/>
        <v>37.599999998928979</v>
      </c>
      <c r="O79" s="7"/>
      <c r="P79" s="7"/>
      <c r="Q79" s="22"/>
      <c r="R79" s="22"/>
      <c r="S79" s="31">
        <f t="shared" si="30"/>
        <v>1</v>
      </c>
      <c r="T79" s="46" t="str">
        <f t="shared" si="31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2"/>
        <v>https://d0f6bd738d7f1b3e5a7ca70fe4ff75f0.us-east-1.aws.found.io/app/kibana#/discover/Steve-Slow-Train-Analysis-(2080s-and-2083s)?_g=(refreshInterval:(display:Off,pause:!f,section:0,value:0),time:(from:'2017-04-10T10:52:37-0600',mode:absolute,to:'2017-04-10T13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83" t="str">
        <f t="shared" si="33"/>
        <v>N</v>
      </c>
      <c r="X79" s="183">
        <f t="shared" si="34"/>
        <v>1</v>
      </c>
      <c r="Y79" s="62">
        <f t="shared" si="35"/>
        <v>4.6899999999999997E-2</v>
      </c>
      <c r="Z79" s="62">
        <f t="shared" si="36"/>
        <v>23.3383</v>
      </c>
      <c r="AA79" s="62">
        <f t="shared" si="37"/>
        <v>23.291399999999999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8"/>
        <v>0167-10</v>
      </c>
      <c r="AE79" s="85" t="str">
        <f t="shared" si="39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79" s="82" t="str">
        <f t="shared" si="40"/>
        <v>"C:\Program Files (x86)\AstroGrep\AstroGrep.exe" /e /r /s /spath="%USERPROFILE%\AppData\Local\Temp\OnboardLogs" /stypes="app*4042*20170410*" /stext=" 18:.+((SYSTEM_STATE.+slice.+state.+changed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167-10 --locoid 4042 --swversion DE.1.0.9.0 --startMP 204:469 --initTime 2017-04-10T11:52:37 --startdatetime 2017-04-10T12:00:16 --delay 1 --endMP 204:233383 --enddatetime 2017-04-10T12:37:52 --enforcementcount 0 &gt;&gt;C:\Users\stu\Documents\GitHub\eaglep3-reporting\EC\2017-04-10-refined-times.txt</v>
      </c>
      <c r="AI79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{"issue":{"subject":"","project_id":79,"tracker_id":40,"status_id":1,"priority_id":2,"assigned_to_id":23,"start_date":"2017-04-10","description":"","custom_fields":[{"id":1,"name":"Subdivision","value":"EC"},{"id":4,"name":"Milepost","value":"23.3383"},{"id":17,"name":"Train ID","value":"167-10"},{"id":16,"name":"Locomotive ID","value":"4042"},{"id":130,"name":"Impact","value":""},{"id":150,"name":"Time of Event (Mountain Time)","value":"12:37:52"},{"id":151,"name":"Denver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4"/>
        <v>start /low /b %USERPROFILE%\Documents\GitHub\eaglep3\Utilities\DownloadLogsFromS3.py --loco 4042 --day 2017-04-10</v>
      </c>
      <c r="AN79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745</v>
      </c>
      <c r="B80" s="7">
        <v>4041</v>
      </c>
      <c r="C80" s="21" t="s">
        <v>215</v>
      </c>
      <c r="D80" s="21" t="s">
        <v>873</v>
      </c>
      <c r="E80" s="13">
        <v>42835.536620370367</v>
      </c>
      <c r="F80" s="13">
        <v>42835.5390625</v>
      </c>
      <c r="G80" s="7">
        <v>1</v>
      </c>
      <c r="H80" s="21" t="s">
        <v>211</v>
      </c>
      <c r="I80" s="13">
        <v>42835.56653935185</v>
      </c>
      <c r="J80" s="7">
        <v>0</v>
      </c>
      <c r="K80" s="97" t="str">
        <f t="shared" si="28"/>
        <v>4041/4042</v>
      </c>
      <c r="L80" s="21" t="str">
        <f>VLOOKUP(A80,'Trips&amp;Operators'!$C$1:$G$99999,5,FALSE)</f>
        <v>LOCKLEAR TRAVIS</v>
      </c>
      <c r="M80" s="6">
        <f t="shared" si="29"/>
        <v>2.7476851850224193E-2</v>
      </c>
      <c r="N80" s="7">
        <f t="shared" si="27"/>
        <v>39.566666664322838</v>
      </c>
      <c r="O80" s="7"/>
      <c r="P80" s="7"/>
      <c r="Q80" s="22"/>
      <c r="R80" s="22"/>
      <c r="S80" s="31">
        <f t="shared" si="30"/>
        <v>1</v>
      </c>
      <c r="T80" s="46" t="str">
        <f t="shared" si="31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2"/>
        <v>https://d0f6bd738d7f1b3e5a7ca70fe4ff75f0.us-east-1.aws.found.io/app/kibana#/discover/Steve-Slow-Train-Analysis-(2080s-and-2083s)?_g=(refreshInterval:(display:Off,pause:!f,section:0,value:0),time:(from:'2017-04-10T11:52:44-0600',mode:absolute,to:'2017-04-10T14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83" t="str">
        <f t="shared" si="33"/>
        <v>N</v>
      </c>
      <c r="X80" s="183">
        <f t="shared" si="34"/>
        <v>1</v>
      </c>
      <c r="Y80" s="62">
        <f t="shared" si="35"/>
        <v>23.305900000000001</v>
      </c>
      <c r="Z80" s="62">
        <f t="shared" si="36"/>
        <v>1.5599999999999999E-2</v>
      </c>
      <c r="AA80" s="62">
        <f t="shared" si="37"/>
        <v>23.290300000000002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8"/>
        <v>0168-10</v>
      </c>
      <c r="AE80" s="85" t="str">
        <f t="shared" si="39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80" s="82" t="str">
        <f t="shared" si="40"/>
        <v>"C:\Program Files (x86)\AstroGrep\AstroGrep.exe" /e /r /s /spath="%USERPROFILE%\AppData\Local\Temp\OnboardLogs" /stypes="app*4041*20170410*" /stext=" 19:.+((SYSTEM_STATE.+slice.+state.+changed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168-10 --locoid 4041 --swversion DE.1.0.9.0 --startMP 204:233059 --initTime 2017-04-10T12:52:44 --startdatetime 2017-04-10T12:56:15 --delay 1 --endMP 204:156 --enddatetime 2017-04-10T13:35:49 --enforcementcount 0 &gt;&gt;C:\Users\stu\Documents\GitHub\eaglep3-reporting\EC\2017-04-10-refined-times.txt</v>
      </c>
      <c r="AI80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ID","value":"168-10"},{"id":16,"name":"Locomotive ID","value":"4041"},{"id":130,"name":"Impact","value":""},{"id":150,"name":"Time of Event (Mountain Time)","value":"13:35:49"},{"id":151,"name":"Denver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44"/>
        <v>start /low /b %USERPROFILE%\Documents\GitHub\eaglep3\Utilities\DownloadLogsFromS3.py --loco 4041 --day 2017-04-10</v>
      </c>
      <c r="AN80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740</v>
      </c>
      <c r="B81" s="7">
        <v>4014</v>
      </c>
      <c r="C81" s="21" t="s">
        <v>215</v>
      </c>
      <c r="D81" s="21" t="s">
        <v>205</v>
      </c>
      <c r="E81" s="13">
        <v>42835.507152777776</v>
      </c>
      <c r="F81" s="13">
        <v>42835.510706018518</v>
      </c>
      <c r="G81" s="7">
        <v>1</v>
      </c>
      <c r="H81" s="21" t="s">
        <v>874</v>
      </c>
      <c r="I81" s="13">
        <v>42835.53633101852</v>
      </c>
      <c r="J81" s="7">
        <v>0</v>
      </c>
      <c r="K81" s="97" t="str">
        <f t="shared" si="28"/>
        <v>4013/4014</v>
      </c>
      <c r="L81" s="21" t="str">
        <f>VLOOKUP(A81,'Trips&amp;Operators'!$C$1:$G$99999,5,FALSE)</f>
        <v>GUZMAN DANNY</v>
      </c>
      <c r="M81" s="6">
        <f t="shared" si="29"/>
        <v>2.5625000002037268E-2</v>
      </c>
      <c r="N81" s="7">
        <f t="shared" si="27"/>
        <v>36.900000002933666</v>
      </c>
      <c r="O81" s="7"/>
      <c r="P81" s="7"/>
      <c r="Q81" s="22"/>
      <c r="R81" s="22"/>
      <c r="S81" s="31">
        <f t="shared" si="30"/>
        <v>1</v>
      </c>
      <c r="T81" s="46" t="str">
        <f t="shared" si="31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2"/>
        <v>https://d0f6bd738d7f1b3e5a7ca70fe4ff75f0.us-east-1.aws.found.io/app/kibana#/discover/Steve-Slow-Train-Analysis-(2080s-and-2083s)?_g=(refreshInterval:(display:Off,pause:!f,section:0,value:0),time:(from:'2017-04-10T11:10:18-0600',mode:absolute,to:'2017-04-10T13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183" t="str">
        <f t="shared" si="33"/>
        <v>N</v>
      </c>
      <c r="X81" s="183">
        <f t="shared" si="34"/>
        <v>1</v>
      </c>
      <c r="Y81" s="62">
        <f t="shared" si="35"/>
        <v>4.5699999999999998E-2</v>
      </c>
      <c r="Z81" s="62">
        <f t="shared" si="36"/>
        <v>23.328399999999998</v>
      </c>
      <c r="AA81" s="62">
        <f t="shared" si="37"/>
        <v>23.282699999999998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0169-10</v>
      </c>
      <c r="AE81" s="85" t="str">
        <f t="shared" si="39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81" s="82" t="str">
        <f t="shared" si="40"/>
        <v>"C:\Program Files (x86)\AstroGrep\AstroGrep.exe" /e /r /s /spath="%USERPROFILE%\AppData\Local\Temp\OnboardLogs" /stypes="app*4014*20170410*" /stext=" 18:.+((SYSTEM_STATE.+slice.+state.+changed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169-10 --locoid 4014 --swversion DE.1.0.9.0 --startMP 204:457 --initTime 2017-04-10T12:10:18 --startdatetime 2017-04-10T12:15:25 --delay 1 --endMP 204:233284 --enddatetime 2017-04-10T12:52:19 --enforcementcount 0 &gt;&gt;C:\Users\stu\Documents\GitHub\eaglep3-reporting\EC\2017-04-10-refined-times.txt</v>
      </c>
      <c r="AI81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{"issue":{"subject":"","project_id":79,"tracker_id":40,"status_id":1,"priority_id":2,"assigned_to_id":23,"start_date":"2017-04-10","description":"","custom_fields":[{"id":1,"name":"Subdivision","value":"EC"},{"id":4,"name":"Milepost","value":"23.3284"},{"id":17,"name":"Train ID","value":"169-10"},{"id":16,"name":"Locomotive ID","value":"4014"},{"id":130,"name":"Impact","value":""},{"id":150,"name":"Time of Event (Mountain Time)","value":"12:52:19"},{"id":151,"name":"Denver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4"/>
        <v>start /low /b %USERPROFILE%\Documents\GitHub\eaglep3\Utilities\DownloadLogsFromS3.py --loco 4014 --day 2017-04-10</v>
      </c>
      <c r="AN81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746</v>
      </c>
      <c r="B82" s="7">
        <v>4013</v>
      </c>
      <c r="C82" s="21" t="s">
        <v>215</v>
      </c>
      <c r="D82" s="21" t="s">
        <v>443</v>
      </c>
      <c r="E82" s="13">
        <v>42835.537789351853</v>
      </c>
      <c r="F82" s="13">
        <v>42835.549513888887</v>
      </c>
      <c r="G82" s="7">
        <v>1</v>
      </c>
      <c r="H82" s="21" t="s">
        <v>197</v>
      </c>
      <c r="I82" s="13">
        <v>42835.578761574077</v>
      </c>
      <c r="J82" s="7">
        <v>0</v>
      </c>
      <c r="K82" s="97" t="str">
        <f t="shared" si="28"/>
        <v>4013/4014</v>
      </c>
      <c r="L82" s="21" t="str">
        <f>VLOOKUP(A82,'Trips&amp;Operators'!$C$1:$G$99999,5,FALSE)</f>
        <v>GUZMAN DANNY</v>
      </c>
      <c r="M82" s="6">
        <f t="shared" si="29"/>
        <v>2.9247685190057382E-2</v>
      </c>
      <c r="N82" s="7">
        <f t="shared" si="27"/>
        <v>42.11666667368263</v>
      </c>
      <c r="O82" s="7"/>
      <c r="P82" s="7"/>
      <c r="Q82" s="22"/>
      <c r="R82" s="22"/>
      <c r="S82" s="31">
        <f t="shared" si="30"/>
        <v>1</v>
      </c>
      <c r="T82" s="46" t="str">
        <f t="shared" si="31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2"/>
        <v>https://d0f6bd738d7f1b3e5a7ca70fe4ff75f0.us-east-1.aws.found.io/app/kibana#/discover/Steve-Slow-Train-Analysis-(2080s-and-2083s)?_g=(refreshInterval:(display:Off,pause:!f,section:0,value:0),time:(from:'2017-04-10T11:54:25-0600',mode:absolute,to:'2017-04-10T14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183" t="str">
        <f t="shared" si="33"/>
        <v>N</v>
      </c>
      <c r="X82" s="183">
        <f t="shared" si="34"/>
        <v>1</v>
      </c>
      <c r="Y82" s="62">
        <f t="shared" si="35"/>
        <v>23.296299999999999</v>
      </c>
      <c r="Z82" s="62">
        <f t="shared" si="36"/>
        <v>1.52E-2</v>
      </c>
      <c r="AA82" s="62">
        <f t="shared" si="37"/>
        <v>23.281099999999999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8"/>
        <v>0170-10</v>
      </c>
      <c r="AE82" s="85" t="str">
        <f t="shared" si="39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82" s="82" t="str">
        <f t="shared" si="40"/>
        <v>"C:\Program Files (x86)\AstroGrep\AstroGrep.exe" /e /r /s /spath="%USERPROFILE%\AppData\Local\Temp\OnboardLogs" /stypes="app*4013*20170410*" /stext=" 19:.+((SYSTEM_STATE.+slice.+state.+changed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170-10 --locoid 4013 --swversion DE.1.0.9.0 --startMP 204:232963 --initTime 2017-04-10T12:54:25 --startdatetime 2017-04-10T13:11:18 --delay 1 --endMP 204:152 --enddatetime 2017-04-10T13:53:25 --enforcementcount 0 &gt;&gt;C:\Users\stu\Documents\GitHub\eaglep3-reporting\EC\2017-04-10-refined-times.txt</v>
      </c>
      <c r="AI82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ID","value":"170-10"},{"id":16,"name":"Locomotive ID","value":"4013"},{"id":130,"name":"Impact","value":""},{"id":150,"name":"Time of Event (Mountain Time)","value":"13:53:25"},{"id":151,"name":"Denver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4"/>
        <v>start /low /b %USERPROFILE%\Documents\GitHub\eaglep3\Utilities\DownloadLogsFromS3.py --loco 4013 --day 2017-04-10</v>
      </c>
      <c r="AN82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742</v>
      </c>
      <c r="B83" s="7">
        <v>4054</v>
      </c>
      <c r="C83" s="21" t="s">
        <v>215</v>
      </c>
      <c r="D83" s="21" t="s">
        <v>494</v>
      </c>
      <c r="E83" s="13">
        <v>42835.518530092595</v>
      </c>
      <c r="F83" s="13">
        <v>42835.521469907406</v>
      </c>
      <c r="G83" s="7">
        <v>1</v>
      </c>
      <c r="H83" s="21" t="s">
        <v>424</v>
      </c>
      <c r="I83" s="13">
        <v>42835.5471412037</v>
      </c>
      <c r="J83" s="7">
        <v>0</v>
      </c>
      <c r="K83" s="97" t="str">
        <f t="shared" si="28"/>
        <v>4053/4054</v>
      </c>
      <c r="L83" s="21" t="str">
        <f>VLOOKUP(A83,'Trips&amp;Operators'!$C$1:$G$99999,5,FALSE)</f>
        <v>BRANDNER MELINDA</v>
      </c>
      <c r="M83" s="6">
        <f t="shared" si="29"/>
        <v>2.5671296294603962E-2</v>
      </c>
      <c r="N83" s="7">
        <f t="shared" si="27"/>
        <v>36.966666664229706</v>
      </c>
      <c r="O83" s="7"/>
      <c r="P83" s="7"/>
      <c r="Q83" s="22"/>
      <c r="R83" s="22"/>
      <c r="S83" s="31">
        <f t="shared" si="30"/>
        <v>1</v>
      </c>
      <c r="T83" s="46" t="str">
        <f t="shared" si="31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2"/>
        <v>https://d0f6bd738d7f1b3e5a7ca70fe4ff75f0.us-east-1.aws.found.io/app/kibana#/discover/Steve-Slow-Train-Analysis-(2080s-and-2083s)?_g=(refreshInterval:(display:Off,pause:!f,section:0,value:0),time:(from:'2017-04-10T11:26:41-0600',mode:absolute,to:'2017-04-10T14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83" t="str">
        <f t="shared" si="33"/>
        <v>N</v>
      </c>
      <c r="X83" s="183">
        <f t="shared" si="34"/>
        <v>1</v>
      </c>
      <c r="Y83" s="62">
        <f t="shared" si="35"/>
        <v>4.6699999999999998E-2</v>
      </c>
      <c r="Z83" s="62">
        <f t="shared" si="36"/>
        <v>23.329699999999999</v>
      </c>
      <c r="AA83" s="62">
        <f t="shared" si="37"/>
        <v>23.282999999999998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0171-10</v>
      </c>
      <c r="AE83" s="85" t="str">
        <f t="shared" si="39"/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83" s="82" t="str">
        <f t="shared" si="40"/>
        <v>"C:\Program Files (x86)\AstroGrep\AstroGrep.exe" /e /r /s /spath="%USERPROFILE%\AppData\Local\Temp\OnboardLogs" /stypes="app*4054*20170410*"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171-10 --locoid 4054 --swversion DE.1.0.9.0 --startMP 204:467 --initTime 2017-04-10T12:26:41 --startdatetime 2017-04-10T12:30:55 --delay 1 --endMP 204:233297 --enddatetime 2017-04-10T13:07:53 --enforcementcount 0 &gt;&gt;C:\Users\stu\Documents\GitHub\eaglep3-reporting\EC\2017-04-10-refined-times.txt</v>
      </c>
      <c r="AI83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ID","value":"171-10"},{"id":16,"name":"Locomotive ID","value":"4054"},{"id":130,"name":"Impact","value":""},{"id":150,"name":"Time of Event (Mountain Time)","value":"13:07:53"},{"id":151,"name":"Denver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4"/>
        <v>start /low /b %USERPROFILE%\Documents\GitHub\eaglep3\Utilities\DownloadLogsFromS3.py --loco 4054 --day 2017-04-10</v>
      </c>
      <c r="AN83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627</v>
      </c>
      <c r="B84" s="7">
        <v>4053</v>
      </c>
      <c r="C84" s="21" t="s">
        <v>215</v>
      </c>
      <c r="D84" s="21" t="s">
        <v>875</v>
      </c>
      <c r="E84" s="13">
        <v>42835.573923611111</v>
      </c>
      <c r="F84" s="13">
        <v>42835.575555555559</v>
      </c>
      <c r="G84" s="7">
        <v>1</v>
      </c>
      <c r="H84" s="21" t="s">
        <v>496</v>
      </c>
      <c r="I84" s="13">
        <v>42835.594849537039</v>
      </c>
      <c r="J84" s="7">
        <v>0</v>
      </c>
      <c r="K84" s="97" t="str">
        <f t="shared" si="28"/>
        <v>4053/4054</v>
      </c>
      <c r="L84" s="21" t="str">
        <f>VLOOKUP(A84,'Trips&amp;Operators'!$C$1:$G$99999,5,FALSE)</f>
        <v>BRANDNER MELINDA</v>
      </c>
      <c r="M84" s="6">
        <f t="shared" si="29"/>
        <v>1.9293981480586808E-2</v>
      </c>
      <c r="N84" s="7"/>
      <c r="O84" s="7"/>
      <c r="P84" s="7">
        <f>24*60*SUM($M84:$M84)</f>
        <v>27.783333332045004</v>
      </c>
      <c r="Q84" s="22"/>
      <c r="R84" s="22" t="s">
        <v>1037</v>
      </c>
      <c r="S84" s="31">
        <f t="shared" si="30"/>
        <v>1</v>
      </c>
      <c r="T84" s="46" t="str">
        <f t="shared" si="31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2"/>
        <v>https://d0f6bd738d7f1b3e5a7ca70fe4ff75f0.us-east-1.aws.found.io/app/kibana#/discover/Steve-Slow-Train-Analysis-(2080s-and-2083s)?_g=(refreshInterval:(display:Off,pause:!f,section:0,value:0),time:(from:'2017-04-10T12:46:27-0600',mode:absolute,to:'2017-04-10T15:16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183" t="str">
        <f t="shared" si="33"/>
        <v>Y</v>
      </c>
      <c r="X84" s="183">
        <f t="shared" si="34"/>
        <v>1</v>
      </c>
      <c r="Y84" s="62">
        <f t="shared" si="35"/>
        <v>12.7837</v>
      </c>
      <c r="Z84" s="62">
        <f t="shared" si="36"/>
        <v>1.3599999999999999E-2</v>
      </c>
      <c r="AA84" s="62">
        <f t="shared" si="37"/>
        <v>12.770099999999999</v>
      </c>
      <c r="AB84" s="59" t="str">
        <f>VLOOKUP(A84,Enforcements!$C$7:$K$13,8,0)</f>
        <v>Bulletin (2)</v>
      </c>
      <c r="AC84" s="55" t="str">
        <f>VLOOKUP(A84,Enforcements!$C$7:$E$13,3,0)</f>
        <v>GRADE CROSSING</v>
      </c>
      <c r="AD84" s="56" t="str">
        <f t="shared" si="38"/>
        <v>0172-10</v>
      </c>
      <c r="AE84" s="85" t="str">
        <f t="shared" si="39"/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84" s="82" t="str">
        <f t="shared" si="40"/>
        <v>"C:\Program Files (x86)\AstroGrep\AstroGrep.exe" /e /r /s /spath="%USERPROFILE%\AppData\Local\Temp\OnboardLogs" /stypes="app*4053*20170410*" /stext=" 20:.+((SYSTEM_STATE.+slice.+state.+changed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si="42"/>
        <v>"%USERPROFILE%\Documents\GitHub\eaglep3\Utilities\RefineRTDCRunTimes.py" --tripid 172-10 --locoid 4053 --swversion DE.1.0.9.0 --startMP 204:127837 --initTime 2017-04-10T13:46:27 --startdatetime 2017-04-10T13:48:48 --delay 1 --endMP 204:136 --enddatetime 2017-04-10T14:16:35 --enforcementcount 0 &gt;&gt;C:\Users\stu\Documents\GitHub\eaglep3-reporting\EC\2017-04-10-refined-times.txt</v>
      </c>
      <c r="AI84" s="104" t="str">
        <f t="shared" si="43"/>
        <v>echo {"issue":{"subject":"Departure test not performed","project_id":79,"tracker_id":40,"status_id":1,"priority_id":2,"assigned_to_id":23,"start_date":"2017-04-10","description":"","custom_fields":[{"id":1,"name":"Subdivision","value":"EC"},{"id":4,"name":"Milepost","value":"0.0136"},{"id":17,"name":"Train ID","value":"172-10"},{"id":16,"name":"Locomotive ID","value":"4053"},{"id":130,"name":"Impact","value":""},{"id":150,"name":"Time of Event (Mountain Time)","value":"14:16:35"},{"id":151,"name":"Denver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4"/>
        <v>start /low /b %USERPROFILE%\Documents\GitHub\eaglep3\Utilities\DownloadLogsFromS3.py --loco 4053 --day 2017-04-10</v>
      </c>
      <c r="AN84" s="159" t="str">
        <f t="shared" si="45"/>
        <v>echo {"issue":{"subject":"Departure test not performed","project_id":30,"tracker_id":4,"status_id":1,"priority_id":1,"assigned_to_id":10,"start_date":"2017-04-10","description":"","custom_fields":[{"id":30,"name":"Category","value":"Issue"},{"id":3,"name":"Functional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20:16:35"},{"id":29,"name":"Sharepoint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744</v>
      </c>
      <c r="B85" s="7">
        <v>4026</v>
      </c>
      <c r="C85" s="21" t="s">
        <v>215</v>
      </c>
      <c r="D85" s="21" t="s">
        <v>581</v>
      </c>
      <c r="E85" s="13">
        <v>42835.526875000003</v>
      </c>
      <c r="F85" s="13">
        <v>42835.531469907408</v>
      </c>
      <c r="G85" s="7">
        <v>1</v>
      </c>
      <c r="H85" s="21" t="s">
        <v>555</v>
      </c>
      <c r="I85" s="13">
        <v>42835.556180555555</v>
      </c>
      <c r="J85" s="7">
        <v>0</v>
      </c>
      <c r="K85" s="97" t="str">
        <f t="shared" si="28"/>
        <v>4025/4026</v>
      </c>
      <c r="L85" s="21" t="str">
        <f>VLOOKUP(A85,'Trips&amp;Operators'!$C$1:$G$99999,5,FALSE)</f>
        <v>STEWART MICHAEL</v>
      </c>
      <c r="M85" s="6">
        <f t="shared" si="29"/>
        <v>2.47106481474475E-2</v>
      </c>
      <c r="N85" s="7">
        <f t="shared" ref="N85:N98" si="46">24*60*SUM($M85:$M85)</f>
        <v>35.583333332324401</v>
      </c>
      <c r="O85" s="7"/>
      <c r="P85" s="7"/>
      <c r="Q85" s="22"/>
      <c r="R85" s="22"/>
      <c r="S85" s="31">
        <f t="shared" si="30"/>
        <v>1</v>
      </c>
      <c r="T85" s="46" t="str">
        <f t="shared" si="31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2"/>
        <v>https://d0f6bd738d7f1b3e5a7ca70fe4ff75f0.us-east-1.aws.found.io/app/kibana#/discover/Steve-Slow-Train-Analysis-(2080s-and-2083s)?_g=(refreshInterval:(display:Off,pause:!f,section:0,value:0),time:(from:'2017-04-10T11:38:42-0600',mode:absolute,to:'2017-04-10T14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183" t="str">
        <f t="shared" si="33"/>
        <v>N</v>
      </c>
      <c r="X85" s="183">
        <f t="shared" si="34"/>
        <v>1</v>
      </c>
      <c r="Y85" s="62">
        <f t="shared" si="35"/>
        <v>4.7300000000000002E-2</v>
      </c>
      <c r="Z85" s="62">
        <f t="shared" si="36"/>
        <v>23.3309</v>
      </c>
      <c r="AA85" s="62">
        <f t="shared" si="37"/>
        <v>23.2836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0173-10</v>
      </c>
      <c r="AE85" s="85" t="str">
        <f t="shared" si="39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85" s="82" t="str">
        <f t="shared" si="40"/>
        <v>"C:\Program Files (x86)\AstroGrep\AstroGrep.exe" /e /r /s /spath="%USERPROFILE%\AppData\Local\Temp\OnboardLogs" /stypes="app*4026*20170410*" /stext=" 19:.+((SYSTEM_STATE.+slice.+state.+changed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173-10 --locoid 4026 --swversion DE.1.0.9.0 --startMP 204:473 --initTime 2017-04-10T12:38:42 --startdatetime 2017-04-10T12:45:19 --delay 1 --endMP 204:233309 --enddatetime 2017-04-10T13:20:54 --enforcementcount 0 &gt;&gt;C:\Users\stu\Documents\GitHub\eaglep3-reporting\EC\2017-04-10-refined-times.txt</v>
      </c>
      <c r="AI85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{"issue":{"subject":"","project_id":79,"tracker_id":40,"status_id":1,"priority_id":2,"assigned_to_id":23,"start_date":"2017-04-10","description":"","custom_fields":[{"id":1,"name":"Subdivision","value":"EC"},{"id":4,"name":"Milepost","value":"23.3309"},{"id":17,"name":"Train ID","value":"173-10"},{"id":16,"name":"Locomotive ID","value":"4026"},{"id":130,"name":"Impact","value":""},{"id":150,"name":"Time of Event (Mountain Time)","value":"13:20:54"},{"id":151,"name":"Denver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4"/>
        <v>start /low /b %USERPROFILE%\Documents\GitHub\eaglep3\Utilities\DownloadLogsFromS3.py --loco 4026 --day 2017-04-10</v>
      </c>
      <c r="AN85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753</v>
      </c>
      <c r="B86" s="7">
        <v>4025</v>
      </c>
      <c r="C86" s="21" t="s">
        <v>215</v>
      </c>
      <c r="D86" s="21" t="s">
        <v>441</v>
      </c>
      <c r="E86" s="13">
        <v>42835.565162037034</v>
      </c>
      <c r="F86" s="13">
        <v>42835.571134259262</v>
      </c>
      <c r="G86" s="7">
        <v>2</v>
      </c>
      <c r="H86" s="21" t="s">
        <v>876</v>
      </c>
      <c r="I86" s="13">
        <v>42835.600868055553</v>
      </c>
      <c r="J86" s="7">
        <v>0</v>
      </c>
      <c r="K86" s="97" t="str">
        <f t="shared" si="28"/>
        <v>4025/4026</v>
      </c>
      <c r="L86" s="21" t="str">
        <f>VLOOKUP(A86,'Trips&amp;Operators'!$C$1:$G$99999,5,FALSE)</f>
        <v>STEWART MICHAEL</v>
      </c>
      <c r="M86" s="6">
        <f t="shared" si="29"/>
        <v>2.9733796291111503E-2</v>
      </c>
      <c r="N86" s="7">
        <f t="shared" si="46"/>
        <v>42.816666659200564</v>
      </c>
      <c r="O86" s="7"/>
      <c r="P86" s="7"/>
      <c r="Q86" s="22"/>
      <c r="R86" s="22"/>
      <c r="S86" s="31">
        <f t="shared" si="30"/>
        <v>1</v>
      </c>
      <c r="T86" s="46" t="str">
        <f t="shared" si="31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2"/>
        <v>https://d0f6bd738d7f1b3e5a7ca70fe4ff75f0.us-east-1.aws.found.io/app/kibana#/discover/Steve-Slow-Train-Analysis-(2080s-and-2083s)?_g=(refreshInterval:(display:Off,pause:!f,section:0,value:0),time:(from:'2017-04-10T12:33:50-0600',mode:absolute,to:'2017-04-10T15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183" t="str">
        <f t="shared" si="33"/>
        <v>N</v>
      </c>
      <c r="X86" s="183">
        <f t="shared" si="34"/>
        <v>1</v>
      </c>
      <c r="Y86" s="62">
        <f t="shared" si="35"/>
        <v>23.2971</v>
      </c>
      <c r="Z86" s="62">
        <f t="shared" si="36"/>
        <v>1.7600000000000001E-2</v>
      </c>
      <c r="AA86" s="62">
        <f t="shared" si="37"/>
        <v>23.279499999999999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0174-10</v>
      </c>
      <c r="AE86" s="85" t="str">
        <f t="shared" si="39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86" s="82" t="str">
        <f t="shared" si="40"/>
        <v>"C:\Program Files (x86)\AstroGrep\AstroGrep.exe" /e /r /s /spath="%USERPROFILE%\AppData\Local\Temp\OnboardLogs" /stypes="app*4025*20170410*" /stext=" 20:.+((SYSTEM_STATE.+slice.+state.+changed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174-10 --locoid 4025 --swversion DE.1.0.9.0 --startMP 204:232971 --initTime 2017-04-10T13:33:50 --startdatetime 2017-04-10T13:42:26 --delay 2 --endMP 204:176 --enddatetime 2017-04-10T14:25:15 --enforcementcount 0 &gt;&gt;C:\Users\stu\Documents\GitHub\eaglep3-reporting\EC\2017-04-10-refined-times.txt</v>
      </c>
      <c r="AI86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{"issue":{"subject":"","project_id":79,"tracker_id":40,"status_id":1,"priority_id":2,"assigned_to_id":23,"start_date":"2017-04-10","description":"","custom_fields":[{"id":1,"name":"Subdivision","value":"EC"},{"id":4,"name":"Milepost","value":"0.0176"},{"id":17,"name":"Train ID","value":"174-10"},{"id":16,"name":"Locomotive ID","value":"4025"},{"id":130,"name":"Impact","value":""},{"id":150,"name":"Time of Event (Mountain Time)","value":"14:25:15"},{"id":151,"name":"Denver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4"/>
        <v>start /low /b %USERPROFILE%\Documents\GitHub\eaglep3\Utilities\DownloadLogsFromS3.py --loco 4025 --day 2017-04-10</v>
      </c>
      <c r="AN86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747</v>
      </c>
      <c r="B87" s="7">
        <v>4006</v>
      </c>
      <c r="C87" s="21" t="s">
        <v>215</v>
      </c>
      <c r="D87" s="21" t="s">
        <v>209</v>
      </c>
      <c r="E87" s="13">
        <v>42835.54011574074</v>
      </c>
      <c r="F87" s="13">
        <v>42835.542002314818</v>
      </c>
      <c r="G87" s="7">
        <v>1</v>
      </c>
      <c r="H87" s="21" t="s">
        <v>578</v>
      </c>
      <c r="I87" s="13">
        <v>42835.570810185185</v>
      </c>
      <c r="J87" s="7">
        <v>0</v>
      </c>
      <c r="K87" s="97" t="str">
        <f t="shared" si="28"/>
        <v>4005/4006</v>
      </c>
      <c r="L87" s="21" t="str">
        <f>VLOOKUP(A87,'Trips&amp;Operators'!$C$1:$G$99999,5,FALSE)</f>
        <v>DAVIS MICHAEL</v>
      </c>
      <c r="M87" s="6">
        <f t="shared" si="29"/>
        <v>2.880787036701804E-2</v>
      </c>
      <c r="N87" s="7">
        <f t="shared" si="46"/>
        <v>41.483333328505978</v>
      </c>
      <c r="O87" s="7"/>
      <c r="P87" s="7"/>
      <c r="Q87" s="22"/>
      <c r="R87" s="22"/>
      <c r="S87" s="31">
        <f t="shared" si="30"/>
        <v>1</v>
      </c>
      <c r="T87" s="46" t="str">
        <f t="shared" si="31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2"/>
        <v>https://d0f6bd738d7f1b3e5a7ca70fe4ff75f0.us-east-1.aws.found.io/app/kibana#/discover/Steve-Slow-Train-Analysis-(2080s-and-2083s)?_g=(refreshInterval:(display:Off,pause:!f,section:0,value:0),time:(from:'2017-04-10T11:57:46-0600',mode:absolute,to:'2017-04-10T14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7" s="183" t="str">
        <f t="shared" si="33"/>
        <v>N</v>
      </c>
      <c r="X87" s="183">
        <f t="shared" si="34"/>
        <v>1</v>
      </c>
      <c r="Y87" s="62">
        <f t="shared" si="35"/>
        <v>4.53E-2</v>
      </c>
      <c r="Z87" s="62">
        <f t="shared" si="36"/>
        <v>23.336400000000001</v>
      </c>
      <c r="AA87" s="62">
        <f t="shared" si="37"/>
        <v>23.2911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0175-10</v>
      </c>
      <c r="AE87" s="85" t="str">
        <f t="shared" si="39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87" s="82" t="str">
        <f t="shared" si="40"/>
        <v>"C:\Program Files (x86)\AstroGrep\AstroGrep.exe" /e /r /s /spath="%USERPROFILE%\AppData\Local\Temp\OnboardLogs" /stypes="app*4006*20170410*" /stext=" 19:.+((SYSTEM_STATE.+slice.+state.+changed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175-10 --locoid 4006 --swversion DE.1.0.9.0 --startMP 204:453 --initTime 2017-04-10T12:57:46 --startdatetime 2017-04-10T13:00:29 --delay 1 --endMP 204:233364 --enddatetime 2017-04-10T13:41:58 --enforcementcount 0 &gt;&gt;C:\Users\stu\Documents\GitHub\eaglep3-reporting\EC\2017-04-10-refined-times.txt</v>
      </c>
      <c r="AI87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{"issue":{"subject":"","project_id":79,"tracker_id":40,"status_id":1,"priority_id":2,"assigned_to_id":23,"start_date":"2017-04-10","description":"","custom_fields":[{"id":1,"name":"Subdivision","value":"EC"},{"id":4,"name":"Milepost","value":"23.3364"},{"id":17,"name":"Train ID","value":"175-10"},{"id":16,"name":"Locomotive ID","value":"4006"},{"id":130,"name":"Impact","value":""},{"id":150,"name":"Time of Event (Mountain Time)","value":"13:41:58"},{"id":151,"name":"Denver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4"/>
        <v>start /low /b %USERPROFILE%\Documents\GitHub\eaglep3\Utilities\DownloadLogsFromS3.py --loco 4006 --day 2017-04-10</v>
      </c>
      <c r="AN87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19:41:58"},{"id":29,"name":"Sharepoint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756</v>
      </c>
      <c r="B88" s="7">
        <v>4005</v>
      </c>
      <c r="C88" s="21" t="s">
        <v>215</v>
      </c>
      <c r="D88" s="21" t="s">
        <v>877</v>
      </c>
      <c r="E88" s="13">
        <v>42835.57880787037</v>
      </c>
      <c r="F88" s="13">
        <v>42835.580949074072</v>
      </c>
      <c r="G88" s="7">
        <v>1</v>
      </c>
      <c r="H88" s="21" t="s">
        <v>212</v>
      </c>
      <c r="I88" s="13">
        <v>42835.611550925925</v>
      </c>
      <c r="J88" s="7">
        <v>0</v>
      </c>
      <c r="K88" s="97" t="str">
        <f t="shared" si="28"/>
        <v>4005/4006</v>
      </c>
      <c r="L88" s="21" t="str">
        <f>VLOOKUP(A88,'Trips&amp;Operators'!$C$1:$G$99999,5,FALSE)</f>
        <v>DAVIS MICHAEL</v>
      </c>
      <c r="M88" s="6">
        <f t="shared" si="29"/>
        <v>3.0601851853134576E-2</v>
      </c>
      <c r="N88" s="7">
        <f t="shared" si="46"/>
        <v>44.06666666851379</v>
      </c>
      <c r="O88" s="7"/>
      <c r="P88" s="7"/>
      <c r="Q88" s="22"/>
      <c r="R88" s="22"/>
      <c r="S88" s="31">
        <f t="shared" si="30"/>
        <v>1</v>
      </c>
      <c r="T88" s="46" t="str">
        <f t="shared" si="31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2"/>
        <v>https://d0f6bd738d7f1b3e5a7ca70fe4ff75f0.us-east-1.aws.found.io/app/kibana#/discover/Steve-Slow-Train-Analysis-(2080s-and-2083s)?_g=(refreshInterval:(display:Off,pause:!f,section:0,value:0),time:(from:'2017-04-10T12:53:29-0600',mode:absolute,to:'2017-04-10T15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183" t="str">
        <f t="shared" si="33"/>
        <v>N</v>
      </c>
      <c r="X88" s="183">
        <f t="shared" si="34"/>
        <v>1</v>
      </c>
      <c r="Y88" s="62">
        <f t="shared" si="35"/>
        <v>23.299600000000002</v>
      </c>
      <c r="Z88" s="62">
        <f t="shared" si="36"/>
        <v>1.47E-2</v>
      </c>
      <c r="AA88" s="62">
        <f t="shared" si="37"/>
        <v>23.2849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0176-10</v>
      </c>
      <c r="AE88" s="85" t="str">
        <f t="shared" si="39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88" s="82" t="str">
        <f t="shared" si="40"/>
        <v>"C:\Program Files (x86)\AstroGrep\AstroGrep.exe" /e /r /s /spath="%USERPROFILE%\AppData\Local\Temp\OnboardLogs" /stypes="app*4005*20170410*" /stext=" 20:.+((SYSTEM_STATE.+slice.+state.+changed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 t="shared" si="42"/>
        <v>"%USERPROFILE%\Documents\GitHub\eaglep3\Utilities\RefineRTDCRunTimes.py" --tripid 176-10 --locoid 4005 --swversion DE.1.0.9.0 --startMP 204:232996 --initTime 2017-04-10T13:53:29 --startdatetime 2017-04-10T13:56:34 --delay 1 --endMP 204:147 --enddatetime 2017-04-10T14:40:38 --enforcementcount 0 &gt;&gt;C:\Users\stu\Documents\GitHub\eaglep3-reporting\EC\2017-04-10-refined-times.txt</v>
      </c>
      <c r="AI88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{"issue":{"subject":"","project_id":79,"tracker_id":40,"status_id":1,"priority_id":2,"assigned_to_id":23,"start_date":"2017-04-10","description":"","custom_fields":[{"id":1,"name":"Subdivision","value":"EC"},{"id":4,"name":"Milepost","value":"0.0147"},{"id":17,"name":"Train ID","value":"176-10"},{"id":16,"name":"Locomotive ID","value":"4005"},{"id":130,"name":"Impact","value":""},{"id":150,"name":"Time of Event (Mountain Time)","value":"14:40:38"},{"id":151,"name":"Denver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4"/>
        <v>start /low /b %USERPROFILE%\Documents\GitHub\eaglep3\Utilities\DownloadLogsFromS3.py --loco 4005 --day 2017-04-10</v>
      </c>
      <c r="AN88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748</v>
      </c>
      <c r="B89" s="7">
        <v>4020</v>
      </c>
      <c r="C89" s="21" t="s">
        <v>215</v>
      </c>
      <c r="D89" s="21" t="s">
        <v>878</v>
      </c>
      <c r="E89" s="13">
        <v>42835.547789351855</v>
      </c>
      <c r="F89" s="13">
        <v>42835.552256944444</v>
      </c>
      <c r="G89" s="7">
        <v>1</v>
      </c>
      <c r="H89" s="21" t="s">
        <v>524</v>
      </c>
      <c r="I89" s="13">
        <v>42835.578541666669</v>
      </c>
      <c r="J89" s="7">
        <v>0</v>
      </c>
      <c r="K89" s="97" t="str">
        <f t="shared" si="28"/>
        <v>4019/4020</v>
      </c>
      <c r="L89" s="21" t="str">
        <f>VLOOKUP(A89,'Trips&amp;Operators'!$C$1:$G$99999,5,FALSE)</f>
        <v>CLARK KATHLEEN</v>
      </c>
      <c r="M89" s="6">
        <f t="shared" si="29"/>
        <v>2.6284722225682344E-2</v>
      </c>
      <c r="N89" s="7">
        <f t="shared" si="46"/>
        <v>37.850000004982576</v>
      </c>
      <c r="O89" s="7"/>
      <c r="P89" s="7"/>
      <c r="Q89" s="22"/>
      <c r="R89" s="22"/>
      <c r="S89" s="31">
        <f t="shared" si="30"/>
        <v>1</v>
      </c>
      <c r="T89" s="46" t="str">
        <f t="shared" si="31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2"/>
        <v>https://d0f6bd738d7f1b3e5a7ca70fe4ff75f0.us-east-1.aws.found.io/app/kibana#/discover/Steve-Slow-Train-Analysis-(2080s-and-2083s)?_g=(refreshInterval:(display:Off,pause:!f,section:0,value:0),time:(from:'2017-04-10T12:08:49-0600',mode:absolute,to:'2017-04-10T14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83" t="str">
        <f t="shared" si="33"/>
        <v>N</v>
      </c>
      <c r="X89" s="183">
        <f t="shared" si="34"/>
        <v>1</v>
      </c>
      <c r="Y89" s="62">
        <f t="shared" si="35"/>
        <v>4.8000000000000001E-2</v>
      </c>
      <c r="Z89" s="62">
        <f t="shared" si="36"/>
        <v>23.327200000000001</v>
      </c>
      <c r="AA89" s="62">
        <f t="shared" si="37"/>
        <v>23.279200000000003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0177-10</v>
      </c>
      <c r="AE89" s="85" t="str">
        <f t="shared" si="39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89" s="82" t="str">
        <f t="shared" si="40"/>
        <v>"C:\Program Files (x86)\AstroGrep\AstroGrep.exe" /e /r /s /spath="%USERPROFILE%\AppData\Local\Temp\OnboardLogs" /stypes="app*4020*20170410*" /stext=" 19:.+((SYSTEM_STATE.+slice.+state.+changed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177-10 --locoid 4020 --swversion DE.1.0.9.0 --startMP 204:480 --initTime 2017-04-10T13:08:49 --startdatetime 2017-04-10T13:15:15 --delay 1 --endMP 204:233272 --enddatetime 2017-04-10T13:53:06 --enforcementcount 0 &gt;&gt;C:\Users\stu\Documents\GitHub\eaglep3-reporting\EC\2017-04-10-refined-times.txt</v>
      </c>
      <c r="AI89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{"issue":{"subject":"","project_id":79,"tracker_id":40,"status_id":1,"priority_id":2,"assigned_to_id":23,"start_date":"2017-04-10","description":"","custom_fields":[{"id":1,"name":"Subdivision","value":"EC"},{"id":4,"name":"Milepost","value":"23.3272"},{"id":17,"name":"Train ID","value":"177-10"},{"id":16,"name":"Locomotive ID","value":"4020"},{"id":130,"name":"Impact","value":""},{"id":150,"name":"Time of Event (Mountain Time)","value":"13:53:06"},{"id":151,"name":"Denver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4"/>
        <v>start /low /b %USERPROFILE%\Documents\GitHub\eaglep3\Utilities\DownloadLogsFromS3.py --loco 4020 --day 2017-04-10</v>
      </c>
      <c r="AN89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759</v>
      </c>
      <c r="B90" s="7">
        <v>4019</v>
      </c>
      <c r="C90" s="21" t="s">
        <v>215</v>
      </c>
      <c r="D90" s="21" t="s">
        <v>879</v>
      </c>
      <c r="E90" s="13">
        <v>42835.58693287037</v>
      </c>
      <c r="F90" s="13">
        <v>42835.591134259259</v>
      </c>
      <c r="G90" s="7">
        <v>1</v>
      </c>
      <c r="H90" s="21" t="s">
        <v>876</v>
      </c>
      <c r="I90" s="13">
        <v>42835.621168981481</v>
      </c>
      <c r="J90" s="7">
        <v>0</v>
      </c>
      <c r="K90" s="97" t="str">
        <f t="shared" si="28"/>
        <v>4019/4020</v>
      </c>
      <c r="L90" s="21" t="str">
        <f>VLOOKUP(A90,'Trips&amp;Operators'!$C$1:$G$99999,5,FALSE)</f>
        <v>CLARK KATHLEEN</v>
      </c>
      <c r="M90" s="6">
        <f t="shared" si="29"/>
        <v>3.0034722221898846E-2</v>
      </c>
      <c r="N90" s="7">
        <f t="shared" si="46"/>
        <v>43.249999999534339</v>
      </c>
      <c r="O90" s="7"/>
      <c r="P90" s="7"/>
      <c r="Q90" s="22"/>
      <c r="R90" s="22"/>
      <c r="S90" s="31">
        <f t="shared" si="30"/>
        <v>1</v>
      </c>
      <c r="T90" s="46" t="str">
        <f t="shared" si="31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2"/>
        <v>https://d0f6bd738d7f1b3e5a7ca70fe4ff75f0.us-east-1.aws.found.io/app/kibana#/discover/Steve-Slow-Train-Analysis-(2080s-and-2083s)?_g=(refreshInterval:(display:Off,pause:!f,section:0,value:0),time:(from:'2017-04-10T13:05:11-0600',mode:absolute,to:'2017-04-10T15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83" t="str">
        <f t="shared" si="33"/>
        <v>N</v>
      </c>
      <c r="X90" s="183">
        <f t="shared" si="34"/>
        <v>1</v>
      </c>
      <c r="Y90" s="62">
        <f t="shared" si="35"/>
        <v>23.294799999999999</v>
      </c>
      <c r="Z90" s="62">
        <f t="shared" si="36"/>
        <v>1.7600000000000001E-2</v>
      </c>
      <c r="AA90" s="62">
        <f t="shared" si="37"/>
        <v>23.277199999999997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0178-10</v>
      </c>
      <c r="AE90" s="85" t="str">
        <f t="shared" si="39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90" s="82" t="str">
        <f t="shared" si="40"/>
        <v>"C:\Program Files (x86)\AstroGrep\AstroGrep.exe" /e /r /s /spath="%USERPROFILE%\AppData\Local\Temp\OnboardLogs" /stypes="app*4019*20170410*" /stext=" 20:.+((SYSTEM_STATE.+slice.+state.+changed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178-10 --locoid 4019 --swversion DE.1.0.9.0 --startMP 204:232948 --initTime 2017-04-10T14:05:11 --startdatetime 2017-04-10T14:11:14 --delay 1 --endMP 204:176 --enddatetime 2017-04-10T14:54:29 --enforcementcount 0 &gt;&gt;C:\Users\stu\Documents\GitHub\eaglep3-reporting\EC\2017-04-10-refined-times.txt</v>
      </c>
      <c r="AI90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{"issue":{"subject":"","project_id":79,"tracker_id":40,"status_id":1,"priority_id":2,"assigned_to_id":23,"start_date":"2017-04-10","description":"","custom_fields":[{"id":1,"name":"Subdivision","value":"EC"},{"id":4,"name":"Milepost","value":"0.0176"},{"id":17,"name":"Train ID","value":"178-10"},{"id":16,"name":"Locomotive ID","value":"4019"},{"id":130,"name":"Impact","value":""},{"id":150,"name":"Time of Event (Mountain Time)","value":"14:54:29"},{"id":151,"name":"Denver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4"/>
        <v>start /low /b %USERPROFILE%\Documents\GitHub\eaglep3\Utilities\DownloadLogsFromS3.py --loco 4019 --day 2017-04-10</v>
      </c>
      <c r="AN90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750</v>
      </c>
      <c r="B91" s="7">
        <v>4016</v>
      </c>
      <c r="C91" s="21" t="s">
        <v>215</v>
      </c>
      <c r="D91" s="21" t="s">
        <v>205</v>
      </c>
      <c r="E91" s="13">
        <v>42835.557627314818</v>
      </c>
      <c r="F91" s="13">
        <v>42835.562696759262</v>
      </c>
      <c r="G91" s="7">
        <v>3</v>
      </c>
      <c r="H91" s="21" t="s">
        <v>584</v>
      </c>
      <c r="I91" s="13">
        <v>42835.595173611109</v>
      </c>
      <c r="J91" s="7">
        <v>0</v>
      </c>
      <c r="K91" s="97" t="str">
        <f t="shared" si="28"/>
        <v>4015/4016</v>
      </c>
      <c r="L91" s="21" t="str">
        <f>VLOOKUP(A91,'Trips&amp;Operators'!$C$1:$G$99999,5,FALSE)</f>
        <v>MENGES BRAD</v>
      </c>
      <c r="M91" s="6">
        <f t="shared" si="29"/>
        <v>3.2476851847604848E-2</v>
      </c>
      <c r="N91" s="7">
        <f t="shared" si="46"/>
        <v>46.766666660550982</v>
      </c>
      <c r="O91" s="7"/>
      <c r="P91" s="7"/>
      <c r="Q91" s="22"/>
      <c r="R91" s="22"/>
      <c r="S91" s="31">
        <f t="shared" si="30"/>
        <v>1</v>
      </c>
      <c r="T91" s="46" t="str">
        <f t="shared" si="31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2"/>
        <v>https://d0f6bd738d7f1b3e5a7ca70fe4ff75f0.us-east-1.aws.found.io/app/kibana#/discover/Steve-Slow-Train-Analysis-(2080s-and-2083s)?_g=(refreshInterval:(display:Off,pause:!f,section:0,value:0),time:(from:'2017-04-10T12:22:59-0600',mode:absolute,to:'2017-04-10T15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83" t="str">
        <f t="shared" si="33"/>
        <v>N</v>
      </c>
      <c r="X91" s="183">
        <f t="shared" si="34"/>
        <v>1</v>
      </c>
      <c r="Y91" s="62">
        <f t="shared" si="35"/>
        <v>4.5699999999999998E-2</v>
      </c>
      <c r="Z91" s="62">
        <f t="shared" si="36"/>
        <v>23.331399999999999</v>
      </c>
      <c r="AA91" s="62">
        <f t="shared" si="37"/>
        <v>23.285699999999999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0179-10</v>
      </c>
      <c r="AE91" s="85" t="str">
        <f t="shared" si="39"/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91" s="82" t="str">
        <f t="shared" si="40"/>
        <v>"C:\Program Files (x86)\AstroGrep\AstroGrep.exe" /e /r /s /spath="%USERPROFILE%\AppData\Local\Temp\OnboardLogs" /stypes="app*4016*20170410*"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179-10 --locoid 4016 --swversion DE.1.0.9.0 --startMP 204:457 --initTime 2017-04-10T13:22:59 --startdatetime 2017-04-10T13:30:17 --delay 3 --endMP 204:233314 --enddatetime 2017-04-10T14:17:03 --enforcementcount 0 &gt;&gt;C:\Users\stu\Documents\GitHub\eaglep3-reporting\EC\2017-04-10-refined-times.txt</v>
      </c>
      <c r="AI91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{"issue":{"subject":"","project_id":79,"tracker_id":40,"status_id":1,"priority_id":2,"assigned_to_id":23,"start_date":"2017-04-10","description":"","custom_fields":[{"id":1,"name":"Subdivision","value":"EC"},{"id":4,"name":"Milepost","value":"23.3314"},{"id":17,"name":"Train ID","value":"179-10"},{"id":16,"name":"Locomotive ID","value":"4016"},{"id":130,"name":"Impact","value":""},{"id":150,"name":"Time of Event (Mountain Time)","value":"14:17:03"},{"id":151,"name":"Denver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4"/>
        <v>start /low /b %USERPROFILE%\Documents\GitHub\eaglep3\Utilities\DownloadLogsFromS3.py --loco 4016 --day 2017-04-10</v>
      </c>
      <c r="AN91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20:17:03"},{"id":29,"name":"Sharepoint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630</v>
      </c>
      <c r="B92" s="7">
        <v>4015</v>
      </c>
      <c r="C92" s="21" t="s">
        <v>215</v>
      </c>
      <c r="D92" s="21" t="s">
        <v>431</v>
      </c>
      <c r="E92" s="13">
        <v>42835.599444444444</v>
      </c>
      <c r="F92" s="13">
        <v>42835.601620370369</v>
      </c>
      <c r="G92" s="7">
        <v>1</v>
      </c>
      <c r="H92" s="21" t="s">
        <v>198</v>
      </c>
      <c r="I92" s="13">
        <v>42835.631342592591</v>
      </c>
      <c r="J92" s="7">
        <v>0</v>
      </c>
      <c r="K92" s="97" t="str">
        <f t="shared" si="28"/>
        <v>4015/4016</v>
      </c>
      <c r="L92" s="21" t="str">
        <f>VLOOKUP(A92,'Trips&amp;Operators'!$C$1:$G$99999,5,FALSE)</f>
        <v>MENGES BRAD</v>
      </c>
      <c r="M92" s="6">
        <f t="shared" si="29"/>
        <v>2.9722222221607808E-2</v>
      </c>
      <c r="N92" s="7">
        <f t="shared" si="46"/>
        <v>42.799999999115244</v>
      </c>
      <c r="O92" s="7"/>
      <c r="P92" s="7"/>
      <c r="Q92" s="22"/>
      <c r="R92" s="22"/>
      <c r="S92" s="31">
        <f t="shared" si="30"/>
        <v>1</v>
      </c>
      <c r="T92" s="46" t="str">
        <f t="shared" si="31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2"/>
        <v>https://d0f6bd738d7f1b3e5a7ca70fe4ff75f0.us-east-1.aws.found.io/app/kibana#/discover/Steve-Slow-Train-Analysis-(2080s-and-2083s)?_g=(refreshInterval:(display:Off,pause:!f,section:0,value:0),time:(from:'2017-04-10T13:23:12-0600',mode:absolute,to:'2017-04-10T16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83" t="str">
        <f t="shared" si="33"/>
        <v>N</v>
      </c>
      <c r="X92" s="183">
        <f t="shared" si="34"/>
        <v>1</v>
      </c>
      <c r="Y92" s="62">
        <f t="shared" si="35"/>
        <v>23.298500000000001</v>
      </c>
      <c r="Z92" s="62">
        <f t="shared" si="36"/>
        <v>1.5800000000000002E-2</v>
      </c>
      <c r="AA92" s="62">
        <f t="shared" si="37"/>
        <v>23.282700000000002</v>
      </c>
      <c r="AB92" s="59" t="str">
        <f>VLOOKUP(A92,Enforcements!$C$7:$K$13,8,0)</f>
        <v>Bulletin (2)</v>
      </c>
      <c r="AC92" s="55" t="str">
        <f>VLOOKUP(A92,Enforcements!$C$7:$E$13,3,0)</f>
        <v>GRADE CROSSING</v>
      </c>
      <c r="AD92" s="56" t="str">
        <f t="shared" si="38"/>
        <v>0180-10</v>
      </c>
      <c r="AE92" s="85" t="str">
        <f t="shared" si="39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92" s="82" t="str">
        <f t="shared" si="40"/>
        <v>"C:\Program Files (x86)\AstroGrep\AstroGrep.exe" /e /r /s /spath="%USERPROFILE%\AppData\Local\Temp\OnboardLogs" /stypes="app*4015*20170410*" /stext=" 21:.+((SYSTEM_STATE.+slice.+state.+changed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180-10 --locoid 4015 --swversion DE.1.0.9.0 --startMP 204:232985 --initTime 2017-04-10T14:23:12 --startdatetime 2017-04-10T14:26:20 --delay 1 --endMP 204:158 --enddatetime 2017-04-10T15:09:08 --enforcementcount 0 &gt;&gt;C:\Users\stu\Documents\GitHub\eaglep3-reporting\EC\2017-04-10-refined-times.txt</v>
      </c>
      <c r="AI92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{"issue":{"subject":"","project_id":79,"tracker_id":40,"status_id":1,"priority_id":2,"assigned_to_id":23,"start_date":"2017-04-10","description":"","custom_fields":[{"id":1,"name":"Subdivision","value":"EC"},{"id":4,"name":"Milepost","value":"0.0158"},{"id":17,"name":"Train ID","value":"180-10"},{"id":16,"name":"Locomotive ID","value":"4015"},{"id":130,"name":"Impact","value":""},{"id":150,"name":"Time of Event (Mountain Time)","value":"15:09:08"},{"id":151,"name":"Denver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4"/>
        <v>start /low /b %USERPROFILE%\Documents\GitHub\eaglep3\Utilities\DownloadLogsFromS3.py --loco 4015 --day 2017-04-10</v>
      </c>
      <c r="AN92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755</v>
      </c>
      <c r="B93" s="7">
        <v>4042</v>
      </c>
      <c r="C93" s="21" t="s">
        <v>215</v>
      </c>
      <c r="D93" s="21" t="s">
        <v>426</v>
      </c>
      <c r="E93" s="13">
        <v>42835.571435185186</v>
      </c>
      <c r="F93" s="13">
        <v>42835.573078703703</v>
      </c>
      <c r="G93" s="7">
        <v>1</v>
      </c>
      <c r="H93" s="21" t="s">
        <v>568</v>
      </c>
      <c r="I93" s="13">
        <v>42835.598611111112</v>
      </c>
      <c r="J93" s="7">
        <v>0</v>
      </c>
      <c r="K93" s="97" t="str">
        <f t="shared" si="28"/>
        <v>4041/4042</v>
      </c>
      <c r="L93" s="21" t="str">
        <f>VLOOKUP(A93,'Trips&amp;Operators'!$C$1:$G$99999,5,FALSE)</f>
        <v>LOCKLEAR TRAVIS</v>
      </c>
      <c r="M93" s="6">
        <f t="shared" si="29"/>
        <v>2.5532407409627922E-2</v>
      </c>
      <c r="N93" s="7">
        <f t="shared" si="46"/>
        <v>36.766666669864208</v>
      </c>
      <c r="O93" s="7"/>
      <c r="P93" s="7"/>
      <c r="Q93" s="22"/>
      <c r="R93" s="22"/>
      <c r="S93" s="31">
        <f t="shared" si="30"/>
        <v>1</v>
      </c>
      <c r="T93" s="46" t="str">
        <f t="shared" si="31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2"/>
        <v>https://d0f6bd738d7f1b3e5a7ca70fe4ff75f0.us-east-1.aws.found.io/app/kibana#/discover/Steve-Slow-Train-Analysis-(2080s-and-2083s)?_g=(refreshInterval:(display:Off,pause:!f,section:0,value:0),time:(from:'2017-04-10T12:42:52-0600',mode:absolute,to:'2017-04-10T15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83" t="str">
        <f t="shared" si="33"/>
        <v>N</v>
      </c>
      <c r="X93" s="183">
        <f t="shared" si="34"/>
        <v>1</v>
      </c>
      <c r="Y93" s="62">
        <f t="shared" si="35"/>
        <v>4.6600000000000003E-2</v>
      </c>
      <c r="Z93" s="62">
        <f t="shared" si="36"/>
        <v>23.336200000000002</v>
      </c>
      <c r="AA93" s="62">
        <f t="shared" si="37"/>
        <v>23.2896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0181-10</v>
      </c>
      <c r="AE93" s="85" t="str">
        <f t="shared" si="39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93" s="82" t="str">
        <f t="shared" si="40"/>
        <v>"C:\Program Files (x86)\AstroGrep\AstroGrep.exe" /e /r /s /spath="%USERPROFILE%\AppData\Local\Temp\OnboardLogs" /stypes="app*4042*20170410*" /stext=" 20:.+((SYSTEM_STATE.+slice.+state.+changed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181-10 --locoid 4042 --swversion DE.1.0.9.0 --startMP 204:466 --initTime 2017-04-10T13:42:52 --startdatetime 2017-04-10T13:45:14 --delay 1 --endMP 204:233362 --enddatetime 2017-04-10T14:22:00 --enforcementcount 0 &gt;&gt;C:\Users\stu\Documents\GitHub\eaglep3-reporting\EC\2017-04-10-refined-times.txt</v>
      </c>
      <c r="AI93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{"issue":{"subject":"","project_id":79,"tracker_id":40,"status_id":1,"priority_id":2,"assigned_to_id":23,"start_date":"2017-04-10","description":"","custom_fields":[{"id":1,"name":"Subdivision","value":"EC"},{"id":4,"name":"Milepost","value":"23.3362"},{"id":17,"name":"Train ID","value":"181-10"},{"id":16,"name":"Locomotive ID","value":"4042"},{"id":130,"name":"Impact","value":""},{"id":150,"name":"Time of Event (Mountain Time)","value":"14:22:00"},{"id":151,"name":"Denver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44"/>
        <v>start /low /b %USERPROFILE%\Documents\GitHub\eaglep3\Utilities\DownloadLogsFromS3.py --loco 4042 --day 2017-04-10</v>
      </c>
      <c r="AN93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631</v>
      </c>
      <c r="B94" s="7">
        <v>4041</v>
      </c>
      <c r="C94" s="21" t="s">
        <v>215</v>
      </c>
      <c r="D94" s="21" t="s">
        <v>880</v>
      </c>
      <c r="E94" s="13">
        <v>42835.610833333332</v>
      </c>
      <c r="F94" s="13">
        <v>42835.612002314818</v>
      </c>
      <c r="G94" s="7">
        <v>1</v>
      </c>
      <c r="H94" s="21" t="s">
        <v>203</v>
      </c>
      <c r="I94" s="13">
        <v>42835.642685185187</v>
      </c>
      <c r="J94" s="7">
        <v>0</v>
      </c>
      <c r="K94" s="97" t="str">
        <f t="shared" si="28"/>
        <v>4041/4042</v>
      </c>
      <c r="L94" s="21" t="str">
        <f>VLOOKUP(A94,'Trips&amp;Operators'!$C$1:$G$99999,5,FALSE)</f>
        <v>LOCKLEAR TRAVIS</v>
      </c>
      <c r="M94" s="6">
        <f t="shared" si="29"/>
        <v>3.068287036876427E-2</v>
      </c>
      <c r="N94" s="7">
        <f t="shared" si="46"/>
        <v>44.183333331020549</v>
      </c>
      <c r="O94" s="7"/>
      <c r="P94" s="7"/>
      <c r="Q94" s="22"/>
      <c r="R94" s="22"/>
      <c r="S94" s="31">
        <f t="shared" si="30"/>
        <v>1</v>
      </c>
      <c r="T94" s="46" t="str">
        <f t="shared" si="31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2"/>
        <v>https://d0f6bd738d7f1b3e5a7ca70fe4ff75f0.us-east-1.aws.found.io/app/kibana#/discover/Steve-Slow-Train-Analysis-(2080s-and-2083s)?_g=(refreshInterval:(display:Off,pause:!f,section:0,value:0),time:(from:'2017-04-10T13:39:36-0600',mode:absolute,to:'2017-04-10T16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83" t="str">
        <f t="shared" si="33"/>
        <v>N</v>
      </c>
      <c r="X94" s="183">
        <f t="shared" si="34"/>
        <v>1</v>
      </c>
      <c r="Y94" s="62">
        <f t="shared" si="35"/>
        <v>23.304600000000001</v>
      </c>
      <c r="Z94" s="62">
        <f t="shared" si="36"/>
        <v>1.54E-2</v>
      </c>
      <c r="AA94" s="62">
        <f t="shared" si="37"/>
        <v>23.289200000000001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8"/>
        <v>0182-10</v>
      </c>
      <c r="AE94" s="85" t="str">
        <f t="shared" si="39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94" s="82" t="str">
        <f t="shared" si="40"/>
        <v>"C:\Program Files (x86)\AstroGrep\AstroGrep.exe" /e /r /s /spath="%USERPROFILE%\AppData\Local\Temp\OnboardLogs" /stypes="app*4041*20170410*" /stext=" 21:.+((SYSTEM_STATE.+slice.+state.+changed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182-10 --locoid 4041 --swversion DE.1.0.9.0 --startMP 204:233046 --initTime 2017-04-10T14:39:36 --startdatetime 2017-04-10T14:41:17 --delay 1 --endMP 204:154 --enddatetime 2017-04-10T15:25:28 --enforcementcount 0 &gt;&gt;C:\Users\stu\Documents\GitHub\eaglep3-reporting\EC\2017-04-10-refined-times.txt</v>
      </c>
      <c r="AI94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ID","value":"182-10"},{"id":16,"name":"Locomotive ID","value":"4041"},{"id":130,"name":"Impact","value":""},{"id":150,"name":"Time of Event (Mountain Time)","value":"15:25:28"},{"id":151,"name":"Denver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4"/>
        <v>start /low /b %USERPROFILE%\Documents\GitHub\eaglep3\Utilities\DownloadLogsFromS3.py --loco 4041 --day 2017-04-10</v>
      </c>
      <c r="AN94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757</v>
      </c>
      <c r="B95" s="7">
        <v>4014</v>
      </c>
      <c r="C95" s="21" t="s">
        <v>215</v>
      </c>
      <c r="D95" s="21" t="s">
        <v>430</v>
      </c>
      <c r="E95" s="13">
        <v>42835.579872685186</v>
      </c>
      <c r="F95" s="13">
        <v>42835.583495370367</v>
      </c>
      <c r="G95" s="7">
        <v>1</v>
      </c>
      <c r="H95" s="21" t="s">
        <v>503</v>
      </c>
      <c r="I95" s="13">
        <v>42835.609317129631</v>
      </c>
      <c r="J95" s="7">
        <v>0</v>
      </c>
      <c r="K95" s="97" t="str">
        <f t="shared" si="28"/>
        <v>4013/4014</v>
      </c>
      <c r="L95" s="21" t="str">
        <f>VLOOKUP(A95,'Trips&amp;Operators'!$C$1:$G$99999,5,FALSE)</f>
        <v>GUZMAN DANNY</v>
      </c>
      <c r="M95" s="6">
        <f t="shared" si="29"/>
        <v>2.5821759263635613E-2</v>
      </c>
      <c r="N95" s="7">
        <f t="shared" si="46"/>
        <v>37.183333339635283</v>
      </c>
      <c r="O95" s="7"/>
      <c r="P95" s="7"/>
      <c r="Q95" s="22"/>
      <c r="R95" s="22"/>
      <c r="S95" s="31">
        <f t="shared" si="30"/>
        <v>1</v>
      </c>
      <c r="T95" s="46" t="str">
        <f t="shared" si="31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2"/>
        <v>https://d0f6bd738d7f1b3e5a7ca70fe4ff75f0.us-east-1.aws.found.io/app/kibana#/discover/Steve-Slow-Train-Analysis-(2080s-and-2083s)?_g=(refreshInterval:(display:Off,pause:!f,section:0,value:0),time:(from:'2017-04-10T12:55:01-0600',mode:absolute,to:'2017-04-10T15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183" t="str">
        <f t="shared" si="33"/>
        <v>N</v>
      </c>
      <c r="X95" s="183">
        <f t="shared" si="34"/>
        <v>1</v>
      </c>
      <c r="Y95" s="62">
        <f t="shared" si="35"/>
        <v>4.58E-2</v>
      </c>
      <c r="Z95" s="62">
        <f t="shared" si="36"/>
        <v>23.330200000000001</v>
      </c>
      <c r="AA95" s="62">
        <f t="shared" si="37"/>
        <v>23.284400000000002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0183-10</v>
      </c>
      <c r="AE95" s="85" t="str">
        <f t="shared" si="39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95" s="82" t="str">
        <f t="shared" si="40"/>
        <v>"C:\Program Files (x86)\AstroGrep\AstroGrep.exe" /e /r /s /spath="%USERPROFILE%\AppData\Local\Temp\OnboardLogs" /stypes="app*4014*20170410*" /stext=" 20:.+((SYSTEM_STATE.+slice.+state.+changed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183-10 --locoid 4014 --swversion DE.1.0.9.0 --startMP 204:458 --initTime 2017-04-10T13:55:01 --startdatetime 2017-04-10T14:00:14 --delay 1 --endMP 204:233302 --enddatetime 2017-04-10T14:37:25 --enforcementcount 0 &gt;&gt;C:\Users\stu\Documents\GitHub\eaglep3-reporting\EC\2017-04-10-refined-times.txt</v>
      </c>
      <c r="AI95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{"issue":{"subject":"","project_id":79,"tracker_id":40,"status_id":1,"priority_id":2,"assigned_to_id":23,"start_date":"2017-04-10","description":"","custom_fields":[{"id":1,"name":"Subdivision","value":"EC"},{"id":4,"name":"Milepost","value":"23.3302"},{"id":17,"name":"Train ID","value":"183-10"},{"id":16,"name":"Locomotive ID","value":"4014"},{"id":130,"name":"Impact","value":""},{"id":150,"name":"Time of Event (Mountain Time)","value":"14:37:25"},{"id":151,"name":"Denver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4"/>
        <v>start /low /b %USERPROFILE%\Documents\GitHub\eaglep3\Utilities\DownloadLogsFromS3.py --loco 4014 --day 2017-04-10</v>
      </c>
      <c r="AN95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762</v>
      </c>
      <c r="B96" s="7">
        <v>4013</v>
      </c>
      <c r="C96" s="21" t="s">
        <v>215</v>
      </c>
      <c r="D96" s="21" t="s">
        <v>853</v>
      </c>
      <c r="E96" s="13">
        <v>42835.611111111109</v>
      </c>
      <c r="F96" s="13">
        <v>42835.622407407405</v>
      </c>
      <c r="G96" s="7">
        <v>1</v>
      </c>
      <c r="H96" s="21" t="s">
        <v>881</v>
      </c>
      <c r="I96" s="13">
        <v>42835.651747685188</v>
      </c>
      <c r="J96" s="7">
        <v>0</v>
      </c>
      <c r="K96" s="97" t="str">
        <f t="shared" si="28"/>
        <v>4013/4014</v>
      </c>
      <c r="L96" s="21" t="str">
        <f>VLOOKUP(A96,'Trips&amp;Operators'!$C$1:$G$99999,5,FALSE)</f>
        <v>GUZMAN DANNY</v>
      </c>
      <c r="M96" s="6">
        <f t="shared" si="29"/>
        <v>2.9340277782466728E-2</v>
      </c>
      <c r="N96" s="7">
        <f t="shared" si="46"/>
        <v>42.250000006752089</v>
      </c>
      <c r="O96" s="7"/>
      <c r="P96" s="7"/>
      <c r="Q96" s="22"/>
      <c r="R96" s="22"/>
      <c r="S96" s="31">
        <f t="shared" si="30"/>
        <v>1</v>
      </c>
      <c r="T96" s="46" t="str">
        <f t="shared" si="31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2"/>
        <v>https://d0f6bd738d7f1b3e5a7ca70fe4ff75f0.us-east-1.aws.found.io/app/kibana#/discover/Steve-Slow-Train-Analysis-(2080s-and-2083s)?_g=(refreshInterval:(display:Off,pause:!f,section:0,value:0),time:(from:'2017-04-10T13:40:00-0600',mode:absolute,to:'2017-04-10T16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183" t="str">
        <f t="shared" si="33"/>
        <v>N</v>
      </c>
      <c r="X96" s="183">
        <f t="shared" si="34"/>
        <v>1</v>
      </c>
      <c r="Y96" s="62">
        <f t="shared" si="35"/>
        <v>23.299099999999999</v>
      </c>
      <c r="Z96" s="62">
        <f t="shared" si="36"/>
        <v>1.72E-2</v>
      </c>
      <c r="AA96" s="62">
        <f t="shared" si="37"/>
        <v>23.2819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0184-10</v>
      </c>
      <c r="AE96" s="85" t="str">
        <f t="shared" si="39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96" s="82" t="str">
        <f t="shared" si="40"/>
        <v>"C:\Program Files (x86)\AstroGrep\AstroGrep.exe" /e /r /s /spath="%USERPROFILE%\AppData\Local\Temp\OnboardLogs" /stypes="app*4013*20170410*" /stext=" 21:.+((SYSTEM_STATE.+slice.+state.+changed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184-10 --locoid 4013 --swversion DE.1.0.9.0 --startMP 204:232991 --initTime 2017-04-10T14:40:00 --startdatetime 2017-04-10T14:56:16 --delay 1 --endMP 204:172 --enddatetime 2017-04-10T15:38:31 --enforcementcount 0 &gt;&gt;C:\Users\stu\Documents\GitHub\eaglep3-reporting\EC\2017-04-10-refined-times.txt</v>
      </c>
      <c r="AI96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{"issue":{"subject":"","project_id":79,"tracker_id":40,"status_id":1,"priority_id":2,"assigned_to_id":23,"start_date":"2017-04-10","description":"","custom_fields":[{"id":1,"name":"Subdivision","value":"EC"},{"id":4,"name":"Milepost","value":"0.0172"},{"id":17,"name":"Train ID","value":"184-10"},{"id":16,"name":"Locomotive ID","value":"4013"},{"id":130,"name":"Impact","value":""},{"id":150,"name":"Time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4"/>
        <v>start /low /b %USERPROFILE%\Documents\GitHub\eaglep3\Utilities\DownloadLogsFromS3.py --loco 4013 --day 2017-04-10</v>
      </c>
      <c r="AN96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758</v>
      </c>
      <c r="B97" s="7">
        <v>4002</v>
      </c>
      <c r="C97" s="21" t="s">
        <v>215</v>
      </c>
      <c r="D97" s="21" t="s">
        <v>420</v>
      </c>
      <c r="E97" s="13">
        <v>42835.583738425928</v>
      </c>
      <c r="F97" s="13">
        <v>42835.594039351854</v>
      </c>
      <c r="G97" s="7">
        <v>1</v>
      </c>
      <c r="H97" s="21" t="s">
        <v>501</v>
      </c>
      <c r="I97" s="13">
        <v>42835.619722222225</v>
      </c>
      <c r="J97" s="7">
        <v>0</v>
      </c>
      <c r="K97" s="97" t="str">
        <f t="shared" si="28"/>
        <v>4001/4002</v>
      </c>
      <c r="L97" s="21" t="str">
        <f>VLOOKUP(A97,'Trips&amp;Operators'!$C$1:$G$99999,5,FALSE)</f>
        <v>MACDONALD THOMAS</v>
      </c>
      <c r="M97" s="6">
        <f t="shared" si="29"/>
        <v>2.5682870371383615E-2</v>
      </c>
      <c r="N97" s="7">
        <f t="shared" si="46"/>
        <v>36.983333334792405</v>
      </c>
      <c r="O97" s="7"/>
      <c r="P97" s="7"/>
      <c r="Q97" s="22"/>
      <c r="R97" s="22"/>
      <c r="S97" s="31">
        <f t="shared" si="30"/>
        <v>1</v>
      </c>
      <c r="T97" s="46" t="str">
        <f t="shared" si="31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2"/>
        <v>https://d0f6bd738d7f1b3e5a7ca70fe4ff75f0.us-east-1.aws.found.io/app/kibana#/discover/Steve-Slow-Train-Analysis-(2080s-and-2083s)?_g=(refreshInterval:(display:Off,pause:!f,section:0,value:0),time:(from:'2017-04-10T13:00:35-0600',mode:absolute,to:'2017-04-10T15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183" t="str">
        <f t="shared" si="33"/>
        <v>N</v>
      </c>
      <c r="X97" s="183">
        <f t="shared" si="34"/>
        <v>1</v>
      </c>
      <c r="Y97" s="62">
        <f t="shared" si="35"/>
        <v>4.4600000000000001E-2</v>
      </c>
      <c r="Z97" s="62">
        <f t="shared" si="36"/>
        <v>23.3278</v>
      </c>
      <c r="AA97" s="62">
        <f t="shared" si="37"/>
        <v>23.283200000000001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0185-10</v>
      </c>
      <c r="AE97" s="85" t="str">
        <f t="shared" si="39"/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97" s="82" t="str">
        <f t="shared" si="40"/>
        <v>"C:\Program Files (x86)\AstroGrep\AstroGrep.exe" /e /r /s /spath="%USERPROFILE%\AppData\Local\Temp\OnboardLogs" /stypes="app*4002*20170410*" /stext=" 20:.+((SYSTEM_STATE.+slice.+state.+changed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185-10 --locoid 4002 --swversion DE.1.0.9.0 --startMP 204:446 --initTime 2017-04-10T14:00:35 --startdatetime 2017-04-10T14:15:25 --delay 1 --endMP 204:233278 --enddatetime 2017-04-10T14:52:24 --enforcementcount 0 &gt;&gt;C:\Users\stu\Documents\GitHub\eaglep3-reporting\EC\2017-04-10-refined-times.txt</v>
      </c>
      <c r="AI97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{"issue":{"subject":"","project_id":79,"tracker_id":40,"status_id":1,"priority_id":2,"assigned_to_id":23,"start_date":"2017-04-10","description":"","custom_fields":[{"id":1,"name":"Subdivision","value":"EC"},{"id":4,"name":"Milepost","value":"23.3278"},{"id":17,"name":"Train ID","value":"185-10"},{"id":16,"name":"Locomotive ID","value":"4002"},{"id":130,"name":"Impact","value":""},{"id":150,"name":"Time of Event (Mountain Time)","value":"14:52:24"},{"id":151,"name":"Denver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4"/>
        <v>start /low /b %USERPROFILE%\Documents\GitHub\eaglep3\Utilities\DownloadLogsFromS3.py --loco 4002 --day 2017-04-10</v>
      </c>
      <c r="AN97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764</v>
      </c>
      <c r="B98" s="7">
        <v>4001</v>
      </c>
      <c r="C98" s="21" t="s">
        <v>215</v>
      </c>
      <c r="D98" s="21" t="s">
        <v>855</v>
      </c>
      <c r="E98" s="13">
        <v>42835.629386574074</v>
      </c>
      <c r="F98" s="13">
        <v>42835.633055555554</v>
      </c>
      <c r="G98" s="7">
        <v>2</v>
      </c>
      <c r="H98" s="21" t="s">
        <v>212</v>
      </c>
      <c r="I98" s="13">
        <v>42835.659467592595</v>
      </c>
      <c r="J98" s="7">
        <v>0</v>
      </c>
      <c r="K98" s="97" t="str">
        <f t="shared" si="28"/>
        <v>4001/4002</v>
      </c>
      <c r="L98" s="21" t="str">
        <f>VLOOKUP(A98,'Trips&amp;Operators'!$C$1:$G$99999,5,FALSE)</f>
        <v>MACDONALD THOMAS</v>
      </c>
      <c r="M98" s="6">
        <f t="shared" si="29"/>
        <v>2.641203704115469E-2</v>
      </c>
      <c r="N98" s="7">
        <f t="shared" si="46"/>
        <v>38.033333339262754</v>
      </c>
      <c r="O98" s="7"/>
      <c r="P98" s="7"/>
      <c r="Q98" s="22"/>
      <c r="R98" s="22"/>
      <c r="S98" s="31">
        <f t="shared" si="30"/>
        <v>1</v>
      </c>
      <c r="T98" s="46" t="str">
        <f t="shared" si="31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2"/>
        <v>https://d0f6bd738d7f1b3e5a7ca70fe4ff75f0.us-east-1.aws.found.io/app/kibana#/discover/Steve-Slow-Train-Analysis-(2080s-and-2083s)?_g=(refreshInterval:(display:Off,pause:!f,section:0,value:0),time:(from:'2017-04-10T14:06:19-0600',mode:absolute,to:'2017-04-10T16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183" t="str">
        <f t="shared" si="33"/>
        <v>N</v>
      </c>
      <c r="X98" s="183">
        <f t="shared" si="34"/>
        <v>1</v>
      </c>
      <c r="Y98" s="62">
        <f t="shared" si="35"/>
        <v>23.2988</v>
      </c>
      <c r="Z98" s="62">
        <f t="shared" si="36"/>
        <v>1.47E-2</v>
      </c>
      <c r="AA98" s="62">
        <f t="shared" si="37"/>
        <v>23.284099999999999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0186-10</v>
      </c>
      <c r="AE98" s="85" t="str">
        <f t="shared" si="39"/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98" s="82" t="str">
        <f t="shared" si="40"/>
        <v>"C:\Program Files (x86)\AstroGrep\AstroGrep.exe" /e /r /s /spath="%USERPROFILE%\AppData\Local\Temp\OnboardLogs" /stypes="app*4001*20170410*" /stext=" 21:.+((SYSTEM_STATE.+slice.+state.+changed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186-10 --locoid 4001 --swversion DE.1.0.9.0 --startMP 204:232988 --initTime 2017-04-10T15:06:19 --startdatetime 2017-04-10T15:11:36 --delay 2 --endMP 204:147 --enddatetime 2017-04-10T15:49:38 --enforcementcount 0 &gt;&gt;C:\Users\stu\Documents\GitHub\eaglep3-reporting\EC\2017-04-10-refined-times.txt</v>
      </c>
      <c r="AI98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{"issue":{"subject":"","project_id":79,"tracker_id":40,"status_id":1,"priority_id":2,"assigned_to_id":23,"start_date":"2017-04-10","description":"","custom_fields":[{"id":1,"name":"Subdivision","value":"EC"},{"id":4,"name":"Milepost","value":"0.0147"},{"id":17,"name":"Train ID","value":"186-10"},{"id":16,"name":"Locomotive ID","value":"4001"},{"id":130,"name":"Impact","value":""},{"id":150,"name":"Time of Event (Mountain Time)","value":"15:49:38"},{"id":151,"name":"Denver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4"/>
        <v>start /low /b %USERPROFILE%\Documents\GitHub\eaglep3\Utilities\DownloadLogsFromS3.py --loco 4001 --day 2017-04-10</v>
      </c>
      <c r="AN98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629</v>
      </c>
      <c r="B99" s="7">
        <v>4026</v>
      </c>
      <c r="C99" s="21" t="s">
        <v>215</v>
      </c>
      <c r="D99" s="21" t="s">
        <v>882</v>
      </c>
      <c r="E99" s="13">
        <v>42835.616516203707</v>
      </c>
      <c r="F99" s="13">
        <v>42835.618055555555</v>
      </c>
      <c r="G99" s="7">
        <v>1</v>
      </c>
      <c r="H99" s="21" t="s">
        <v>403</v>
      </c>
      <c r="I99" s="13">
        <v>42835.637141203704</v>
      </c>
      <c r="J99" s="7">
        <v>0</v>
      </c>
      <c r="K99" s="97" t="str">
        <f t="shared" si="28"/>
        <v>4025/4026</v>
      </c>
      <c r="L99" s="21" t="str">
        <f>VLOOKUP(A99,'Trips&amp;Operators'!$C$1:$G$99999,5,FALSE)</f>
        <v>STEWART MICHAEL</v>
      </c>
      <c r="M99" s="6">
        <f t="shared" si="29"/>
        <v>1.9085648149484769E-2</v>
      </c>
      <c r="N99" s="7"/>
      <c r="O99" s="7"/>
      <c r="P99" s="7">
        <f>24*60*SUM($M99:$M99)</f>
        <v>27.483333335258067</v>
      </c>
      <c r="Q99" s="22"/>
      <c r="R99" s="22" t="s">
        <v>1038</v>
      </c>
      <c r="S99" s="31">
        <f t="shared" si="30"/>
        <v>0.25</v>
      </c>
      <c r="T99" s="46" t="str">
        <f t="shared" si="31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3</v>
      </c>
      <c r="V99" s="182" t="str">
        <f t="shared" si="32"/>
        <v>https://d0f6bd738d7f1b3e5a7ca70fe4ff75f0.us-east-1.aws.found.io/app/kibana#/discover/Steve-Slow-Train-Analysis-(2080s-and-2083s)?_g=(refreshInterval:(display:Off,pause:!f,section:0,value:0),time:(from:'2017-04-10T13:47:47-0600',mode:absolute,to:'2017-04-10T16:17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183" t="str">
        <f t="shared" si="33"/>
        <v>Y</v>
      </c>
      <c r="X99" s="183">
        <f t="shared" si="34"/>
        <v>1</v>
      </c>
      <c r="Y99" s="62">
        <f t="shared" si="35"/>
        <v>6.4710000000000001</v>
      </c>
      <c r="Z99" s="62">
        <f t="shared" si="36"/>
        <v>23.329499999999999</v>
      </c>
      <c r="AA99" s="62">
        <f t="shared" si="37"/>
        <v>16.858499999999999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0187-10</v>
      </c>
      <c r="AE99" s="85" t="str">
        <f t="shared" si="39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99" s="82" t="str">
        <f t="shared" si="40"/>
        <v>"C:\Program Files (x86)\AstroGrep\AstroGrep.exe" /e /r /s /spath="%USERPROFILE%\AppData\Local\Temp\OnboardLogs" /stypes="app*4026*20170410*"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187-10 --locoid 4026 --swversion DE.1.0.9.0 --startMP 204:64710 --initTime 2017-04-10T14:47:47 --startdatetime 2017-04-10T14:50:00 --delay 1 --endMP 204:233295 --enddatetime 2017-04-10T15:17:29 --enforcementcount 0 &gt;&gt;C:\Users\stu\Documents\GitHub\eaglep3-reporting\EC\2017-04-10-refined-times.txt</v>
      </c>
      <c r="AI99" s="104" t="str">
        <f t="shared" si="43"/>
        <v>echo {"issue":{"subject":"CCROC/crew/equipment mismatch","project_id":79,"tracker_id":40,"status_id":1,"priority_id":2,"assigned_to_id":23,"start_date":"2017-04-10","description":"","custom_fields":[{"id":1,"name":"Subdivision","value":"EC"},{"id":4,"name":"Milepost","value":"23.3295"},{"id":17,"name":"Train ID","value":"187-10"},{"id":16,"name":"Locomotive ID","value":"4026"},{"id":130,"name":"Impact","value":""},{"id":150,"name":"Time of Event (Mountain Time)","value":"15:17:29"},{"id":151,"name":"Denver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4"/>
        <v>start /low /b %USERPROFILE%\Documents\GitHub\eaglep3\Utilities\DownloadLogsFromS3.py --loco 4026 --day 2017-04-10</v>
      </c>
      <c r="AN99" s="159" t="str">
        <f t="shared" si="45"/>
        <v>echo {"issue":{"subject":"CCROC/crew/equipment mismatch","project_id":30,"tracker_id":4,"status_id":1,"priority_id":1,"assigned_to_id":10,"start_date":"2017-04-10","description":"","custom_fields":[{"id":30,"name":"Category","value":"Issue"},{"id":3,"name":"Functional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21:17:29"},{"id":29,"name":"Sharepoint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768</v>
      </c>
      <c r="B100" s="7">
        <v>4025</v>
      </c>
      <c r="C100" s="21" t="s">
        <v>215</v>
      </c>
      <c r="D100" s="21" t="s">
        <v>493</v>
      </c>
      <c r="E100" s="13">
        <v>42835.639768518522</v>
      </c>
      <c r="F100" s="13">
        <v>42835.643611111111</v>
      </c>
      <c r="G100" s="7">
        <v>2</v>
      </c>
      <c r="H100" s="21" t="s">
        <v>427</v>
      </c>
      <c r="I100" s="13">
        <v>42835.672268518516</v>
      </c>
      <c r="J100" s="7">
        <v>0</v>
      </c>
      <c r="K100" s="97" t="str">
        <f t="shared" si="28"/>
        <v>4025/4026</v>
      </c>
      <c r="L100" s="21" t="str">
        <f>VLOOKUP(A100,'Trips&amp;Operators'!$C$1:$G$99999,5,FALSE)</f>
        <v>STEWART MICHAEL</v>
      </c>
      <c r="M100" s="6">
        <f t="shared" si="29"/>
        <v>2.8657407405262347E-2</v>
      </c>
      <c r="N100" s="7">
        <f t="shared" ref="N100:N132" si="47">24*60*SUM($M100:$M100)</f>
        <v>41.26666666357778</v>
      </c>
      <c r="O100" s="7"/>
      <c r="P100" s="7"/>
      <c r="Q100" s="22"/>
      <c r="R100" s="22"/>
      <c r="S100" s="31">
        <f t="shared" si="30"/>
        <v>1</v>
      </c>
      <c r="T100" s="46" t="str">
        <f t="shared" si="31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2"/>
        <v>https://d0f6bd738d7f1b3e5a7ca70fe4ff75f0.us-east-1.aws.found.io/app/kibana#/discover/Steve-Slow-Train-Analysis-(2080s-and-2083s)?_g=(refreshInterval:(display:Off,pause:!f,section:0,value:0),time:(from:'2017-04-10T14:21:16-0600',mode:absolute,to:'2017-04-10T17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83" t="str">
        <f t="shared" si="33"/>
        <v>N</v>
      </c>
      <c r="X100" s="183">
        <f t="shared" si="34"/>
        <v>1</v>
      </c>
      <c r="Y100" s="62">
        <f t="shared" si="35"/>
        <v>23.297999999999998</v>
      </c>
      <c r="Z100" s="62">
        <f t="shared" si="36"/>
        <v>1.6E-2</v>
      </c>
      <c r="AA100" s="62">
        <f t="shared" si="37"/>
        <v>23.282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0188-10</v>
      </c>
      <c r="AE100" s="85" t="str">
        <f t="shared" si="39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00" s="82" t="str">
        <f t="shared" si="40"/>
        <v>"C:\Program Files (x86)\AstroGrep\AstroGrep.exe" /e /r /s /spath="%USERPROFILE%\AppData\Local\Temp\OnboardLogs" /stypes="app*4025*20170410*" /stext=" 22:.+((SYSTEM_STATE.+slice.+state.+changed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188-10 --locoid 4025 --swversion DE.1.0.9.0 --startMP 204:232980 --initTime 2017-04-10T15:21:16 --startdatetime 2017-04-10T15:26:48 --delay 2 --endMP 204:160 --enddatetime 2017-04-10T16:08:04 --enforcementcount 0 &gt;&gt;C:\Users\stu\Documents\GitHub\eaglep3-reporting\EC\2017-04-10-refined-times.txt</v>
      </c>
      <c r="AI100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{"issue":{"subject":"","project_id":79,"tracker_id":40,"status_id":1,"priority_id":2,"assigned_to_id":23,"start_date":"2017-04-10","description":"","custom_fields":[{"id":1,"name":"Subdivision","value":"EC"},{"id":4,"name":"Milepost","value":"0.016"},{"id":17,"name":"Train ID","value":"188-10"},{"id":16,"name":"Locomotive ID","value":"4025"},{"id":130,"name":"Impact","value":""},{"id":150,"name":"Time of Event (Mountain Time)","value":"16:08:04"},{"id":151,"name":"Denver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4"/>
        <v>start /low /b %USERPROFILE%\Documents\GitHub\eaglep3\Utilities\DownloadLogsFromS3.py --loco 4025 --day 2017-04-10</v>
      </c>
      <c r="AN100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763</v>
      </c>
      <c r="B101" s="7">
        <v>4006</v>
      </c>
      <c r="C101" s="21" t="s">
        <v>215</v>
      </c>
      <c r="D101" s="21" t="s">
        <v>205</v>
      </c>
      <c r="E101" s="13">
        <v>42835.614733796298</v>
      </c>
      <c r="F101" s="13">
        <v>42835.616608796299</v>
      </c>
      <c r="G101" s="7">
        <v>1</v>
      </c>
      <c r="H101" s="21" t="s">
        <v>417</v>
      </c>
      <c r="I101" s="13">
        <v>42835.647604166668</v>
      </c>
      <c r="J101" s="7">
        <v>0</v>
      </c>
      <c r="K101" s="97" t="str">
        <f t="shared" si="28"/>
        <v>4005/4006</v>
      </c>
      <c r="L101" s="21" t="str">
        <f>VLOOKUP(A101,'Trips&amp;Operators'!$C$1:$G$99999,5,FALSE)</f>
        <v>DAVIS MICHAEL</v>
      </c>
      <c r="M101" s="6">
        <f t="shared" si="29"/>
        <v>3.0995370369055308E-2</v>
      </c>
      <c r="N101" s="7">
        <f t="shared" si="47"/>
        <v>44.633333331439644</v>
      </c>
      <c r="O101" s="7"/>
      <c r="P101" s="7"/>
      <c r="Q101" s="22"/>
      <c r="R101" s="22"/>
      <c r="S101" s="31">
        <f t="shared" si="30"/>
        <v>1</v>
      </c>
      <c r="T101" s="46" t="str">
        <f t="shared" si="31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2"/>
        <v>https://d0f6bd738d7f1b3e5a7ca70fe4ff75f0.us-east-1.aws.found.io/app/kibana#/discover/Steve-Slow-Train-Analysis-(2080s-and-2083s)?_g=(refreshInterval:(display:Off,pause:!f,section:0,value:0),time:(from:'2017-04-10T13:45:13-0600',mode:absolute,to:'2017-04-10T16:32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1" s="183" t="str">
        <f t="shared" si="33"/>
        <v>N</v>
      </c>
      <c r="X101" s="183">
        <f t="shared" si="34"/>
        <v>1</v>
      </c>
      <c r="Y101" s="62">
        <f t="shared" si="35"/>
        <v>4.5699999999999998E-2</v>
      </c>
      <c r="Z101" s="62">
        <f t="shared" si="36"/>
        <v>23.3308</v>
      </c>
      <c r="AA101" s="62">
        <f t="shared" si="37"/>
        <v>23.2851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0189-10</v>
      </c>
      <c r="AE101" s="85" t="str">
        <f t="shared" si="39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01" s="82" t="str">
        <f t="shared" si="40"/>
        <v>"C:\Program Files (x86)\AstroGrep\AstroGrep.exe" /e /r /s /spath="%USERPROFILE%\AppData\Local\Temp\OnboardLogs" /stypes="app*4006*20170410*" /stext=" 21:.+((SYSTEM_STATE.+slice.+state.+changed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189-10 --locoid 4006 --swversion DE.1.0.9.0 --startMP 204:457 --initTime 2017-04-10T14:45:13 --startdatetime 2017-04-10T14:47:55 --delay 1 --endMP 204:233308 --enddatetime 2017-04-10T15:32:33 --enforcementcount 0 &gt;&gt;C:\Users\stu\Documents\GitHub\eaglep3-reporting\EC\2017-04-10-refined-times.txt</v>
      </c>
      <c r="AI101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{"issue":{"subject":"","project_id":79,"tracker_id":40,"status_id":1,"priority_id":2,"assigned_to_id":23,"start_date":"2017-04-10","description":"","custom_fields":[{"id":1,"name":"Subdivision","value":"EC"},{"id":4,"name":"Milepost","value":"23.3308"},{"id":17,"name":"Train ID","value":"189-10"},{"id":16,"name":"Locomotive ID","value":"4006"},{"id":130,"name":"Impact","value":""},{"id":150,"name":"Time of Event (Mountain Time)","value":"15:32:33"},{"id":151,"name":"Denver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4"/>
        <v>start /low /b %USERPROFILE%\Documents\GitHub\eaglep3\Utilities\DownloadLogsFromS3.py --loco 4006 --day 2017-04-10</v>
      </c>
      <c r="AN101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21:32:33"},{"id":29,"name":"Sharepoint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771</v>
      </c>
      <c r="B102" s="7">
        <v>4005</v>
      </c>
      <c r="C102" s="21" t="s">
        <v>215</v>
      </c>
      <c r="D102" s="21" t="s">
        <v>559</v>
      </c>
      <c r="E102" s="13">
        <v>42835.651284722226</v>
      </c>
      <c r="F102" s="13">
        <v>42835.653738425928</v>
      </c>
      <c r="G102" s="7">
        <v>1</v>
      </c>
      <c r="H102" s="21" t="s">
        <v>860</v>
      </c>
      <c r="I102" s="13">
        <v>42835.683194444442</v>
      </c>
      <c r="J102" s="7">
        <v>0</v>
      </c>
      <c r="K102" s="97" t="str">
        <f t="shared" si="28"/>
        <v>4005/4006</v>
      </c>
      <c r="L102" s="21" t="str">
        <f>VLOOKUP(A102,'Trips&amp;Operators'!$C$1:$G$99999,5,FALSE)</f>
        <v>DAVIS MICHAEL</v>
      </c>
      <c r="M102" s="6">
        <f t="shared" si="29"/>
        <v>2.9456018513883464E-2</v>
      </c>
      <c r="N102" s="7">
        <f t="shared" si="47"/>
        <v>42.416666659992188</v>
      </c>
      <c r="O102" s="7"/>
      <c r="P102" s="7"/>
      <c r="Q102" s="22"/>
      <c r="R102" s="22"/>
      <c r="S102" s="31">
        <f t="shared" si="30"/>
        <v>1</v>
      </c>
      <c r="T102" s="46" t="str">
        <f t="shared" si="31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2"/>
        <v>https://d0f6bd738d7f1b3e5a7ca70fe4ff75f0.us-east-1.aws.found.io/app/kibana#/discover/Steve-Slow-Train-Analysis-(2080s-and-2083s)?_g=(refreshInterval:(display:Off,pause:!f,section:0,value:0),time:(from:'2017-04-10T14:37:51-0600',mode:absolute,to:'2017-04-10T17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2" s="183" t="str">
        <f t="shared" si="33"/>
        <v>N</v>
      </c>
      <c r="X102" s="183">
        <f t="shared" si="34"/>
        <v>1</v>
      </c>
      <c r="Y102" s="62">
        <f t="shared" si="35"/>
        <v>23.3004</v>
      </c>
      <c r="Z102" s="62">
        <f t="shared" si="36"/>
        <v>1.43E-2</v>
      </c>
      <c r="AA102" s="62">
        <f t="shared" si="37"/>
        <v>23.286100000000001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0190-10</v>
      </c>
      <c r="AE102" s="85" t="str">
        <f t="shared" si="39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02" s="82" t="str">
        <f t="shared" si="40"/>
        <v>"C:\Program Files (x86)\AstroGrep\AstroGrep.exe" /e /r /s /spath="%USERPROFILE%\AppData\Local\Temp\OnboardLogs" /stypes="app*4005*20170410*" /stext=" 22:.+((SYSTEM_STATE.+slice.+state.+changed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190-10 --locoid 4005 --swversion DE.1.0.9.0 --startMP 204:233004 --initTime 2017-04-10T15:37:51 --startdatetime 2017-04-10T15:41:23 --delay 1 --endMP 204:143 --enddatetime 2017-04-10T16:23:48 --enforcementcount 0 &gt;&gt;C:\Users\stu\Documents\GitHub\eaglep3-reporting\EC\2017-04-10-refined-times.txt</v>
      </c>
      <c r="AI102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ID","value":"190-10"},{"id":16,"name":"Locomotive ID","value":"4005"},{"id":130,"name":"Impact","value":""},{"id":150,"name":"Time of Event (Mountain Time)","value":"16:23:48"},{"id":151,"name":"Denver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4"/>
        <v>start /low /b %USERPROFILE%\Documents\GitHub\eaglep3\Utilities\DownloadLogsFromS3.py --loco 4005 --day 2017-04-10</v>
      </c>
      <c r="AN102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632</v>
      </c>
      <c r="B103" s="7">
        <v>4020</v>
      </c>
      <c r="C103" s="21" t="s">
        <v>215</v>
      </c>
      <c r="D103" s="21" t="s">
        <v>883</v>
      </c>
      <c r="E103" s="13">
        <v>42835.622245370374</v>
      </c>
      <c r="F103" s="13">
        <v>42835.625162037039</v>
      </c>
      <c r="G103" s="7">
        <v>1</v>
      </c>
      <c r="H103" s="21" t="s">
        <v>524</v>
      </c>
      <c r="I103" s="13">
        <v>42835.652789351851</v>
      </c>
      <c r="J103" s="7">
        <v>0</v>
      </c>
      <c r="K103" s="97" t="str">
        <f t="shared" si="28"/>
        <v>4019/4020</v>
      </c>
      <c r="L103" s="21" t="str">
        <f>VLOOKUP(A103,'Trips&amp;Operators'!$C$1:$G$99999,5,FALSE)</f>
        <v>CLARK KATHLEEN</v>
      </c>
      <c r="M103" s="6">
        <f t="shared" si="29"/>
        <v>2.7627314811979886E-2</v>
      </c>
      <c r="N103" s="7">
        <f t="shared" si="47"/>
        <v>39.783333329251036</v>
      </c>
      <c r="O103" s="7"/>
      <c r="P103" s="7"/>
      <c r="Q103" s="22"/>
      <c r="R103" s="22"/>
      <c r="S103" s="31">
        <f t="shared" si="30"/>
        <v>1</v>
      </c>
      <c r="T103" s="46" t="str">
        <f t="shared" si="31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2"/>
        <v>https://d0f6bd738d7f1b3e5a7ca70fe4ff75f0.us-east-1.aws.found.io/app/kibana#/discover/Steve-Slow-Train-Analysis-(2080s-and-2083s)?_g=(refreshInterval:(display:Off,pause:!f,section:0,value:0),time:(from:'2017-04-10T13:56:02-0600',mode:absolute,to:'2017-04-10T16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83" t="str">
        <f t="shared" si="33"/>
        <v>N</v>
      </c>
      <c r="X103" s="183">
        <f t="shared" si="34"/>
        <v>1</v>
      </c>
      <c r="Y103" s="62">
        <f t="shared" si="35"/>
        <v>4.7500000000000001E-2</v>
      </c>
      <c r="Z103" s="62">
        <f t="shared" si="36"/>
        <v>23.327200000000001</v>
      </c>
      <c r="AA103" s="62">
        <f t="shared" si="37"/>
        <v>23.279700000000002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0191-10</v>
      </c>
      <c r="AE103" s="85" t="str">
        <f t="shared" si="39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03" s="82" t="str">
        <f t="shared" si="40"/>
        <v>"C:\Program Files (x86)\AstroGrep\AstroGrep.exe" /e /r /s /spath="%USERPROFILE%\AppData\Local\Temp\OnboardLogs" /stypes="app*4020*20170410*" /stext=" 21:.+((SYSTEM_STATE.+slice.+state.+changed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191-10 --locoid 4020 --swversion DE.1.0.9.0 --startMP 204:475 --initTime 2017-04-10T14:56:02 --startdatetime 2017-04-10T15:00:14 --delay 1 --endMP 204:233272 --enddatetime 2017-04-10T15:40:01 --enforcementcount 0 &gt;&gt;C:\Users\stu\Documents\GitHub\eaglep3-reporting\EC\2017-04-10-refined-times.txt</v>
      </c>
      <c r="AI103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{"issue":{"subject":"","project_id":79,"tracker_id":40,"status_id":1,"priority_id":2,"assigned_to_id":23,"start_date":"2017-04-10","description":"","custom_fields":[{"id":1,"name":"Subdivision","value":"EC"},{"id":4,"name":"Milepost","value":"23.3272"},{"id":17,"name":"Train ID","value":"191-10"},{"id":16,"name":"Locomotive ID","value":"4020"},{"id":130,"name":"Impact","value":""},{"id":150,"name":"Time of Event (Mountain Time)","value":"15:40:01"},{"id":151,"name":"Denver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4"/>
        <v>start /low /b %USERPROFILE%\Documents\GitHub\eaglep3\Utilities\DownloadLogsFromS3.py --loco 4020 --day 2017-04-10</v>
      </c>
      <c r="AN103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772</v>
      </c>
      <c r="B104" s="7">
        <v>4019</v>
      </c>
      <c r="C104" s="21" t="s">
        <v>215</v>
      </c>
      <c r="D104" s="21" t="s">
        <v>563</v>
      </c>
      <c r="E104" s="13">
        <v>42835.660798611112</v>
      </c>
      <c r="F104" s="13">
        <v>42835.6640625</v>
      </c>
      <c r="G104" s="7">
        <v>1</v>
      </c>
      <c r="H104" s="21" t="s">
        <v>884</v>
      </c>
      <c r="I104" s="13">
        <v>42835.692245370374</v>
      </c>
      <c r="J104" s="7">
        <v>0</v>
      </c>
      <c r="K104" s="97" t="str">
        <f t="shared" si="28"/>
        <v>4019/4020</v>
      </c>
      <c r="L104" s="21" t="str">
        <f>VLOOKUP(A104,'Trips&amp;Operators'!$C$1:$G$99999,5,FALSE)</f>
        <v>CLARK KATHLEEN</v>
      </c>
      <c r="M104" s="6">
        <f t="shared" si="29"/>
        <v>2.8182870373711921E-2</v>
      </c>
      <c r="N104" s="7">
        <f t="shared" si="47"/>
        <v>40.583333338145167</v>
      </c>
      <c r="O104" s="7"/>
      <c r="P104" s="7"/>
      <c r="Q104" s="22"/>
      <c r="R104" s="22"/>
      <c r="S104" s="31">
        <f t="shared" si="30"/>
        <v>1</v>
      </c>
      <c r="T104" s="46" t="str">
        <f t="shared" si="31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2"/>
        <v>https://d0f6bd738d7f1b3e5a7ca70fe4ff75f0.us-east-1.aws.found.io/app/kibana#/discover/Steve-Slow-Train-Analysis-(2080s-and-2083s)?_g=(refreshInterval:(display:Off,pause:!f,section:0,value:0),time:(from:'2017-04-10T14:51:33-0600',mode:absolute,to:'2017-04-10T17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83" t="str">
        <f t="shared" si="33"/>
        <v>N</v>
      </c>
      <c r="X104" s="183">
        <f t="shared" si="34"/>
        <v>1</v>
      </c>
      <c r="Y104" s="62">
        <f t="shared" si="35"/>
        <v>23.2957</v>
      </c>
      <c r="Z104" s="62">
        <f t="shared" si="36"/>
        <v>1.9199999999999998E-2</v>
      </c>
      <c r="AA104" s="62">
        <f t="shared" si="37"/>
        <v>23.276499999999999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0192-10</v>
      </c>
      <c r="AE104" s="85" t="str">
        <f t="shared" si="39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04" s="82" t="str">
        <f t="shared" si="40"/>
        <v>"C:\Program Files (x86)\AstroGrep\AstroGrep.exe" /e /r /s /spath="%USERPROFILE%\AppData\Local\Temp\OnboardLogs" /stypes="app*4019*20170410*" /stext=" 22:.+((SYSTEM_STATE.+slice.+state.+changed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192-10 --locoid 4019 --swversion DE.1.0.9.0 --startMP 204:232957 --initTime 2017-04-10T15:51:33 --startdatetime 2017-04-10T15:56:15 --delay 1 --endMP 204:192 --enddatetime 2017-04-10T16:36:50 --enforcementcount 0 &gt;&gt;C:\Users\stu\Documents\GitHub\eaglep3-reporting\EC\2017-04-10-refined-times.txt</v>
      </c>
      <c r="AI104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{"issue":{"subject":"","project_id":79,"tracker_id":40,"status_id":1,"priority_id":2,"assigned_to_id":23,"start_date":"2017-04-10","description":"","custom_fields":[{"id":1,"name":"Subdivision","value":"EC"},{"id":4,"name":"Milepost","value":"0.0192"},{"id":17,"name":"Train ID","value":"192-10"},{"id":16,"name":"Locomotive ID","value":"4019"},{"id":130,"name":"Impact","value":""},{"id":150,"name":"Time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4"/>
        <v>start /low /b %USERPROFILE%\Documents\GitHub\eaglep3\Utilities\DownloadLogsFromS3.py --loco 4019 --day 2017-04-10</v>
      </c>
      <c r="AN104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765</v>
      </c>
      <c r="B105" s="7">
        <v>4016</v>
      </c>
      <c r="C105" s="21" t="s">
        <v>215</v>
      </c>
      <c r="D105" s="21" t="s">
        <v>488</v>
      </c>
      <c r="E105" s="13">
        <v>42835.632789351854</v>
      </c>
      <c r="F105" s="13">
        <v>42835.636030092595</v>
      </c>
      <c r="G105" s="7">
        <v>1</v>
      </c>
      <c r="H105" s="21" t="s">
        <v>885</v>
      </c>
      <c r="I105" s="13">
        <v>42835.660509259258</v>
      </c>
      <c r="J105" s="7">
        <v>0</v>
      </c>
      <c r="K105" s="97" t="str">
        <f t="shared" si="28"/>
        <v>4015/4016</v>
      </c>
      <c r="L105" s="21" t="str">
        <f>VLOOKUP(A105,'Trips&amp;Operators'!$C$1:$G$99999,5,FALSE)</f>
        <v>ROMERO CHAD</v>
      </c>
      <c r="M105" s="6">
        <f t="shared" si="29"/>
        <v>2.4479166662786156E-2</v>
      </c>
      <c r="N105" s="7">
        <f t="shared" si="47"/>
        <v>35.249999994412065</v>
      </c>
      <c r="O105" s="7"/>
      <c r="P105" s="7"/>
      <c r="Q105" s="22"/>
      <c r="R105" s="22"/>
      <c r="S105" s="31">
        <f t="shared" si="30"/>
        <v>1</v>
      </c>
      <c r="T105" s="46" t="str">
        <f t="shared" si="31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2"/>
        <v>https://d0f6bd738d7f1b3e5a7ca70fe4ff75f0.us-east-1.aws.found.io/app/kibana#/discover/Steve-Slow-Train-Analysis-(2080s-and-2083s)?_g=(refreshInterval:(display:Off,pause:!f,section:0,value:0),time:(from:'2017-04-10T14:11:13-0600',mode:absolute,to:'2017-04-10T16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83" t="str">
        <f t="shared" si="33"/>
        <v>N</v>
      </c>
      <c r="X105" s="183">
        <f t="shared" si="34"/>
        <v>1</v>
      </c>
      <c r="Y105" s="62">
        <f t="shared" si="35"/>
        <v>4.6899999999999997E-2</v>
      </c>
      <c r="Z105" s="62">
        <f t="shared" si="36"/>
        <v>23.334900000000001</v>
      </c>
      <c r="AA105" s="62">
        <f t="shared" si="37"/>
        <v>23.288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0193-10</v>
      </c>
      <c r="AE105" s="85" t="str">
        <f t="shared" si="39"/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105" s="82" t="str">
        <f t="shared" si="40"/>
        <v>"C:\Program Files (x86)\AstroGrep\AstroGrep.exe" /e /r /s /spath="%USERPROFILE%\AppData\Local\Temp\OnboardLogs" /stypes="app*4016*20170410*" /stext=" 21:.+((SYSTEM_STATE.+slice.+state.+changed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193-10 --locoid 4016 --swversion DE.1.0.9.0 --startMP 204:469 --initTime 2017-04-10T15:11:13 --startdatetime 2017-04-10T15:15:53 --delay 1 --endMP 204:233349 --enddatetime 2017-04-10T15:51:08 --enforcementcount 0 &gt;&gt;C:\Users\stu\Documents\GitHub\eaglep3-reporting\EC\2017-04-10-refined-times.txt</v>
      </c>
      <c r="AI105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{"issue":{"subject":"","project_id":79,"tracker_id":40,"status_id":1,"priority_id":2,"assigned_to_id":23,"start_date":"2017-04-10","description":"","custom_fields":[{"id":1,"name":"Subdivision","value":"EC"},{"id":4,"name":"Milepost","value":"23.3349"},{"id":17,"name":"Train ID","value":"193-10"},{"id":16,"name":"Locomotive ID","value":"4016"},{"id":130,"name":"Impact","value":""},{"id":150,"name":"Time of Event (Mountain Time)","value":"15:51:08"},{"id":151,"name":"Denver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4"/>
        <v>start /low /b %USERPROFILE%\Documents\GitHub\eaglep3\Utilities\DownloadLogsFromS3.py --loco 4016 --day 2017-04-10</v>
      </c>
      <c r="AN105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774</v>
      </c>
      <c r="B106" s="7">
        <v>4015</v>
      </c>
      <c r="C106" s="21" t="s">
        <v>215</v>
      </c>
      <c r="D106" s="21" t="s">
        <v>886</v>
      </c>
      <c r="E106" s="13">
        <v>42835.671064814815</v>
      </c>
      <c r="F106" s="13">
        <v>42835.67460648148</v>
      </c>
      <c r="G106" s="7">
        <v>2</v>
      </c>
      <c r="H106" s="21" t="s">
        <v>496</v>
      </c>
      <c r="I106" s="13">
        <v>42835.702013888891</v>
      </c>
      <c r="J106" s="7">
        <v>0</v>
      </c>
      <c r="K106" s="97" t="str">
        <f t="shared" si="28"/>
        <v>4015/4016</v>
      </c>
      <c r="L106" s="21" t="str">
        <f>VLOOKUP(A106,'Trips&amp;Operators'!$C$1:$G$99999,5,FALSE)</f>
        <v>ROMERO CHAD</v>
      </c>
      <c r="M106" s="6">
        <f t="shared" si="29"/>
        <v>2.7407407411374152E-2</v>
      </c>
      <c r="N106" s="7">
        <f t="shared" si="47"/>
        <v>39.466666672378778</v>
      </c>
      <c r="O106" s="7"/>
      <c r="P106" s="7"/>
      <c r="Q106" s="22"/>
      <c r="R106" s="22"/>
      <c r="S106" s="31">
        <f t="shared" si="30"/>
        <v>1</v>
      </c>
      <c r="T106" s="46" t="str">
        <f t="shared" si="31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2"/>
        <v>https://d0f6bd738d7f1b3e5a7ca70fe4ff75f0.us-east-1.aws.found.io/app/kibana#/discover/Steve-Slow-Train-Analysis-(2080s-and-2083s)?_g=(refreshInterval:(display:Off,pause:!f,section:0,value:0),time:(from:'2017-04-10T15:06:20-0600',mode:absolute,to:'2017-04-10T17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83" t="str">
        <f t="shared" si="33"/>
        <v>N</v>
      </c>
      <c r="X106" s="183">
        <f t="shared" si="34"/>
        <v>1</v>
      </c>
      <c r="Y106" s="62">
        <f t="shared" si="35"/>
        <v>23.3064</v>
      </c>
      <c r="Z106" s="62">
        <f t="shared" si="36"/>
        <v>1.3599999999999999E-2</v>
      </c>
      <c r="AA106" s="62">
        <f t="shared" si="37"/>
        <v>23.2928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0194-10</v>
      </c>
      <c r="AE106" s="85" t="str">
        <f t="shared" si="39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106" s="82" t="str">
        <f t="shared" si="40"/>
        <v>"C:\Program Files (x86)\AstroGrep\AstroGrep.exe" /e /r /s /spath="%USERPROFILE%\AppData\Local\Temp\OnboardLogs" /stypes="app*4015*20170410*" /stext=" 22:.+((SYSTEM_STATE.+slice.+state.+changed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194-10 --locoid 4015 --swversion DE.1.0.9.0 --startMP 204:233064 --initTime 2017-04-10T16:06:20 --startdatetime 2017-04-10T16:11:26 --delay 2 --endMP 204:136 --enddatetime 2017-04-10T16:50:54 --enforcementcount 0 &gt;&gt;C:\Users\stu\Documents\GitHub\eaglep3-reporting\EC\2017-04-10-refined-times.txt</v>
      </c>
      <c r="AI106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{"issue":{"subject":"","project_id":79,"tracker_id":40,"status_id":1,"priority_id":2,"assigned_to_id":23,"start_date":"2017-04-10","description":"","custom_fields":[{"id":1,"name":"Subdivision","value":"EC"},{"id":4,"name":"Milepost","value":"0.0136"},{"id":17,"name":"Train ID","value":"194-10"},{"id":16,"name":"Locomotive ID","value":"4015"},{"id":130,"name":"Impact","value":""},{"id":150,"name":"Time of Event (Mountain Time)","value":"16:50:54"},{"id":151,"name":"Denver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4"/>
        <v>start /low /b %USERPROFILE%\Documents\GitHub\eaglep3\Utilities\DownloadLogsFromS3.py --loco 4015 --day 2017-04-10</v>
      </c>
      <c r="AN106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769</v>
      </c>
      <c r="B107" s="7">
        <v>4042</v>
      </c>
      <c r="C107" s="21" t="s">
        <v>215</v>
      </c>
      <c r="D107" s="21" t="s">
        <v>423</v>
      </c>
      <c r="E107" s="13">
        <v>42835.643622685187</v>
      </c>
      <c r="F107" s="13">
        <v>42835.646134259259</v>
      </c>
      <c r="G107" s="7">
        <v>1</v>
      </c>
      <c r="H107" s="21" t="s">
        <v>531</v>
      </c>
      <c r="I107" s="13">
        <v>42835.670937499999</v>
      </c>
      <c r="J107" s="7">
        <v>0</v>
      </c>
      <c r="K107" s="97" t="str">
        <f t="shared" si="28"/>
        <v>4041/4042</v>
      </c>
      <c r="L107" s="21" t="str">
        <f>VLOOKUP(A107,'Trips&amp;Operators'!$C$1:$G$99999,5,FALSE)</f>
        <v>LOCKLEAR TRAVIS</v>
      </c>
      <c r="M107" s="6">
        <f t="shared" si="29"/>
        <v>2.4803240739856847E-2</v>
      </c>
      <c r="N107" s="7">
        <f t="shared" si="47"/>
        <v>35.716666665393859</v>
      </c>
      <c r="O107" s="7"/>
      <c r="P107" s="7"/>
      <c r="Q107" s="22"/>
      <c r="R107" s="22"/>
      <c r="S107" s="31">
        <f t="shared" si="30"/>
        <v>1</v>
      </c>
      <c r="T107" s="46" t="str">
        <f t="shared" si="31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2"/>
        <v>https://d0f6bd738d7f1b3e5a7ca70fe4ff75f0.us-east-1.aws.found.io/app/kibana#/discover/Steve-Slow-Train-Analysis-(2080s-and-2083s)?_g=(refreshInterval:(display:Off,pause:!f,section:0,value:0),time:(from:'2017-04-10T14:26:49-0600',mode:absolute,to:'2017-04-10T17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183" t="str">
        <f t="shared" si="33"/>
        <v>N</v>
      </c>
      <c r="X107" s="183">
        <f t="shared" si="34"/>
        <v>1</v>
      </c>
      <c r="Y107" s="62">
        <f t="shared" si="35"/>
        <v>4.7100000000000003E-2</v>
      </c>
      <c r="Z107" s="62">
        <f t="shared" si="36"/>
        <v>23.334499999999998</v>
      </c>
      <c r="AA107" s="62">
        <f t="shared" si="37"/>
        <v>23.287399999999998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0195-10</v>
      </c>
      <c r="AE107" s="85" t="str">
        <f t="shared" si="39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07" s="82" t="str">
        <f t="shared" si="40"/>
        <v>"C:\Program Files (x86)\AstroGrep\AstroGrep.exe" /e /r /s /spath="%USERPROFILE%\AppData\Local\Temp\OnboardLogs" /stypes="app*4042*20170410*"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195-10 --locoid 4042 --swversion DE.1.0.9.0 --startMP 204:471 --initTime 2017-04-10T15:26:49 --startdatetime 2017-04-10T15:30:26 --delay 1 --endMP 204:233345 --enddatetime 2017-04-10T16:06:09 --enforcementcount 0 &gt;&gt;C:\Users\stu\Documents\GitHub\eaglep3-reporting\EC\2017-04-10-refined-times.txt</v>
      </c>
      <c r="AI107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{"issue":{"subject":"","project_id":79,"tracker_id":40,"status_id":1,"priority_id":2,"assigned_to_id":23,"start_date":"2017-04-10","description":"","custom_fields":[{"id":1,"name":"Subdivision","value":"EC"},{"id":4,"name":"Milepost","value":"23.3345"},{"id":17,"name":"Train ID","value":"195-10"},{"id":16,"name":"Locomotive ID","value":"4042"},{"id":130,"name":"Impact","value":""},{"id":150,"name":"Time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4"/>
        <v>start /low /b %USERPROFILE%\Documents\GitHub\eaglep3\Utilities\DownloadLogsFromS3.py --loco 4042 --day 2017-04-10</v>
      </c>
      <c r="AN107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638</v>
      </c>
      <c r="B108" s="7">
        <v>4041</v>
      </c>
      <c r="C108" s="21" t="s">
        <v>215</v>
      </c>
      <c r="D108" s="21" t="s">
        <v>887</v>
      </c>
      <c r="E108" s="13">
        <v>42835.681898148148</v>
      </c>
      <c r="F108" s="13">
        <v>42835.685104166667</v>
      </c>
      <c r="G108" s="7">
        <v>0</v>
      </c>
      <c r="H108" s="21" t="s">
        <v>888</v>
      </c>
      <c r="I108" s="13">
        <v>42835.712766203702</v>
      </c>
      <c r="J108" s="7">
        <v>0</v>
      </c>
      <c r="K108" s="97" t="str">
        <f t="shared" si="28"/>
        <v>4041/4042</v>
      </c>
      <c r="L108" s="21" t="str">
        <f>VLOOKUP(A108,'Trips&amp;Operators'!$C$1:$G$99999,5,FALSE)</f>
        <v>LOCKLEAR TRAVIS</v>
      </c>
      <c r="M108" s="6">
        <f t="shared" si="29"/>
        <v>2.7662037035042886E-2</v>
      </c>
      <c r="N108" s="7">
        <f t="shared" si="47"/>
        <v>39.833333330461755</v>
      </c>
      <c r="O108" s="7"/>
      <c r="P108" s="7"/>
      <c r="Q108" s="22"/>
      <c r="R108" s="22"/>
      <c r="S108" s="31">
        <f t="shared" si="30"/>
        <v>1</v>
      </c>
      <c r="T108" s="46" t="str">
        <f t="shared" si="31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2"/>
        <v>https://d0f6bd738d7f1b3e5a7ca70fe4ff75f0.us-east-1.aws.found.io/app/kibana#/discover/Steve-Slow-Train-Analysis-(2080s-and-2083s)?_g=(refreshInterval:(display:Off,pause:!f,section:0,value:0),time:(from:'2017-04-10T15:21:56-0600',mode:absolute,to:'2017-04-10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183" t="str">
        <f t="shared" si="33"/>
        <v>N</v>
      </c>
      <c r="X108" s="183">
        <f t="shared" si="34"/>
        <v>1</v>
      </c>
      <c r="Y108" s="62">
        <f t="shared" si="35"/>
        <v>23.306699999999999</v>
      </c>
      <c r="Z108" s="62">
        <f t="shared" si="36"/>
        <v>1.83E-2</v>
      </c>
      <c r="AA108" s="62">
        <f t="shared" si="37"/>
        <v>23.288399999999999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0196-10</v>
      </c>
      <c r="AE108" s="85" t="str">
        <f t="shared" si="39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08" s="82" t="str">
        <f t="shared" si="40"/>
        <v>"C:\Program Files (x86)\AstroGrep\AstroGrep.exe" /e /r /s /spath="%USERPROFILE%\AppData\Local\Temp\OnboardLogs" /stypes="app*4041*20170410*" /stext=" 23:.+((SYSTEM_STATE.+slice.+state.+changed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 t="shared" si="42"/>
        <v>"%USERPROFILE%\Documents\GitHub\eaglep3\Utilities\RefineRTDCRunTimes.py" --tripid 196-10 --locoid 4041 --swversion DE.1.0.9.0 --startMP 204:233067 --initTime 2017-04-10T16:21:56 --startdatetime 2017-04-10T16:26:33 --delay 0 --endMP 204:183 --enddatetime 2017-04-10T17:06:23 --enforcementcount 0 &gt;&gt;C:\Users\stu\Documents\GitHub\eaglep3-reporting\EC\2017-04-10-refined-times.txt</v>
      </c>
      <c r="AI108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{"issue":{"subject":"","project_id":79,"tracker_id":40,"status_id":1,"priority_id":2,"assigned_to_id":23,"start_date":"2017-04-10","description":"","custom_fields":[{"id":1,"name":"Subdivision","value":"EC"},{"id":4,"name":"Milepost","value":"0.0183"},{"id":17,"name":"Train ID","value":"196-10"},{"id":16,"name":"Locomotive ID","value":"4041"},{"id":130,"name":"Impact","value":""},{"id":150,"name":"Time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4"/>
        <v>start /low /b %USERPROFILE%\Documents\GitHub\eaglep3\Utilities\DownloadLogsFromS3.py --loco 4041 --day 2017-04-10</v>
      </c>
      <c r="AN108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634</v>
      </c>
      <c r="B109" s="7">
        <v>4014</v>
      </c>
      <c r="C109" s="21" t="s">
        <v>215</v>
      </c>
      <c r="D109" s="21" t="s">
        <v>210</v>
      </c>
      <c r="E109" s="13">
        <v>42835.653148148151</v>
      </c>
      <c r="F109" s="13">
        <v>42835.656504629631</v>
      </c>
      <c r="G109" s="7">
        <v>1</v>
      </c>
      <c r="H109" s="21" t="s">
        <v>567</v>
      </c>
      <c r="I109" s="13">
        <v>42835.684467592589</v>
      </c>
      <c r="J109" s="7">
        <v>0</v>
      </c>
      <c r="K109" s="97" t="str">
        <f t="shared" si="28"/>
        <v>4013/4014</v>
      </c>
      <c r="L109" s="21" t="str">
        <f>VLOOKUP(A109,'Trips&amp;Operators'!$C$1:$G$99999,5,FALSE)</f>
        <v>GUZMAN DANNY</v>
      </c>
      <c r="M109" s="6">
        <f t="shared" si="29"/>
        <v>2.7962962958554272E-2</v>
      </c>
      <c r="N109" s="7">
        <f t="shared" si="47"/>
        <v>40.266666660318151</v>
      </c>
      <c r="O109" s="7"/>
      <c r="P109" s="7"/>
      <c r="Q109" s="22"/>
      <c r="R109" s="22"/>
      <c r="S109" s="31">
        <f t="shared" si="30"/>
        <v>1</v>
      </c>
      <c r="T109" s="46" t="str">
        <f t="shared" si="31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2"/>
        <v>https://d0f6bd738d7f1b3e5a7ca70fe4ff75f0.us-east-1.aws.found.io/app/kibana#/discover/Steve-Slow-Train-Analysis-(2080s-and-2083s)?_g=(refreshInterval:(display:Off,pause:!f,section:0,value:0),time:(from:'2017-04-10T14:40:32-0600',mode:absolute,to:'2017-04-10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83" t="str">
        <f t="shared" si="33"/>
        <v>N</v>
      </c>
      <c r="X109" s="183">
        <f t="shared" ref="X109:X131" si="48">VALUE(LEFT(AD109,4))-VALUE(LEFT(AD108,4))</f>
        <v>1</v>
      </c>
      <c r="Y109" s="62">
        <f t="shared" ref="Y109:Y140" si="49">RIGHT(D109,LEN(D109)-4)/10000</f>
        <v>4.5499999999999999E-2</v>
      </c>
      <c r="Z109" s="62">
        <f t="shared" ref="Z109:Z140" si="50">RIGHT(H109,LEN(H109)-4)/10000</f>
        <v>23.329799999999999</v>
      </c>
      <c r="AA109" s="62">
        <f t="shared" si="37"/>
        <v>23.284299999999998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0197-10</v>
      </c>
      <c r="AE109" s="85" t="str">
        <f t="shared" si="39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109" s="82" t="str">
        <f t="shared" si="40"/>
        <v>"C:\Program Files (x86)\AstroGrep\AstroGrep.exe" /e /r /s /spath="%USERPROFILE%\AppData\Local\Temp\OnboardLogs" /stypes="app*4014*20170410*" /stext=" 22:.+((SYSTEM_STATE.+slice.+state.+changed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197-10 --locoid 4014 --swversion DE.1.0.9.0 --startMP 204:455 --initTime 2017-04-10T15:40:32 --startdatetime 2017-04-10T15:45:22 --delay 1 --endMP 204:233298 --enddatetime 2017-04-10T16:25:38 --enforcementcount 0 &gt;&gt;C:\Users\stu\Documents\GitHub\eaglep3-reporting\EC\2017-04-10-refined-times.txt</v>
      </c>
      <c r="AI109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{"issue":{"subject":"","project_id":79,"tracker_id":40,"status_id":1,"priority_id":2,"assigned_to_id":23,"start_date":"2017-04-10","description":"","custom_fields":[{"id":1,"name":"Subdivision","value":"EC"},{"id":4,"name":"Milepost","value":"23.3298"},{"id":17,"name":"Train ID","value":"197-10"},{"id":16,"name":"Locomotive ID","value":"4014"},{"id":130,"name":"Impact","value":""},{"id":150,"name":"Time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4"/>
        <v>start /low /b %USERPROFILE%\Documents\GitHub\eaglep3\Utilities\DownloadLogsFromS3.py --loco 4014 --day 2017-04-10</v>
      </c>
      <c r="AN109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776</v>
      </c>
      <c r="B110" s="7">
        <v>4013</v>
      </c>
      <c r="C110" s="21" t="s">
        <v>215</v>
      </c>
      <c r="D110" s="21" t="s">
        <v>416</v>
      </c>
      <c r="E110" s="13">
        <v>42835.685983796298</v>
      </c>
      <c r="F110" s="13">
        <v>42835.697500000002</v>
      </c>
      <c r="G110" s="7">
        <v>1</v>
      </c>
      <c r="H110" s="21" t="s">
        <v>881</v>
      </c>
      <c r="I110" s="13">
        <v>42835.725254629629</v>
      </c>
      <c r="J110" s="7">
        <v>0</v>
      </c>
      <c r="K110" s="97" t="str">
        <f t="shared" si="28"/>
        <v>4013/4014</v>
      </c>
      <c r="L110" s="21" t="str">
        <f>VLOOKUP(A110,'Trips&amp;Operators'!$C$1:$G$99999,5,FALSE)</f>
        <v>GUZMAN DANNY</v>
      </c>
      <c r="M110" s="6">
        <f t="shared" si="29"/>
        <v>2.7754629627452232E-2</v>
      </c>
      <c r="N110" s="7">
        <f t="shared" si="47"/>
        <v>39.966666663531214</v>
      </c>
      <c r="O110" s="7"/>
      <c r="P110" s="7"/>
      <c r="Q110" s="22"/>
      <c r="R110" s="22"/>
      <c r="S110" s="31">
        <f t="shared" si="30"/>
        <v>1</v>
      </c>
      <c r="T110" s="46" t="str">
        <f t="shared" si="31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2"/>
        <v>https://d0f6bd738d7f1b3e5a7ca70fe4ff75f0.us-east-1.aws.found.io/app/kibana#/discover/Steve-Slow-Train-Analysis-(2080s-and-2083s)?_g=(refreshInterval:(display:Off,pause:!f,section:0,value:0),time:(from:'2017-04-10T15:27:49-0600',mode:absolute,to:'2017-04-10T18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83" t="str">
        <f t="shared" si="33"/>
        <v>N</v>
      </c>
      <c r="X110" s="183">
        <f t="shared" si="48"/>
        <v>1</v>
      </c>
      <c r="Y110" s="62">
        <f t="shared" si="49"/>
        <v>23.2989</v>
      </c>
      <c r="Z110" s="62">
        <f t="shared" si="50"/>
        <v>1.72E-2</v>
      </c>
      <c r="AA110" s="62">
        <f t="shared" si="37"/>
        <v>23.281700000000001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0198-10</v>
      </c>
      <c r="AE110" s="85" t="str">
        <f t="shared" si="39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110" s="82" t="str">
        <f t="shared" si="40"/>
        <v>"C:\Program Files (x86)\AstroGrep\AstroGrep.exe" /e /r /s /spath="%USERPROFILE%\AppData\Local\Temp\OnboardLogs" /stypes="app*4013*20170410*" /stext=" 23:.+((SYSTEM_STATE.+slice.+state.+changed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198-10 --locoid 4013 --swversion DE.1.0.9.0 --startMP 204:232989 --initTime 2017-04-10T16:27:49 --startdatetime 2017-04-10T16:44:24 --delay 1 --endMP 204:172 --enddatetime 2017-04-10T17:24:22 --enforcementcount 0 &gt;&gt;C:\Users\stu\Documents\GitHub\eaglep3-reporting\EC\2017-04-10-refined-times.txt</v>
      </c>
      <c r="AI110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{"issue":{"subject":"","project_id":79,"tracker_id":40,"status_id":1,"priority_id":2,"assigned_to_id":23,"start_date":"2017-04-10","description":"","custom_fields":[{"id":1,"name":"Subdivision","value":"EC"},{"id":4,"name":"Milepost","value":"0.0172"},{"id":17,"name":"Train ID","value":"198-10"},{"id":16,"name":"Locomotive ID","value":"4013"},{"id":130,"name":"Impact","value":""},{"id":150,"name":"Time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4"/>
        <v>start /low /b %USERPROFILE%\Documents\GitHub\eaglep3\Utilities\DownloadLogsFromS3.py --loco 4013 --day 2017-04-10</v>
      </c>
      <c r="AN110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773</v>
      </c>
      <c r="B111" s="7">
        <v>4002</v>
      </c>
      <c r="C111" s="21" t="s">
        <v>215</v>
      </c>
      <c r="D111" s="21" t="s">
        <v>204</v>
      </c>
      <c r="E111" s="13">
        <v>42835.660891203705</v>
      </c>
      <c r="F111" s="13">
        <v>42835.666967592595</v>
      </c>
      <c r="G111" s="7">
        <v>2</v>
      </c>
      <c r="H111" s="21" t="s">
        <v>490</v>
      </c>
      <c r="I111" s="13">
        <v>42835.693703703706</v>
      </c>
      <c r="J111" s="7">
        <v>0</v>
      </c>
      <c r="K111" s="97" t="str">
        <f t="shared" si="28"/>
        <v>4001/4002</v>
      </c>
      <c r="L111" s="21" t="str">
        <f>VLOOKUP(A111,'Trips&amp;Operators'!$C$1:$G$99999,5,FALSE)</f>
        <v>BRANDNER MELINDA</v>
      </c>
      <c r="M111" s="6">
        <f t="shared" si="29"/>
        <v>2.6736111110949423E-2</v>
      </c>
      <c r="N111" s="7">
        <f t="shared" si="47"/>
        <v>38.499999999767169</v>
      </c>
      <c r="O111" s="7"/>
      <c r="P111" s="7"/>
      <c r="Q111" s="22"/>
      <c r="R111" s="22"/>
      <c r="S111" s="31">
        <f t="shared" si="30"/>
        <v>1</v>
      </c>
      <c r="T111" s="46" t="str">
        <f t="shared" si="31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2"/>
        <v>https://d0f6bd738d7f1b3e5a7ca70fe4ff75f0.us-east-1.aws.found.io/app/kibana#/discover/Steve-Slow-Train-Analysis-(2080s-and-2083s)?_g=(refreshInterval:(display:Off,pause:!f,section:0,value:0),time:(from:'2017-04-10T14:51:41-0600',mode:absolute,to:'2017-04-10T17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83" t="str">
        <f t="shared" si="33"/>
        <v>N</v>
      </c>
      <c r="X111" s="183">
        <f t="shared" si="48"/>
        <v>1</v>
      </c>
      <c r="Y111" s="62">
        <f t="shared" si="49"/>
        <v>4.5100000000000001E-2</v>
      </c>
      <c r="Z111" s="62">
        <f t="shared" si="50"/>
        <v>23.328900000000001</v>
      </c>
      <c r="AA111" s="62">
        <f t="shared" si="37"/>
        <v>23.283799999999999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8"/>
        <v>0199-10</v>
      </c>
      <c r="AE111" s="85" t="str">
        <f t="shared" si="39"/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11" s="82" t="str">
        <f t="shared" si="40"/>
        <v>"C:\Program Files (x86)\AstroGrep\AstroGrep.exe" /e /r /s /spath="%USERPROFILE%\AppData\Local\Temp\OnboardLogs" /stypes="app*4002*20170410*" /stext=" 22:.+((SYSTEM_STATE.+slice.+state.+changed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199-10 --locoid 4002 --swversion DE.1.0.9.0 --startMP 204:451 --initTime 2017-04-10T15:51:41 --startdatetime 2017-04-10T16:00:26 --delay 2 --endMP 204:233289 --enddatetime 2017-04-10T16:38:56 --enforcementcount 0 &gt;&gt;C:\Users\stu\Documents\GitHub\eaglep3-reporting\EC\2017-04-10-refined-times.txt</v>
      </c>
      <c r="AI111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{"issue":{"subject":"","project_id":79,"tracker_id":40,"status_id":1,"priority_id":2,"assigned_to_id":23,"start_date":"2017-04-10","description":"","custom_fields":[{"id":1,"name":"Subdivision","value":"EC"},{"id":4,"name":"Milepost","value":"23.3289"},{"id":17,"name":"Train ID","value":"199-10"},{"id":16,"name":"Locomotive ID","value":"4002"},{"id":130,"name":"Impact","value":""},{"id":150,"name":"Time of Event (Mountain Time)","value":"16:38:56"},{"id":151,"name":"Denver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4"/>
        <v>start /low /b %USERPROFILE%\Documents\GitHub\eaglep3\Utilities\DownloadLogsFromS3.py --loco 4002 --day 2017-04-10</v>
      </c>
      <c r="AN111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780</v>
      </c>
      <c r="B112" s="7">
        <v>4001</v>
      </c>
      <c r="C112" s="21" t="s">
        <v>215</v>
      </c>
      <c r="D112" s="21" t="s">
        <v>441</v>
      </c>
      <c r="E112" s="13">
        <v>42835.703113425923</v>
      </c>
      <c r="F112" s="13">
        <v>42835.705706018518</v>
      </c>
      <c r="G112" s="7">
        <v>1</v>
      </c>
      <c r="H112" s="21" t="s">
        <v>404</v>
      </c>
      <c r="I112" s="13">
        <v>42835.736747685187</v>
      </c>
      <c r="J112" s="7">
        <v>0</v>
      </c>
      <c r="K112" s="97" t="str">
        <f t="shared" si="28"/>
        <v>4001/4002</v>
      </c>
      <c r="L112" s="21" t="str">
        <f>VLOOKUP(A112,'Trips&amp;Operators'!$C$1:$G$99999,5,FALSE)</f>
        <v>BRANDNER MELINDA</v>
      </c>
      <c r="M112" s="6">
        <f t="shared" si="29"/>
        <v>3.104166666889796E-2</v>
      </c>
      <c r="N112" s="7">
        <f t="shared" si="47"/>
        <v>44.700000003213063</v>
      </c>
      <c r="O112" s="7"/>
      <c r="P112" s="7"/>
      <c r="Q112" s="22"/>
      <c r="R112" s="22"/>
      <c r="S112" s="31">
        <f t="shared" si="30"/>
        <v>1</v>
      </c>
      <c r="T112" s="46" t="str">
        <f t="shared" si="31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2"/>
        <v>https://d0f6bd738d7f1b3e5a7ca70fe4ff75f0.us-east-1.aws.found.io/app/kibana#/discover/Steve-Slow-Train-Analysis-(2080s-and-2083s)?_g=(refreshInterval:(display:Off,pause:!f,section:0,value:0),time:(from:'2017-04-10T15:52:29-0600',mode:absolute,to:'2017-04-10T18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83" t="str">
        <f t="shared" si="33"/>
        <v>N</v>
      </c>
      <c r="X112" s="183">
        <f t="shared" si="48"/>
        <v>1</v>
      </c>
      <c r="Y112" s="62">
        <f t="shared" si="49"/>
        <v>23.2971</v>
      </c>
      <c r="Z112" s="62">
        <f t="shared" si="50"/>
        <v>1.38E-2</v>
      </c>
      <c r="AA112" s="62">
        <f t="shared" si="37"/>
        <v>23.283300000000001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8"/>
        <v>0200-10</v>
      </c>
      <c r="AE112" s="85" t="str">
        <f t="shared" si="39"/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12" s="82" t="str">
        <f t="shared" si="40"/>
        <v>"C:\Program Files (x86)\AstroGrep\AstroGrep.exe" /e /r /s /spath="%USERPROFILE%\AppData\Local\Temp\OnboardLogs" /stypes="app*4001*20170410*" /stext=" 23:.+((SYSTEM_STATE.+slice.+state.+changed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200-10 --locoid 4001 --swversion DE.1.0.9.0 --startMP 204:232971 --initTime 2017-04-10T16:52:29 --startdatetime 2017-04-10T16:56:13 --delay 1 --endMP 204:138 --enddatetime 2017-04-10T17:40:55 --enforcementcount 0 &gt;&gt;C:\Users\stu\Documents\GitHub\eaglep3-reporting\EC\2017-04-10-refined-times.txt</v>
      </c>
      <c r="AI112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{"issue":{"subject":"","project_id":79,"tracker_id":40,"status_id":1,"priority_id":2,"assigned_to_id":23,"start_date":"2017-04-10","description":"","custom_fields":[{"id":1,"name":"Subdivision","value":"EC"},{"id":4,"name":"Milepost","value":"0.0138"},{"id":17,"name":"Train ID","value":"200-10"},{"id":16,"name":"Locomotive ID","value":"4001"},{"id":130,"name":"Impact","value":""},{"id":150,"name":"Time of Event (Mountain Time)","value":"17:40:55"},{"id":151,"name":"Denver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4"/>
        <v>start /low /b %USERPROFILE%\Documents\GitHub\eaglep3\Utilities\DownloadLogsFromS3.py --loco 4001 --day 2017-04-10</v>
      </c>
      <c r="AN112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636</v>
      </c>
      <c r="B113" s="7">
        <v>4026</v>
      </c>
      <c r="C113" s="21" t="s">
        <v>215</v>
      </c>
      <c r="D113" s="21" t="s">
        <v>426</v>
      </c>
      <c r="E113" s="13">
        <v>42835.674351851849</v>
      </c>
      <c r="F113" s="13">
        <v>42835.678171296298</v>
      </c>
      <c r="G113" s="7">
        <v>3</v>
      </c>
      <c r="H113" s="21" t="s">
        <v>424</v>
      </c>
      <c r="I113" s="13">
        <v>42835.704444444447</v>
      </c>
      <c r="J113" s="7">
        <v>0</v>
      </c>
      <c r="K113" s="97" t="str">
        <f t="shared" si="28"/>
        <v>4025/4026</v>
      </c>
      <c r="L113" s="21" t="str">
        <f>VLOOKUP(A113,'Trips&amp;Operators'!$C$1:$G$99999,5,FALSE)</f>
        <v>STEWART MICHAEL</v>
      </c>
      <c r="M113" s="6">
        <f t="shared" si="29"/>
        <v>2.6273148148902692E-2</v>
      </c>
      <c r="N113" s="7">
        <f t="shared" si="47"/>
        <v>37.833333334419876</v>
      </c>
      <c r="O113" s="7"/>
      <c r="P113" s="7"/>
      <c r="Q113" s="22"/>
      <c r="R113" s="22"/>
      <c r="S113" s="31">
        <f t="shared" si="30"/>
        <v>1</v>
      </c>
      <c r="T113" s="46" t="str">
        <f t="shared" si="31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2"/>
        <v>https://d0f6bd738d7f1b3e5a7ca70fe4ff75f0.us-east-1.aws.found.io/app/kibana#/discover/Steve-Slow-Train-Analysis-(2080s-and-2083s)?_g=(refreshInterval:(display:Off,pause:!f,section:0,value:0),time:(from:'2017-04-10T15:11:04-0600',mode:absolute,to:'2017-04-10T17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83" t="str">
        <f t="shared" si="33"/>
        <v>N</v>
      </c>
      <c r="X113" s="183">
        <f t="shared" si="48"/>
        <v>1</v>
      </c>
      <c r="Y113" s="62">
        <f t="shared" si="49"/>
        <v>4.6600000000000003E-2</v>
      </c>
      <c r="Z113" s="62">
        <f t="shared" si="50"/>
        <v>23.329699999999999</v>
      </c>
      <c r="AA113" s="62">
        <f t="shared" si="37"/>
        <v>23.283099999999997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0201-10</v>
      </c>
      <c r="AE113" s="85" t="str">
        <f t="shared" si="39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113" s="82" t="str">
        <f t="shared" si="40"/>
        <v>"C:\Program Files (x86)\AstroGrep\AstroGrep.exe" /e /r /s /spath="%USERPROFILE%\AppData\Local\Temp\OnboardLogs" /stypes="app*4026*20170410*" /stext=" 22:.+((SYSTEM_STATE.+slice.+state.+changed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201-10 --locoid 4026 --swversion DE.1.0.9.0 --startMP 204:466 --initTime 2017-04-10T16:11:04 --startdatetime 2017-04-10T16:16:34 --delay 3 --endMP 204:233297 --enddatetime 2017-04-10T16:54:24 --enforcementcount 0 &gt;&gt;C:\Users\stu\Documents\GitHub\eaglep3-reporting\EC\2017-04-10-refined-times.txt</v>
      </c>
      <c r="AI113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ID","value":"201-10"},{"id":16,"name":"Locomotive ID","value":"4026"},{"id":130,"name":"Impact","value":""},{"id":150,"name":"Time of Event (Mountain Time)","value":"16:54:24"},{"id":151,"name":"Denver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4"/>
        <v>start /low /b %USERPROFILE%\Documents\GitHub\eaglep3\Utilities\DownloadLogsFromS3.py --loco 4026 --day 2017-04-10</v>
      </c>
      <c r="AN113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641</v>
      </c>
      <c r="B114" s="7">
        <v>4025</v>
      </c>
      <c r="C114" s="21" t="s">
        <v>215</v>
      </c>
      <c r="D114" s="21" t="s">
        <v>527</v>
      </c>
      <c r="E114" s="13">
        <v>42835.712951388887</v>
      </c>
      <c r="F114" s="13">
        <v>42835.716412037036</v>
      </c>
      <c r="G114" s="7">
        <v>1</v>
      </c>
      <c r="H114" s="21" t="s">
        <v>442</v>
      </c>
      <c r="I114" s="13">
        <v>42835.747094907405</v>
      </c>
      <c r="J114" s="7">
        <v>0</v>
      </c>
      <c r="K114" s="97" t="str">
        <f t="shared" si="28"/>
        <v>4025/4026</v>
      </c>
      <c r="L114" s="21" t="str">
        <f>VLOOKUP(A114,'Trips&amp;Operators'!$C$1:$G$99999,5,FALSE)</f>
        <v>STEWART MICHAEL</v>
      </c>
      <c r="M114" s="6">
        <f t="shared" si="29"/>
        <v>3.068287036876427E-2</v>
      </c>
      <c r="N114" s="7">
        <f t="shared" si="47"/>
        <v>44.183333331020549</v>
      </c>
      <c r="O114" s="7"/>
      <c r="P114" s="7"/>
      <c r="Q114" s="22"/>
      <c r="R114" s="22"/>
      <c r="S114" s="31">
        <f t="shared" si="30"/>
        <v>1</v>
      </c>
      <c r="T114" s="46" t="str">
        <f t="shared" si="31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2"/>
        <v>https://d0f6bd738d7f1b3e5a7ca70fe4ff75f0.us-east-1.aws.found.io/app/kibana#/discover/Steve-Slow-Train-Analysis-(2080s-and-2083s)?_g=(refreshInterval:(display:Off,pause:!f,section:0,value:0),time:(from:'2017-04-10T16:06:39-0600',mode:absolute,to:'2017-04-10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83" t="str">
        <f t="shared" si="33"/>
        <v>N</v>
      </c>
      <c r="X114" s="183">
        <f t="shared" si="48"/>
        <v>1</v>
      </c>
      <c r="Y114" s="62">
        <f t="shared" si="49"/>
        <v>23.298100000000002</v>
      </c>
      <c r="Z114" s="62">
        <f t="shared" si="50"/>
        <v>1.6500000000000001E-2</v>
      </c>
      <c r="AA114" s="62">
        <f t="shared" si="37"/>
        <v>23.281600000000001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0202-10</v>
      </c>
      <c r="AE114" s="85" t="str">
        <f t="shared" si="39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14" s="82" t="str">
        <f t="shared" si="40"/>
        <v>"C:\Program Files (x86)\AstroGrep\AstroGrep.exe" /e /r /s /spath="%USERPROFILE%\AppData\Local\Temp\OnboardLogs" /stypes="app*4025*20170410*" /stext=" 23:.+((SYSTEM_STATE.+slice.+state.+changed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202-10 --locoid 4025 --swversion DE.1.0.9.0 --startMP 204:232981 --initTime 2017-04-10T17:06:39 --startdatetime 2017-04-10T17:11:38 --delay 1 --endMP 204:165 --enddatetime 2017-04-10T17:55:49 --enforcementcount 0 &gt;&gt;C:\Users\stu\Documents\GitHub\eaglep3-reporting\EC\2017-04-10-refined-times.txt</v>
      </c>
      <c r="AI114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{"issue":{"subject":"","project_id":79,"tracker_id":40,"status_id":1,"priority_id":2,"assigned_to_id":23,"start_date":"2017-04-10","description":"","custom_fields":[{"id":1,"name":"Subdivision","value":"EC"},{"id":4,"name":"Milepost","value":"0.0165"},{"id":17,"name":"Train ID","value":"202-10"},{"id":16,"name":"Locomotive ID","value":"4025"},{"id":130,"name":"Impact","value":""},{"id":150,"name":"Time of Event (Mountain Time)","value":"17:55:49"},{"id":151,"name":"Denver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4"/>
        <v>start /low /b %USERPROFILE%\Documents\GitHub\eaglep3\Utilities\DownloadLogsFromS3.py --loco 4025 --day 2017-04-10</v>
      </c>
      <c r="AN114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778</v>
      </c>
      <c r="B115" s="7">
        <v>4006</v>
      </c>
      <c r="C115" s="21" t="s">
        <v>215</v>
      </c>
      <c r="D115" s="21" t="s">
        <v>579</v>
      </c>
      <c r="E115" s="13">
        <v>42835.687604166669</v>
      </c>
      <c r="F115" s="13">
        <v>42835.689363425925</v>
      </c>
      <c r="G115" s="7">
        <v>1</v>
      </c>
      <c r="H115" s="21" t="s">
        <v>889</v>
      </c>
      <c r="I115" s="13">
        <v>42835.716180555559</v>
      </c>
      <c r="J115" s="7">
        <v>0</v>
      </c>
      <c r="K115" s="97" t="str">
        <f t="shared" si="28"/>
        <v>4005/4006</v>
      </c>
      <c r="L115" s="21" t="str">
        <f>VLOOKUP(A115,'Trips&amp;Operators'!$C$1:$G$99999,5,FALSE)</f>
        <v>DAVIS MICHAEL</v>
      </c>
      <c r="M115" s="6">
        <f t="shared" si="29"/>
        <v>2.6817129633855075E-2</v>
      </c>
      <c r="N115" s="7">
        <f t="shared" si="47"/>
        <v>38.616666672751307</v>
      </c>
      <c r="O115" s="7"/>
      <c r="P115" s="7"/>
      <c r="Q115" s="22"/>
      <c r="R115" s="22"/>
      <c r="S115" s="31">
        <f t="shared" si="30"/>
        <v>1</v>
      </c>
      <c r="T115" s="46" t="str">
        <f t="shared" si="31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2"/>
        <v>https://d0f6bd738d7f1b3e5a7ca70fe4ff75f0.us-east-1.aws.found.io/app/kibana#/discover/Steve-Slow-Train-Analysis-(2080s-and-2083s)?_g=(refreshInterval:(display:Off,pause:!f,section:0,value:0),time:(from:'2017-04-10T15:30:09-0600',mode:absolute,to:'2017-04-10T18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5" s="183" t="str">
        <f t="shared" si="33"/>
        <v>N</v>
      </c>
      <c r="X115" s="183">
        <f t="shared" si="48"/>
        <v>1</v>
      </c>
      <c r="Y115" s="62">
        <f t="shared" si="49"/>
        <v>4.4699999999999997E-2</v>
      </c>
      <c r="Z115" s="62">
        <f t="shared" si="50"/>
        <v>23.321100000000001</v>
      </c>
      <c r="AA115" s="62">
        <f t="shared" si="37"/>
        <v>23.276400000000002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0203-10</v>
      </c>
      <c r="AE115" s="85" t="str">
        <f t="shared" si="39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15" s="82" t="str">
        <f t="shared" si="40"/>
        <v>"C:\Program Files (x86)\AstroGrep\AstroGrep.exe" /e /r /s /spath="%USERPROFILE%\AppData\Local\Temp\OnboardLogs" /stypes="app*4006*20170410*"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203-10 --locoid 4006 --swversion DE.1.0.9.0 --startMP 204:447 --initTime 2017-04-10T16:30:09 --startdatetime 2017-04-10T16:32:41 --delay 1 --endMP 204:233211 --enddatetime 2017-04-10T17:11:18 --enforcementcount 0 &gt;&gt;C:\Users\stu\Documents\GitHub\eaglep3-reporting\EC\2017-04-10-refined-times.txt</v>
      </c>
      <c r="AI115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{"issue":{"subject":"","project_id":79,"tracker_id":40,"status_id":1,"priority_id":2,"assigned_to_id":23,"start_date":"2017-04-10","description":"","custom_fields":[{"id":1,"name":"Subdivision","value":"EC"},{"id":4,"name":"Milepost","value":"23.3211"},{"id":17,"name":"Train ID","value":"203-10"},{"id":16,"name":"Locomotive ID","value":"4006"},{"id":130,"name":"Impact","value":""},{"id":150,"name":"Time of Event (Mountain Time)","value":"17:11:18"},{"id":151,"name":"Denver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4"/>
        <v>start /low /b %USERPROFILE%\Documents\GitHub\eaglep3\Utilities\DownloadLogsFromS3.py --loco 4006 --day 2017-04-10</v>
      </c>
      <c r="AN115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639</v>
      </c>
      <c r="B116" s="7">
        <v>4005</v>
      </c>
      <c r="C116" s="21" t="s">
        <v>215</v>
      </c>
      <c r="D116" s="21" t="s">
        <v>890</v>
      </c>
      <c r="E116" s="13">
        <v>42835.723726851851</v>
      </c>
      <c r="F116" s="13">
        <v>42835.727129629631</v>
      </c>
      <c r="G116" s="7">
        <v>1</v>
      </c>
      <c r="H116" s="21" t="s">
        <v>857</v>
      </c>
      <c r="I116" s="13">
        <v>42835.756481481483</v>
      </c>
      <c r="J116" s="7">
        <v>0</v>
      </c>
      <c r="K116" s="97" t="str">
        <f t="shared" si="28"/>
        <v>4005/4006</v>
      </c>
      <c r="L116" s="21" t="str">
        <f>VLOOKUP(A116,'Trips&amp;Operators'!$C$1:$G$99999,5,FALSE)</f>
        <v>DAVIS MICHAEL</v>
      </c>
      <c r="M116" s="6">
        <f t="shared" si="29"/>
        <v>2.9351851851970423E-2</v>
      </c>
      <c r="N116" s="7">
        <f t="shared" si="47"/>
        <v>42.266666666837409</v>
      </c>
      <c r="O116" s="7"/>
      <c r="P116" s="7"/>
      <c r="Q116" s="22"/>
      <c r="R116" s="22"/>
      <c r="S116" s="31">
        <f t="shared" si="30"/>
        <v>1</v>
      </c>
      <c r="T116" s="46" t="str">
        <f t="shared" si="31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2"/>
        <v>https://d0f6bd738d7f1b3e5a7ca70fe4ff75f0.us-east-1.aws.found.io/app/kibana#/discover/Steve-Slow-Train-Analysis-(2080s-and-2083s)?_g=(refreshInterval:(display:Off,pause:!f,section:0,value:0),time:(from:'2017-04-10T16:22:10-0600',mode:absolute,to:'2017-04-10T19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6" s="183" t="str">
        <f t="shared" si="33"/>
        <v>N</v>
      </c>
      <c r="X116" s="183">
        <f t="shared" si="48"/>
        <v>1</v>
      </c>
      <c r="Y116" s="62">
        <f t="shared" si="49"/>
        <v>23.2898</v>
      </c>
      <c r="Z116" s="62">
        <f t="shared" si="50"/>
        <v>1.49E-2</v>
      </c>
      <c r="AA116" s="62">
        <f t="shared" si="37"/>
        <v>23.274899999999999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0204-10</v>
      </c>
      <c r="AE116" s="85" t="str">
        <f t="shared" si="39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16" s="82" t="str">
        <f t="shared" si="40"/>
        <v>"C:\Program Files (x86)\AstroGrep\AstroGrep.exe" /e /r /s /spath="%USERPROFILE%\AppData\Local\Temp\OnboardLogs" /stypes="app*4005*20170411*" /stext=" 00:.+((SYSTEM_STATE.+slice.+state.+changed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204-10 --locoid 4005 --swversion DE.1.0.9.0 --startMP 204:232898 --initTime 2017-04-10T17:22:10 --startdatetime 2017-04-10T17:27:04 --delay 1 --endMP 204:149 --enddatetime 2017-04-10T18:09:20 --enforcementcount 0 &gt;&gt;C:\Users\stu\Documents\GitHub\eaglep3-reporting\EC\2017-04-10-refined-times.txt</v>
      </c>
      <c r="AI116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{"issue":{"subject":"","project_id":79,"tracker_id":40,"status_id":1,"priority_id":2,"assigned_to_id":23,"start_date":"2017-04-10","description":"","custom_fields":[{"id":1,"name":"Subdivision","value":"EC"},{"id":4,"name":"Milepost","value":"0.0149"},{"id":17,"name":"Train ID","value":"204-10"},{"id":16,"name":"Locomotive ID","value":"4005"},{"id":130,"name":"Impact","value":""},{"id":150,"name":"Time of Event (Mountain Time)","value":"18:09:20"},{"id":151,"name":"Denver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4"/>
        <v>start /low /b %USERPROFILE%\Documents\GitHub\eaglep3\Utilities\DownloadLogsFromS3.py --loco 4005 --day 2017-04-10</v>
      </c>
      <c r="AN116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779</v>
      </c>
      <c r="B117" s="7">
        <v>4020</v>
      </c>
      <c r="C117" s="21" t="s">
        <v>215</v>
      </c>
      <c r="D117" s="21" t="s">
        <v>891</v>
      </c>
      <c r="E117" s="13">
        <v>42835.695150462961</v>
      </c>
      <c r="F117" s="13">
        <v>42835.698078703703</v>
      </c>
      <c r="G117" s="7">
        <v>1</v>
      </c>
      <c r="H117" s="21" t="s">
        <v>583</v>
      </c>
      <c r="I117" s="13">
        <v>42835.726643518516</v>
      </c>
      <c r="J117" s="7">
        <v>0</v>
      </c>
      <c r="K117" s="97" t="str">
        <f t="shared" si="28"/>
        <v>4019/4020</v>
      </c>
      <c r="L117" s="21" t="str">
        <f>VLOOKUP(A117,'Trips&amp;Operators'!$C$1:$G$99999,5,FALSE)</f>
        <v>CLARK KATHLEEN</v>
      </c>
      <c r="M117" s="6">
        <f t="shared" si="29"/>
        <v>2.8564814812853001E-2</v>
      </c>
      <c r="N117" s="7">
        <f t="shared" si="47"/>
        <v>41.133333330508322</v>
      </c>
      <c r="O117" s="7"/>
      <c r="P117" s="7"/>
      <c r="Q117" s="22"/>
      <c r="R117" s="22"/>
      <c r="S117" s="31">
        <f t="shared" si="30"/>
        <v>1</v>
      </c>
      <c r="T117" s="46" t="str">
        <f t="shared" si="31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2"/>
        <v>https://d0f6bd738d7f1b3e5a7ca70fe4ff75f0.us-east-1.aws.found.io/app/kibana#/discover/Steve-Slow-Train-Analysis-(2080s-and-2083s)?_g=(refreshInterval:(display:Off,pause:!f,section:0,value:0),time:(from:'2017-04-10T15:41:01-0600',mode:absolute,to:'2017-04-10T18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183" t="str">
        <f t="shared" si="33"/>
        <v>N</v>
      </c>
      <c r="X117" s="183">
        <f t="shared" si="48"/>
        <v>1</v>
      </c>
      <c r="Y117" s="62">
        <f t="shared" si="49"/>
        <v>5.0799999999999998E-2</v>
      </c>
      <c r="Z117" s="62">
        <f t="shared" si="50"/>
        <v>23.328499999999998</v>
      </c>
      <c r="AA117" s="62">
        <f t="shared" si="37"/>
        <v>23.277699999999999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0205-10</v>
      </c>
      <c r="AE117" s="85" t="str">
        <f t="shared" si="39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17" s="82" t="str">
        <f t="shared" si="40"/>
        <v>"C:\Program Files (x86)\AstroGrep\AstroGrep.exe" /e /r /s /spath="%USERPROFILE%\AppData\Local\Temp\OnboardLogs" /stypes="app*4020*20170410*" /stext=" 23:.+((SYSTEM_STATE.+slice.+state.+changed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205-10 --locoid 4020 --swversion DE.1.0.9.0 --startMP 204:508 --initTime 2017-04-10T16:41:01 --startdatetime 2017-04-10T16:45:14 --delay 1 --endMP 204:233285 --enddatetime 2017-04-10T17:26:22 --enforcementcount 0 &gt;&gt;C:\Users\stu\Documents\GitHub\eaglep3-reporting\EC\2017-04-10-refined-times.txt</v>
      </c>
      <c r="AI117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{"issue":{"subject":"","project_id":79,"tracker_id":40,"status_id":1,"priority_id":2,"assigned_to_id":23,"start_date":"2017-04-10","description":"","custom_fields":[{"id":1,"name":"Subdivision","value":"EC"},{"id":4,"name":"Milepost","value":"23.3285"},{"id":17,"name":"Train ID","value":"205-10"},{"id":16,"name":"Locomotive ID","value":"4020"},{"id":130,"name":"Impact","value":""},{"id":150,"name":"Time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4"/>
        <v>start /low /b %USERPROFILE%\Documents\GitHub\eaglep3\Utilities\DownloadLogsFromS3.py --loco 4020 --day 2017-04-10</v>
      </c>
      <c r="AN117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786</v>
      </c>
      <c r="B118" s="7">
        <v>4019</v>
      </c>
      <c r="C118" s="21" t="s">
        <v>215</v>
      </c>
      <c r="D118" s="21" t="s">
        <v>892</v>
      </c>
      <c r="E118" s="13">
        <v>42835.733958333331</v>
      </c>
      <c r="F118" s="13">
        <v>42835.736967592595</v>
      </c>
      <c r="G118" s="7">
        <v>1</v>
      </c>
      <c r="H118" s="21" t="s">
        <v>564</v>
      </c>
      <c r="I118" s="13">
        <v>42835.7656712963</v>
      </c>
      <c r="J118" s="7">
        <v>0</v>
      </c>
      <c r="K118" s="97" t="str">
        <f t="shared" si="28"/>
        <v>4019/4020</v>
      </c>
      <c r="L118" s="21" t="str">
        <f>VLOOKUP(A118,'Trips&amp;Operators'!$C$1:$G$99999,5,FALSE)</f>
        <v>CLARK KATHLEEN</v>
      </c>
      <c r="M118" s="6">
        <f t="shared" si="29"/>
        <v>2.8703703705104999E-2</v>
      </c>
      <c r="N118" s="7">
        <f t="shared" si="47"/>
        <v>41.333333335351199</v>
      </c>
      <c r="O118" s="7"/>
      <c r="P118" s="7"/>
      <c r="Q118" s="22"/>
      <c r="R118" s="22"/>
      <c r="S118" s="31">
        <f t="shared" si="30"/>
        <v>1</v>
      </c>
      <c r="T118" s="46" t="str">
        <f t="shared" si="31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2"/>
        <v>https://d0f6bd738d7f1b3e5a7ca70fe4ff75f0.us-east-1.aws.found.io/app/kibana#/discover/Steve-Slow-Train-Analysis-(2080s-and-2083s)?_g=(refreshInterval:(display:Off,pause:!f,section:0,value:0),time:(from:'2017-04-10T16:36:54-0600',mode:absolute,to:'2017-04-10T19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183" t="str">
        <f t="shared" si="33"/>
        <v>N</v>
      </c>
      <c r="X118" s="183">
        <f t="shared" si="48"/>
        <v>1</v>
      </c>
      <c r="Y118" s="62">
        <f t="shared" si="49"/>
        <v>23.297000000000001</v>
      </c>
      <c r="Z118" s="62">
        <f t="shared" si="50"/>
        <v>1.89E-2</v>
      </c>
      <c r="AA118" s="62">
        <f t="shared" si="37"/>
        <v>23.278100000000002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0206-10</v>
      </c>
      <c r="AE118" s="85" t="str">
        <f t="shared" si="39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18" s="82" t="str">
        <f t="shared" si="40"/>
        <v>"C:\Program Files (x86)\AstroGrep\AstroGrep.exe" /e /r /s /spath="%USERPROFILE%\AppData\Local\Temp\OnboardLogs" /stypes="app*4019*20170411*" /stext=" 00:.+((SYSTEM_STATE.+slice.+state.+changed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206-10 --locoid 4019 --swversion DE.1.0.9.0 --startMP 204:232970 --initTime 2017-04-10T17:36:54 --startdatetime 2017-04-10T17:41:14 --delay 1 --endMP 204:189 --enddatetime 2017-04-10T18:22:34 --enforcementcount 0 &gt;&gt;C:\Users\stu\Documents\GitHub\eaglep3-reporting\EC\2017-04-10-refined-times.txt</v>
      </c>
      <c r="AI118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{"issue":{"subject":"","project_id":79,"tracker_id":40,"status_id":1,"priority_id":2,"assigned_to_id":23,"start_date":"2017-04-10","description":"","custom_fields":[{"id":1,"name":"Subdivision","value":"EC"},{"id":4,"name":"Milepost","value":"0.0189"},{"id":17,"name":"Train ID","value":"206-10"},{"id":16,"name":"Locomotive ID","value":"4019"},{"id":130,"name":"Impact","value":""},{"id":150,"name":"Time of Event (Mountain Time)","value":"18:22:34"},{"id":151,"name":"Denver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4"/>
        <v>start /low /b %USERPROFILE%\Documents\GitHub\eaglep3\Utilities\DownloadLogsFromS3.py --loco 4019 --day 2017-04-10</v>
      </c>
      <c r="AN118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781</v>
      </c>
      <c r="B119" s="7">
        <v>4016</v>
      </c>
      <c r="C119" s="21" t="s">
        <v>215</v>
      </c>
      <c r="D119" s="21" t="s">
        <v>893</v>
      </c>
      <c r="E119" s="13">
        <v>42835.704583333332</v>
      </c>
      <c r="F119" s="13">
        <v>42835.708807870367</v>
      </c>
      <c r="G119" s="7">
        <v>2</v>
      </c>
      <c r="H119" s="21" t="s">
        <v>894</v>
      </c>
      <c r="I119" s="13">
        <v>42835.739803240744</v>
      </c>
      <c r="J119" s="7">
        <v>0</v>
      </c>
      <c r="K119" s="97" t="str">
        <f t="shared" si="28"/>
        <v>4015/4016</v>
      </c>
      <c r="L119" s="21" t="str">
        <f>VLOOKUP(A119,'Trips&amp;Operators'!$C$1:$G$99999,5,FALSE)</f>
        <v>MENGES BRAD</v>
      </c>
      <c r="M119" s="6">
        <f t="shared" si="29"/>
        <v>3.0995370376331266E-2</v>
      </c>
      <c r="N119" s="7">
        <f t="shared" si="47"/>
        <v>44.633333341917023</v>
      </c>
      <c r="O119" s="7"/>
      <c r="P119" s="7"/>
      <c r="Q119" s="22"/>
      <c r="R119" s="22"/>
      <c r="S119" s="31">
        <f t="shared" si="30"/>
        <v>1</v>
      </c>
      <c r="T119" s="46" t="str">
        <f t="shared" si="31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2"/>
        <v>https://d0f6bd738d7f1b3e5a7ca70fe4ff75f0.us-east-1.aws.found.io/app/kibana#/discover/Steve-Slow-Train-Analysis-(2080s-and-2083s)?_g=(refreshInterval:(display:Off,pause:!f,section:0,value:0),time:(from:'2017-04-10T15:54:36-0600',mode:absolute,to:'2017-04-10T18:45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83" t="str">
        <f t="shared" si="33"/>
        <v>N</v>
      </c>
      <c r="X119" s="183">
        <f t="shared" si="48"/>
        <v>1</v>
      </c>
      <c r="Y119" s="62">
        <f t="shared" si="49"/>
        <v>4.2599999999999999E-2</v>
      </c>
      <c r="Z119" s="62">
        <f t="shared" si="50"/>
        <v>23.326799999999999</v>
      </c>
      <c r="AA119" s="62">
        <f t="shared" si="37"/>
        <v>23.284199999999998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0207-10</v>
      </c>
      <c r="AE119" s="85" t="str">
        <f t="shared" si="39"/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119" s="82" t="str">
        <f t="shared" si="40"/>
        <v>"C:\Program Files (x86)\AstroGrep\AstroGrep.exe" /e /r /s /spath="%USERPROFILE%\AppData\Local\Temp\OnboardLogs" /stypes="app*4016*20170410*" /stext=" 23:.+((SYSTEM_STATE.+slice.+state.+changed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207-10 --locoid 4016 --swversion DE.1.0.9.0 --startMP 204:426 --initTime 2017-04-10T16:54:36 --startdatetime 2017-04-10T17:00:41 --delay 2 --endMP 204:233268 --enddatetime 2017-04-10T17:45:19 --enforcementcount 0 &gt;&gt;C:\Users\stu\Documents\GitHub\eaglep3-reporting\EC\2017-04-10-refined-times.txt</v>
      </c>
      <c r="AI119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{"issue":{"subject":"","project_id":79,"tracker_id":40,"status_id":1,"priority_id":2,"assigned_to_id":23,"start_date":"2017-04-10","description":"","custom_fields":[{"id":1,"name":"Subdivision","value":"EC"},{"id":4,"name":"Milepost","value":"23.3268"},{"id":17,"name":"Train ID","value":"207-10"},{"id":16,"name":"Locomotive ID","value":"4016"},{"id":130,"name":"Impact","value":""},{"id":150,"name":"Time of Event (Mountain Time)","value":"17:45:19"},{"id":151,"name":"Denver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4"/>
        <v>start /low /b %USERPROFILE%\Documents\GitHub\eaglep3\Utilities\DownloadLogsFromS3.py --loco 4016 --day 2017-04-10</v>
      </c>
      <c r="AN119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23:45:19"},{"id":29,"name":"Sharepoint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642</v>
      </c>
      <c r="B120" s="7">
        <v>4015</v>
      </c>
      <c r="C120" s="21" t="s">
        <v>215</v>
      </c>
      <c r="D120" s="21" t="s">
        <v>499</v>
      </c>
      <c r="E120" s="13">
        <v>42835.745740740742</v>
      </c>
      <c r="F120" s="13">
        <v>42835.747824074075</v>
      </c>
      <c r="G120" s="7">
        <v>1</v>
      </c>
      <c r="H120" s="21" t="s">
        <v>197</v>
      </c>
      <c r="I120" s="13">
        <v>42835.776099537034</v>
      </c>
      <c r="J120" s="7">
        <v>0</v>
      </c>
      <c r="K120" s="97" t="str">
        <f t="shared" si="28"/>
        <v>4015/4016</v>
      </c>
      <c r="L120" s="21" t="str">
        <f>VLOOKUP(A120,'Trips&amp;Operators'!$C$1:$G$99999,5,FALSE)</f>
        <v>MENGES BRAD</v>
      </c>
      <c r="M120" s="6">
        <f t="shared" si="29"/>
        <v>2.827546295884531E-2</v>
      </c>
      <c r="N120" s="7">
        <f t="shared" si="47"/>
        <v>40.716666660737246</v>
      </c>
      <c r="O120" s="7"/>
      <c r="P120" s="7"/>
      <c r="Q120" s="22"/>
      <c r="R120" s="22"/>
      <c r="S120" s="31">
        <f t="shared" si="30"/>
        <v>1</v>
      </c>
      <c r="T120" s="46" t="str">
        <f t="shared" si="31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2"/>
        <v>https://d0f6bd738d7f1b3e5a7ca70fe4ff75f0.us-east-1.aws.found.io/app/kibana#/discover/Steve-Slow-Train-Analysis-(2080s-and-2083s)?_g=(refreshInterval:(display:Off,pause:!f,section:0,value:0),time:(from:'2017-04-10T16:53:52-0600',mode:absolute,to:'2017-04-10T19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83" t="str">
        <f t="shared" si="33"/>
        <v>N</v>
      </c>
      <c r="X120" s="183">
        <f t="shared" si="48"/>
        <v>1</v>
      </c>
      <c r="Y120" s="62">
        <f t="shared" si="49"/>
        <v>23.296900000000001</v>
      </c>
      <c r="Z120" s="62">
        <f t="shared" si="50"/>
        <v>1.52E-2</v>
      </c>
      <c r="AA120" s="62">
        <f t="shared" si="37"/>
        <v>23.281700000000001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0208-10</v>
      </c>
      <c r="AE120" s="85" t="str">
        <f t="shared" si="39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120" s="82" t="str">
        <f t="shared" si="40"/>
        <v>"C:\Program Files (x86)\AstroGrep\AstroGrep.exe" /e /r /s /spath="%USERPROFILE%\AppData\Local\Temp\OnboardLogs" /stypes="app*4015*20170411*" /stext=" 00:.+((SYSTEM_STATE.+slice.+state.+changed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208-10 --locoid 4015 --swversion DE.1.0.9.0 --startMP 204:232969 --initTime 2017-04-10T17:53:52 --startdatetime 2017-04-10T17:56:52 --delay 1 --endMP 204:152 --enddatetime 2017-04-10T18:37:35 --enforcementcount 0 &gt;&gt;C:\Users\stu\Documents\GitHub\eaglep3-reporting\EC\2017-04-10-refined-times.txt</v>
      </c>
      <c r="AI120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ID","value":"208-10"},{"id":16,"name":"Locomotive ID","value":"4015"},{"id":130,"name":"Impact","value":""},{"id":150,"name":"Time of Event (Mountain Time)","value":"18:37:35"},{"id":151,"name":"Denver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4"/>
        <v>start /low /b %USERPROFILE%\Documents\GitHub\eaglep3\Utilities\DownloadLogsFromS3.py --loco 4015 --day 2017-04-10</v>
      </c>
      <c r="AN120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783</v>
      </c>
      <c r="B121" s="7">
        <v>4042</v>
      </c>
      <c r="C121" s="21" t="s">
        <v>215</v>
      </c>
      <c r="D121" s="21" t="s">
        <v>895</v>
      </c>
      <c r="E121" s="13">
        <v>42835.717268518521</v>
      </c>
      <c r="F121" s="13">
        <v>42835.719027777777</v>
      </c>
      <c r="G121" s="7">
        <v>1</v>
      </c>
      <c r="H121" s="21" t="s">
        <v>896</v>
      </c>
      <c r="I121" s="13">
        <v>42835.745150462964</v>
      </c>
      <c r="J121" s="7">
        <v>0</v>
      </c>
      <c r="K121" s="97" t="str">
        <f t="shared" si="28"/>
        <v>4041/4042</v>
      </c>
      <c r="L121" s="21" t="str">
        <f>VLOOKUP(A121,'Trips&amp;Operators'!$C$1:$G$99999,5,FALSE)</f>
        <v>CHANDLER KELVIN</v>
      </c>
      <c r="M121" s="6">
        <f t="shared" si="29"/>
        <v>2.6122685187146999E-2</v>
      </c>
      <c r="N121" s="7">
        <f t="shared" si="47"/>
        <v>37.616666669491678</v>
      </c>
      <c r="O121" s="7"/>
      <c r="P121" s="7"/>
      <c r="Q121" s="22"/>
      <c r="R121" s="22"/>
      <c r="S121" s="31">
        <f t="shared" si="30"/>
        <v>1</v>
      </c>
      <c r="T121" s="46" t="str">
        <f t="shared" si="31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2"/>
        <v>https://d0f6bd738d7f1b3e5a7ca70fe4ff75f0.us-east-1.aws.found.io/app/kibana#/discover/Steve-Slow-Train-Analysis-(2080s-and-2083s)?_g=(refreshInterval:(display:Off,pause:!f,section:0,value:0),time:(from:'2017-04-10T16:12:52-0600',mode:absolute,to:'2017-04-10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183" t="str">
        <f t="shared" si="33"/>
        <v>N</v>
      </c>
      <c r="X121" s="183">
        <f t="shared" si="48"/>
        <v>1</v>
      </c>
      <c r="Y121" s="62">
        <f t="shared" si="49"/>
        <v>4.8800000000000003E-2</v>
      </c>
      <c r="Z121" s="62">
        <f t="shared" si="50"/>
        <v>23.328099999999999</v>
      </c>
      <c r="AA121" s="62">
        <f t="shared" si="37"/>
        <v>23.279299999999999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0209-10</v>
      </c>
      <c r="AE121" s="85" t="str">
        <f t="shared" si="39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21" s="82" t="str">
        <f t="shared" si="40"/>
        <v>"C:\Program Files (x86)\AstroGrep\AstroGrep.exe" /e /r /s /spath="%USERPROFILE%\AppData\Local\Temp\OnboardLogs" /stypes="app*4042*20170410*" /stext=" 23:.+((SYSTEM_STATE.+slice.+state.+changed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209-10 --locoid 4042 --swversion DE.1.0.9.0 --startMP 204:488 --initTime 2017-04-10T17:12:52 --startdatetime 2017-04-10T17:15:24 --delay 1 --endMP 204:233281 --enddatetime 2017-04-10T17:53:01 --enforcementcount 0 &gt;&gt;C:\Users\stu\Documents\GitHub\eaglep3-reporting\EC\2017-04-10-refined-times.txt</v>
      </c>
      <c r="AI121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{"issue":{"subject":"","project_id":79,"tracker_id":40,"status_id":1,"priority_id":2,"assigned_to_id":23,"start_date":"2017-04-10","description":"","custom_fields":[{"id":1,"name":"Subdivision","value":"EC"},{"id":4,"name":"Milepost","value":"23.3281"},{"id":17,"name":"Train ID","value":"209-10"},{"id":16,"name":"Locomotive ID","value":"4042"},{"id":130,"name":"Impact","value":""},{"id":150,"name":"Time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4"/>
        <v>start /low /b %USERPROFILE%\Documents\GitHub\eaglep3\Utilities\DownloadLogsFromS3.py --loco 4042 --day 2017-04-10</v>
      </c>
      <c r="AN121" s="159" t="str">
        <f t="shared" si="45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790</v>
      </c>
      <c r="B122" s="7">
        <v>4041</v>
      </c>
      <c r="C122" s="21" t="s">
        <v>215</v>
      </c>
      <c r="D122" s="21" t="s">
        <v>892</v>
      </c>
      <c r="E122" s="13">
        <v>42835.755219907405</v>
      </c>
      <c r="F122" s="13">
        <v>42835.757870370369</v>
      </c>
      <c r="G122" s="7">
        <v>1</v>
      </c>
      <c r="H122" s="21" t="s">
        <v>203</v>
      </c>
      <c r="I122" s="13">
        <v>42835.78638888889</v>
      </c>
      <c r="J122" s="7">
        <v>0</v>
      </c>
      <c r="K122" s="97" t="str">
        <f t="shared" si="28"/>
        <v>4041/4042</v>
      </c>
      <c r="L122" s="21" t="str">
        <f>VLOOKUP(A122,'Trips&amp;Operators'!$C$1:$G$99999,5,FALSE)</f>
        <v>CHANDLER KELVIN</v>
      </c>
      <c r="M122" s="6">
        <f t="shared" si="29"/>
        <v>2.8518518520286307E-2</v>
      </c>
      <c r="N122" s="7">
        <f t="shared" si="47"/>
        <v>41.066666669212282</v>
      </c>
      <c r="O122" s="7"/>
      <c r="P122" s="7"/>
      <c r="Q122" s="22"/>
      <c r="R122" s="22"/>
      <c r="S122" s="31">
        <f t="shared" si="30"/>
        <v>1</v>
      </c>
      <c r="T122" s="46" t="str">
        <f t="shared" si="31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2"/>
        <v>https://d0f6bd738d7f1b3e5a7ca70fe4ff75f0.us-east-1.aws.found.io/app/kibana#/discover/Steve-Slow-Train-Analysis-(2080s-and-2083s)?_g=(refreshInterval:(display:Off,pause:!f,section:0,value:0),time:(from:'2017-04-10T17:07:31-0600',mode:absolute,to:'2017-04-10T19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183" t="str">
        <f t="shared" si="33"/>
        <v>N</v>
      </c>
      <c r="X122" s="183">
        <f t="shared" si="48"/>
        <v>1</v>
      </c>
      <c r="Y122" s="62">
        <f t="shared" si="49"/>
        <v>23.297000000000001</v>
      </c>
      <c r="Z122" s="62">
        <f t="shared" si="50"/>
        <v>1.54E-2</v>
      </c>
      <c r="AA122" s="62">
        <f t="shared" si="37"/>
        <v>23.281600000000001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0210-10</v>
      </c>
      <c r="AE122" s="85" t="str">
        <f t="shared" si="39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22" s="82" t="str">
        <f t="shared" si="40"/>
        <v>"C:\Program Files (x86)\AstroGrep\AstroGrep.exe" /e /r /s /spath="%USERPROFILE%\AppData\Local\Temp\OnboardLogs" /stypes="app*4041*20170411*" /stext=" 00:.+((SYSTEM_STATE.+slice.+state.+changed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210-10 --locoid 4041 --swversion DE.1.0.9.0 --startMP 204:232970 --initTime 2017-04-10T18:07:31 --startdatetime 2017-04-10T18:11:20 --delay 1 --endMP 204:154 --enddatetime 2017-04-10T18:52:24 --enforcementcount 0 &gt;&gt;C:\Users\stu\Documents\GitHub\eaglep3-reporting\EC\2017-04-10-refined-times.txt</v>
      </c>
      <c r="AI122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ID","value":"210-10"},{"id":16,"name":"Locomotive ID","value":"4041"},{"id":130,"name":"Impact","value":""},{"id":150,"name":"Time of Event (Mountain Time)","value":"18:52:24"},{"id":151,"name":"Denver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4"/>
        <v>start /low /b %USERPROFILE%\Documents\GitHub\eaglep3\Utilities\DownloadLogsFromS3.py --loco 4041 --day 2017-04-10</v>
      </c>
      <c r="AN122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785</v>
      </c>
      <c r="B123" s="7">
        <v>4014</v>
      </c>
      <c r="C123" s="21" t="s">
        <v>215</v>
      </c>
      <c r="D123" s="21" t="s">
        <v>566</v>
      </c>
      <c r="E123" s="13">
        <v>42835.726979166669</v>
      </c>
      <c r="F123" s="13">
        <v>42835.729317129626</v>
      </c>
      <c r="G123" s="7">
        <v>1</v>
      </c>
      <c r="H123" s="21" t="s">
        <v>897</v>
      </c>
      <c r="I123" s="13">
        <v>42835.757361111115</v>
      </c>
      <c r="J123" s="7">
        <v>0</v>
      </c>
      <c r="K123" s="97" t="str">
        <f t="shared" si="28"/>
        <v>4013/4014</v>
      </c>
      <c r="L123" s="21" t="str">
        <f>VLOOKUP(A123,'Trips&amp;Operators'!$C$1:$G$99999,5,FALSE)</f>
        <v>LOCKLEAR TRAVIS</v>
      </c>
      <c r="M123" s="6">
        <f t="shared" si="29"/>
        <v>2.8043981488735881E-2</v>
      </c>
      <c r="N123" s="7">
        <f t="shared" si="47"/>
        <v>40.383333343779668</v>
      </c>
      <c r="O123" s="7"/>
      <c r="P123" s="7"/>
      <c r="Q123" s="22"/>
      <c r="R123" s="22"/>
      <c r="S123" s="31">
        <f t="shared" si="30"/>
        <v>1</v>
      </c>
      <c r="T123" s="46" t="str">
        <f t="shared" si="31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2"/>
        <v>https://d0f6bd738d7f1b3e5a7ca70fe4ff75f0.us-east-1.aws.found.io/app/kibana#/discover/Steve-Slow-Train-Analysis-(2080s-and-2083s)?_g=(refreshInterval:(display:Off,pause:!f,section:0,value:0),time:(from:'2017-04-10T16:26:51-0600',mode:absolute,to:'2017-04-10T19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83" t="str">
        <f t="shared" si="33"/>
        <v>N</v>
      </c>
      <c r="X123" s="183">
        <f t="shared" si="48"/>
        <v>1</v>
      </c>
      <c r="Y123" s="62">
        <f t="shared" si="49"/>
        <v>4.7699999999999999E-2</v>
      </c>
      <c r="Z123" s="62">
        <f t="shared" si="50"/>
        <v>23.335999999999999</v>
      </c>
      <c r="AA123" s="62">
        <f t="shared" si="37"/>
        <v>23.2883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8"/>
        <v>0211-10</v>
      </c>
      <c r="AE123" s="85" t="str">
        <f t="shared" si="39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123" s="82" t="str">
        <f t="shared" si="40"/>
        <v>"C:\Program Files (x86)\AstroGrep\AstroGrep.exe" /e /r /s /spath="%USERPROFILE%\AppData\Local\Temp\OnboardLogs" /stypes="app*4014*20170411*"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211-10 --locoid 4014 --swversion DE.1.0.9.0 --startMP 204:477 --initTime 2017-04-10T17:26:51 --startdatetime 2017-04-10T17:30:13 --delay 1 --endMP 204:233360 --enddatetime 2017-04-10T18:10:36 --enforcementcount 0 &gt;&gt;C:\Users\stu\Documents\GitHub\eaglep3-reporting\EC\2017-04-10-refined-times.txt</v>
      </c>
      <c r="AI123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{"issue":{"subject":"","project_id":79,"tracker_id":40,"status_id":1,"priority_id":2,"assigned_to_id":23,"start_date":"2017-04-10","description":"","custom_fields":[{"id":1,"name":"Subdivision","value":"EC"},{"id":4,"name":"Milepost","value":"23.336"},{"id":17,"name":"Train ID","value":"211-10"},{"id":16,"name":"Locomotive ID","value":"4014"},{"id":130,"name":"Impact","value":""},{"id":150,"name":"Time of Event (Mountain Time)","value":"18:10:36"},{"id":151,"name":"Denver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4"/>
        <v>start /low /b %USERPROFILE%\Documents\GitHub\eaglep3\Utilities\DownloadLogsFromS3.py --loco 4014 --day 2017-04-10</v>
      </c>
      <c r="AN123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794</v>
      </c>
      <c r="B124" s="7">
        <v>4013</v>
      </c>
      <c r="C124" s="21" t="s">
        <v>215</v>
      </c>
      <c r="D124" s="21" t="s">
        <v>898</v>
      </c>
      <c r="E124" s="13">
        <v>42835.766921296294</v>
      </c>
      <c r="F124" s="13">
        <v>42835.768252314818</v>
      </c>
      <c r="G124" s="7">
        <v>1</v>
      </c>
      <c r="H124" s="21" t="s">
        <v>427</v>
      </c>
      <c r="I124" s="13">
        <v>42835.797129629631</v>
      </c>
      <c r="J124" s="7">
        <v>0</v>
      </c>
      <c r="K124" s="97" t="str">
        <f t="shared" si="28"/>
        <v>4013/4014</v>
      </c>
      <c r="L124" s="21" t="str">
        <f>VLOOKUP(A124,'Trips&amp;Operators'!$C$1:$G$99999,5,FALSE)</f>
        <v>LOCKLEAR TRAVIS</v>
      </c>
      <c r="M124" s="6">
        <f t="shared" si="29"/>
        <v>2.8877314813144039E-2</v>
      </c>
      <c r="N124" s="7">
        <f t="shared" si="47"/>
        <v>41.583333330927417</v>
      </c>
      <c r="O124" s="7"/>
      <c r="P124" s="7"/>
      <c r="Q124" s="22"/>
      <c r="R124" s="22"/>
      <c r="S124" s="31">
        <f t="shared" si="30"/>
        <v>1</v>
      </c>
      <c r="T124" s="46" t="str">
        <f t="shared" si="31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2"/>
        <v>https://d0f6bd738d7f1b3e5a7ca70fe4ff75f0.us-east-1.aws.found.io/app/kibana#/discover/Steve-Slow-Train-Analysis-(2080s-and-2083s)?_g=(refreshInterval:(display:Off,pause:!f,section:0,value:0),time:(from:'2017-04-10T17:24:22-0600',mode:absolute,to:'2017-04-10T20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83" t="str">
        <f t="shared" si="33"/>
        <v>N</v>
      </c>
      <c r="X124" s="183">
        <f t="shared" si="48"/>
        <v>1</v>
      </c>
      <c r="Y124" s="62">
        <f t="shared" si="49"/>
        <v>23.302499999999998</v>
      </c>
      <c r="Z124" s="62">
        <f t="shared" si="50"/>
        <v>1.6E-2</v>
      </c>
      <c r="AA124" s="62">
        <f t="shared" si="37"/>
        <v>23.2865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0212-10</v>
      </c>
      <c r="AE124" s="85" t="str">
        <f t="shared" si="39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124" s="82" t="str">
        <f t="shared" si="40"/>
        <v>"C:\Program Files (x86)\AstroGrep\AstroGrep.exe" /e /r /s /spath="%USERPROFILE%\AppData\Local\Temp\OnboardLogs" /stypes="app*4013*20170411*" /stext=" 01:.+((SYSTEM_STATE.+slice.+state.+changed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212-10 --locoid 4013 --swversion DE.1.0.9.0 --startMP 204:233025 --initTime 2017-04-10T18:24:22 --startdatetime 2017-04-10T18:26:17 --delay 1 --endMP 204:160 --enddatetime 2017-04-10T19:07:52 --enforcementcount 0 &gt;&gt;C:\Users\stu\Documents\GitHub\eaglep3-reporting\EC\2017-04-10-refined-times.txt</v>
      </c>
      <c r="AI124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{"issue":{"subject":"","project_id":79,"tracker_id":40,"status_id":1,"priority_id":2,"assigned_to_id":23,"start_date":"2017-04-10","description":"","custom_fields":[{"id":1,"name":"Subdivision","value":"EC"},{"id":4,"name":"Milepost","value":"0.016"},{"id":17,"name":"Train ID","value":"212-10"},{"id":16,"name":"Locomotive ID","value":"4013"},{"id":130,"name":"Impact","value":""},{"id":150,"name":"Time of Event (Mountain Time)","value":"19:07:52"},{"id":151,"name":"Denver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4"/>
        <v>start /low /b %USERPROFILE%\Documents\GitHub\eaglep3\Utilities\DownloadLogsFromS3.py --loco 4013 --day 2017-04-10</v>
      </c>
      <c r="AN124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787</v>
      </c>
      <c r="B125" s="7">
        <v>4002</v>
      </c>
      <c r="C125" s="21" t="s">
        <v>215</v>
      </c>
      <c r="D125" s="21" t="s">
        <v>554</v>
      </c>
      <c r="E125" s="13">
        <v>42835.739236111112</v>
      </c>
      <c r="F125" s="13">
        <v>42835.740972222222</v>
      </c>
      <c r="G125" s="7">
        <v>1</v>
      </c>
      <c r="H125" s="21" t="s">
        <v>403</v>
      </c>
      <c r="I125" s="13">
        <v>42835.765555555554</v>
      </c>
      <c r="J125" s="7">
        <v>0</v>
      </c>
      <c r="K125" s="97" t="str">
        <f t="shared" si="28"/>
        <v>4001/4002</v>
      </c>
      <c r="L125" s="21" t="str">
        <f>VLOOKUP(A125,'Trips&amp;Operators'!$C$1:$G$99999,5,FALSE)</f>
        <v>SMITH MICHAEL</v>
      </c>
      <c r="M125" s="6">
        <f t="shared" si="29"/>
        <v>2.4583333331975155E-2</v>
      </c>
      <c r="N125" s="7">
        <f t="shared" si="47"/>
        <v>35.399999998044223</v>
      </c>
      <c r="O125" s="7"/>
      <c r="P125" s="7"/>
      <c r="Q125" s="22"/>
      <c r="R125" s="22"/>
      <c r="S125" s="31">
        <f t="shared" si="30"/>
        <v>1</v>
      </c>
      <c r="T125" s="46" t="str">
        <f t="shared" si="31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2"/>
        <v>https://d0f6bd738d7f1b3e5a7ca70fe4ff75f0.us-east-1.aws.found.io/app/kibana#/discover/Steve-Slow-Train-Analysis-(2080s-and-2083s)?_g=(refreshInterval:(display:Off,pause:!f,section:0,value:0),time:(from:'2017-04-10T16:44:30-0600',mode:absolute,to:'2017-04-10T19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183" t="str">
        <f t="shared" si="33"/>
        <v>N</v>
      </c>
      <c r="X125" s="183">
        <f t="shared" si="48"/>
        <v>1</v>
      </c>
      <c r="Y125" s="62">
        <f t="shared" si="49"/>
        <v>4.3799999999999999E-2</v>
      </c>
      <c r="Z125" s="62">
        <f t="shared" si="50"/>
        <v>23.329499999999999</v>
      </c>
      <c r="AA125" s="62">
        <f t="shared" si="37"/>
        <v>23.285699999999999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8"/>
        <v>0213-10</v>
      </c>
      <c r="AE125" s="85" t="str">
        <f t="shared" si="39"/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25" s="82" t="str">
        <f t="shared" si="40"/>
        <v>"C:\Program Files (x86)\AstroGrep\AstroGrep.exe" /e /r /s /spath="%USERPROFILE%\AppData\Local\Temp\OnboardLogs" /stypes="app*4002*20170411*" /stext=" 00:.+((SYSTEM_STATE.+slice.+state.+changed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213-10 --locoid 4002 --swversion DE.1.0.9.0 --startMP 204:438 --initTime 2017-04-10T17:44:30 --startdatetime 2017-04-10T17:47:00 --delay 1 --endMP 204:233295 --enddatetime 2017-04-10T18:22:24 --enforcementcount 0 &gt;&gt;C:\Users\stu\Documents\GitHub\eaglep3-reporting\EC\2017-04-10-refined-times.txt</v>
      </c>
      <c r="AI125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{"issue":{"subject":"","project_id":79,"tracker_id":40,"status_id":1,"priority_id":2,"assigned_to_id":23,"start_date":"2017-04-10","description":"","custom_fields":[{"id":1,"name":"Subdivision","value":"EC"},{"id":4,"name":"Milepost","value":"23.3295"},{"id":17,"name":"Train ID","value":"213-10"},{"id":16,"name":"Locomotive ID","value":"4002"},{"id":130,"name":"Impact","value":""},{"id":150,"name":"Time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4"/>
        <v>start /low /b %USERPROFILE%\Documents\GitHub\eaglep3\Utilities\DownloadLogsFromS3.py --loco 4002 --day 2017-04-10</v>
      </c>
      <c r="AN125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798</v>
      </c>
      <c r="B126" s="7">
        <v>4001</v>
      </c>
      <c r="C126" s="21" t="s">
        <v>215</v>
      </c>
      <c r="D126" s="21" t="s">
        <v>565</v>
      </c>
      <c r="E126" s="13">
        <v>42835.771562499998</v>
      </c>
      <c r="F126" s="13">
        <v>42835.778773148151</v>
      </c>
      <c r="G126" s="7">
        <v>1</v>
      </c>
      <c r="H126" s="21" t="s">
        <v>212</v>
      </c>
      <c r="I126" s="13">
        <v>42835.806620370371</v>
      </c>
      <c r="J126" s="7">
        <v>0</v>
      </c>
      <c r="K126" s="97" t="str">
        <f t="shared" si="28"/>
        <v>4001/4002</v>
      </c>
      <c r="L126" s="21" t="str">
        <f>VLOOKUP(A126,'Trips&amp;Operators'!$C$1:$G$99999,5,FALSE)</f>
        <v>SMITH MICHAEL</v>
      </c>
      <c r="M126" s="6">
        <f t="shared" si="29"/>
        <v>2.7847222219861578E-2</v>
      </c>
      <c r="N126" s="7">
        <f t="shared" si="47"/>
        <v>40.099999996600673</v>
      </c>
      <c r="O126" s="7"/>
      <c r="P126" s="7"/>
      <c r="Q126" s="22"/>
      <c r="R126" s="22"/>
      <c r="S126" s="31">
        <f t="shared" si="30"/>
        <v>1</v>
      </c>
      <c r="T126" s="46" t="str">
        <f t="shared" si="31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2"/>
        <v>https://d0f6bd738d7f1b3e5a7ca70fe4ff75f0.us-east-1.aws.found.io/app/kibana#/discover/Steve-Slow-Train-Analysis-(2080s-and-2083s)?_g=(refreshInterval:(display:Off,pause:!f,section:0,value:0),time:(from:'2017-04-10T17:31:03-0600',mode:absolute,to:'2017-04-10T20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183" t="str">
        <f t="shared" si="33"/>
        <v>N</v>
      </c>
      <c r="X126" s="183">
        <f t="shared" si="48"/>
        <v>1</v>
      </c>
      <c r="Y126" s="62">
        <f t="shared" si="49"/>
        <v>23.2972</v>
      </c>
      <c r="Z126" s="62">
        <f t="shared" si="50"/>
        <v>1.47E-2</v>
      </c>
      <c r="AA126" s="62">
        <f t="shared" si="37"/>
        <v>23.282499999999999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0214-10</v>
      </c>
      <c r="AE126" s="85" t="str">
        <f t="shared" si="39"/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26" s="82" t="str">
        <f t="shared" si="40"/>
        <v>"C:\Program Files (x86)\AstroGrep\AstroGrep.exe" /e /r /s /spath="%USERPROFILE%\AppData\Local\Temp\OnboardLogs" /stypes="app*4001*20170411*" /stext=" 01:.+((SYSTEM_STATE.+slice.+state.+changed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214-10 --locoid 4001 --swversion DE.1.0.9.0 --startMP 204:232972 --initTime 2017-04-10T18:31:03 --startdatetime 2017-04-10T18:41:26 --delay 1 --endMP 204:147 --enddatetime 2017-04-10T19:21:32 --enforcementcount 0 &gt;&gt;C:\Users\stu\Documents\GitHub\eaglep3-reporting\EC\2017-04-10-refined-times.txt</v>
      </c>
      <c r="AI126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{"issue":{"subject":"","project_id":79,"tracker_id":40,"status_id":1,"priority_id":2,"assigned_to_id":23,"start_date":"2017-04-10","description":"","custom_fields":[{"id":1,"name":"Subdivision","value":"EC"},{"id":4,"name":"Milepost","value":"0.0147"},{"id":17,"name":"Train ID","value":"214-10"},{"id":16,"name":"Locomotive ID","value":"4001"},{"id":130,"name":"Impact","value":""},{"id":150,"name":"Time of Event (Mountain Time)","value":"19:21:32"},{"id":151,"name":"Denver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4"/>
        <v>start /low /b %USERPROFILE%\Documents\GitHub\eaglep3\Utilities\DownloadLogsFromS3.py --loco 4001 --day 2017-04-10</v>
      </c>
      <c r="AN126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788</v>
      </c>
      <c r="B127" s="7">
        <v>4026</v>
      </c>
      <c r="C127" s="21" t="s">
        <v>215</v>
      </c>
      <c r="D127" s="21" t="s">
        <v>430</v>
      </c>
      <c r="E127" s="13">
        <v>42835.749293981484</v>
      </c>
      <c r="F127" s="13">
        <v>42835.75267361111</v>
      </c>
      <c r="G127" s="7">
        <v>3</v>
      </c>
      <c r="H127" s="21" t="s">
        <v>899</v>
      </c>
      <c r="I127" s="13">
        <v>42835.778217592589</v>
      </c>
      <c r="J127" s="7">
        <v>0</v>
      </c>
      <c r="K127" s="97" t="str">
        <f t="shared" si="28"/>
        <v>4025/4026</v>
      </c>
      <c r="L127" s="21" t="str">
        <f>VLOOKUP(A127,'Trips&amp;Operators'!$C$1:$G$99999,5,FALSE)</f>
        <v>BRANDNER MELINDA</v>
      </c>
      <c r="M127" s="6">
        <f t="shared" si="29"/>
        <v>2.5543981479131617E-2</v>
      </c>
      <c r="N127" s="7">
        <f t="shared" si="47"/>
        <v>36.783333329949528</v>
      </c>
      <c r="O127" s="7"/>
      <c r="P127" s="7"/>
      <c r="Q127" s="22"/>
      <c r="R127" s="22"/>
      <c r="S127" s="31">
        <f t="shared" si="30"/>
        <v>1</v>
      </c>
      <c r="T127" s="46" t="str">
        <f t="shared" si="31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2"/>
        <v>https://d0f6bd738d7f1b3e5a7ca70fe4ff75f0.us-east-1.aws.found.io/app/kibana#/discover/Steve-Slow-Train-Analysis-(2080s-and-2083s)?_g=(refreshInterval:(display:Off,pause:!f,section:0,value:0),time:(from:'2017-04-10T16:58:59-0600',mode:absolute,to:'2017-04-10T19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83" t="str">
        <f t="shared" si="33"/>
        <v>N</v>
      </c>
      <c r="X127" s="183">
        <f t="shared" si="48"/>
        <v>1</v>
      </c>
      <c r="Y127" s="62">
        <f t="shared" si="49"/>
        <v>4.58E-2</v>
      </c>
      <c r="Z127" s="62">
        <f t="shared" si="50"/>
        <v>23.331800000000001</v>
      </c>
      <c r="AA127" s="62">
        <f t="shared" si="37"/>
        <v>23.286000000000001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0215-10</v>
      </c>
      <c r="AE127" s="85" t="str">
        <f t="shared" si="39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127" s="82" t="str">
        <f t="shared" si="40"/>
        <v>"C:\Program Files (x86)\AstroGrep\AstroGrep.exe" /e /r /s /spath="%USERPROFILE%\AppData\Local\Temp\OnboardLogs" /stypes="app*4026*20170411*" /stext=" 00:.+((SYSTEM_STATE.+slice.+state.+changed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215-10 --locoid 4026 --swversion DE.1.0.9.0 --startMP 204:458 --initTime 2017-04-10T17:58:59 --startdatetime 2017-04-10T18:03:51 --delay 3 --endMP 204:233318 --enddatetime 2017-04-10T18:40:38 --enforcementcount 0 &gt;&gt;C:\Users\stu\Documents\GitHub\eaglep3-reporting\EC\2017-04-10-refined-times.txt</v>
      </c>
      <c r="AI127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{"issue":{"subject":"","project_id":79,"tracker_id":40,"status_id":1,"priority_id":2,"assigned_to_id":23,"start_date":"2017-04-10","description":"","custom_fields":[{"id":1,"name":"Subdivision","value":"EC"},{"id":4,"name":"Milepost","value":"23.3318"},{"id":17,"name":"Train ID","value":"215-10"},{"id":16,"name":"Locomotive ID","value":"4026"},{"id":130,"name":"Impact","value":""},{"id":150,"name":"Time of Event (Mountain Time)","value":"18:40:38"},{"id":151,"name":"Denver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4"/>
        <v>start /low /b %USERPROFILE%\Documents\GitHub\eaglep3\Utilities\DownloadLogsFromS3.py --loco 4026 --day 2017-04-10</v>
      </c>
      <c r="AN127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646</v>
      </c>
      <c r="B128" s="7">
        <v>4025</v>
      </c>
      <c r="C128" s="21" t="s">
        <v>215</v>
      </c>
      <c r="D128" s="21" t="s">
        <v>400</v>
      </c>
      <c r="E128" s="13">
        <v>42835.784143518518</v>
      </c>
      <c r="F128" s="13">
        <v>42835.789143518516</v>
      </c>
      <c r="G128" s="7">
        <v>1</v>
      </c>
      <c r="H128" s="21" t="s">
        <v>405</v>
      </c>
      <c r="I128" s="13">
        <v>42835.817141203705</v>
      </c>
      <c r="J128" s="7">
        <v>0</v>
      </c>
      <c r="K128" s="97" t="str">
        <f t="shared" si="28"/>
        <v>4025/4026</v>
      </c>
      <c r="L128" s="21" t="str">
        <f>VLOOKUP(A128,'Trips&amp;Operators'!$C$1:$G$99999,5,FALSE)</f>
        <v>BRANDNER MELINDA</v>
      </c>
      <c r="M128" s="6">
        <f t="shared" si="29"/>
        <v>2.7997685188893229E-2</v>
      </c>
      <c r="N128" s="7">
        <f t="shared" si="47"/>
        <v>40.316666672006249</v>
      </c>
      <c r="O128" s="7"/>
      <c r="P128" s="7"/>
      <c r="Q128" s="22"/>
      <c r="R128" s="22"/>
      <c r="S128" s="31">
        <f t="shared" si="30"/>
        <v>1</v>
      </c>
      <c r="T128" s="46" t="str">
        <f t="shared" si="31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2"/>
        <v>https://d0f6bd738d7f1b3e5a7ca70fe4ff75f0.us-east-1.aws.found.io/app/kibana#/discover/Steve-Slow-Train-Analysis-(2080s-and-2083s)?_g=(refreshInterval:(display:Off,pause:!f,section:0,value:0),time:(from:'2017-04-10T17:49:10-0600',mode:absolute,to:'2017-04-10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3" t="str">
        <f t="shared" si="33"/>
        <v>N</v>
      </c>
      <c r="X128" s="183">
        <f t="shared" si="48"/>
        <v>1</v>
      </c>
      <c r="Y128" s="62">
        <f t="shared" si="49"/>
        <v>23.297699999999999</v>
      </c>
      <c r="Z128" s="62">
        <f t="shared" si="50"/>
        <v>1.3899999999999999E-2</v>
      </c>
      <c r="AA128" s="62">
        <f t="shared" si="37"/>
        <v>23.283799999999999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8"/>
        <v>0216-10</v>
      </c>
      <c r="AE128" s="85" t="str">
        <f t="shared" si="39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28" s="82" t="str">
        <f t="shared" si="40"/>
        <v>"C:\Program Files (x86)\AstroGrep\AstroGrep.exe" /e /r /s /spath="%USERPROFILE%\AppData\Local\Temp\OnboardLogs" /stypes="app*4025*20170411*" /stext=" 01:.+((SYSTEM_STATE.+slice.+state.+changed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216-10 --locoid 4025 --swversion DE.1.0.9.0 --startMP 204:232977 --initTime 2017-04-10T18:49:10 --startdatetime 2017-04-10T18:56:22 --delay 1 --endMP 204:139 --enddatetime 2017-04-10T19:36:41 --enforcementcount 0 &gt;&gt;C:\Users\stu\Documents\GitHub\eaglep3-reporting\EC\2017-04-10-refined-times.txt</v>
      </c>
      <c r="AI128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{"issue":{"subject":"","project_id":79,"tracker_id":40,"status_id":1,"priority_id":2,"assigned_to_id":23,"start_date":"2017-04-10","description":"","custom_fields":[{"id":1,"name":"Subdivision","value":"EC"},{"id":4,"name":"Milepost","value":"0.0139"},{"id":17,"name":"Train ID","value":"216-10"},{"id":16,"name":"Locomotive ID","value":"4025"},{"id":130,"name":"Impact","value":""},{"id":150,"name":"Time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4"/>
        <v>start /low /b %USERPROFILE%\Documents\GitHub\eaglep3\Utilities\DownloadLogsFromS3.py --loco 4025 --day 2017-04-10</v>
      </c>
      <c r="AN128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645</v>
      </c>
      <c r="B129" s="7">
        <v>4006</v>
      </c>
      <c r="C129" s="21" t="s">
        <v>215</v>
      </c>
      <c r="D129" s="21" t="s">
        <v>209</v>
      </c>
      <c r="E129" s="13">
        <v>42835.759004629632</v>
      </c>
      <c r="F129" s="13">
        <v>42835.760914351849</v>
      </c>
      <c r="G129" s="7">
        <v>1</v>
      </c>
      <c r="H129" s="21" t="s">
        <v>900</v>
      </c>
      <c r="I129" s="13">
        <v>42835.786550925928</v>
      </c>
      <c r="J129" s="7">
        <v>0</v>
      </c>
      <c r="K129" s="97" t="str">
        <f t="shared" si="28"/>
        <v>4005/4006</v>
      </c>
      <c r="L129" s="21" t="str">
        <f>VLOOKUP(A129,'Trips&amp;Operators'!$C$1:$G$99999,5,FALSE)</f>
        <v>STAMBAUGH JAMES</v>
      </c>
      <c r="M129" s="6">
        <f t="shared" si="29"/>
        <v>2.5636574078816921E-2</v>
      </c>
      <c r="N129" s="7">
        <f t="shared" si="47"/>
        <v>36.916666673496366</v>
      </c>
      <c r="O129" s="7"/>
      <c r="P129" s="7"/>
      <c r="Q129" s="22"/>
      <c r="R129" s="22"/>
      <c r="S129" s="31">
        <f t="shared" si="30"/>
        <v>1</v>
      </c>
      <c r="T129" s="46" t="str">
        <f t="shared" si="31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2"/>
        <v>https://d0f6bd738d7f1b3e5a7ca70fe4ff75f0.us-east-1.aws.found.io/app/kibana#/discover/Steve-Slow-Train-Analysis-(2080s-and-2083s)?_g=(refreshInterval:(display:Off,pause:!f,section:0,value:0),time:(from:'2017-04-10T17:12:58-0600',mode:absolute,to:'2017-04-10T19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9" s="183" t="str">
        <f t="shared" si="33"/>
        <v>N</v>
      </c>
      <c r="X129" s="183">
        <f t="shared" si="48"/>
        <v>1</v>
      </c>
      <c r="Y129" s="62">
        <f t="shared" si="49"/>
        <v>4.53E-2</v>
      </c>
      <c r="Z129" s="62">
        <f t="shared" si="50"/>
        <v>23.337399999999999</v>
      </c>
      <c r="AA129" s="62">
        <f t="shared" si="37"/>
        <v>23.292099999999998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8"/>
        <v>0217-10</v>
      </c>
      <c r="AE129" s="85" t="str">
        <f t="shared" si="39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29" s="82" t="str">
        <f t="shared" si="40"/>
        <v>"C:\Program Files (x86)\AstroGrep\AstroGrep.exe" /e /r /s /spath="%USERPROFILE%\AppData\Local\Temp\OnboardLogs" /stypes="app*4006*20170411*" /stext=" 00:.+((SYSTEM_STATE.+slice.+state.+changed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217-10 --locoid 4006 --swversion DE.1.0.9.0 --startMP 204:453 --initTime 2017-04-10T18:12:58 --startdatetime 2017-04-10T18:15:43 --delay 1 --endMP 204:233374 --enddatetime 2017-04-10T18:52:38 --enforcementcount 0 &gt;&gt;C:\Users\stu\Documents\GitHub\eaglep3-reporting\EC\2017-04-10-refined-times.txt</v>
      </c>
      <c r="AI129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{"issue":{"subject":"","project_id":79,"tracker_id":40,"status_id":1,"priority_id":2,"assigned_to_id":23,"start_date":"2017-04-10","description":"","custom_fields":[{"id":1,"name":"Subdivision","value":"EC"},{"id":4,"name":"Milepost","value":"23.3374"},{"id":17,"name":"Train ID","value":"217-10"},{"id":16,"name":"Locomotive ID","value":"4006"},{"id":130,"name":"Impact","value":""},{"id":150,"name":"Time of Event (Mountain Time)","value":"18:52:38"},{"id":151,"name":"Denver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4"/>
        <v>start /low /b %USERPROFILE%\Documents\GitHub\eaglep3\Utilities\DownloadLogsFromS3.py --loco 4006 --day 2017-04-10</v>
      </c>
      <c r="AN129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647</v>
      </c>
      <c r="B130" s="7">
        <v>4005</v>
      </c>
      <c r="C130" s="21" t="s">
        <v>215</v>
      </c>
      <c r="D130" s="21" t="s">
        <v>901</v>
      </c>
      <c r="E130" s="13">
        <v>42835.796342592592</v>
      </c>
      <c r="F130" s="13">
        <v>42835.79959490741</v>
      </c>
      <c r="G130" s="7">
        <v>1</v>
      </c>
      <c r="H130" s="21" t="s">
        <v>197</v>
      </c>
      <c r="I130" s="13">
        <v>42835.8281712963</v>
      </c>
      <c r="J130" s="7">
        <v>0</v>
      </c>
      <c r="K130" s="97" t="str">
        <f t="shared" si="28"/>
        <v>4005/4006</v>
      </c>
      <c r="L130" s="21" t="str">
        <f>VLOOKUP(A130,'Trips&amp;Operators'!$C$1:$G$99999,5,FALSE)</f>
        <v>SULLIVAN BRANDON</v>
      </c>
      <c r="M130" s="6">
        <f t="shared" si="29"/>
        <v>2.8576388889632653E-2</v>
      </c>
      <c r="N130" s="7">
        <f t="shared" si="47"/>
        <v>41.150000001071021</v>
      </c>
      <c r="O130" s="7"/>
      <c r="P130" s="7"/>
      <c r="Q130" s="22"/>
      <c r="R130" s="22"/>
      <c r="S130" s="31">
        <f t="shared" si="30"/>
        <v>1</v>
      </c>
      <c r="T130" s="46" t="str">
        <f t="shared" si="31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2"/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0" s="183" t="str">
        <f t="shared" si="33"/>
        <v>N</v>
      </c>
      <c r="X130" s="183">
        <f t="shared" si="48"/>
        <v>1</v>
      </c>
      <c r="Y130" s="62">
        <f t="shared" si="49"/>
        <v>23.305499999999999</v>
      </c>
      <c r="Z130" s="62">
        <f t="shared" si="50"/>
        <v>1.52E-2</v>
      </c>
      <c r="AA130" s="62">
        <f t="shared" si="37"/>
        <v>23.290299999999998</v>
      </c>
      <c r="AB130" s="59" t="str">
        <f>VLOOKUP(A130,Enforcements!$C$7:$K$13,8,0)</f>
        <v>Bulletin (2)</v>
      </c>
      <c r="AC130" s="55" t="str">
        <f>VLOOKUP(A130,Enforcements!$C$7:$E$13,3,0)</f>
        <v>GRADE CROSSING</v>
      </c>
      <c r="AD130" s="56" t="str">
        <f t="shared" si="38"/>
        <v>0218-10</v>
      </c>
      <c r="AE130" s="85" t="str">
        <f t="shared" si="39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30" s="82" t="str">
        <f t="shared" si="40"/>
        <v>"C:\Program Files (x86)\AstroGrep\AstroGrep.exe" /e /r /s /spath="%USERPROFILE%\AppData\Local\Temp\OnboardLogs" /stypes="app*4005*20170411*" /stext=" 01:.+((SYSTEM_STATE.+slice.+state.+changed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218-10 --locoid 4005 --swversion DE.1.0.9.0 --startMP 204:233055 --initTime 2017-04-10T19:06:44 --startdatetime 2017-04-10T19:11:25 --delay 1 --endMP 204:152 --enddatetime 2017-04-10T19:52:34 --enforcementcount 0 &gt;&gt;C:\Users\stu\Documents\GitHub\eaglep3-reporting\EC\2017-04-10-refined-times.txt</v>
      </c>
      <c r="AI130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ID","value":"218-10"},{"id":16,"name":"Locomotive ID","value":"4005"},{"id":130,"name":"Impact","value":""},{"id":150,"name":"Time of Event (Mountain Time)","value":"19:52:34"},{"id":151,"name":"Denver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4"/>
        <v>start /low /b %USERPROFILE%\Documents\GitHub\eaglep3\Utilities\DownloadLogsFromS3.py --loco 4005 --day 2017-04-10</v>
      </c>
      <c r="AN130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795</v>
      </c>
      <c r="B131" s="7">
        <v>4020</v>
      </c>
      <c r="C131" s="21" t="s">
        <v>215</v>
      </c>
      <c r="D131" s="21" t="s">
        <v>902</v>
      </c>
      <c r="E131" s="13">
        <v>42835.769687499997</v>
      </c>
      <c r="F131" s="13">
        <v>42835.772407407407</v>
      </c>
      <c r="G131" s="7">
        <v>2</v>
      </c>
      <c r="H131" s="21" t="s">
        <v>867</v>
      </c>
      <c r="I131" s="13">
        <v>42835.797118055554</v>
      </c>
      <c r="J131" s="7">
        <v>0</v>
      </c>
      <c r="K131" s="97" t="str">
        <f t="shared" si="28"/>
        <v>4019/4020</v>
      </c>
      <c r="L131" s="21" t="str">
        <f>VLOOKUP(A131,'Trips&amp;Operators'!$C$1:$G$99999,5,FALSE)</f>
        <v>FORTUNATO FRANK</v>
      </c>
      <c r="M131" s="6">
        <f t="shared" si="29"/>
        <v>2.47106481474475E-2</v>
      </c>
      <c r="N131" s="7">
        <f t="shared" si="47"/>
        <v>35.583333332324401</v>
      </c>
      <c r="O131" s="7"/>
      <c r="P131" s="7"/>
      <c r="Q131" s="22"/>
      <c r="R131" s="22"/>
      <c r="S131" s="31">
        <f t="shared" si="30"/>
        <v>1</v>
      </c>
      <c r="T131" s="46" t="str">
        <f t="shared" si="31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2"/>
        <v>https://d0f6bd738d7f1b3e5a7ca70fe4ff75f0.us-east-1.aws.found.io/app/kibana#/discover/Steve-Slow-Train-Analysis-(2080s-and-2083s)?_g=(refreshInterval:(display:Off,pause:!f,section:0,value:0),time:(from:'2017-04-10T17:28:21-0600',mode:absolute,to:'2017-04-10T20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1" s="183" t="str">
        <f t="shared" si="33"/>
        <v>N</v>
      </c>
      <c r="X131" s="183">
        <f t="shared" si="48"/>
        <v>1</v>
      </c>
      <c r="Y131" s="62">
        <f t="shared" si="49"/>
        <v>5.11E-2</v>
      </c>
      <c r="Z131" s="62">
        <f t="shared" si="50"/>
        <v>23.329899999999999</v>
      </c>
      <c r="AA131" s="62">
        <f t="shared" si="37"/>
        <v>23.278799999999997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8"/>
        <v>0219-10</v>
      </c>
      <c r="AE131" s="85" t="str">
        <f t="shared" si="39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31" s="82" t="str">
        <f t="shared" si="40"/>
        <v>"C:\Program Files (x86)\AstroGrep\AstroGrep.exe" /e /r /s /spath="%USERPROFILE%\AppData\Local\Temp\OnboardLogs" /stypes="app*4020*20170411*" /stext=" 01:.+((SYSTEM_STATE.+slice.+state.+changed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219-10 --locoid 4020 --swversion DE.1.0.9.0 --startMP 204:511 --initTime 2017-04-10T18:28:21 --startdatetime 2017-04-10T18:32:16 --delay 2 --endMP 204:233299 --enddatetime 2017-04-10T19:07:51 --enforcementcount 0 &gt;&gt;C:\Users\stu\Documents\GitHub\eaglep3-reporting\EC\2017-04-10-refined-times.txt</v>
      </c>
      <c r="AI131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{"issue":{"subject":"","project_id":79,"tracker_id":40,"status_id":1,"priority_id":2,"assigned_to_id":23,"start_date":"2017-04-10","description":"","custom_fields":[{"id":1,"name":"Subdivision","value":"EC"},{"id":4,"name":"Milepost","value":"23.3299"},{"id":17,"name":"Train ID","value":"219-10"},{"id":16,"name":"Locomotive ID","value":"4020"},{"id":130,"name":"Impact","value":""},{"id":150,"name":"Time of Event (Mountain Time)","value":"19:07:51"},{"id":151,"name":"Denver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4"/>
        <v>start /low /b %USERPROFILE%\Documents\GitHub\eaglep3\Utilities\DownloadLogsFromS3.py --loco 4020 --day 2017-04-10</v>
      </c>
      <c r="AN131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649</v>
      </c>
      <c r="B132" s="7">
        <v>4019</v>
      </c>
      <c r="C132" s="21" t="s">
        <v>215</v>
      </c>
      <c r="D132" s="21" t="s">
        <v>577</v>
      </c>
      <c r="E132" s="13">
        <v>42835.802731481483</v>
      </c>
      <c r="F132" s="13">
        <v>42835.810011574074</v>
      </c>
      <c r="G132" s="7">
        <v>1</v>
      </c>
      <c r="H132" s="21" t="s">
        <v>198</v>
      </c>
      <c r="I132" s="13">
        <v>42835.83934027778</v>
      </c>
      <c r="J132" s="7">
        <v>0</v>
      </c>
      <c r="K132" s="97" t="str">
        <f t="shared" si="28"/>
        <v>4019/4020</v>
      </c>
      <c r="L132" s="21" t="str">
        <f>VLOOKUP(A132,'Trips&amp;Operators'!$C$1:$G$99999,5,FALSE)</f>
        <v>FORTUNATO FRANK</v>
      </c>
      <c r="M132" s="6">
        <f t="shared" si="29"/>
        <v>2.9328703705687076E-2</v>
      </c>
      <c r="N132" s="7">
        <f t="shared" si="47"/>
        <v>42.233333336189389</v>
      </c>
      <c r="O132" s="7"/>
      <c r="P132" s="7"/>
      <c r="Q132" s="22"/>
      <c r="R132" s="22"/>
      <c r="S132" s="31">
        <f t="shared" si="30"/>
        <v>1</v>
      </c>
      <c r="T132" s="46" t="str">
        <f t="shared" si="31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2"/>
        <v>https://d0f6bd738d7f1b3e5a7ca70fe4ff75f0.us-east-1.aws.found.io/app/kibana#/discover/Steve-Slow-Train-Analysis-(2080s-and-2083s)?_g=(refreshInterval:(display:Off,pause:!f,section:0,value:0),time:(from:'2017-04-10T18:15:56-0600',mode:absolute,to:'2017-04-10T21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2" s="183" t="str">
        <f t="shared" si="33"/>
        <v>N</v>
      </c>
      <c r="X132" s="183">
        <f t="shared" ref="X132:X139" si="51">VALUE(LEFT(AD132,4))-VALUE(LEFT(AD131,4))</f>
        <v>1</v>
      </c>
      <c r="Y132" s="62">
        <f t="shared" si="49"/>
        <v>23.3</v>
      </c>
      <c r="Z132" s="62">
        <f t="shared" si="50"/>
        <v>1.5800000000000002E-2</v>
      </c>
      <c r="AA132" s="62">
        <f t="shared" si="37"/>
        <v>23.284200000000002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8"/>
        <v>0220-10</v>
      </c>
      <c r="AE132" s="85" t="str">
        <f t="shared" si="39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32" s="82" t="str">
        <f t="shared" si="40"/>
        <v>"C:\Program Files (x86)\AstroGrep\AstroGrep.exe" /e /r /s /spath="%USERPROFILE%\AppData\Local\Temp\OnboardLogs" /stypes="app*4019*20170411*" /stext=" 02:.+((SYSTEM_STATE.+slice.+state.+changed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220-10 --locoid 4019 --swversion DE.1.0.9.0 --startMP 204:233000 --initTime 2017-04-10T19:15:56 --startdatetime 2017-04-10T19:26:25 --delay 1 --endMP 204:158 --enddatetime 2017-04-10T20:08:39 --enforcementcount 0 &gt;&gt;C:\Users\stu\Documents\GitHub\eaglep3-reporting\EC\2017-04-10-refined-times.txt</v>
      </c>
      <c r="AI132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{"issue":{"subject":"","project_id":79,"tracker_id":40,"status_id":1,"priority_id":2,"assigned_to_id":23,"start_date":"2017-04-10","description":"","custom_fields":[{"id":1,"name":"Subdivision","value":"EC"},{"id":4,"name":"Milepost","value":"0.0158"},{"id":17,"name":"Train ID","value":"220-10"},{"id":16,"name":"Locomotive ID","value":"4019"},{"id":130,"name":"Impact","value":""},{"id":150,"name":"Time of Event (Mountain Time)","value":"20:08:39"},{"id":151,"name":"Denver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4"/>
        <v>start /low /b %USERPROFILE%\Documents\GitHub\eaglep3\Utilities\DownloadLogsFromS3.py --loco 4019 --day 2017-04-10</v>
      </c>
      <c r="AN132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802</v>
      </c>
      <c r="B133" s="7">
        <v>4042</v>
      </c>
      <c r="C133" s="21" t="s">
        <v>215</v>
      </c>
      <c r="D133" s="21" t="s">
        <v>577</v>
      </c>
      <c r="E133" s="13">
        <v>42835.802731481483</v>
      </c>
      <c r="F133" s="13">
        <v>42835.791944444441</v>
      </c>
      <c r="G133" s="7">
        <v>1</v>
      </c>
      <c r="H133" s="21" t="s">
        <v>198</v>
      </c>
      <c r="I133" s="13">
        <v>42835.793055555558</v>
      </c>
      <c r="J133" s="7">
        <v>0</v>
      </c>
      <c r="K133" s="97" t="str">
        <f t="shared" si="28"/>
        <v>4041/4042</v>
      </c>
      <c r="L133" s="21" t="str">
        <f>VLOOKUP(A133,'Trips&amp;Operators'!$C$1:$G$99999,5,FALSE)</f>
        <v>CHANDLER KELVIN</v>
      </c>
      <c r="M133" s="6">
        <f t="shared" si="29"/>
        <v>1.1111111161881126E-3</v>
      </c>
      <c r="N133" s="7"/>
      <c r="O133" s="7"/>
      <c r="P133" s="7">
        <f>24*60*SUM($M133:$M133)</f>
        <v>1.6000000073108822</v>
      </c>
      <c r="Q133" s="22"/>
      <c r="R133" s="22" t="s">
        <v>474</v>
      </c>
      <c r="S133" s="31">
        <f t="shared" si="30"/>
        <v>0</v>
      </c>
      <c r="T133" s="46" t="str">
        <f t="shared" si="31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182" t="str">
        <f t="shared" si="32"/>
        <v>https://d0f6bd738d7f1b3e5a7ca70fe4ff75f0.us-east-1.aws.found.io/app/kibana#/discover/Steve-Slow-Train-Analysis-(2080s-and-2083s)?_g=(refreshInterval:(display:Off,pause:!f,section:0,value:0),time:(from:'2017-04-10T18:15:56-0600',mode:absolute,to:'2017-04-10T20:02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83" t="str">
        <f t="shared" si="33"/>
        <v>N</v>
      </c>
      <c r="X133" s="183">
        <f t="shared" si="51"/>
        <v>1</v>
      </c>
      <c r="Y133" s="62">
        <f t="shared" si="49"/>
        <v>23.3</v>
      </c>
      <c r="Z133" s="62">
        <f t="shared" si="50"/>
        <v>1.5800000000000002E-2</v>
      </c>
      <c r="AA133" s="62">
        <f t="shared" si="37"/>
        <v>23.284200000000002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8"/>
        <v>0221-10</v>
      </c>
      <c r="AE133" s="85" t="str">
        <f t="shared" si="39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33" s="82" t="str">
        <f t="shared" si="40"/>
        <v>"C:\Program Files (x86)\AstroGrep\AstroGrep.exe" /e /r /s /spath="%USERPROFILE%\AppData\Local\Temp\OnboardLogs" /stypes="app*4042*20170411*" /stext=" 01:.+((SYSTEM_STATE.+slice.+state.+changed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ref="AH133" si="52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221-10 --locoid 4042 --swversion DE.1.0.9.0 --startMP 204:233000 --initTime 2017-04-10T19:15:56 --startdatetime 2017-04-10T19:00:24 --delay 1 --endMP 204:158 --enddatetime 2017-04-10T19:02:00 --enforcementcount 0 &gt;&gt;C:\Users\stu\Documents\GitHub\eaglep3-reporting\EC\2017-04-10-refined-times.txt</v>
      </c>
      <c r="AI133" s="104" t="str">
        <f t="shared" ref="AI133" si="53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failure","project_id":79,"tracker_id":40,"status_id":1,"priority_id":2,"assigned_to_id":23,"start_date":"2017-04-10","description":"","custom_fields":[{"id":1,"name":"Subdivision","value":"EC"},{"id":4,"name":"Milepost","value":"0.0158"},{"id":17,"name":"Train ID","value":"221-10"},{"id":16,"name":"Locomotive ID","value":"4042"},{"id":130,"name":"Impact","value":""},{"id":150,"name":"Time of Event (Mountain Time)","value":"19:02:00"},{"id":151,"name":"Denver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ref="AM133" si="54">"start /low /b "&amp;dls3logs&amp;" --loco "&amp;B133&amp;" --day "&amp;TEXT(F133,"YYYY-MM-DD")</f>
        <v>start /low /b %USERPROFILE%\Documents\GitHub\eaglep3\Utilities\DownloadLogsFromS3.py --loco 4042 --day 2017-04-10</v>
      </c>
      <c r="AN133" s="159" t="str">
        <f t="shared" ref="AN133" si="55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4" spans="1:91" s="20" customFormat="1" x14ac:dyDescent="0.25">
      <c r="A134" s="33" t="s">
        <v>808</v>
      </c>
      <c r="B134" s="7">
        <v>4041</v>
      </c>
      <c r="C134" s="21" t="s">
        <v>215</v>
      </c>
      <c r="D134" s="21" t="s">
        <v>431</v>
      </c>
      <c r="E134" s="13">
        <v>42835.827453703707</v>
      </c>
      <c r="F134" s="13">
        <v>42835.83121527778</v>
      </c>
      <c r="G134" s="7">
        <v>1</v>
      </c>
      <c r="H134" s="21" t="s">
        <v>580</v>
      </c>
      <c r="I134" s="13">
        <v>42835.8594212963</v>
      </c>
      <c r="J134" s="7">
        <v>0</v>
      </c>
      <c r="K134" s="97" t="str">
        <f t="shared" si="28"/>
        <v>4041/4042</v>
      </c>
      <c r="L134" s="21" t="str">
        <f>VLOOKUP(A134,'Trips&amp;Operators'!$C$1:$G$99999,5,FALSE)</f>
        <v>CHANDLER KELVIN</v>
      </c>
      <c r="M134" s="6">
        <f t="shared" si="29"/>
        <v>2.8206018519995268E-2</v>
      </c>
      <c r="N134" s="7">
        <f t="shared" ref="N134:N165" si="56">24*60*SUM($M134:$M134)</f>
        <v>40.616666668793187</v>
      </c>
      <c r="O134" s="7"/>
      <c r="P134" s="7"/>
      <c r="Q134" s="22"/>
      <c r="R134" s="22"/>
      <c r="S134" s="31">
        <f t="shared" si="30"/>
        <v>1</v>
      </c>
      <c r="T134" s="46" t="str">
        <f t="shared" si="31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2"/>
        <v>https://d0f6bd738d7f1b3e5a7ca70fe4ff75f0.us-east-1.aws.found.io/app/kibana#/discover/Steve-Slow-Train-Analysis-(2080s-and-2083s)?_g=(refreshInterval:(display:Off,pause:!f,section:0,value:0),time:(from:'2017-04-10T18:51:32-0600',mode:absolute,to:'2017-04-10T21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83" t="str">
        <f t="shared" si="33"/>
        <v>N</v>
      </c>
      <c r="X134" s="183">
        <f t="shared" si="51"/>
        <v>1</v>
      </c>
      <c r="Y134" s="62">
        <f t="shared" si="49"/>
        <v>23.298500000000001</v>
      </c>
      <c r="Z134" s="62">
        <f t="shared" si="50"/>
        <v>1.7000000000000001E-2</v>
      </c>
      <c r="AA134" s="62">
        <f t="shared" si="37"/>
        <v>23.281500000000001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0222-10</v>
      </c>
      <c r="AE134" s="85" t="str">
        <f t="shared" si="39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34" s="82" t="str">
        <f t="shared" si="40"/>
        <v>"C:\Program Files (x86)\AstroGrep\AstroGrep.exe" /e /r /s /spath="%USERPROFILE%\AppData\Local\Temp\OnboardLogs" /stypes="app*4041*20170411*" /stext=" 02:.+((SYSTEM_STATE.+slice.+state.+changed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222-10 --locoid 4041 --swversion DE.1.0.9.0 --startMP 204:232985 --initTime 2017-04-10T19:51:32 --startdatetime 2017-04-10T19:56:57 --delay 1 --endMP 204:170 --enddatetime 2017-04-10T20:37:34 --enforcementcount 0 &gt;&gt;C:\Users\stu\Documents\GitHub\eaglep3-reporting\EC\2017-04-10-refined-times.txt</v>
      </c>
      <c r="AI134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{"issue":{"subject":"","project_id":79,"tracker_id":40,"status_id":1,"priority_id":2,"assigned_to_id":23,"start_date":"2017-04-10","description":"","custom_fields":[{"id":1,"name":"Subdivision","value":"EC"},{"id":4,"name":"Milepost","value":"0.017"},{"id":17,"name":"Train ID","value":"222-10"},{"id":16,"name":"Locomotive ID","value":"4041"},{"id":130,"name":"Impact","value":""},{"id":150,"name":"Time of Event (Mountain Time)","value":"20:37:34"},{"id":151,"name":"Denver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4"/>
        <v>start /low /b %USERPROFILE%\Documents\GitHub\eaglep3\Utilities\DownloadLogsFromS3.py --loco 4041 --day 2017-04-10</v>
      </c>
      <c r="AN134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806</v>
      </c>
      <c r="B135" s="7">
        <v>4002</v>
      </c>
      <c r="C135" s="21" t="s">
        <v>215</v>
      </c>
      <c r="D135" s="21" t="s">
        <v>430</v>
      </c>
      <c r="E135" s="13">
        <v>42835.808391203704</v>
      </c>
      <c r="F135" s="13">
        <v>42835.812685185185</v>
      </c>
      <c r="G135" s="7">
        <v>1</v>
      </c>
      <c r="H135" s="21" t="s">
        <v>403</v>
      </c>
      <c r="I135" s="13">
        <v>42835.837569444448</v>
      </c>
      <c r="J135" s="7">
        <v>0</v>
      </c>
      <c r="K135" s="97" t="str">
        <f t="shared" si="28"/>
        <v>4001/4002</v>
      </c>
      <c r="L135" s="21" t="str">
        <f>VLOOKUP(A135,'Trips&amp;Operators'!$C$1:$G$99999,5,FALSE)</f>
        <v>SMITH MICHAEL</v>
      </c>
      <c r="M135" s="6">
        <f t="shared" si="29"/>
        <v>2.4884259262762498E-2</v>
      </c>
      <c r="N135" s="7">
        <f t="shared" si="56"/>
        <v>35.833333338377997</v>
      </c>
      <c r="O135" s="7"/>
      <c r="P135" s="7"/>
      <c r="Q135" s="22"/>
      <c r="R135" s="22"/>
      <c r="S135" s="31">
        <f t="shared" si="30"/>
        <v>1</v>
      </c>
      <c r="T135" s="46" t="str">
        <f t="shared" si="31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2"/>
        <v>https://d0f6bd738d7f1b3e5a7ca70fe4ff75f0.us-east-1.aws.found.io/app/kibana#/discover/Steve-Slow-Train-Analysis-(2080s-and-2083s)?_g=(refreshInterval:(display:Off,pause:!f,section:0,value:0),time:(from:'2017-04-10T18:24:05-0600',mode:absolute,to:'2017-04-10T21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83" t="str">
        <f t="shared" si="33"/>
        <v>N</v>
      </c>
      <c r="X135" s="183">
        <f t="shared" si="51"/>
        <v>1</v>
      </c>
      <c r="Y135" s="62">
        <f t="shared" si="49"/>
        <v>4.58E-2</v>
      </c>
      <c r="Z135" s="62">
        <f t="shared" si="50"/>
        <v>23.329499999999999</v>
      </c>
      <c r="AA135" s="62">
        <f t="shared" si="37"/>
        <v>23.2837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8"/>
        <v>0223-10</v>
      </c>
      <c r="AE135" s="85" t="str">
        <f t="shared" si="39"/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35" s="82" t="str">
        <f t="shared" si="40"/>
        <v>"C:\Program Files (x86)\AstroGrep\AstroGrep.exe" /e /r /s /spath="%USERPROFILE%\AppData\Local\Temp\OnboardLogs" /stypes="app*4002*20170411*" /stext=" 02:.+((SYSTEM_STATE.+slice.+state.+changed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223-10 --locoid 4002 --swversion DE.1.0.9.0 --startMP 204:458 --initTime 2017-04-10T19:24:05 --startdatetime 2017-04-10T19:30:16 --delay 1 --endMP 204:233295 --enddatetime 2017-04-10T20:06:06 --enforcementcount 0 &gt;&gt;C:\Users\stu\Documents\GitHub\eaglep3-reporting\EC\2017-04-10-refined-times.txt</v>
      </c>
      <c r="AI135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{"issue":{"subject":"","project_id":79,"tracker_id":40,"status_id":1,"priority_id":2,"assigned_to_id":23,"start_date":"2017-04-10","description":"","custom_fields":[{"id":1,"name":"Subdivision","value":"EC"},{"id":4,"name":"Milepost","value":"23.3295"},{"id":17,"name":"Train ID","value":"223-10"},{"id":16,"name":"Locomotive ID","value":"4002"},{"id":130,"name":"Impact","value":""},{"id":150,"name":"Time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4"/>
        <v>start /low /b %USERPROFILE%\Documents\GitHub\eaglep3\Utilities\DownloadLogsFromS3.py --loco 4002 --day 2017-04-10</v>
      </c>
      <c r="AN135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810</v>
      </c>
      <c r="B136" s="7">
        <v>4001</v>
      </c>
      <c r="C136" s="21" t="s">
        <v>215</v>
      </c>
      <c r="D136" s="21" t="s">
        <v>441</v>
      </c>
      <c r="E136" s="13">
        <v>42835.839999999997</v>
      </c>
      <c r="F136" s="13">
        <v>42835.851666666669</v>
      </c>
      <c r="G136" s="7">
        <v>1</v>
      </c>
      <c r="H136" s="21" t="s">
        <v>197</v>
      </c>
      <c r="I136" s="13">
        <v>42835.880243055559</v>
      </c>
      <c r="J136" s="7">
        <v>0</v>
      </c>
      <c r="K136" s="97" t="str">
        <f t="shared" si="28"/>
        <v>4001/4002</v>
      </c>
      <c r="L136" s="21" t="str">
        <f>VLOOKUP(A136,'Trips&amp;Operators'!$C$1:$G$99999,5,FALSE)</f>
        <v>SMITH MICHAEL</v>
      </c>
      <c r="M136" s="6">
        <f t="shared" si="29"/>
        <v>2.8576388889632653E-2</v>
      </c>
      <c r="N136" s="7">
        <f t="shared" si="56"/>
        <v>41.150000001071021</v>
      </c>
      <c r="O136" s="7"/>
      <c r="P136" s="7"/>
      <c r="Q136" s="22"/>
      <c r="R136" s="22"/>
      <c r="S136" s="31">
        <f t="shared" si="30"/>
        <v>1</v>
      </c>
      <c r="T136" s="46" t="str">
        <f t="shared" si="31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2"/>
        <v>https://d0f6bd738d7f1b3e5a7ca70fe4ff75f0.us-east-1.aws.found.io/app/kibana#/discover/Steve-Slow-Train-Analysis-(2080s-and-2083s)?_g=(refreshInterval:(display:Off,pause:!f,section:0,value:0),time:(from:'2017-04-10T19:09:36-0600',mode:absolute,to:'2017-04-10T22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83" t="str">
        <f t="shared" si="33"/>
        <v>N</v>
      </c>
      <c r="X136" s="183">
        <f t="shared" si="51"/>
        <v>1</v>
      </c>
      <c r="Y136" s="62">
        <f t="shared" si="49"/>
        <v>23.2971</v>
      </c>
      <c r="Z136" s="62">
        <f t="shared" si="50"/>
        <v>1.52E-2</v>
      </c>
      <c r="AA136" s="62">
        <f t="shared" si="37"/>
        <v>23.2819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0224-10</v>
      </c>
      <c r="AE136" s="85" t="str">
        <f t="shared" si="39"/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36" s="82" t="str">
        <f t="shared" si="40"/>
        <v>"C:\Program Files (x86)\AstroGrep\AstroGrep.exe" /e /r /s /spath="%USERPROFILE%\AppData\Local\Temp\OnboardLogs" /stypes="app*4001*20170411*" /stext=" 03:.+((SYSTEM_STATE.+slice.+state.+changed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224-10 --locoid 4001 --swversion DE.1.0.9.0 --startMP 204:232971 --initTime 2017-04-10T20:09:36 --startdatetime 2017-04-10T20:26:24 --delay 1 --endMP 204:152 --enddatetime 2017-04-10T21:07:33 --enforcementcount 0 &gt;&gt;C:\Users\stu\Documents\GitHub\eaglep3-reporting\EC\2017-04-10-refined-times.txt</v>
      </c>
      <c r="AI136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ID","value":"224-10"},{"id":16,"name":"Locomotive ID","value":"4001"},{"id":130,"name":"Impact","value":""},{"id":150,"name":"Time of Event (Mountain Time)","value":"21:07:33"},{"id":151,"name":"Denver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4"/>
        <v>start /low /b %USERPROFILE%\Documents\GitHub\eaglep3\Utilities\DownloadLogsFromS3.py --loco 4001 --day 2017-04-10</v>
      </c>
      <c r="AN136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809</v>
      </c>
      <c r="B137" s="7">
        <v>4006</v>
      </c>
      <c r="C137" s="21" t="s">
        <v>215</v>
      </c>
      <c r="D137" s="21" t="s">
        <v>393</v>
      </c>
      <c r="E137" s="13">
        <v>42835.829699074071</v>
      </c>
      <c r="F137" s="13">
        <v>42835.833506944444</v>
      </c>
      <c r="G137" s="7">
        <v>1</v>
      </c>
      <c r="H137" s="21" t="s">
        <v>903</v>
      </c>
      <c r="I137" s="13">
        <v>42835.860578703701</v>
      </c>
      <c r="J137" s="7">
        <v>0</v>
      </c>
      <c r="K137" s="97" t="str">
        <f t="shared" si="28"/>
        <v>4005/4006</v>
      </c>
      <c r="L137" s="21" t="str">
        <f>VLOOKUP(A137,'Trips&amp;Operators'!$C$1:$G$99999,5,FALSE)</f>
        <v>SULLIVAN BRANDON</v>
      </c>
      <c r="M137" s="6">
        <f t="shared" si="29"/>
        <v>2.7071759257523809E-2</v>
      </c>
      <c r="N137" s="7">
        <f t="shared" si="56"/>
        <v>38.983333330834284</v>
      </c>
      <c r="O137" s="7"/>
      <c r="P137" s="7"/>
      <c r="Q137" s="22"/>
      <c r="R137" s="22"/>
      <c r="S137" s="31">
        <f t="shared" si="30"/>
        <v>1</v>
      </c>
      <c r="T137" s="46" t="str">
        <f t="shared" si="31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2"/>
        <v>https://d0f6bd738d7f1b3e5a7ca70fe4ff75f0.us-east-1.aws.found.io/app/kibana#/discover/Steve-Slow-Train-Analysis-(2080s-and-2083s)?_g=(refreshInterval:(display:Off,pause:!f,section:0,value:0),time:(from:'2017-04-10T18:54:46-0600',mode:absolute,to:'2017-04-10T21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183" t="str">
        <f t="shared" si="33"/>
        <v>N</v>
      </c>
      <c r="X137" s="183">
        <f t="shared" si="51"/>
        <v>1</v>
      </c>
      <c r="Y137" s="62">
        <f t="shared" si="49"/>
        <v>4.4900000000000002E-2</v>
      </c>
      <c r="Z137" s="62">
        <f t="shared" si="50"/>
        <v>23.3323</v>
      </c>
      <c r="AA137" s="62">
        <f t="shared" si="37"/>
        <v>23.287400000000002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8"/>
        <v>0225-10</v>
      </c>
      <c r="AE137" s="85" t="str">
        <f t="shared" si="39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37" s="82" t="str">
        <f t="shared" si="40"/>
        <v>"C:\Program Files (x86)\AstroGrep\AstroGrep.exe" /e /r /s /spath="%USERPROFILE%\AppData\Local\Temp\OnboardLogs" /stypes="app*4006*20170411*" /stext=" 02:.+((SYSTEM_STATE.+slice.+state.+changed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225-10 --locoid 4006 --swversion DE.1.0.9.0 --startMP 204:449 --initTime 2017-04-10T19:54:46 --startdatetime 2017-04-10T20:00:15 --delay 1 --endMP 204:233323 --enddatetime 2017-04-10T20:39:14 --enforcementcount 0 &gt;&gt;C:\Users\stu\Documents\GitHub\eaglep3-reporting\EC\2017-04-10-refined-times.txt</v>
      </c>
      <c r="AI137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{"issue":{"subject":"","project_id":79,"tracker_id":40,"status_id":1,"priority_id":2,"assigned_to_id":23,"start_date":"2017-04-10","description":"","custom_fields":[{"id":1,"name":"Subdivision","value":"EC"},{"id":4,"name":"Milepost","value":"23.3323"},{"id":17,"name":"Train ID","value":"225-10"},{"id":16,"name":"Locomotive ID","value":"4006"},{"id":130,"name":"Impact","value":""},{"id":150,"name":"Time of Event (Mountain Time)","value":"20:39:14"},{"id":151,"name":"Denver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4"/>
        <v>start /low /b %USERPROFILE%\Documents\GitHub\eaglep3\Utilities\DownloadLogsFromS3.py --loco 4006 --day 2017-04-10</v>
      </c>
      <c r="AN137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814</v>
      </c>
      <c r="B138" s="7">
        <v>4005</v>
      </c>
      <c r="C138" s="21" t="s">
        <v>215</v>
      </c>
      <c r="D138" s="21" t="s">
        <v>577</v>
      </c>
      <c r="E138" s="13">
        <v>42835.866944444446</v>
      </c>
      <c r="F138" s="13">
        <v>42835.872407407405</v>
      </c>
      <c r="G138" s="7">
        <v>1</v>
      </c>
      <c r="H138" s="21" t="s">
        <v>881</v>
      </c>
      <c r="I138" s="13">
        <v>42835.90347222222</v>
      </c>
      <c r="J138" s="7">
        <v>0</v>
      </c>
      <c r="K138" s="97" t="str">
        <f t="shared" si="28"/>
        <v>4005/4006</v>
      </c>
      <c r="L138" s="21" t="str">
        <f>VLOOKUP(A138,'Trips&amp;Operators'!$C$1:$G$99999,5,FALSE)</f>
        <v>SULLIVAN BRANDON</v>
      </c>
      <c r="M138" s="6">
        <f t="shared" si="29"/>
        <v>3.1064814815181307E-2</v>
      </c>
      <c r="N138" s="7">
        <f t="shared" si="56"/>
        <v>44.733333333861083</v>
      </c>
      <c r="O138" s="7"/>
      <c r="P138" s="7"/>
      <c r="Q138" s="22"/>
      <c r="R138" s="22"/>
      <c r="S138" s="31">
        <f t="shared" si="30"/>
        <v>1</v>
      </c>
      <c r="T138" s="46" t="str">
        <f t="shared" si="31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2"/>
        <v>https://d0f6bd738d7f1b3e5a7ca70fe4ff75f0.us-east-1.aws.found.io/app/kibana#/discover/Steve-Slow-Train-Analysis-(2080s-and-2083s)?_g=(refreshInterval:(display:Off,pause:!f,section:0,value:0),time:(from:'2017-04-10T19:48:24-0600',mode:absolute,to:'2017-04-10T22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183" t="str">
        <f t="shared" si="33"/>
        <v>N</v>
      </c>
      <c r="X138" s="183">
        <f t="shared" si="51"/>
        <v>1</v>
      </c>
      <c r="Y138" s="62">
        <f t="shared" si="49"/>
        <v>23.3</v>
      </c>
      <c r="Z138" s="62">
        <f t="shared" si="50"/>
        <v>1.72E-2</v>
      </c>
      <c r="AA138" s="62">
        <f t="shared" si="37"/>
        <v>23.282800000000002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0226-10</v>
      </c>
      <c r="AE138" s="85" t="str">
        <f t="shared" si="39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38" s="82" t="str">
        <f t="shared" si="40"/>
        <v>"C:\Program Files (x86)\AstroGrep\AstroGrep.exe" /e /r /s /spath="%USERPROFILE%\AppData\Local\Temp\OnboardLogs" /stypes="app*4005*20170411*" /stext=" 03:.+((SYSTEM_STATE.+slice.+state.+changed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226-10 --locoid 4005 --swversion DE.1.0.9.0 --startMP 204:233000 --initTime 2017-04-10T20:48:24 --startdatetime 2017-04-10T20:56:16 --delay 1 --endMP 204:172 --enddatetime 2017-04-10T21:41:00 --enforcementcount 0 &gt;&gt;C:\Users\stu\Documents\GitHub\eaglep3-reporting\EC\2017-04-10-refined-times.txt</v>
      </c>
      <c r="AI138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{"issue":{"subject":"","project_id":79,"tracker_id":40,"status_id":1,"priority_id":2,"assigned_to_id":23,"start_date":"2017-04-10","description":"","custom_fields":[{"id":1,"name":"Subdivision","value":"EC"},{"id":4,"name":"Milepost","value":"0.0172"},{"id":17,"name":"Train ID","value":"226-10"},{"id":16,"name":"Locomotive ID","value":"4005"},{"id":130,"name":"Impact","value":""},{"id":150,"name":"Time of Event (Mountain Time)","value":"21:41:00"},{"id":151,"name":"Denver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4"/>
        <v>start /low /b %USERPROFILE%\Documents\GitHub\eaglep3\Utilities\DownloadLogsFromS3.py --loco 4005 --day 2017-04-10</v>
      </c>
      <c r="AN138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812</v>
      </c>
      <c r="B139" s="7">
        <v>4020</v>
      </c>
      <c r="C139" s="21" t="s">
        <v>215</v>
      </c>
      <c r="D139" s="21" t="s">
        <v>566</v>
      </c>
      <c r="E139" s="13">
        <v>42835.848171296297</v>
      </c>
      <c r="F139" s="13">
        <v>42835.854351851849</v>
      </c>
      <c r="G139" s="7">
        <v>1</v>
      </c>
      <c r="H139" s="21" t="s">
        <v>526</v>
      </c>
      <c r="I139" s="13">
        <v>42835.882361111115</v>
      </c>
      <c r="J139" s="7">
        <v>0</v>
      </c>
      <c r="K139" s="97" t="str">
        <f t="shared" si="28"/>
        <v>4019/4020</v>
      </c>
      <c r="L139" s="21" t="str">
        <f>VLOOKUP(A139,'Trips&amp;Operators'!$C$1:$G$99999,5,FALSE)</f>
        <v>FORTUNATO FRANK</v>
      </c>
      <c r="M139" s="6">
        <f t="shared" si="29"/>
        <v>2.8009259265672881E-2</v>
      </c>
      <c r="N139" s="7">
        <f t="shared" si="56"/>
        <v>40.333333342568949</v>
      </c>
      <c r="O139" s="7"/>
      <c r="P139" s="7"/>
      <c r="Q139" s="22"/>
      <c r="R139" s="22"/>
      <c r="S139" s="31">
        <f t="shared" si="30"/>
        <v>1</v>
      </c>
      <c r="T139" s="46" t="str">
        <f t="shared" si="31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2"/>
        <v>https://d0f6bd738d7f1b3e5a7ca70fe4ff75f0.us-east-1.aws.found.io/app/kibana#/discover/Steve-Slow-Train-Analysis-(2080s-and-2083s)?_g=(refreshInterval:(display:Off,pause:!f,section:0,value:0),time:(from:'2017-04-10T19:21:22-0600',mode:absolute,to:'2017-04-10T22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183" t="str">
        <f t="shared" si="33"/>
        <v>N</v>
      </c>
      <c r="X139" s="183">
        <f t="shared" si="51"/>
        <v>1</v>
      </c>
      <c r="Y139" s="62">
        <f t="shared" si="49"/>
        <v>4.7699999999999999E-2</v>
      </c>
      <c r="Z139" s="62">
        <f t="shared" si="50"/>
        <v>23.328800000000001</v>
      </c>
      <c r="AA139" s="62">
        <f t="shared" si="37"/>
        <v>23.281100000000002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0227-10</v>
      </c>
      <c r="AE139" s="85" t="str">
        <f t="shared" si="39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39" s="82" t="str">
        <f t="shared" si="40"/>
        <v>"C:\Program Files (x86)\AstroGrep\AstroGrep.exe" /e /r /s /spath="%USERPROFILE%\AppData\Local\Temp\OnboardLogs" /stypes="app*4020*20170411*"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si="42"/>
        <v>"%USERPROFILE%\Documents\GitHub\eaglep3\Utilities\RefineRTDCRunTimes.py" --tripid 227-10 --locoid 4020 --swversion DE.1.0.9.0 --startMP 204:477 --initTime 2017-04-10T20:21:22 --startdatetime 2017-04-10T20:30:16 --delay 1 --endMP 204:233288 --enddatetime 2017-04-10T21:10:36 --enforcementcount 0 &gt;&gt;C:\Users\stu\Documents\GitHub\eaglep3-reporting\EC\2017-04-10-refined-times.txt</v>
      </c>
      <c r="AI139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{"issue":{"subject":"","project_id":79,"tracker_id":40,"status_id":1,"priority_id":2,"assigned_to_id":23,"start_date":"2017-04-10","description":"","custom_fields":[{"id":1,"name":"Subdivision","value":"EC"},{"id":4,"name":"Milepost","value":"23.3288"},{"id":17,"name":"Train ID","value":"227-10"},{"id":16,"name":"Locomotive ID","value":"4020"},{"id":130,"name":"Impact","value":""},{"id":150,"name":"Time of Event (Mountain Time)","value":"21:10:36"},{"id":151,"name":"Denver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4"/>
        <v>start /low /b %USERPROFILE%\Documents\GitHub\eaglep3\Utilities\DownloadLogsFromS3.py --loco 4020 --day 2017-04-10</v>
      </c>
      <c r="AN139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818</v>
      </c>
      <c r="B140" s="7">
        <v>4019</v>
      </c>
      <c r="C140" s="21" t="s">
        <v>215</v>
      </c>
      <c r="D140" s="21" t="s">
        <v>489</v>
      </c>
      <c r="E140" s="13">
        <v>42835.886504629627</v>
      </c>
      <c r="F140" s="13">
        <v>42835.896134259259</v>
      </c>
      <c r="G140" s="7">
        <v>1</v>
      </c>
      <c r="H140" s="21" t="s">
        <v>860</v>
      </c>
      <c r="I140" s="13">
        <v>42835.925115740742</v>
      </c>
      <c r="J140" s="7">
        <v>0</v>
      </c>
      <c r="K140" s="97" t="str">
        <f t="shared" si="28"/>
        <v>4019/4020</v>
      </c>
      <c r="L140" s="21" t="str">
        <f>VLOOKUP(A140,'Trips&amp;Operators'!$C$1:$G$99999,5,FALSE)</f>
        <v>FORTUNATO FRANK</v>
      </c>
      <c r="M140" s="6">
        <f t="shared" si="29"/>
        <v>2.8981481482333038E-2</v>
      </c>
      <c r="N140" s="7">
        <f t="shared" si="56"/>
        <v>41.733333334559575</v>
      </c>
      <c r="O140" s="7"/>
      <c r="P140" s="7"/>
      <c r="Q140" s="22"/>
      <c r="R140" s="22"/>
      <c r="S140" s="31">
        <f t="shared" si="30"/>
        <v>1</v>
      </c>
      <c r="T140" s="46" t="str">
        <f t="shared" si="31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2"/>
        <v>https://d0f6bd738d7f1b3e5a7ca70fe4ff75f0.us-east-1.aws.found.io/app/kibana#/discover/Steve-Slow-Train-Analysis-(2080s-and-2083s)?_g=(refreshInterval:(display:Off,pause:!f,section:0,value:0),time:(from:'2017-04-10T20:16:34-0600',mode:absolute,to:'2017-04-10T23:12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183" t="str">
        <f t="shared" si="33"/>
        <v>N</v>
      </c>
      <c r="X140" s="183">
        <f t="shared" ref="X140:X152" si="57">VALUE(LEFT(AD140,4))-VALUE(LEFT(AD139,4))</f>
        <v>1</v>
      </c>
      <c r="Y140" s="62">
        <f t="shared" si="49"/>
        <v>23.297799999999999</v>
      </c>
      <c r="Z140" s="62">
        <f t="shared" si="50"/>
        <v>1.43E-2</v>
      </c>
      <c r="AA140" s="62">
        <f t="shared" si="37"/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0228-10</v>
      </c>
      <c r="AE140" s="85" t="str">
        <f t="shared" si="39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40" s="82" t="str">
        <f t="shared" si="40"/>
        <v>"C:\Program Files (x86)\AstroGrep\AstroGrep.exe" /e /r /s /spath="%USERPROFILE%\AppData\Local\Temp\OnboardLogs" /stypes="app*4019*20170411*" /stext=" 04:.+((SYSTEM_STATE.+slice.+state.+changed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si="42"/>
        <v>"%USERPROFILE%\Documents\GitHub\eaglep3\Utilities\RefineRTDCRunTimes.py" --tripid 228-10 --locoid 4019 --swversion DE.1.0.9.0 --startMP 204:232978 --initTime 2017-04-10T21:16:34 --startdatetime 2017-04-10T21:30:26 --delay 1 --endMP 204:143 --enddatetime 2017-04-10T22:12:10 --enforcementcount 0 &gt;&gt;C:\Users\stu\Documents\GitHub\eaglep3-reporting\EC\2017-04-10-refined-times.txt</v>
      </c>
      <c r="AI140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ID","value":"228-10"},{"id":16,"name":"Locomotive ID","value":"4019"},{"id":130,"name":"Impact","value":""},{"id":150,"name":"Time of Event (Mountain Time)","value":"22:12:10"},{"id":151,"name":"Denver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4"/>
        <v>start /low /b %USERPROFILE%\Documents\GitHub\eaglep3\Utilities\DownloadLogsFromS3.py --loco 4019 --day 2017-04-10</v>
      </c>
      <c r="AN140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04:12:10"},{"id":29,"name":"Sharepoint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815</v>
      </c>
      <c r="B141" s="7">
        <v>4042</v>
      </c>
      <c r="C141" s="21" t="s">
        <v>215</v>
      </c>
      <c r="D141" s="21" t="s">
        <v>472</v>
      </c>
      <c r="E141" s="13">
        <v>42835.872743055559</v>
      </c>
      <c r="F141" s="13">
        <v>42835.875567129631</v>
      </c>
      <c r="G141" s="7">
        <v>3</v>
      </c>
      <c r="H141" s="21" t="s">
        <v>904</v>
      </c>
      <c r="I141" s="13">
        <v>42835.901666666665</v>
      </c>
      <c r="J141" s="7">
        <v>0</v>
      </c>
      <c r="K141" s="97" t="str">
        <f t="shared" ref="K141:K204" si="58">IF(ISEVEN(B141),(B141-1)&amp;"/"&amp;B141,B141&amp;"/"&amp;(B141+1))</f>
        <v>4041/4042</v>
      </c>
      <c r="L141" s="21" t="str">
        <f>VLOOKUP(A141,'Trips&amp;Operators'!$C$1:$G$99999,5,FALSE)</f>
        <v>CHANDLER KELVIN</v>
      </c>
      <c r="M141" s="6">
        <f t="shared" ref="M141:M204" si="59">I141-F141</f>
        <v>2.6099537033587694E-2</v>
      </c>
      <c r="N141" s="7">
        <f t="shared" si="56"/>
        <v>37.58333332836628</v>
      </c>
      <c r="O141" s="7"/>
      <c r="P141" s="7"/>
      <c r="Q141" s="22"/>
      <c r="R141" s="22"/>
      <c r="S141" s="31">
        <f t="shared" ref="S141:S204" si="60">SUM(U141:U141)/IF(AG141="EC",12,1)</f>
        <v>1</v>
      </c>
      <c r="T141" s="46" t="str">
        <f t="shared" ref="T141:T204" si="61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-10T19:56:45-0600',mode:absolute,to:'2017-04-10T22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183" t="str">
        <f t="shared" ref="W141:W204" si="63">IF(AA141&lt;IF(AG141="EC",23,5.65),"Y","N")</f>
        <v>N</v>
      </c>
      <c r="X141" s="183">
        <f t="shared" si="57"/>
        <v>1</v>
      </c>
      <c r="Y141" s="62">
        <f t="shared" ref="Y141:Y152" si="64">RIGHT(D141,LEN(D141)-4)/10000</f>
        <v>4.8399999999999999E-2</v>
      </c>
      <c r="Z141" s="62">
        <f t="shared" ref="Z141:Z152" si="65">RIGHT(H141,LEN(H141)-4)/10000</f>
        <v>23.3245</v>
      </c>
      <c r="AA141" s="62">
        <f t="shared" ref="AA141:AA204" si="66">ABS(Z141-Y141)</f>
        <v>23.2761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7">IF(LEN(A141)=6,"0"&amp;A141,A141)</f>
        <v>0229-10</v>
      </c>
      <c r="AE141" s="85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41" s="82" t="str">
        <f t="shared" ref="AF141:AF204" si="6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/stypes="app*4042*20170411*" /stext=" 03:.+((SYSTEM_STATE.+slice.+state.+changed )|(ment ac)|(multiple cpu faults)|(system.+state.+changed )|(\[timeout)|(PRM\|1\|D)|(kpr)|(kdp)|(\|lc)|(penalty))"</v>
      </c>
      <c r="AG141" s="1" t="str">
        <f t="shared" ref="AG141:AG204" si="70">IFERROR(IF(VALUE(LEFT(AD141,2))&lt;=2,"EC",IF(OR(VALUE(LEFT(AD141,2))=8,VALUE(LEFT(AD141,2))=18),"NW","Other")),"Other")</f>
        <v>EC</v>
      </c>
      <c r="AH141" s="86" t="str">
        <f t="shared" si="42"/>
        <v>"%USERPROFILE%\Documents\GitHub\eaglep3\Utilities\RefineRTDCRunTimes.py" --tripid 229-10 --locoid 4042 --swversion DE.1.0.9.0 --startMP 204:484 --initTime 2017-04-10T20:56:45 --startdatetime 2017-04-10T21:00:49 --delay 3 --endMP 204:233245 --enddatetime 2017-04-10T21:38:24 --enforcementcount 0 &gt;&gt;C:\Users\stu\Documents\GitHub\eaglep3-reporting\EC\2017-04-10-refined-times.txt</v>
      </c>
      <c r="AI141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{"issue":{"subject":"","project_id":79,"tracker_id":40,"status_id":1,"priority_id":2,"assigned_to_id":23,"start_date":"2017-04-10","description":"","custom_fields":[{"id":1,"name":"Subdivision","value":"EC"},{"id":4,"name":"Milepost","value":"23.3245"},{"id":17,"name":"Train ID","value":"229-10"},{"id":16,"name":"Locomotive ID","value":"4042"},{"id":130,"name":"Impact","value":""},{"id":150,"name":"Time of Event (Mountain Time)","value":"21:38:24"},{"id":151,"name":"Denver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4"/>
        <v>start /low /b %USERPROFILE%\Documents\GitHub\eaglep3\Utilities\DownloadLogsFromS3.py --loco 4042 --day 2017-04-10</v>
      </c>
      <c r="AN141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821</v>
      </c>
      <c r="B142" s="7">
        <v>4041</v>
      </c>
      <c r="C142" s="21" t="s">
        <v>215</v>
      </c>
      <c r="D142" s="21" t="s">
        <v>905</v>
      </c>
      <c r="E142" s="13">
        <v>42835.910532407404</v>
      </c>
      <c r="F142" s="13">
        <v>42835.914490740739</v>
      </c>
      <c r="G142" s="7">
        <v>1</v>
      </c>
      <c r="H142" s="21" t="s">
        <v>860</v>
      </c>
      <c r="I142" s="13">
        <v>42835.943287037036</v>
      </c>
      <c r="J142" s="7">
        <v>0</v>
      </c>
      <c r="K142" s="97" t="str">
        <f t="shared" si="58"/>
        <v>4041/4042</v>
      </c>
      <c r="L142" s="21" t="str">
        <f>VLOOKUP(A142,'Trips&amp;Operators'!$C$1:$G$99999,5,FALSE)</f>
        <v>CHANDLER KELVIN</v>
      </c>
      <c r="M142" s="6">
        <f t="shared" si="59"/>
        <v>2.8796296297514345E-2</v>
      </c>
      <c r="N142" s="7">
        <f t="shared" si="56"/>
        <v>41.466666668420658</v>
      </c>
      <c r="O142" s="7"/>
      <c r="P142" s="7"/>
      <c r="Q142" s="22"/>
      <c r="R142" s="22"/>
      <c r="S142" s="31">
        <f t="shared" si="60"/>
        <v>1</v>
      </c>
      <c r="T142" s="46" t="str">
        <f t="shared" si="61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62"/>
        <v>https://d0f6bd738d7f1b3e5a7ca70fe4ff75f0.us-east-1.aws.found.io/app/kibana#/discover/Steve-Slow-Train-Analysis-(2080s-and-2083s)?_g=(refreshInterval:(display:Off,pause:!f,section:0,value:0),time:(from:'2017-04-10T20:51:10-0600',mode:absolute,to:'2017-04-10T23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83" t="str">
        <f t="shared" si="63"/>
        <v>N</v>
      </c>
      <c r="X142" s="183">
        <f t="shared" si="57"/>
        <v>1</v>
      </c>
      <c r="Y142" s="62">
        <f t="shared" si="64"/>
        <v>23.293199999999999</v>
      </c>
      <c r="Z142" s="62">
        <f t="shared" si="65"/>
        <v>1.43E-2</v>
      </c>
      <c r="AA142" s="62">
        <f t="shared" si="66"/>
        <v>23.2789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7"/>
        <v>0230-10</v>
      </c>
      <c r="AE142" s="85" t="str">
        <f t="shared" si="68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42" s="82" t="str">
        <f t="shared" si="69"/>
        <v>"C:\Program Files (x86)\AstroGrep\AstroGrep.exe" /e /r /s /spath="%USERPROFILE%\AppData\Local\Temp\OnboardLogs" /stypes="app*4041*20170411*" /stext=" 04:.+((SYSTEM_STATE.+slice.+state.+changed )|(ment ac)|(multiple cpu faults)|(system.+state.+changed )|(\[timeout)|(PRM\|1\|D)|(kpr)|(kdp)|(\|lc)|(penalty))"</v>
      </c>
      <c r="AG142" s="1" t="str">
        <f t="shared" si="70"/>
        <v>EC</v>
      </c>
      <c r="AH142" s="86" t="str">
        <f t="shared" si="42"/>
        <v>"%USERPROFILE%\Documents\GitHub\eaglep3\Utilities\RefineRTDCRunTimes.py" --tripid 230-10 --locoid 4041 --swversion DE.1.0.9.0 --startMP 204:232932 --initTime 2017-04-10T21:51:10 --startdatetime 2017-04-10T21:56:52 --delay 1 --endMP 204:143 --enddatetime 2017-04-10T22:38:20 --enforcementcount 0 &gt;&gt;C:\Users\stu\Documents\GitHub\eaglep3-reporting\EC\2017-04-10-refined-times.txt</v>
      </c>
      <c r="AI142" s="104" t="str">
        <f t="shared" si="43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ID","value":"230-10"},{"id":16,"name":"Locomotive ID","value":"4041"},{"id":130,"name":"Impact","value":""},{"id":150,"name":"Time of Event (Mountain Time)","value":"22:38:20"},{"id":151,"name":"Denver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44"/>
        <v>start /low /b %USERPROFILE%\Documents\GitHub\eaglep3\Utilities\DownloadLogsFromS3.py --loco 4041 --day 2017-04-10</v>
      </c>
      <c r="AN142" s="159" t="str">
        <f t="shared" si="45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817</v>
      </c>
      <c r="B143" s="7">
        <v>4002</v>
      </c>
      <c r="C143" s="21" t="s">
        <v>215</v>
      </c>
      <c r="D143" s="21" t="s">
        <v>494</v>
      </c>
      <c r="E143" s="13">
        <v>42835.884236111109</v>
      </c>
      <c r="F143" s="13">
        <v>42835.896053240744</v>
      </c>
      <c r="G143" s="7">
        <v>1</v>
      </c>
      <c r="H143" s="21" t="s">
        <v>906</v>
      </c>
      <c r="I143" s="13">
        <v>42835.923576388886</v>
      </c>
      <c r="J143" s="7">
        <v>0</v>
      </c>
      <c r="K143" s="97" t="str">
        <f t="shared" si="58"/>
        <v>4001/4002</v>
      </c>
      <c r="L143" s="21" t="str">
        <f>VLOOKUP(A143,'Trips&amp;Operators'!$C$1:$G$99999,5,FALSE)</f>
        <v>SMITH MICHAEL</v>
      </c>
      <c r="M143" s="6">
        <f t="shared" si="59"/>
        <v>2.7523148142790888E-2</v>
      </c>
      <c r="N143" s="7">
        <f t="shared" si="56"/>
        <v>39.633333325618878</v>
      </c>
      <c r="O143" s="7"/>
      <c r="P143" s="7"/>
      <c r="Q143" s="22"/>
      <c r="R143" s="22"/>
      <c r="S143" s="31">
        <f t="shared" si="60"/>
        <v>1</v>
      </c>
      <c r="T143" s="46" t="str">
        <f t="shared" si="61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62"/>
        <v>https://d0f6bd738d7f1b3e5a7ca70fe4ff75f0.us-east-1.aws.found.io/app/kibana#/discover/Steve-Slow-Train-Analysis-(2080s-and-2083s)?_g=(refreshInterval:(display:Off,pause:!f,section:0,value:0),time:(from:'2017-04-10T20:13:18-0600',mode:absolute,to:'2017-04-10T23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83" t="str">
        <f t="shared" si="63"/>
        <v>N</v>
      </c>
      <c r="X143" s="183">
        <f t="shared" si="57"/>
        <v>1</v>
      </c>
      <c r="Y143" s="62">
        <f t="shared" si="64"/>
        <v>4.6699999999999998E-2</v>
      </c>
      <c r="Z143" s="62">
        <f t="shared" si="65"/>
        <v>23.336600000000001</v>
      </c>
      <c r="AA143" s="62">
        <f t="shared" si="66"/>
        <v>23.289899999999999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7"/>
        <v>0231-10</v>
      </c>
      <c r="AE143" s="85" t="str">
        <f t="shared" si="68"/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43" s="82" t="str">
        <f t="shared" si="69"/>
        <v>"C:\Program Files (x86)\AstroGrep\AstroGrep.exe" /e /r /s /spath="%USERPROFILE%\AppData\Local\Temp\OnboardLogs" /stypes="app*4002*20170411*" /stext=" 04:.+((SYSTEM_STATE.+slice.+state.+changed )|(ment ac)|(multiple cpu faults)|(system.+state.+changed )|(\[timeout)|(PRM\|1\|D)|(kpr)|(kdp)|(\|lc)|(penalty))"</v>
      </c>
      <c r="AG143" s="1" t="str">
        <f t="shared" si="70"/>
        <v>EC</v>
      </c>
      <c r="AH143" s="86" t="str">
        <f t="shared" ref="AH143:AH207" si="7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231-10 --locoid 4002 --swversion DE.1.0.9.0 --startMP 204:467 --initTime 2017-04-10T21:13:18 --startdatetime 2017-04-10T21:30:19 --delay 1 --endMP 204:233366 --enddatetime 2017-04-10T22:09:57 --enforcementcount 0 &gt;&gt;C:\Users\stu\Documents\GitHub\eaglep3-reporting\EC\2017-04-10-refined-times.txt</v>
      </c>
      <c r="AI143" s="104" t="str">
        <f t="shared" ref="AI143:AI207" si="7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{"issue":{"subject":"","project_id":79,"tracker_id":40,"status_id":1,"priority_id":2,"assigned_to_id":23,"start_date":"2017-04-10","description":"","custom_fields":[{"id":1,"name":"Subdivision","value":"EC"},{"id":4,"name":"Milepost","value":"23.3366"},{"id":17,"name":"Train ID","value":"231-10"},{"id":16,"name":"Locomotive ID","value":"4002"},{"id":130,"name":"Impact","value":""},{"id":150,"name":"Time of Event (Mountain Time)","value":"22:09:57"},{"id":151,"name":"Denver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ref="AM143:AM207" si="73">"start /low /b "&amp;dls3logs&amp;" --loco "&amp;B143&amp;" --day "&amp;TEXT(F143,"YYYY-MM-DD")</f>
        <v>start /low /b %USERPROFILE%\Documents\GitHub\eaglep3\Utilities\DownloadLogsFromS3.py --loco 4002 --day 2017-04-10</v>
      </c>
      <c r="AN143" s="159" t="str">
        <f t="shared" ref="AN143:AN207" si="74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824</v>
      </c>
      <c r="B144" s="7">
        <v>4001</v>
      </c>
      <c r="C144" s="21" t="s">
        <v>215</v>
      </c>
      <c r="D144" s="21" t="s">
        <v>907</v>
      </c>
      <c r="E144" s="13">
        <v>42835.929293981484</v>
      </c>
      <c r="F144" s="13">
        <v>42835.935081018521</v>
      </c>
      <c r="G144" s="7">
        <v>1</v>
      </c>
      <c r="H144" s="21" t="s">
        <v>502</v>
      </c>
      <c r="I144" s="13">
        <v>42835.962407407409</v>
      </c>
      <c r="J144" s="7">
        <v>0</v>
      </c>
      <c r="K144" s="97" t="str">
        <f t="shared" si="58"/>
        <v>4001/4002</v>
      </c>
      <c r="L144" s="21" t="str">
        <f>VLOOKUP(A144,'Trips&amp;Operators'!$C$1:$G$99999,5,FALSE)</f>
        <v>SMITH MICHAEL</v>
      </c>
      <c r="M144" s="6">
        <f t="shared" si="59"/>
        <v>2.73263888884685E-2</v>
      </c>
      <c r="N144" s="7">
        <f t="shared" si="56"/>
        <v>39.34999999939464</v>
      </c>
      <c r="O144" s="7"/>
      <c r="P144" s="7"/>
      <c r="Q144" s="22"/>
      <c r="R144" s="22"/>
      <c r="S144" s="31">
        <f t="shared" si="60"/>
        <v>1</v>
      </c>
      <c r="T144" s="46" t="str">
        <f t="shared" si="61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62"/>
        <v>https://d0f6bd738d7f1b3e5a7ca70fe4ff75f0.us-east-1.aws.found.io/app/kibana#/discover/Steve-Slow-Train-Analysis-(2080s-and-2083s)?_g=(refreshInterval:(display:Off,pause:!f,section:0,value:0),time:(from:'2017-04-10T21:18:11-0600',mode:absolute,to:'2017-04-11T00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83" t="str">
        <f t="shared" si="63"/>
        <v>N</v>
      </c>
      <c r="X144" s="183">
        <f t="shared" si="57"/>
        <v>1</v>
      </c>
      <c r="Y144" s="62">
        <f t="shared" si="64"/>
        <v>23.305099999999999</v>
      </c>
      <c r="Z144" s="62">
        <f t="shared" si="65"/>
        <v>1.2699999999999999E-2</v>
      </c>
      <c r="AA144" s="62">
        <f t="shared" si="66"/>
        <v>23.292400000000001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7"/>
        <v>0232-10</v>
      </c>
      <c r="AE144" s="85" t="str">
        <f t="shared" si="68"/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44" s="82" t="str">
        <f t="shared" si="69"/>
        <v>"C:\Program Files (x86)\AstroGrep\AstroGrep.exe" /e /r /s /spath="%USERPROFILE%\AppData\Local\Temp\OnboardLogs" /stypes="app*4001*20170411*" /stext=" 05:.+((SYSTEM_STATE.+slice.+state.+changed )|(ment ac)|(multiple cpu faults)|(system.+state.+changed )|(\[timeout)|(PRM\|1\|D)|(kpr)|(kdp)|(\|lc)|(penalty))"</v>
      </c>
      <c r="AG144" s="1" t="str">
        <f t="shared" si="70"/>
        <v>EC</v>
      </c>
      <c r="AH144" s="86" t="str">
        <f t="shared" si="71"/>
        <v>"%USERPROFILE%\Documents\GitHub\eaglep3\Utilities\RefineRTDCRunTimes.py" --tripid 232-10 --locoid 4001 --swversion DE.1.0.9.0 --startMP 204:233051 --initTime 2017-04-10T22:18:11 --startdatetime 2017-04-10T22:26:31 --delay 1 --endMP 204:127 --enddatetime 2017-04-10T23:05:52 --enforcementcount 0 &gt;&gt;C:\Users\stu\Documents\GitHub\eaglep3-reporting\EC\2017-04-10-refined-times.txt</v>
      </c>
      <c r="AI144" s="104" t="str">
        <f t="shared" si="72"/>
        <v>echo {"issue":{"subject":"","project_id":79,"tracker_id":40,"status_id":1,"priority_id":2,"assigned_to_id":23,"start_date":"2017-04-10","description":"","custom_fields":[{"id":1,"name":"Subdivision","value":"EC"},{"id":4,"name":"Milepost","value":"0.0127"},{"id":17,"name":"Train ID","value":"232-10"},{"id":16,"name":"Locomotive ID","value":"4001"},{"id":130,"name":"Impact","value":""},{"id":150,"name":"Time of Event (Mountain Time)","value":"23:05:52"},{"id":151,"name":"Denver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73"/>
        <v>start /low /b %USERPROFILE%\Documents\GitHub\eaglep3\Utilities\DownloadLogsFromS3.py --loco 4001 --day 2017-04-10</v>
      </c>
      <c r="AN144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820</v>
      </c>
      <c r="B145" s="7">
        <v>4006</v>
      </c>
      <c r="C145" s="21" t="s">
        <v>215</v>
      </c>
      <c r="D145" s="21" t="s">
        <v>205</v>
      </c>
      <c r="E145" s="13">
        <v>42835.905972222223</v>
      </c>
      <c r="F145" s="13">
        <v>42835.917013888888</v>
      </c>
      <c r="G145" s="7">
        <v>1</v>
      </c>
      <c r="H145" s="21" t="s">
        <v>492</v>
      </c>
      <c r="I145" s="13">
        <v>42835.941620370373</v>
      </c>
      <c r="J145" s="7">
        <v>0</v>
      </c>
      <c r="K145" s="97" t="str">
        <f t="shared" si="58"/>
        <v>4005/4006</v>
      </c>
      <c r="L145" s="21" t="str">
        <f>VLOOKUP(A145,'Trips&amp;Operators'!$C$1:$G$99999,5,FALSE)</f>
        <v>SULLIVAN BRANDON</v>
      </c>
      <c r="M145" s="6">
        <f t="shared" si="59"/>
        <v>2.4606481485534459E-2</v>
      </c>
      <c r="N145" s="7">
        <f t="shared" si="56"/>
        <v>35.433333339169621</v>
      </c>
      <c r="O145" s="7"/>
      <c r="P145" s="7"/>
      <c r="Q145" s="22"/>
      <c r="R145" s="22"/>
      <c r="S145" s="31">
        <f t="shared" si="60"/>
        <v>1</v>
      </c>
      <c r="T145" s="46" t="str">
        <f t="shared" si="61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62"/>
        <v>https://d0f6bd738d7f1b3e5a7ca70fe4ff75f0.us-east-1.aws.found.io/app/kibana#/discover/Steve-Slow-Train-Analysis-(2080s-and-2083s)?_g=(refreshInterval:(display:Off,pause:!f,section:0,value:0),time:(from:'2017-04-10T20:44:36-0600',mode:absolute,to:'2017-04-10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183" t="str">
        <f t="shared" si="63"/>
        <v>N</v>
      </c>
      <c r="X145" s="183">
        <f t="shared" si="57"/>
        <v>1</v>
      </c>
      <c r="Y145" s="62">
        <f t="shared" si="64"/>
        <v>4.5699999999999998E-2</v>
      </c>
      <c r="Z145" s="62">
        <f t="shared" si="65"/>
        <v>23.331700000000001</v>
      </c>
      <c r="AA145" s="62">
        <f t="shared" si="66"/>
        <v>23.286000000000001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7"/>
        <v>0233-10</v>
      </c>
      <c r="AE145" s="85" t="str">
        <f t="shared" si="68"/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45" s="82" t="str">
        <f t="shared" si="69"/>
        <v>"C:\Program Files (x86)\AstroGrep\AstroGrep.exe" /e /r /s /spath="%USERPROFILE%\AppData\Local\Temp\OnboardLogs" /stypes="app*4006*20170411*" /stext=" 04:.+((SYSTEM_STATE.+slice.+state.+changed )|(ment ac)|(multiple cpu faults)|(system.+state.+changed )|(\[timeout)|(PRM\|1\|D)|(kpr)|(kdp)|(\|lc)|(penalty))"</v>
      </c>
      <c r="AG145" s="1" t="str">
        <f t="shared" si="70"/>
        <v>EC</v>
      </c>
      <c r="AH145" s="86" t="str">
        <f t="shared" si="71"/>
        <v>"%USERPROFILE%\Documents\GitHub\eaglep3\Utilities\RefineRTDCRunTimes.py" --tripid 233-10 --locoid 4006 --swversion DE.1.0.9.0 --startMP 204:457 --initTime 2017-04-10T21:44:36 --startdatetime 2017-04-10T22:00:30 --delay 1 --endMP 204:233317 --enddatetime 2017-04-10T22:35:56 --enforcementcount 0 &gt;&gt;C:\Users\stu\Documents\GitHub\eaglep3-reporting\EC\2017-04-10-refined-times.txt</v>
      </c>
      <c r="AI145" s="104" t="str">
        <f t="shared" si="72"/>
        <v>echo {"issue":{"subject":"","project_id":79,"tracker_id":40,"status_id":1,"priority_id":2,"assigned_to_id":23,"start_date":"2017-04-10","description":"","custom_fields":[{"id":1,"name":"Subdivision","value":"EC"},{"id":4,"name":"Milepost","value":"23.3317"},{"id":17,"name":"Train ID","value":"233-10"},{"id":16,"name":"Locomotive ID","value":"4006"},{"id":130,"name":"Impact","value":""},{"id":150,"name":"Time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73"/>
        <v>start /low /b %USERPROFILE%\Documents\GitHub\eaglep3\Utilities\DownloadLogsFromS3.py --loco 4006 --day 2017-04-10</v>
      </c>
      <c r="AN145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826</v>
      </c>
      <c r="B146" s="7">
        <v>4005</v>
      </c>
      <c r="C146" s="21" t="s">
        <v>215</v>
      </c>
      <c r="D146" s="21" t="s">
        <v>877</v>
      </c>
      <c r="E146" s="13">
        <v>42835.952210648145</v>
      </c>
      <c r="F146" s="13">
        <v>42835.955995370372</v>
      </c>
      <c r="G146" s="7">
        <v>1</v>
      </c>
      <c r="H146" s="21" t="s">
        <v>198</v>
      </c>
      <c r="I146" s="13">
        <v>42835.982418981483</v>
      </c>
      <c r="J146" s="7">
        <v>0</v>
      </c>
      <c r="K146" s="97" t="str">
        <f t="shared" si="58"/>
        <v>4005/4006</v>
      </c>
      <c r="L146" s="21" t="str">
        <f>VLOOKUP(A146,'Trips&amp;Operators'!$C$1:$G$99999,5,FALSE)</f>
        <v>SULLIVAN BRANDON</v>
      </c>
      <c r="M146" s="6">
        <f t="shared" si="59"/>
        <v>2.6423611110658385E-2</v>
      </c>
      <c r="N146" s="7">
        <f t="shared" si="56"/>
        <v>38.049999999348074</v>
      </c>
      <c r="O146" s="7"/>
      <c r="P146" s="7"/>
      <c r="Q146" s="22"/>
      <c r="R146" s="22"/>
      <c r="S146" s="31">
        <f t="shared" si="60"/>
        <v>1</v>
      </c>
      <c r="T146" s="46" t="str">
        <f t="shared" si="61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62"/>
        <v>https://d0f6bd738d7f1b3e5a7ca70fe4ff75f0.us-east-1.aws.found.io/app/kibana#/discover/Steve-Slow-Train-Analysis-(2080s-and-2083s)?_g=(refreshInterval:(display:Off,pause:!f,section:0,value:0),time:(from:'2017-04-10T21:51:11-0600',mode:absolute,to:'2017-04-11T00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183" t="str">
        <f t="shared" si="63"/>
        <v>N</v>
      </c>
      <c r="X146" s="183">
        <f t="shared" si="57"/>
        <v>1</v>
      </c>
      <c r="Y146" s="62">
        <f t="shared" si="64"/>
        <v>23.299600000000002</v>
      </c>
      <c r="Z146" s="62">
        <f t="shared" si="65"/>
        <v>1.5800000000000002E-2</v>
      </c>
      <c r="AA146" s="62">
        <f t="shared" si="66"/>
        <v>23.283800000000003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7"/>
        <v>0234-10</v>
      </c>
      <c r="AE146" s="85" t="str">
        <f t="shared" si="68"/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46" s="82" t="str">
        <f t="shared" si="69"/>
        <v>"C:\Program Files (x86)\AstroGrep\AstroGrep.exe" /e /r /s /spath="%USERPROFILE%\AppData\Local\Temp\OnboardLogs" /stypes="app*4005*20170411*" /stext=" 05:.+((SYSTEM_STATE.+slice.+state.+changed )|(ment ac)|(multiple cpu faults)|(system.+state.+changed )|(\[timeout)|(PRM\|1\|D)|(kpr)|(kdp)|(\|lc)|(penalty))"</v>
      </c>
      <c r="AG146" s="1" t="str">
        <f t="shared" si="70"/>
        <v>EC</v>
      </c>
      <c r="AH146" s="86" t="str">
        <f t="shared" si="71"/>
        <v>"%USERPROFILE%\Documents\GitHub\eaglep3\Utilities\RefineRTDCRunTimes.py" --tripid 234-10 --locoid 4005 --swversion DE.1.0.9.0 --startMP 204:232996 --initTime 2017-04-10T22:51:11 --startdatetime 2017-04-10T22:56:38 --delay 1 --endMP 204:158 --enddatetime 2017-04-10T23:34:41 --enforcementcount 0 &gt;&gt;C:\Users\stu\Documents\GitHub\eaglep3-reporting\EC\2017-04-10-refined-times.txt</v>
      </c>
      <c r="AI146" s="104" t="str">
        <f t="shared" si="72"/>
        <v>echo {"issue":{"subject":"","project_id":79,"tracker_id":40,"status_id":1,"priority_id":2,"assigned_to_id":23,"start_date":"2017-04-10","description":"","custom_fields":[{"id":1,"name":"Subdivision","value":"EC"},{"id":4,"name":"Milepost","value":"0.0158"},{"id":17,"name":"Train ID","value":"234-10"},{"id":16,"name":"Locomotive ID","value":"4005"},{"id":130,"name":"Impact","value":""},{"id":150,"name":"Time of Event (Mountain Time)","value":"23:34:41"},{"id":151,"name":"Denver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73"/>
        <v>start /low /b %USERPROFILE%\Documents\GitHub\eaglep3\Utilities\DownloadLogsFromS3.py --loco 4005 --day 2017-04-10</v>
      </c>
      <c r="AN146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823</v>
      </c>
      <c r="B147" s="7">
        <v>4020</v>
      </c>
      <c r="C147" s="21" t="s">
        <v>215</v>
      </c>
      <c r="D147" s="21" t="s">
        <v>504</v>
      </c>
      <c r="E147" s="13">
        <v>42835.928819444445</v>
      </c>
      <c r="F147" s="13">
        <v>42835.9377662037</v>
      </c>
      <c r="G147" s="7">
        <v>1</v>
      </c>
      <c r="H147" s="21" t="s">
        <v>530</v>
      </c>
      <c r="I147" s="13">
        <v>42835.962997685187</v>
      </c>
      <c r="J147" s="7">
        <v>0</v>
      </c>
      <c r="K147" s="97" t="str">
        <f t="shared" si="58"/>
        <v>4019/4020</v>
      </c>
      <c r="L147" s="21" t="str">
        <f>VLOOKUP(A147,'Trips&amp;Operators'!$C$1:$G$99999,5,FALSE)</f>
        <v>FORTUNATO FRANK</v>
      </c>
      <c r="M147" s="6">
        <f t="shared" si="59"/>
        <v>2.5231481486116536E-2</v>
      </c>
      <c r="N147" s="7">
        <f t="shared" si="56"/>
        <v>36.333333340007812</v>
      </c>
      <c r="O147" s="7"/>
      <c r="P147" s="7"/>
      <c r="Q147" s="22"/>
      <c r="R147" s="22"/>
      <c r="S147" s="31">
        <f t="shared" si="60"/>
        <v>1</v>
      </c>
      <c r="T147" s="46" t="str">
        <f t="shared" si="61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62"/>
        <v>https://d0f6bd738d7f1b3e5a7ca70fe4ff75f0.us-east-1.aws.found.io/app/kibana#/discover/Steve-Slow-Train-Analysis-(2080s-and-2083s)?_g=(refreshInterval:(display:Off,pause:!f,section:0,value:0),time:(from:'2017-04-10T21:17:30-0600',mode:absolute,to:'2017-04-11T00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7" s="183" t="str">
        <f t="shared" si="63"/>
        <v>N</v>
      </c>
      <c r="X147" s="183">
        <f t="shared" si="57"/>
        <v>1</v>
      </c>
      <c r="Y147" s="62">
        <f t="shared" si="64"/>
        <v>4.6399999999999997E-2</v>
      </c>
      <c r="Z147" s="62">
        <f t="shared" si="65"/>
        <v>23.331099999999999</v>
      </c>
      <c r="AA147" s="62">
        <f t="shared" si="66"/>
        <v>23.284700000000001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7"/>
        <v>0235-10</v>
      </c>
      <c r="AE147" s="85" t="str">
        <f t="shared" si="68"/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47" s="82" t="str">
        <f t="shared" si="69"/>
        <v>"C:\Program Files (x86)\AstroGrep\AstroGrep.exe" /e /r /s /spath="%USERPROFILE%\AppData\Local\Temp\OnboardLogs" /stypes="app*4020*20170411*" /stext=" 05:.+((SYSTEM_STATE.+slice.+state.+changed )|(ment ac)|(multiple cpu faults)|(system.+state.+changed )|(\[timeout)|(PRM\|1\|D)|(kpr)|(kdp)|(\|lc)|(penalty))"</v>
      </c>
      <c r="AG147" s="1" t="str">
        <f t="shared" si="70"/>
        <v>EC</v>
      </c>
      <c r="AH147" s="86" t="str">
        <f t="shared" si="71"/>
        <v>"%USERPROFILE%\Documents\GitHub\eaglep3\Utilities\RefineRTDCRunTimes.py" --tripid 235-10 --locoid 4020 --swversion DE.1.0.9.0 --startMP 204:464 --initTime 2017-04-10T22:17:30 --startdatetime 2017-04-10T22:30:23 --delay 1 --endMP 204:233311 --enddatetime 2017-04-10T23:06:43 --enforcementcount 0 &gt;&gt;C:\Users\stu\Documents\GitHub\eaglep3-reporting\EC\2017-04-10-refined-times.txt</v>
      </c>
      <c r="AI147" s="104" t="str">
        <f t="shared" si="72"/>
        <v>echo {"issue":{"subject":"","project_id":79,"tracker_id":40,"status_id":1,"priority_id":2,"assigned_to_id":23,"start_date":"2017-04-10","description":"","custom_fields":[{"id":1,"name":"Subdivision","value":"EC"},{"id":4,"name":"Milepost","value":"23.3311"},{"id":17,"name":"Train ID","value":"235-10"},{"id":16,"name":"Locomotive ID","value":"4020"},{"id":130,"name":"Impact","value":""},{"id":150,"name":"Time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73"/>
        <v>start /low /b %USERPROFILE%\Documents\GitHub\eaglep3\Utilities\DownloadLogsFromS3.py --loco 4020 --day 2017-04-10</v>
      </c>
      <c r="AN147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828</v>
      </c>
      <c r="B148" s="7">
        <v>4019</v>
      </c>
      <c r="C148" s="21" t="s">
        <v>215</v>
      </c>
      <c r="D148" s="21" t="s">
        <v>877</v>
      </c>
      <c r="E148" s="13">
        <v>42835.970138888886</v>
      </c>
      <c r="F148" s="13">
        <v>42835.976689814815</v>
      </c>
      <c r="G148" s="7">
        <v>1</v>
      </c>
      <c r="H148" s="21" t="s">
        <v>425</v>
      </c>
      <c r="I148" s="13">
        <v>42836.004282407404</v>
      </c>
      <c r="J148" s="7">
        <v>0</v>
      </c>
      <c r="K148" s="97" t="str">
        <f t="shared" si="58"/>
        <v>4019/4020</v>
      </c>
      <c r="L148" s="21" t="str">
        <f>VLOOKUP(A148,'Trips&amp;Operators'!$C$1:$G$99999,5,FALSE)</f>
        <v>FORTUNATO FRANK</v>
      </c>
      <c r="M148" s="6">
        <f t="shared" si="59"/>
        <v>2.7592592588916887E-2</v>
      </c>
      <c r="N148" s="7">
        <f t="shared" si="56"/>
        <v>39.733333328040317</v>
      </c>
      <c r="O148" s="7"/>
      <c r="P148" s="7"/>
      <c r="Q148" s="22"/>
      <c r="R148" s="22"/>
      <c r="S148" s="31">
        <f t="shared" si="60"/>
        <v>1</v>
      </c>
      <c r="T148" s="46" t="str">
        <f t="shared" si="61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62"/>
        <v>https://d0f6bd738d7f1b3e5a7ca70fe4ff75f0.us-east-1.aws.found.io/app/kibana#/discover/Steve-Slow-Train-Analysis-(2080s-and-2083s)?_g=(refreshInterval:(display:Off,pause:!f,section:0,value:0),time:(from:'2017-04-10T22:17:00-0600',mode:absolute,to:'2017-04-11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8" s="183" t="str">
        <f t="shared" si="63"/>
        <v>N</v>
      </c>
      <c r="X148" s="183">
        <f t="shared" si="57"/>
        <v>1</v>
      </c>
      <c r="Y148" s="62">
        <f t="shared" si="64"/>
        <v>23.299600000000002</v>
      </c>
      <c r="Z148" s="62">
        <f t="shared" si="65"/>
        <v>1.4500000000000001E-2</v>
      </c>
      <c r="AA148" s="62">
        <f t="shared" si="66"/>
        <v>23.2851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7"/>
        <v>0236-10</v>
      </c>
      <c r="AE148" s="85" t="str">
        <f t="shared" si="68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48" s="82" t="str">
        <f t="shared" si="69"/>
        <v>"C:\Program Files (x86)\AstroGrep\AstroGrep.exe" /e /r /s /spath="%USERPROFILE%\AppData\Local\Temp\OnboardLogs" /stypes="app*4019*20170411*" /stext=" 06:.+((SYSTEM_STATE.+slice.+state.+changed )|(ment ac)|(multiple cpu faults)|(system.+state.+changed )|(\[timeout)|(PRM\|1\|D)|(kpr)|(kdp)|(\|lc)|(penalty))"</v>
      </c>
      <c r="AG148" s="1" t="str">
        <f t="shared" si="70"/>
        <v>EC</v>
      </c>
      <c r="AH148" s="86" t="str">
        <f t="shared" si="71"/>
        <v>"%USERPROFILE%\Documents\GitHub\eaglep3\Utilities\RefineRTDCRunTimes.py" --tripid 236-10 --locoid 4019 --swversion DE.1.0.9.0 --startMP 204:232996 --initTime 2017-04-10T23:17:00 --startdatetime 2017-04-10T23:26:26 --delay 1 --endMP 204:145 --enddatetime 2017-04-11T00:06:10 --enforcementcount 0 &gt;&gt;C:\Users\stu\Documents\GitHub\eaglep3-reporting\EC\2017-04-10-refined-times.txt</v>
      </c>
      <c r="AI148" s="104" t="str">
        <f t="shared" si="72"/>
        <v>echo {"issue":{"subject":"","project_id":79,"tracker_id":40,"status_id":1,"priority_id":2,"assigned_to_id":23,"start_date":"2017-04-11","description":"","custom_fields":[{"id":1,"name":"Subdivision","value":"EC"},{"id":4,"name":"Milepost","value":"0.0145"},{"id":17,"name":"Train ID","value":"236-10"},{"id":16,"name":"Locomotive ID","value":"4019"},{"id":130,"name":"Impact","value":""},{"id":150,"name":"Time of Event (Mountain Time)","value":"00:06:10"},{"id":151,"name":"Denver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73"/>
        <v>start /low /b %USERPROFILE%\Documents\GitHub\eaglep3\Utilities\DownloadLogsFromS3.py --loco 4019 --day 2017-04-10</v>
      </c>
      <c r="AN148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650</v>
      </c>
      <c r="B149" s="7">
        <v>4042</v>
      </c>
      <c r="C149" s="21" t="s">
        <v>215</v>
      </c>
      <c r="D149" s="21" t="s">
        <v>488</v>
      </c>
      <c r="E149" s="13">
        <v>42835.955196759256</v>
      </c>
      <c r="F149" s="13">
        <v>42835.958634259259</v>
      </c>
      <c r="G149" s="7">
        <v>1</v>
      </c>
      <c r="H149" s="21" t="s">
        <v>908</v>
      </c>
      <c r="I149" s="13">
        <v>42835.983715277776</v>
      </c>
      <c r="J149" s="7">
        <v>0</v>
      </c>
      <c r="K149" s="97" t="str">
        <f t="shared" si="58"/>
        <v>4041/4042</v>
      </c>
      <c r="L149" s="21" t="str">
        <f>VLOOKUP(A149,'Trips&amp;Operators'!$C$1:$G$99999,5,FALSE)</f>
        <v>CHANDLER KELVIN</v>
      </c>
      <c r="M149" s="6">
        <f t="shared" si="59"/>
        <v>2.5081018517084885E-2</v>
      </c>
      <c r="N149" s="7">
        <f t="shared" si="56"/>
        <v>36.116666664602235</v>
      </c>
      <c r="O149" s="7"/>
      <c r="P149" s="7"/>
      <c r="Q149" s="22"/>
      <c r="R149" s="22"/>
      <c r="S149" s="31">
        <f t="shared" si="60"/>
        <v>1</v>
      </c>
      <c r="T149" s="46" t="str">
        <f t="shared" si="61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62"/>
        <v>https://d0f6bd738d7f1b3e5a7ca70fe4ff75f0.us-east-1.aws.found.io/app/kibana#/discover/Steve-Slow-Train-Analysis-(2080s-and-2083s)?_g=(refreshInterval:(display:Off,pause:!f,section:0,value:0),time:(from:'2017-04-10T21:55:29-0600',mode:absolute,to:'2017-04-11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183" t="str">
        <f t="shared" si="63"/>
        <v>N</v>
      </c>
      <c r="X149" s="183">
        <f t="shared" si="57"/>
        <v>1</v>
      </c>
      <c r="Y149" s="62">
        <f t="shared" si="64"/>
        <v>4.6899999999999997E-2</v>
      </c>
      <c r="Z149" s="62">
        <f t="shared" si="65"/>
        <v>23.325299999999999</v>
      </c>
      <c r="AA149" s="62">
        <f t="shared" si="66"/>
        <v>23.278399999999998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7"/>
        <v>0237-10</v>
      </c>
      <c r="AE149" s="85" t="str">
        <f t="shared" si="68"/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49" s="82" t="str">
        <f t="shared" si="69"/>
        <v>"C:\Program Files (x86)\AstroGrep\AstroGrep.exe" /e /r /s /spath="%USERPROFILE%\AppData\Local\Temp\OnboardLogs" /stypes="app*4042*20170411*" /stext=" 05:.+((SYSTEM_STATE.+slice.+state.+changed )|(ment ac)|(multiple cpu faults)|(system.+state.+changed )|(\[timeout)|(PRM\|1\|D)|(kpr)|(kdp)|(\|lc)|(penalty))"</v>
      </c>
      <c r="AG149" s="1" t="str">
        <f t="shared" si="70"/>
        <v>EC</v>
      </c>
      <c r="AH149" s="86" t="str">
        <f t="shared" si="71"/>
        <v>"%USERPROFILE%\Documents\GitHub\eaglep3\Utilities\RefineRTDCRunTimes.py" --tripid 237-10 --locoid 4042 --swversion DE.1.0.9.0 --startMP 204:469 --initTime 2017-04-10T22:55:29 --startdatetime 2017-04-10T23:00:26 --delay 1 --endMP 204:233253 --enddatetime 2017-04-10T23:36:33 --enforcementcount 0 &gt;&gt;C:\Users\stu\Documents\GitHub\eaglep3-reporting\EC\2017-04-10-refined-times.txt</v>
      </c>
      <c r="AI149" s="104" t="str">
        <f t="shared" si="72"/>
        <v>echo {"issue":{"subject":"","project_id":79,"tracker_id":40,"status_id":1,"priority_id":2,"assigned_to_id":23,"start_date":"2017-04-10","description":"","custom_fields":[{"id":1,"name":"Subdivision","value":"EC"},{"id":4,"name":"Milepost","value":"23.3253"},{"id":17,"name":"Train ID","value":"237-10"},{"id":16,"name":"Locomotive ID","value":"4042"},{"id":130,"name":"Impact","value":""},{"id":150,"name":"Time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73"/>
        <v>start /low /b %USERPROFILE%\Documents\GitHub\eaglep3\Utilities\DownloadLogsFromS3.py --loco 4042 --day 2017-04-10</v>
      </c>
      <c r="AN149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830</v>
      </c>
      <c r="B150" s="7">
        <v>4041</v>
      </c>
      <c r="C150" s="21" t="s">
        <v>215</v>
      </c>
      <c r="D150" s="21" t="s">
        <v>909</v>
      </c>
      <c r="E150" s="13">
        <v>42835.995358796295</v>
      </c>
      <c r="F150" s="13">
        <v>42835.997557870367</v>
      </c>
      <c r="G150" s="7">
        <v>0</v>
      </c>
      <c r="H150" s="21" t="s">
        <v>211</v>
      </c>
      <c r="I150" s="13">
        <v>42836.025300925925</v>
      </c>
      <c r="J150" s="7">
        <v>0</v>
      </c>
      <c r="K150" s="97" t="str">
        <f t="shared" si="58"/>
        <v>4041/4042</v>
      </c>
      <c r="L150" s="21" t="str">
        <f>VLOOKUP(A150,'Trips&amp;Operators'!$C$1:$G$99999,5,FALSE)</f>
        <v>CHANDLER KELVIN</v>
      </c>
      <c r="M150" s="6">
        <f t="shared" si="59"/>
        <v>2.7743055557948537E-2</v>
      </c>
      <c r="N150" s="7">
        <f t="shared" si="56"/>
        <v>39.950000003445894</v>
      </c>
      <c r="O150" s="7"/>
      <c r="P150" s="7"/>
      <c r="Q150" s="22"/>
      <c r="R150" s="22"/>
      <c r="S150" s="31">
        <f t="shared" si="60"/>
        <v>1</v>
      </c>
      <c r="T150" s="46" t="str">
        <f t="shared" si="61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62"/>
        <v>https://d0f6bd738d7f1b3e5a7ca70fe4ff75f0.us-east-1.aws.found.io/app/kibana#/discover/Steve-Slow-Train-Analysis-(2080s-and-2083s)?_g=(refreshInterval:(display:Off,pause:!f,section:0,value:0),time:(from:'2017-04-10T22:53:19-0600',mode:absolute,to:'2017-04-11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83" t="str">
        <f t="shared" si="63"/>
        <v>N</v>
      </c>
      <c r="X150" s="183">
        <f t="shared" si="57"/>
        <v>1</v>
      </c>
      <c r="Y150" s="62">
        <f t="shared" si="64"/>
        <v>23.295300000000001</v>
      </c>
      <c r="Z150" s="62">
        <f t="shared" si="65"/>
        <v>1.5599999999999999E-2</v>
      </c>
      <c r="AA150" s="62">
        <f t="shared" si="66"/>
        <v>23.279700000000002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7"/>
        <v>0238-10</v>
      </c>
      <c r="AE150" s="85" t="str">
        <f t="shared" si="68"/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50" s="82" t="str">
        <f t="shared" si="69"/>
        <v>"C:\Program Files (x86)\AstroGrep\AstroGrep.exe" /e /r /s /spath="%USERPROFILE%\AppData\Local\Temp\OnboardLogs" /stypes="app*4041*20170411*" /stext=" 06:.+((SYSTEM_STATE.+slice.+state.+changed )|(ment ac)|(multiple cpu faults)|(system.+state.+changed )|(\[timeout)|(PRM\|1\|D)|(kpr)|(kdp)|(\|lc)|(penalty))"</v>
      </c>
      <c r="AG150" s="1" t="str">
        <f t="shared" si="70"/>
        <v>EC</v>
      </c>
      <c r="AH150" s="86" t="str">
        <f t="shared" si="71"/>
        <v>"%USERPROFILE%\Documents\GitHub\eaglep3\Utilities\RefineRTDCRunTimes.py" --tripid 238-10 --locoid 4041 --swversion DE.1.0.9.0 --startMP 204:232953 --initTime 2017-04-10T23:53:19 --startdatetime 2017-04-10T23:56:29 --delay 0 --endMP 204:156 --enddatetime 2017-04-11T00:36:26 --enforcementcount 0 &gt;&gt;C:\Users\stu\Documents\GitHub\eaglep3-reporting\EC\2017-04-10-refined-times.txt</v>
      </c>
      <c r="AI150" s="104" t="str">
        <f t="shared" si="72"/>
        <v>echo {"issue":{"subject":"","project_id":79,"tracker_id":40,"status_id":1,"priority_id":2,"assigned_to_id":23,"start_date":"2017-04-11","description":"","custom_fields":[{"id":1,"name":"Subdivision","value":"EC"},{"id":4,"name":"Milepost","value":"0.0156"},{"id":17,"name":"Train ID","value":"238-10"},{"id":16,"name":"Locomotive ID","value":"4041"},{"id":130,"name":"Impact","value":""},{"id":150,"name":"Time of Event (Mountain Time)","value":"00:36:26"},{"id":151,"name":"Denver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73"/>
        <v>start /low /b %USERPROFILE%\Documents\GitHub\eaglep3\Utilities\DownloadLogsFromS3.py --loco 4041 --day 2017-04-10</v>
      </c>
      <c r="AN150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827</v>
      </c>
      <c r="B151" s="7">
        <v>4002</v>
      </c>
      <c r="C151" s="21" t="s">
        <v>215</v>
      </c>
      <c r="D151" s="21" t="s">
        <v>206</v>
      </c>
      <c r="E151" s="13">
        <v>42835.9684837963</v>
      </c>
      <c r="F151" s="13">
        <v>42835.979398148149</v>
      </c>
      <c r="G151" s="7">
        <v>1</v>
      </c>
      <c r="H151" s="21" t="s">
        <v>525</v>
      </c>
      <c r="I151" s="13">
        <v>42836.003923611112</v>
      </c>
      <c r="J151" s="7">
        <v>0</v>
      </c>
      <c r="K151" s="97" t="str">
        <f t="shared" si="58"/>
        <v>4001/4002</v>
      </c>
      <c r="L151" s="21" t="str">
        <f>VLOOKUP(A151,'Trips&amp;Operators'!$C$1:$G$99999,5,FALSE)</f>
        <v>SMITH MICHAEL</v>
      </c>
      <c r="M151" s="6">
        <f t="shared" si="59"/>
        <v>2.4525462962628808E-2</v>
      </c>
      <c r="N151" s="7">
        <f t="shared" si="56"/>
        <v>35.316666666185483</v>
      </c>
      <c r="O151" s="7"/>
      <c r="P151" s="7"/>
      <c r="Q151" s="22"/>
      <c r="R151" s="22"/>
      <c r="S151" s="31">
        <f t="shared" si="60"/>
        <v>1</v>
      </c>
      <c r="T151" s="46" t="str">
        <f t="shared" si="61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62"/>
        <v>https://d0f6bd738d7f1b3e5a7ca70fe4ff75f0.us-east-1.aws.found.io/app/kibana#/discover/Steve-Slow-Train-Analysis-(2080s-and-2083s)?_g=(refreshInterval:(display:Off,pause:!f,section:0,value:0),time:(from:'2017-04-10T22:14:37-0600',mode:absolute,to:'2017-04-11T01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83" t="str">
        <f t="shared" si="63"/>
        <v>N</v>
      </c>
      <c r="X151" s="183">
        <f t="shared" si="57"/>
        <v>1</v>
      </c>
      <c r="Y151" s="62">
        <f t="shared" si="64"/>
        <v>4.5999999999999999E-2</v>
      </c>
      <c r="Z151" s="62">
        <f t="shared" si="65"/>
        <v>23.3293</v>
      </c>
      <c r="AA151" s="62">
        <f t="shared" si="66"/>
        <v>23.283300000000001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7"/>
        <v>0239-10</v>
      </c>
      <c r="AE151" s="85" t="str">
        <f t="shared" si="68"/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51" s="82" t="str">
        <f t="shared" si="69"/>
        <v>"C:\Program Files (x86)\AstroGrep\AstroGrep.exe" /e /r /s /spath="%USERPROFILE%\AppData\Local\Temp\OnboardLogs" /stypes="app*4002*20170411*" /stext=" 06:.+((SYSTEM_STATE.+slice.+state.+changed )|(ment ac)|(multiple cpu faults)|(system.+state.+changed )|(\[timeout)|(PRM\|1\|D)|(kpr)|(kdp)|(\|lc)|(penalty))"</v>
      </c>
      <c r="AG151" s="1" t="str">
        <f t="shared" si="70"/>
        <v>EC</v>
      </c>
      <c r="AH151" s="86" t="str">
        <f t="shared" si="71"/>
        <v>"%USERPROFILE%\Documents\GitHub\eaglep3\Utilities\RefineRTDCRunTimes.py" --tripid 239-10 --locoid 4002 --swversion DE.1.0.9.0 --startMP 204:460 --initTime 2017-04-10T23:14:37 --startdatetime 2017-04-10T23:30:20 --delay 1 --endMP 204:233293 --enddatetime 2017-04-11T00:05:39 --enforcementcount 0 &gt;&gt;C:\Users\stu\Documents\GitHub\eaglep3-reporting\EC\2017-04-10-refined-times.txt</v>
      </c>
      <c r="AI151" s="104" t="str">
        <f t="shared" si="72"/>
        <v>echo {"issue":{"subject":"","project_id":79,"tracker_id":40,"status_id":1,"priority_id":2,"assigned_to_id":23,"start_date":"2017-04-11","description":"","custom_fields":[{"id":1,"name":"Subdivision","value":"EC"},{"id":4,"name":"Milepost","value":"23.3293"},{"id":17,"name":"Train ID","value":"239-10"},{"id":16,"name":"Locomotive ID","value":"4002"},{"id":130,"name":"Impact","value":""},{"id":150,"name":"Time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73"/>
        <v>start /low /b %USERPROFILE%\Documents\GitHub\eaglep3\Utilities\DownloadLogsFromS3.py --loco 4002 --day 2017-04-10</v>
      </c>
      <c r="AN151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832</v>
      </c>
      <c r="B152" s="7">
        <v>4001</v>
      </c>
      <c r="C152" s="21" t="s">
        <v>215</v>
      </c>
      <c r="D152" s="21" t="s">
        <v>528</v>
      </c>
      <c r="E152" s="13">
        <v>42836.012083333335</v>
      </c>
      <c r="F152" s="13">
        <v>42836.018287037034</v>
      </c>
      <c r="G152" s="7">
        <v>2</v>
      </c>
      <c r="H152" s="21" t="s">
        <v>197</v>
      </c>
      <c r="I152" s="13">
        <v>42836.046493055554</v>
      </c>
      <c r="J152" s="7">
        <v>0</v>
      </c>
      <c r="K152" s="97" t="str">
        <f t="shared" si="58"/>
        <v>4001/4002</v>
      </c>
      <c r="L152" s="21" t="str">
        <f>VLOOKUP(A152,'Trips&amp;Operators'!$C$1:$G$99999,5,FALSE)</f>
        <v>SMITH MICHAEL</v>
      </c>
      <c r="M152" s="6">
        <f t="shared" si="59"/>
        <v>2.8206018519995268E-2</v>
      </c>
      <c r="N152" s="7">
        <f t="shared" si="56"/>
        <v>40.616666668793187</v>
      </c>
      <c r="O152" s="7"/>
      <c r="P152" s="7"/>
      <c r="Q152" s="22"/>
      <c r="R152" s="22"/>
      <c r="S152" s="31">
        <f t="shared" si="60"/>
        <v>1</v>
      </c>
      <c r="T152" s="46" t="str">
        <f t="shared" si="61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62"/>
        <v>https://d0f6bd738d7f1b3e5a7ca70fe4ff75f0.us-east-1.aws.found.io/app/kibana#/discover/Steve-Slow-Train-Analysis-(2080s-and-2083s)?_g=(refreshInterval:(display:Off,pause:!f,section:0,value:0),time:(from:'2017-04-10T23:17:24-0600',mode:absolute,to:'2017-04-11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83" t="str">
        <f t="shared" si="63"/>
        <v>N</v>
      </c>
      <c r="X152" s="183">
        <f t="shared" si="57"/>
        <v>1</v>
      </c>
      <c r="Y152" s="62">
        <f t="shared" si="64"/>
        <v>23.2973</v>
      </c>
      <c r="Z152" s="62">
        <f t="shared" si="65"/>
        <v>1.52E-2</v>
      </c>
      <c r="AA152" s="62">
        <f t="shared" si="66"/>
        <v>23.2821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7"/>
        <v>0240-10</v>
      </c>
      <c r="AE152" s="85" t="str">
        <f t="shared" si="68"/>
        <v>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 &amp; aws s3 cp s3://rtdc.mdm.uploadarchive.raw/RTDC4001/ "%USERPROFILE%\AppData\Local\Temp\OnboardLogs"\RTDC4001\2017-04-12 --exclude "*" --recursive --include "*20170412*" &amp; "%USERPROFILE%\Documents\GitHub\mrs-test-scripts\Headless Mode &amp; Sideloading\WalkAndUnGZ.bat" "%USERPROFILE%\AppData\Local\Temp\OnboardLogs"\RTDC4001\2017-04-12</v>
      </c>
      <c r="AF152" s="82" t="str">
        <f t="shared" si="69"/>
        <v>"C:\Program Files (x86)\AstroGrep\AstroGrep.exe" /e /r /s /spath="%USERPROFILE%\AppData\Local\Temp\OnboardLogs" /stypes="app*4001*20170411*" /stext=" 07:.+((SYSTEM_STATE.+slice.+state.+changed )|(ment ac)|(multiple cpu faults)|(system.+state.+changed )|(\[timeout)|(PRM\|1\|D)|(kpr)|(kdp)|(\|lc)|(penalty))"</v>
      </c>
      <c r="AG152" s="1" t="str">
        <f t="shared" si="70"/>
        <v>EC</v>
      </c>
      <c r="AH152" s="86" t="str">
        <f t="shared" si="71"/>
        <v>"%USERPROFILE%\Documents\GitHub\eaglep3\Utilities\RefineRTDCRunTimes.py" --tripid 240-10 --locoid 4001 --swversion DE.1.0.9.0 --startMP 204:232973 --initTime 2017-04-11T00:17:24 --startdatetime 2017-04-11T00:26:20 --delay 2 --endMP 204:152 --enddatetime 2017-04-11T01:06:57 --enforcementcount 0 &gt;&gt;C:\Users\stu\Documents\GitHub\eaglep3-reporting\EC\2017-04-10-refined-times.txt</v>
      </c>
      <c r="AI152" s="104" t="str">
        <f t="shared" si="72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ID","value":"240-10"},{"id":16,"name":"Locomotive ID","value":"4001"},{"id":130,"name":"Impact","value":""},{"id":150,"name":"Time of Event (Mountain Time)","value":"01:06:57"},{"id":151,"name":"Denver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73"/>
        <v>start /low /b %USERPROFILE%\Documents\GitHub\eaglep3\Utilities\DownloadLogsFromS3.py --loco 4001 --day 2017-04-11</v>
      </c>
      <c r="AN152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829</v>
      </c>
      <c r="B153" s="7">
        <v>4006</v>
      </c>
      <c r="C153" s="21" t="s">
        <v>215</v>
      </c>
      <c r="D153" s="21" t="s">
        <v>528</v>
      </c>
      <c r="E153" s="13">
        <v>42836.012083333335</v>
      </c>
      <c r="F153" s="13">
        <v>42836.000173611108</v>
      </c>
      <c r="G153" s="7">
        <v>2</v>
      </c>
      <c r="H153" s="21" t="s">
        <v>197</v>
      </c>
      <c r="I153" s="13">
        <v>42836.026574074072</v>
      </c>
      <c r="J153" s="7">
        <v>0</v>
      </c>
      <c r="K153" s="97" t="str">
        <f t="shared" si="58"/>
        <v>4005/4006</v>
      </c>
      <c r="L153" s="21" t="str">
        <f>VLOOKUP(A153,'Trips&amp;Operators'!$C$1:$G$99999,5,FALSE)</f>
        <v>SULLIVAN BRANDON</v>
      </c>
      <c r="M153" s="6">
        <f t="shared" si="59"/>
        <v>2.6400462964375038E-2</v>
      </c>
      <c r="N153" s="7">
        <f t="shared" si="56"/>
        <v>38.016666668700054</v>
      </c>
      <c r="O153" s="7"/>
      <c r="P153" s="7"/>
      <c r="Q153" s="22"/>
      <c r="R153" s="22"/>
      <c r="S153" s="31">
        <f t="shared" si="60"/>
        <v>1</v>
      </c>
      <c r="T153" s="46" t="str">
        <f t="shared" si="61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62"/>
        <v>https://d0f6bd738d7f1b3e5a7ca70fe4ff75f0.us-east-1.aws.found.io/app/kibana#/discover/Steve-Slow-Train-Analysis-(2080s-and-2083s)?_g=(refreshInterval:(display:Off,pause:!f,section:0,value:0),time:(from:'2017-04-10T23:17:24-0600',mode:absolute,to:'2017-04-11T01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83" t="str">
        <f t="shared" si="63"/>
        <v>N</v>
      </c>
      <c r="X153" s="183">
        <f t="shared" ref="X153:X156" si="75">VALUE(LEFT(AD153,4))-VALUE(LEFT(AD152,4))</f>
        <v>1</v>
      </c>
      <c r="Y153" s="62">
        <v>4.5999999999999999E-2</v>
      </c>
      <c r="Z153" s="62">
        <v>23.3293</v>
      </c>
      <c r="AA153" s="62">
        <f t="shared" si="66"/>
        <v>23.283300000000001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7"/>
        <v>0241-10</v>
      </c>
      <c r="AE153" s="85" t="str">
        <f t="shared" si="68"/>
        <v>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 &amp; aws s3 cp s3://rtdc.mdm.uploadarchive.raw/RTDC4006/ "%USERPROFILE%\AppData\Local\Temp\OnboardLogs"\RTDC4006\2017-04-12 --exclude "*" --recursive --include "*20170412*" &amp; "%USERPROFILE%\Documents\GitHub\mrs-test-scripts\Headless Mode &amp; Sideloading\WalkAndUnGZ.bat" "%USERPROFILE%\AppData\Local\Temp\OnboardLogs"\RTDC4006\2017-04-12</v>
      </c>
      <c r="AF153" s="82" t="str">
        <f t="shared" si="69"/>
        <v>"C:\Program Files (x86)\AstroGrep\AstroGrep.exe" /e /r /s /spath="%USERPROFILE%\AppData\Local\Temp\OnboardLogs" /stypes="app*4006*20170411*" /stext=" 06:.+((SYSTEM_STATE.+slice.+state.+changed )|(ment ac)|(multiple cpu faults)|(system.+state.+changed )|(\[timeout)|(PRM\|1\|D)|(kpr)|(kdp)|(\|lc)|(penalty))"</v>
      </c>
      <c r="AG153" s="1" t="str">
        <f t="shared" si="70"/>
        <v>EC</v>
      </c>
      <c r="AH153" s="86" t="str">
        <f t="shared" ref="AH153" si="76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241-10 --locoid 4006 --swversion DE.1.0.9.0 --startMP 204:232973 --initTime 2017-04-11T00:17:24 --startdatetime 2017-04-11T00:00:15 --delay 2 --endMP 204:152 --enddatetime 2017-04-11T00:38:16 --enforcementcount 0 &gt;&gt;C:\Users\stu\Documents\GitHub\eaglep3-reporting\EC\2017-04-10-refined-times.txt</v>
      </c>
      <c r="AI153" s="104" t="str">
        <f t="shared" ref="AI153" si="77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{"issue":{"subject":"","project_id":79,"tracker_id":40,"status_id":1,"priority_id":2,"assigned_to_id":23,"start_date":"2017-04-11","description":"","custom_fields":[{"id":1,"name":"Subdivision","value":"EC"},{"id":4,"name":"Milepost","value":"23.3293"},{"id":17,"name":"Train ID","value":"241-10"},{"id":16,"name":"Locomotive ID","value":"4006"},{"id":130,"name":"Impact","value":""},{"id":150,"name":"Time of Event (Mountain Time)","value":"00:38:16"},{"id":151,"name":"Denver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ref="AM153" si="78">"start /low /b "&amp;dls3logs&amp;" --loco "&amp;B153&amp;" --day "&amp;TEXT(F153,"YYYY-MM-DD")</f>
        <v>start /low /b %USERPROFILE%\Documents\GitHub\eaglep3\Utilities\DownloadLogsFromS3.py --loco 4006 --day 2017-04-11</v>
      </c>
      <c r="AN153" s="159" t="str">
        <f t="shared" ref="AN153" si="79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834</v>
      </c>
      <c r="B154" s="7">
        <v>4005</v>
      </c>
      <c r="C154" s="21" t="s">
        <v>215</v>
      </c>
      <c r="D154" s="21" t="s">
        <v>528</v>
      </c>
      <c r="E154" s="13">
        <v>42836.033148148148</v>
      </c>
      <c r="F154" s="13">
        <v>42836.039097222223</v>
      </c>
      <c r="G154" s="7">
        <v>1</v>
      </c>
      <c r="H154" s="21" t="s">
        <v>427</v>
      </c>
      <c r="I154" s="13">
        <v>42836.067488425928</v>
      </c>
      <c r="J154" s="7">
        <v>0</v>
      </c>
      <c r="K154" s="97" t="str">
        <f t="shared" si="58"/>
        <v>4005/4006</v>
      </c>
      <c r="L154" s="21" t="str">
        <f>VLOOKUP(A154,'Trips&amp;Operators'!$C$1:$G$99999,5,FALSE)</f>
        <v>SULLIVAN BRANDON</v>
      </c>
      <c r="M154" s="6">
        <f t="shared" si="59"/>
        <v>2.8391203704813961E-2</v>
      </c>
      <c r="N154" s="7">
        <f t="shared" si="56"/>
        <v>40.883333334932104</v>
      </c>
      <c r="O154" s="7"/>
      <c r="P154" s="7"/>
      <c r="Q154" s="22"/>
      <c r="R154" s="22"/>
      <c r="S154" s="31">
        <f t="shared" si="60"/>
        <v>1</v>
      </c>
      <c r="T154" s="46" t="str">
        <f t="shared" si="61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62"/>
        <v>https://d0f6bd738d7f1b3e5a7ca70fe4ff75f0.us-east-1.aws.found.io/app/kibana#/discover/Steve-Slow-Train-Analysis-(2080s-and-2083s)?_g=(refreshInterval:(display:Off,pause:!f,section:0,value:0),time:(from:'2017-04-10T23:47:44-0600',mode:absolute,to:'2017-04-11T02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83" t="str">
        <f t="shared" si="63"/>
        <v>N</v>
      </c>
      <c r="X154" s="183">
        <f t="shared" si="75"/>
        <v>1</v>
      </c>
      <c r="Y154" s="62">
        <f t="shared" ref="Y154:Y185" si="80">RIGHT(D154,LEN(D154)-4)/10000</f>
        <v>23.2973</v>
      </c>
      <c r="Z154" s="62">
        <f t="shared" ref="Z154:Z185" si="81">RIGHT(H154,LEN(H154)-4)/10000</f>
        <v>1.6E-2</v>
      </c>
      <c r="AA154" s="62">
        <f t="shared" si="66"/>
        <v>23.281300000000002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7"/>
        <v>0242-10</v>
      </c>
      <c r="AE154" s="85" t="str">
        <f t="shared" si="68"/>
        <v>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 &amp; aws s3 cp s3://rtdc.mdm.uploadarchive.raw/RTDC4005/ "%USERPROFILE%\AppData\Local\Temp\OnboardLogs"\RTDC4005\2017-04-12 --exclude "*" --recursive --include "*20170412*" &amp; "%USERPROFILE%\Documents\GitHub\mrs-test-scripts\Headless Mode &amp; Sideloading\WalkAndUnGZ.bat" "%USERPROFILE%\AppData\Local\Temp\OnboardLogs"\RTDC4005\2017-04-12</v>
      </c>
      <c r="AF154" s="82" t="str">
        <f t="shared" si="69"/>
        <v>"C:\Program Files (x86)\AstroGrep\AstroGrep.exe" /e /r /s /spath="%USERPROFILE%\AppData\Local\Temp\OnboardLogs" /stypes="app*4005*20170411*" /stext=" 07:.+((SYSTEM_STATE.+slice.+state.+changed )|(ment ac)|(multiple cpu faults)|(system.+state.+changed )|(\[timeout)|(PRM\|1\|D)|(kpr)|(kdp)|(\|lc)|(penalty))"</v>
      </c>
      <c r="AG154" s="1" t="str">
        <f t="shared" si="70"/>
        <v>EC</v>
      </c>
      <c r="AH154" s="86" t="str">
        <f t="shared" si="71"/>
        <v>"%USERPROFILE%\Documents\GitHub\eaglep3\Utilities\RefineRTDCRunTimes.py" --tripid 242-10 --locoid 4005 --swversion DE.1.0.9.0 --startMP 204:232973 --initTime 2017-04-11T00:47:44 --startdatetime 2017-04-11T00:56:18 --delay 1 --endMP 204:160 --enddatetime 2017-04-11T01:37:11 --enforcementcount 0 &gt;&gt;C:\Users\stu\Documents\GitHub\eaglep3-reporting\EC\2017-04-10-refined-times.txt</v>
      </c>
      <c r="AI154" s="104" t="str">
        <f t="shared" si="72"/>
        <v>echo {"issue":{"subject":"","project_id":79,"tracker_id":40,"status_id":1,"priority_id":2,"assigned_to_id":23,"start_date":"2017-04-11","description":"","custom_fields":[{"id":1,"name":"Subdivision","value":"EC"},{"id":4,"name":"Milepost","value":"0.016"},{"id":17,"name":"Train ID","value":"242-10"},{"id":16,"name":"Locomotive ID","value":"4005"},{"id":130,"name":"Impact","value":""},{"id":150,"name":"Time of Event (Mountain Time)","value":"01:37:11"},{"id":151,"name":"Denver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73"/>
        <v>start /low /b %USERPROFILE%\Documents\GitHub\eaglep3\Utilities\DownloadLogsFromS3.py --loco 4005 --day 2017-04-11</v>
      </c>
      <c r="AN154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831</v>
      </c>
      <c r="B155" s="7">
        <v>4020</v>
      </c>
      <c r="C155" s="21" t="s">
        <v>215</v>
      </c>
      <c r="D155" s="21" t="s">
        <v>426</v>
      </c>
      <c r="E155" s="13">
        <v>42836.008715277778</v>
      </c>
      <c r="F155" s="13">
        <v>42836.021006944444</v>
      </c>
      <c r="G155" s="7">
        <v>3</v>
      </c>
      <c r="H155" s="21" t="s">
        <v>867</v>
      </c>
      <c r="I155" s="13">
        <v>42836.047696759262</v>
      </c>
      <c r="J155" s="7">
        <v>0</v>
      </c>
      <c r="K155" s="97" t="str">
        <f t="shared" si="58"/>
        <v>4019/4020</v>
      </c>
      <c r="L155" s="21" t="str">
        <f>VLOOKUP(A155,'Trips&amp;Operators'!$C$1:$G$99999,5,FALSE)</f>
        <v>FORTUNATO FRANK</v>
      </c>
      <c r="M155" s="6">
        <f t="shared" si="59"/>
        <v>2.6689814818382729E-2</v>
      </c>
      <c r="N155" s="7">
        <f t="shared" si="56"/>
        <v>38.43333333847113</v>
      </c>
      <c r="O155" s="7"/>
      <c r="P155" s="7"/>
      <c r="Q155" s="22"/>
      <c r="R155" s="22"/>
      <c r="S155" s="31">
        <f t="shared" si="60"/>
        <v>1</v>
      </c>
      <c r="T155" s="46" t="str">
        <f t="shared" si="61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62"/>
        <v>https://d0f6bd738d7f1b3e5a7ca70fe4ff75f0.us-east-1.aws.found.io/app/kibana#/discover/Steve-Slow-Train-Analysis-(2080s-and-2083s)?_g=(refreshInterval:(display:Off,pause:!f,section:0,value:0),time:(from:'2017-04-10T23:12:33-0600',mode:absolute,to:'2017-04-11T02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5" s="183" t="str">
        <f t="shared" si="63"/>
        <v>N</v>
      </c>
      <c r="X155" s="183">
        <f t="shared" si="75"/>
        <v>1</v>
      </c>
      <c r="Y155" s="62">
        <f t="shared" si="80"/>
        <v>4.6600000000000003E-2</v>
      </c>
      <c r="Z155" s="62">
        <f t="shared" si="81"/>
        <v>23.329899999999999</v>
      </c>
      <c r="AA155" s="62">
        <f t="shared" si="66"/>
        <v>23.283299999999997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7"/>
        <v>0243-10</v>
      </c>
      <c r="AE155" s="85" t="str">
        <f t="shared" si="68"/>
        <v>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 &amp; 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</v>
      </c>
      <c r="AF155" s="82" t="str">
        <f t="shared" si="69"/>
        <v>"C:\Program Files (x86)\AstroGrep\AstroGrep.exe" /e /r /s /spath="%USERPROFILE%\AppData\Local\Temp\OnboardLogs" /stypes="app*4020*20170411*" /stext=" 07:.+((SYSTEM_STATE.+slice.+state.+changed )|(ment ac)|(multiple cpu faults)|(system.+state.+changed )|(\[timeout)|(PRM\|1\|D)|(kpr)|(kdp)|(\|lc)|(penalty))"</v>
      </c>
      <c r="AG155" s="1" t="str">
        <f t="shared" si="70"/>
        <v>EC</v>
      </c>
      <c r="AH155" s="86" t="str">
        <f t="shared" si="71"/>
        <v>"%USERPROFILE%\Documents\GitHub\eaglep3\Utilities\RefineRTDCRunTimes.py" --tripid 243-10 --locoid 4020 --swversion DE.1.0.9.0 --startMP 204:466 --initTime 2017-04-11T00:12:33 --startdatetime 2017-04-11T00:30:15 --delay 3 --endMP 204:233299 --enddatetime 2017-04-11T01:08:41 --enforcementcount 0 &gt;&gt;C:\Users\stu\Documents\GitHub\eaglep3-reporting\EC\2017-04-10-refined-times.txt</v>
      </c>
      <c r="AI155" s="104" t="str">
        <f t="shared" si="72"/>
        <v>echo {"issue":{"subject":"","project_id":79,"tracker_id":40,"status_id":1,"priority_id":2,"assigned_to_id":23,"start_date":"2017-04-11","description":"","custom_fields":[{"id":1,"name":"Subdivision","value":"EC"},{"id":4,"name":"Milepost","value":"23.3299"},{"id":17,"name":"Train ID","value":"243-10"},{"id":16,"name":"Locomotive ID","value":"4020"},{"id":130,"name":"Impact","value":""},{"id":150,"name":"Time of Event (Mountain Time)","value":"01:08:41"},{"id":151,"name":"Denver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73"/>
        <v>start /low /b %USERPROFILE%\Documents\GitHub\eaglep3\Utilities\DownloadLogsFromS3.py --loco 4020 --day 2017-04-11</v>
      </c>
      <c r="AN155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836</v>
      </c>
      <c r="B156" s="7">
        <v>4019</v>
      </c>
      <c r="C156" s="21" t="s">
        <v>215</v>
      </c>
      <c r="D156" s="21" t="s">
        <v>556</v>
      </c>
      <c r="E156" s="13">
        <v>42836.049687500003</v>
      </c>
      <c r="F156" s="13">
        <v>42836.059872685182</v>
      </c>
      <c r="G156" s="7">
        <v>1</v>
      </c>
      <c r="H156" s="21" t="s">
        <v>212</v>
      </c>
      <c r="I156" s="13">
        <v>42836.087002314816</v>
      </c>
      <c r="J156" s="7">
        <v>0</v>
      </c>
      <c r="K156" s="97" t="str">
        <f t="shared" si="58"/>
        <v>4019/4020</v>
      </c>
      <c r="L156" s="21" t="str">
        <f>VLOOKUP(A156,'Trips&amp;Operators'!$C$1:$G$99999,5,FALSE)</f>
        <v>FORTUNATO FRANK</v>
      </c>
      <c r="M156" s="6">
        <f t="shared" si="59"/>
        <v>2.7129629634146113E-2</v>
      </c>
      <c r="N156" s="7">
        <f t="shared" si="56"/>
        <v>39.066666673170403</v>
      </c>
      <c r="O156" s="7"/>
      <c r="P156" s="7"/>
      <c r="Q156" s="22"/>
      <c r="R156" s="22"/>
      <c r="S156" s="31">
        <f t="shared" si="60"/>
        <v>1</v>
      </c>
      <c r="T156" s="46" t="str">
        <f t="shared" si="61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62"/>
        <v>https://d0f6bd738d7f1b3e5a7ca70fe4ff75f0.us-east-1.aws.found.io/app/kibana#/discover/Steve-Slow-Train-Analysis-(2080s-and-2083s)?_g=(refreshInterval:(display:Off,pause:!f,section:0,value:0),time:(from:'2017-04-11T00:11:33-0600',mode:absolute,to:'2017-04-11T03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6" s="183" t="str">
        <f t="shared" si="63"/>
        <v>N</v>
      </c>
      <c r="X156" s="183">
        <f t="shared" si="75"/>
        <v>1</v>
      </c>
      <c r="Y156" s="62">
        <f t="shared" si="80"/>
        <v>23.298200000000001</v>
      </c>
      <c r="Z156" s="62">
        <f t="shared" si="81"/>
        <v>1.47E-2</v>
      </c>
      <c r="AA156" s="62">
        <f t="shared" si="66"/>
        <v>23.2835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7"/>
        <v>0244-10</v>
      </c>
      <c r="AE156" s="85" t="str">
        <f t="shared" si="68"/>
        <v>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 &amp; 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</v>
      </c>
      <c r="AF156" s="82" t="str">
        <f t="shared" si="69"/>
        <v>"C:\Program Files (x86)\AstroGrep\AstroGrep.exe" /e /r /s /spath="%USERPROFILE%\AppData\Local\Temp\OnboardLogs" /stypes="app*4019*20170411*" /stext=" 08:.+((SYSTEM_STATE.+slice.+state.+changed )|(ment ac)|(multiple cpu faults)|(system.+state.+changed )|(\[timeout)|(PRM\|1\|D)|(kpr)|(kdp)|(\|lc)|(penalty))"</v>
      </c>
      <c r="AG156" s="1" t="str">
        <f t="shared" si="70"/>
        <v>EC</v>
      </c>
      <c r="AH156" s="86" t="str">
        <f t="shared" si="71"/>
        <v>"%USERPROFILE%\Documents\GitHub\eaglep3\Utilities\RefineRTDCRunTimes.py" --tripid 244-10 --locoid 4019 --swversion DE.1.0.9.0 --startMP 204:232982 --initTime 2017-04-11T01:11:33 --startdatetime 2017-04-11T01:26:13 --delay 1 --endMP 204:147 --enddatetime 2017-04-11T02:05:17 --enforcementcount 0 &gt;&gt;C:\Users\stu\Documents\GitHub\eaglep3-reporting\EC\2017-04-10-refined-times.txt</v>
      </c>
      <c r="AI156" s="104" t="str">
        <f t="shared" si="72"/>
        <v>echo {"issue":{"subject":"","project_id":79,"tracker_id":40,"status_id":1,"priority_id":2,"assigned_to_id":23,"start_date":"2017-04-11","description":"","custom_fields":[{"id":1,"name":"Subdivision","value":"EC"},{"id":4,"name":"Milepost","value":"0.0147"},{"id":17,"name":"Train ID","value":"244-10"},{"id":16,"name":"Locomotive ID","value":"4019"},{"id":130,"name":"Impact","value":""},{"id":150,"name":"Time of Event (Mountain Time)","value":"02:05:17"},{"id":151,"name":"Denver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73"/>
        <v>start /low /b %USERPROFILE%\Documents\GitHub\eaglep3\Utilities\DownloadLogsFromS3.py --loco 4019 --day 2017-04-11</v>
      </c>
      <c r="AN156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08:05:17"},{"id":29,"name":"Sharepoint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600</v>
      </c>
      <c r="B157" s="7">
        <v>4017</v>
      </c>
      <c r="C157" s="21" t="s">
        <v>215</v>
      </c>
      <c r="D157" s="21" t="s">
        <v>932</v>
      </c>
      <c r="E157" s="13">
        <v>42835.217083333337</v>
      </c>
      <c r="F157" s="13">
        <v>42835.218414351853</v>
      </c>
      <c r="G157" s="7">
        <v>1</v>
      </c>
      <c r="H157" s="21" t="s">
        <v>933</v>
      </c>
      <c r="I157" s="13">
        <v>42835.227418981478</v>
      </c>
      <c r="J157" s="7">
        <v>0</v>
      </c>
      <c r="K157" s="97" t="str">
        <f t="shared" si="58"/>
        <v>4017/4018</v>
      </c>
      <c r="L157" s="21" t="str">
        <f>VLOOKUP(A157,'Trips&amp;Operators'!$C$1:$G$99999,5,FALSE)</f>
        <v>DAVIS WENDY</v>
      </c>
      <c r="M157" s="6">
        <f t="shared" si="59"/>
        <v>9.0046296245418489E-3</v>
      </c>
      <c r="N157" s="7">
        <f t="shared" si="56"/>
        <v>12.966666659340262</v>
      </c>
      <c r="O157" s="7"/>
      <c r="P157" s="7"/>
      <c r="Q157" s="22"/>
      <c r="R157" s="22"/>
      <c r="S157" s="31">
        <f t="shared" si="60"/>
        <v>1</v>
      </c>
      <c r="T157" s="46" t="str">
        <f t="shared" si="61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2" t="str">
        <f t="shared" si="62"/>
        <v>https://d0f6bd738d7f1b3e5a7ca70fe4ff75f0.us-east-1.aws.found.io/app/kibana#/discover/Steve-Slow-Train-Analysis-(2080s-and-2083s)?_g=(refreshInterval:(display:Off,pause:!f,section:0,value:0),time:(from:'2017-04-10T04:12:36-0600',mode:absolute,to:'2017-04-10T06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83" t="str">
        <f t="shared" si="63"/>
        <v>N</v>
      </c>
      <c r="X157" s="183">
        <f t="shared" ref="X157:X188" si="82">VALUE(LEFT(AD157,4))-VALUE(LEFT(AD156,4))</f>
        <v>556</v>
      </c>
      <c r="Y157" s="62">
        <f t="shared" si="80"/>
        <v>5.8696000000000002</v>
      </c>
      <c r="Z157" s="62">
        <f t="shared" si="81"/>
        <v>7.0499999999999993E-2</v>
      </c>
      <c r="AA157" s="62">
        <f t="shared" si="66"/>
        <v>5.7991000000000001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7"/>
        <v>0800-10</v>
      </c>
      <c r="AE157" s="85" t="str">
        <f t="shared" si="68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57" s="82" t="str">
        <f t="shared" si="69"/>
        <v>"C:\Program Files (x86)\AstroGrep\AstroGrep.exe" /e /r /s /spath="%USERPROFILE%\AppData\Local\Temp\OnboardLogs" /stypes="app*4017*20170410*" /stext=" 11:.+((SYSTEM_STATE.+slice.+state.+changed )|(ment ac)|(multiple cpu faults)|(system.+state.+changed )|(\[timeout)|(PRM\|1\|D)|(kpr)|(kdp)|(\|lc)|(penalty))"</v>
      </c>
      <c r="AG157" s="1" t="str">
        <f t="shared" si="70"/>
        <v>NW</v>
      </c>
      <c r="AH157" s="86" t="str">
        <f t="shared" si="71"/>
        <v>"%USERPROFILE%\Documents\GitHub\eaglep3\Utilities\RefineRTDCRunTimes.py" --tripid 800-10 --locoid 4017 --swversion DE.1.0.9.0 --startMP 300:58696 --initTime 2017-04-10T05:12:36 --startdatetime 2017-04-10T05:14:31 --delay 1 --endMP 204:705 --enddatetime 2017-04-10T05:27:29 --enforcementcount 0 &gt;&gt;C:\Users\stu\Documents\GitHub\eaglep3-reporting\EC\2017-04-10-refined-times.txt</v>
      </c>
      <c r="AI157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{"issue":{"subject":"","project_id":79,"tracker_id":40,"status_id":1,"priority_id":2,"assigned_to_id":23,"start_date":"2017-04-10","description":"","custom_fields":[{"id":1,"name":"Subdivision","value":"NW"},{"id":4,"name":"Milepost","value":"0.0705"},{"id":17,"name":"Train ID","value":"800-10"},{"id":16,"name":"Locomotive ID","value":"4017"},{"id":130,"name":"Impact","value":""},{"id":150,"name":"Time of Event (Mountain Time)","value":"05:27:29"},{"id":151,"name":"Denver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73"/>
        <v>start /low /b %USERPROFILE%\Documents\GitHub\eaglep3\Utilities\DownloadLogsFromS3.py --loco 4017 --day 2017-04-10</v>
      </c>
      <c r="AN157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11:27:29"},{"id":29,"name":"Sharepoint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672</v>
      </c>
      <c r="B158" s="7">
        <v>4018</v>
      </c>
      <c r="C158" s="21" t="s">
        <v>215</v>
      </c>
      <c r="D158" s="21" t="s">
        <v>934</v>
      </c>
      <c r="E158" s="13">
        <v>42835.239571759259</v>
      </c>
      <c r="F158" s="13">
        <v>42835.24391203704</v>
      </c>
      <c r="G158" s="7">
        <v>1</v>
      </c>
      <c r="H158" s="21" t="s">
        <v>935</v>
      </c>
      <c r="I158" s="13">
        <v>42835.253611111111</v>
      </c>
      <c r="J158" s="7">
        <v>0</v>
      </c>
      <c r="K158" s="97" t="str">
        <f t="shared" si="58"/>
        <v>4017/4018</v>
      </c>
      <c r="L158" s="21" t="str">
        <f>VLOOKUP(A158,'Trips&amp;Operators'!$C$1:$G$99999,5,FALSE)</f>
        <v>DAVIS WENDY</v>
      </c>
      <c r="M158" s="6">
        <f t="shared" si="59"/>
        <v>9.6990740712499246E-3</v>
      </c>
      <c r="N158" s="7">
        <f t="shared" si="56"/>
        <v>13.966666662599891</v>
      </c>
      <c r="O158" s="7"/>
      <c r="P158" s="7"/>
      <c r="Q158" s="22"/>
      <c r="R158" s="22"/>
      <c r="S158" s="31">
        <f t="shared" si="60"/>
        <v>1</v>
      </c>
      <c r="T158" s="46" t="str">
        <f t="shared" si="61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62"/>
        <v>https://d0f6bd738d7f1b3e5a7ca70fe4ff75f0.us-east-1.aws.found.io/app/kibana#/discover/Steve-Slow-Train-Analysis-(2080s-and-2083s)?_g=(refreshInterval:(display:Off,pause:!f,section:0,value:0),time:(from:'2017-04-10T04:44:59-0600',mode:absolute,to:'2017-04-10T07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8" s="183" t="str">
        <f t="shared" si="63"/>
        <v>N</v>
      </c>
      <c r="X158" s="183">
        <f t="shared" si="82"/>
        <v>1</v>
      </c>
      <c r="Y158" s="62">
        <f t="shared" si="80"/>
        <v>9.8100000000000007E-2</v>
      </c>
      <c r="Z158" s="62">
        <f t="shared" si="81"/>
        <v>5.9009999999999998</v>
      </c>
      <c r="AA158" s="62">
        <f t="shared" si="66"/>
        <v>5.8029000000000002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7"/>
        <v>0801-10</v>
      </c>
      <c r="AE158" s="85" t="str">
        <f t="shared" si="68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58" s="82" t="str">
        <f t="shared" si="69"/>
        <v>"C:\Program Files (x86)\AstroGrep\AstroGrep.exe" /e /r /s /spath="%USERPROFILE%\AppData\Local\Temp\OnboardLogs" /stypes="app*4018*20170410*" /stext=" 12:.+((SYSTEM_STATE.+slice.+state.+changed )|(ment ac)|(multiple cpu faults)|(system.+state.+changed )|(\[timeout)|(PRM\|1\|D)|(kpr)|(kdp)|(\|lc)|(penalty))"</v>
      </c>
      <c r="AG158" s="1" t="str">
        <f t="shared" si="70"/>
        <v>NW</v>
      </c>
      <c r="AH158" s="86" t="str">
        <f t="shared" si="71"/>
        <v>"%USERPROFILE%\Documents\GitHub\eaglep3\Utilities\RefineRTDCRunTimes.py" --tripid 801-10 --locoid 4018 --swversion DE.1.0.9.0 --startMP 204:981 --initTime 2017-04-10T05:44:59 --startdatetime 2017-04-10T05:51:14 --delay 1 --endMP 300:59010 --enddatetime 2017-04-10T06:05:12 --enforcementcount 0 &gt;&gt;C:\Users\stu\Documents\GitHub\eaglep3-reporting\EC\2017-04-10-refined-times.txt</v>
      </c>
      <c r="AI158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{"issue":{"subject":"","project_id":79,"tracker_id":40,"status_id":1,"priority_id":2,"assigned_to_id":23,"start_date":"2017-04-10","description":"","custom_fields":[{"id":1,"name":"Subdivision","value":"NW"},{"id":4,"name":"Milepost","value":"5.901"},{"id":17,"name":"Train ID","value":"801-10"},{"id":16,"name":"Locomotive ID","value":"4018"},{"id":130,"name":"Impact","value":""},{"id":150,"name":"Time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73"/>
        <v>start /low /b %USERPROFILE%\Documents\GitHub\eaglep3\Utilities\DownloadLogsFromS3.py --loco 4018 --day 2017-04-10</v>
      </c>
      <c r="AN158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602</v>
      </c>
      <c r="B159" s="7">
        <v>4017</v>
      </c>
      <c r="C159" s="21" t="s">
        <v>215</v>
      </c>
      <c r="D159" s="21" t="s">
        <v>936</v>
      </c>
      <c r="E159" s="13">
        <v>42835.255011574074</v>
      </c>
      <c r="F159" s="13">
        <v>42835.256180555552</v>
      </c>
      <c r="G159" s="7">
        <v>1</v>
      </c>
      <c r="H159" s="21" t="s">
        <v>937</v>
      </c>
      <c r="I159" s="13">
        <v>42835.267534722225</v>
      </c>
      <c r="J159" s="7">
        <v>0</v>
      </c>
      <c r="K159" s="97" t="str">
        <f t="shared" si="58"/>
        <v>4017/4018</v>
      </c>
      <c r="L159" s="21" t="str">
        <f>VLOOKUP(A159,'Trips&amp;Operators'!$C$1:$G$99999,5,FALSE)</f>
        <v>DAVIS WENDY</v>
      </c>
      <c r="M159" s="6">
        <f t="shared" si="59"/>
        <v>1.135416667239042E-2</v>
      </c>
      <c r="N159" s="7">
        <f t="shared" si="56"/>
        <v>16.350000008242205</v>
      </c>
      <c r="O159" s="7"/>
      <c r="P159" s="7"/>
      <c r="Q159" s="22"/>
      <c r="R159" s="22"/>
      <c r="S159" s="31">
        <f t="shared" si="60"/>
        <v>1</v>
      </c>
      <c r="T159" s="46" t="str">
        <f t="shared" si="61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62"/>
        <v>https://d0f6bd738d7f1b3e5a7ca70fe4ff75f0.us-east-1.aws.found.io/app/kibana#/discover/Steve-Slow-Train-Analysis-(2080s-and-2083s)?_g=(refreshInterval:(display:Off,pause:!f,section:0,value:0),time:(from:'2017-04-10T05:07:13-0600',mode:absolute,to:'2017-04-10T07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183" t="str">
        <f t="shared" si="63"/>
        <v>N</v>
      </c>
      <c r="X159" s="183">
        <f t="shared" si="82"/>
        <v>1</v>
      </c>
      <c r="Y159" s="62">
        <f t="shared" si="80"/>
        <v>5.8692000000000002</v>
      </c>
      <c r="Z159" s="62">
        <f t="shared" si="81"/>
        <v>6.9099999999999995E-2</v>
      </c>
      <c r="AA159" s="62">
        <f t="shared" si="66"/>
        <v>5.8001000000000005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7"/>
        <v>0802-10</v>
      </c>
      <c r="AE159" s="85" t="str">
        <f t="shared" si="68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59" s="82" t="str">
        <f t="shared" si="69"/>
        <v>"C:\Program Files (x86)\AstroGrep\AstroGrep.exe" /e /r /s /spath="%USERPROFILE%\AppData\Local\Temp\OnboardLogs" /stypes="app*4017*20170410*" /stext=" 12:.+((SYSTEM_STATE.+slice.+state.+changed )|(ment ac)|(multiple cpu faults)|(system.+state.+changed )|(\[timeout)|(PRM\|1\|D)|(kpr)|(kdp)|(\|lc)|(penalty))"</v>
      </c>
      <c r="AG159" s="1" t="str">
        <f t="shared" si="70"/>
        <v>NW</v>
      </c>
      <c r="AH159" s="86" t="str">
        <f t="shared" si="71"/>
        <v>"%USERPROFILE%\Documents\GitHub\eaglep3\Utilities\RefineRTDCRunTimes.py" --tripid 802-10 --locoid 4017 --swversion DE.1.0.9.0 --startMP 300:58692 --initTime 2017-04-10T06:07:13 --startdatetime 2017-04-10T06:08:54 --delay 1 --endMP 204:691 --enddatetime 2017-04-10T06:25:15 --enforcementcount 0 &gt;&gt;C:\Users\stu\Documents\GitHub\eaglep3-reporting\EC\2017-04-10-refined-times.txt</v>
      </c>
      <c r="AI159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{"issue":{"subject":"","project_id":79,"tracker_id":40,"status_id":1,"priority_id":2,"assigned_to_id":23,"start_date":"2017-04-10","description":"","custom_fields":[{"id":1,"name":"Subdivision","value":"NW"},{"id":4,"name":"Milepost","value":"0.0691"},{"id":17,"name":"Train ID","value":"802-10"},{"id":16,"name":"Locomotive ID","value":"4017"},{"id":130,"name":"Impact","value":""},{"id":150,"name":"Time of Event (Mountain Time)","value":"06:25:15"},{"id":151,"name":"Denver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73"/>
        <v>start /low /b %USERPROFILE%\Documents\GitHub\eaglep3\Utilities\DownloadLogsFromS3.py --loco 4017 --day 2017-04-10</v>
      </c>
      <c r="AN159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675</v>
      </c>
      <c r="B160" s="7">
        <v>4022</v>
      </c>
      <c r="C160" s="21" t="s">
        <v>215</v>
      </c>
      <c r="D160" s="21" t="s">
        <v>938</v>
      </c>
      <c r="E160" s="13">
        <v>42835.255995370368</v>
      </c>
      <c r="F160" s="13">
        <v>42835.264756944445</v>
      </c>
      <c r="G160" s="7">
        <v>1</v>
      </c>
      <c r="H160" s="21" t="s">
        <v>939</v>
      </c>
      <c r="I160" s="13">
        <v>42835.273935185185</v>
      </c>
      <c r="J160" s="7">
        <v>0</v>
      </c>
      <c r="K160" s="97" t="str">
        <f t="shared" si="58"/>
        <v>4021/4022</v>
      </c>
      <c r="L160" s="21" t="str">
        <f>VLOOKUP(A160,'Trips&amp;Operators'!$C$1:$G$99999,5,FALSE)</f>
        <v>LALONDE GREGORY</v>
      </c>
      <c r="M160" s="6">
        <f t="shared" si="59"/>
        <v>9.1782407398568466E-3</v>
      </c>
      <c r="N160" s="7">
        <f t="shared" si="56"/>
        <v>13.216666665393859</v>
      </c>
      <c r="O160" s="7"/>
      <c r="P160" s="7"/>
      <c r="Q160" s="22"/>
      <c r="R160" s="22"/>
      <c r="S160" s="31">
        <f t="shared" si="60"/>
        <v>1</v>
      </c>
      <c r="T160" s="46" t="str">
        <f t="shared" si="61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62"/>
        <v>https://d0f6bd738d7f1b3e5a7ca70fe4ff75f0.us-east-1.aws.found.io/app/kibana#/discover/Steve-Slow-Train-Analysis-(2080s-and-2083s)?_g=(refreshInterval:(display:Off,pause:!f,section:0,value:0),time:(from:'2017-04-10T05:08:38-0600',mode:absolute,to:'2017-04-10T07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0" s="183" t="str">
        <f t="shared" si="63"/>
        <v>N</v>
      </c>
      <c r="X160" s="183">
        <f t="shared" si="82"/>
        <v>1</v>
      </c>
      <c r="Y160" s="62">
        <f t="shared" si="80"/>
        <v>9.74E-2</v>
      </c>
      <c r="Z160" s="62">
        <f t="shared" si="81"/>
        <v>5.8964999999999996</v>
      </c>
      <c r="AA160" s="62">
        <f t="shared" si="66"/>
        <v>5.7990999999999993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7"/>
        <v>0803-10</v>
      </c>
      <c r="AE160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60" s="82" t="str">
        <f t="shared" si="69"/>
        <v>"C:\Program Files (x86)\AstroGrep\AstroGrep.exe" /e /r /s /spath="%USERPROFILE%\AppData\Local\Temp\OnboardLogs" /stypes="app*4022*20170410*" /stext=" 12:.+((SYSTEM_STATE.+slice.+state.+changed )|(ment ac)|(multiple cpu faults)|(system.+state.+changed )|(\[timeout)|(PRM\|1\|D)|(kpr)|(kdp)|(\|lc)|(penalty))"</v>
      </c>
      <c r="AG160" s="1" t="str">
        <f t="shared" si="70"/>
        <v>NW</v>
      </c>
      <c r="AH160" s="86" t="str">
        <f t="shared" si="71"/>
        <v>"%USERPROFILE%\Documents\GitHub\eaglep3\Utilities\RefineRTDCRunTimes.py" --tripid 803-10 --locoid 4022 --swversion DE.1.0.9.0 --startMP 204:974 --initTime 2017-04-10T06:08:38 --startdatetime 2017-04-10T06:21:15 --delay 1 --endMP 300:58965 --enddatetime 2017-04-10T06:34:28 --enforcementcount 0 &gt;&gt;C:\Users\stu\Documents\GitHub\eaglep3-reporting\EC\2017-04-10-refined-times.txt</v>
      </c>
      <c r="AI160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{"issue":{"subject":"","project_id":79,"tracker_id":40,"status_id":1,"priority_id":2,"assigned_to_id":23,"start_date":"2017-04-10","description":"","custom_fields":[{"id":1,"name":"Subdivision","value":"NW"},{"id":4,"name":"Milepost","value":"5.8965"},{"id":17,"name":"Train ID","value":"803-10"},{"id":16,"name":"Locomotive ID","value":"4022"},{"id":130,"name":"Impact","value":""},{"id":150,"name":"Time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73"/>
        <v>start /low /b %USERPROFILE%\Documents\GitHub\eaglep3\Utilities\DownloadLogsFromS3.py --loco 4022 --day 2017-04-10</v>
      </c>
      <c r="AN160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605</v>
      </c>
      <c r="B161" s="7">
        <v>4021</v>
      </c>
      <c r="C161" s="21" t="s">
        <v>215</v>
      </c>
      <c r="D161" s="21" t="s">
        <v>940</v>
      </c>
      <c r="E161" s="13">
        <v>42835.274976851855</v>
      </c>
      <c r="F161" s="13">
        <v>42835.276377314818</v>
      </c>
      <c r="G161" s="7">
        <v>1</v>
      </c>
      <c r="H161" s="21" t="s">
        <v>941</v>
      </c>
      <c r="I161" s="13">
        <v>42835.287951388891</v>
      </c>
      <c r="J161" s="7">
        <v>0</v>
      </c>
      <c r="K161" s="97" t="str">
        <f t="shared" si="58"/>
        <v>4021/4022</v>
      </c>
      <c r="L161" s="21" t="str">
        <f>VLOOKUP(A161,'Trips&amp;Operators'!$C$1:$G$99999,5,FALSE)</f>
        <v>LALONDE GREGORY</v>
      </c>
      <c r="M161" s="6">
        <f t="shared" si="59"/>
        <v>1.1574074072996154E-2</v>
      </c>
      <c r="N161" s="7">
        <f t="shared" si="56"/>
        <v>16.666666665114462</v>
      </c>
      <c r="O161" s="7"/>
      <c r="P161" s="7"/>
      <c r="Q161" s="22"/>
      <c r="R161" s="22"/>
      <c r="S161" s="31">
        <f t="shared" si="60"/>
        <v>1</v>
      </c>
      <c r="T161" s="46" t="str">
        <f t="shared" si="61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62"/>
        <v>https://d0f6bd738d7f1b3e5a7ca70fe4ff75f0.us-east-1.aws.found.io/app/kibana#/discover/Steve-Slow-Train-Analysis-(2080s-and-2083s)?_g=(refreshInterval:(display:Off,pause:!f,section:0,value:0),time:(from:'2017-04-10T05:35:58-0600',mode:absolute,to:'2017-04-10T07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1" s="183" t="str">
        <f t="shared" si="63"/>
        <v>N</v>
      </c>
      <c r="X161" s="183">
        <f t="shared" si="82"/>
        <v>1</v>
      </c>
      <c r="Y161" s="62">
        <f t="shared" si="80"/>
        <v>5.8647</v>
      </c>
      <c r="Z161" s="62">
        <f t="shared" si="81"/>
        <v>6.9900000000000004E-2</v>
      </c>
      <c r="AA161" s="62">
        <f t="shared" si="66"/>
        <v>5.7948000000000004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7"/>
        <v>0804-10</v>
      </c>
      <c r="AE161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61" s="82" t="str">
        <f t="shared" si="69"/>
        <v>"C:\Program Files (x86)\AstroGrep\AstroGrep.exe" /e /r /s /spath="%USERPROFILE%\AppData\Local\Temp\OnboardLogs" /stypes="app*4021*20170410*" /stext=" 12:.+((SYSTEM_STATE.+slice.+state.+changed )|(ment ac)|(multiple cpu faults)|(system.+state.+changed )|(\[timeout)|(PRM\|1\|D)|(kpr)|(kdp)|(\|lc)|(penalty))"</v>
      </c>
      <c r="AG161" s="1" t="str">
        <f t="shared" si="70"/>
        <v>NW</v>
      </c>
      <c r="AH161" s="86" t="str">
        <f t="shared" si="71"/>
        <v>"%USERPROFILE%\Documents\GitHub\eaglep3\Utilities\RefineRTDCRunTimes.py" --tripid 804-10 --locoid 4021 --swversion DE.1.0.9.0 --startMP 300:58647 --initTime 2017-04-10T06:35:58 --startdatetime 2017-04-10T06:37:59 --delay 1 --endMP 204:699 --enddatetime 2017-04-10T06:54:39 --enforcementcount 0 &gt;&gt;C:\Users\stu\Documents\GitHub\eaglep3-reporting\EC\2017-04-10-refined-times.txt</v>
      </c>
      <c r="AI161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{"issue":{"subject":"","project_id":79,"tracker_id":40,"status_id":1,"priority_id":2,"assigned_to_id":23,"start_date":"2017-04-10","description":"","custom_fields":[{"id":1,"name":"Subdivision","value":"NW"},{"id":4,"name":"Milepost","value":"0.0699"},{"id":17,"name":"Train ID","value":"804-10"},{"id":16,"name":"Locomotive ID","value":"4021"},{"id":130,"name":"Impact","value":""},{"id":150,"name":"Time of Event (Mountain Time)","value":"06:54:39"},{"id":151,"name":"Denver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73"/>
        <v>start /low /b %USERPROFILE%\Documents\GitHub\eaglep3\Utilities\DownloadLogsFromS3.py --loco 4021 --day 2017-04-10</v>
      </c>
      <c r="AN161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682</v>
      </c>
      <c r="B162" s="7">
        <v>4018</v>
      </c>
      <c r="C162" s="21" t="s">
        <v>215</v>
      </c>
      <c r="D162" s="21" t="s">
        <v>942</v>
      </c>
      <c r="E162" s="13">
        <v>42835.283761574072</v>
      </c>
      <c r="F162" s="13">
        <v>42835.285613425927</v>
      </c>
      <c r="G162" s="7">
        <v>1</v>
      </c>
      <c r="H162" s="21" t="s">
        <v>943</v>
      </c>
      <c r="I162" s="13">
        <v>42835.295069444444</v>
      </c>
      <c r="J162" s="7">
        <v>0</v>
      </c>
      <c r="K162" s="97" t="str">
        <f t="shared" si="58"/>
        <v>4017/4018</v>
      </c>
      <c r="L162" s="21" t="str">
        <f>VLOOKUP(A162,'Trips&amp;Operators'!$C$1:$G$99999,5,FALSE)</f>
        <v>DAVIS WENDY</v>
      </c>
      <c r="M162" s="6">
        <f t="shared" si="59"/>
        <v>9.4560185170848854E-3</v>
      </c>
      <c r="N162" s="7">
        <f t="shared" si="56"/>
        <v>13.616666664602235</v>
      </c>
      <c r="O162" s="7"/>
      <c r="P162" s="7"/>
      <c r="Q162" s="22"/>
      <c r="R162" s="22"/>
      <c r="S162" s="31">
        <f t="shared" si="60"/>
        <v>1</v>
      </c>
      <c r="T162" s="46" t="str">
        <f t="shared" si="61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62"/>
        <v>https://d0f6bd738d7f1b3e5a7ca70fe4ff75f0.us-east-1.aws.found.io/app/kibana#/discover/Steve-Slow-Train-Analysis-(2080s-and-2083s)?_g=(refreshInterval:(display:Off,pause:!f,section:0,value:0),time:(from:'2017-04-10T05:48:37-0600',mode:absolute,to:'2017-04-10T08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83" t="str">
        <f t="shared" si="63"/>
        <v>N</v>
      </c>
      <c r="X162" s="183">
        <f t="shared" si="82"/>
        <v>1</v>
      </c>
      <c r="Y162" s="62">
        <f t="shared" si="80"/>
        <v>9.6500000000000002E-2</v>
      </c>
      <c r="Z162" s="62">
        <f t="shared" si="81"/>
        <v>5.9005000000000001</v>
      </c>
      <c r="AA162" s="62">
        <f t="shared" si="66"/>
        <v>5.8040000000000003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7"/>
        <v>0805-10</v>
      </c>
      <c r="AE162" s="85" t="str">
        <f t="shared" si="68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62" s="82" t="str">
        <f t="shared" si="69"/>
        <v>"C:\Program Files (x86)\AstroGrep\AstroGrep.exe" /e /r /s /spath="%USERPROFILE%\AppData\Local\Temp\OnboardLogs" /stypes="app*4018*20170410*" /stext=" 13:.+((SYSTEM_STATE.+slice.+state.+changed )|(ment ac)|(multiple cpu faults)|(system.+state.+changed )|(\[timeout)|(PRM\|1\|D)|(kpr)|(kdp)|(\|lc)|(penalty))"</v>
      </c>
      <c r="AG162" s="1" t="str">
        <f t="shared" si="70"/>
        <v>NW</v>
      </c>
      <c r="AH162" s="86" t="str">
        <f t="shared" si="71"/>
        <v>"%USERPROFILE%\Documents\GitHub\eaglep3\Utilities\RefineRTDCRunTimes.py" --tripid 805-10 --locoid 4018 --swversion DE.1.0.9.0 --startMP 204:965 --initTime 2017-04-10T06:48:37 --startdatetime 2017-04-10T06:51:17 --delay 1 --endMP 300:59005 --enddatetime 2017-04-10T07:04:54 --enforcementcount 0 &gt;&gt;C:\Users\stu\Documents\GitHub\eaglep3-reporting\EC\2017-04-10-refined-times.txt</v>
      </c>
      <c r="AI162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{"issue":{"subject":"","project_id":79,"tracker_id":40,"status_id":1,"priority_id":2,"assigned_to_id":23,"start_date":"2017-04-10","description":"","custom_fields":[{"id":1,"name":"Subdivision","value":"NW"},{"id":4,"name":"Milepost","value":"5.9005"},{"id":17,"name":"Train ID","value":"805-10"},{"id":16,"name":"Locomotive ID","value":"4018"},{"id":130,"name":"Impact","value":""},{"id":150,"name":"Time of Event (Mountain Time)","value":"07:04:54"},{"id":151,"name":"Denver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73"/>
        <v>start /low /b %USERPROFILE%\Documents\GitHub\eaglep3\Utilities\DownloadLogsFromS3.py --loco 4018 --day 2017-04-10</v>
      </c>
      <c r="AN162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606</v>
      </c>
      <c r="B163" s="7">
        <v>4017</v>
      </c>
      <c r="C163" s="21" t="s">
        <v>215</v>
      </c>
      <c r="D163" s="21" t="s">
        <v>944</v>
      </c>
      <c r="E163" s="13">
        <v>42835.296018518522</v>
      </c>
      <c r="F163" s="13">
        <v>42835.2971412037</v>
      </c>
      <c r="G163" s="7">
        <v>1</v>
      </c>
      <c r="H163" s="21" t="s">
        <v>945</v>
      </c>
      <c r="I163" s="13">
        <v>42835.309953703705</v>
      </c>
      <c r="J163" s="7">
        <v>0</v>
      </c>
      <c r="K163" s="97" t="str">
        <f t="shared" si="58"/>
        <v>4017/4018</v>
      </c>
      <c r="L163" s="21" t="str">
        <f>VLOOKUP(A163,'Trips&amp;Operators'!$C$1:$G$99999,5,FALSE)</f>
        <v>DAVIS WENDY</v>
      </c>
      <c r="M163" s="6">
        <f t="shared" si="59"/>
        <v>1.2812500004656613E-2</v>
      </c>
      <c r="N163" s="7">
        <f t="shared" si="56"/>
        <v>18.450000006705523</v>
      </c>
      <c r="O163" s="7"/>
      <c r="P163" s="7"/>
      <c r="Q163" s="22"/>
      <c r="R163" s="22"/>
      <c r="S163" s="31">
        <f t="shared" si="60"/>
        <v>1</v>
      </c>
      <c r="T163" s="46" t="str">
        <f t="shared" si="61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62"/>
        <v>https://d0f6bd738d7f1b3e5a7ca70fe4ff75f0.us-east-1.aws.found.io/app/kibana#/discover/Steve-Slow-Train-Analysis-(2080s-and-2083s)?_g=(refreshInterval:(display:Off,pause:!f,section:0,value:0),time:(from:'2017-04-10T06:06:16-0600',mode:absolute,to:'2017-04-10T08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83" t="str">
        <f t="shared" si="63"/>
        <v>N</v>
      </c>
      <c r="X163" s="183">
        <f t="shared" si="82"/>
        <v>1</v>
      </c>
      <c r="Y163" s="62">
        <f t="shared" si="80"/>
        <v>5.8686999999999996</v>
      </c>
      <c r="Z163" s="62">
        <f t="shared" si="81"/>
        <v>6.9599999999999995E-2</v>
      </c>
      <c r="AA163" s="62">
        <f t="shared" si="66"/>
        <v>5.7990999999999993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7"/>
        <v>0806-10</v>
      </c>
      <c r="AE163" s="85" t="str">
        <f t="shared" si="68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63" s="82" t="str">
        <f t="shared" si="69"/>
        <v>"C:\Program Files (x86)\AstroGrep\AstroGrep.exe" /e /r /s /spath="%USERPROFILE%\AppData\Local\Temp\OnboardLogs" /stypes="app*4017*20170410*" /stext=" 13:.+((SYSTEM_STATE.+slice.+state.+changed )|(ment ac)|(multiple cpu faults)|(system.+state.+changed )|(\[timeout)|(PRM\|1\|D)|(kpr)|(kdp)|(\|lc)|(penalty))"</v>
      </c>
      <c r="AG163" s="1" t="str">
        <f t="shared" si="70"/>
        <v>NW</v>
      </c>
      <c r="AH163" s="86" t="str">
        <f t="shared" si="71"/>
        <v>"%USERPROFILE%\Documents\GitHub\eaglep3\Utilities\RefineRTDCRunTimes.py" --tripid 806-10 --locoid 4017 --swversion DE.1.0.9.0 --startMP 300:58687 --initTime 2017-04-10T07:06:16 --startdatetime 2017-04-10T07:07:53 --delay 1 --endMP 204:696 --enddatetime 2017-04-10T07:26:20 --enforcementcount 0 &gt;&gt;C:\Users\stu\Documents\GitHub\eaglep3-reporting\EC\2017-04-10-refined-times.txt</v>
      </c>
      <c r="AI163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{"issue":{"subject":"","project_id":79,"tracker_id":40,"status_id":1,"priority_id":2,"assigned_to_id":23,"start_date":"2017-04-10","description":"","custom_fields":[{"id":1,"name":"Subdivision","value":"NW"},{"id":4,"name":"Milepost","value":"0.0696"},{"id":17,"name":"Train ID","value":"806-10"},{"id":16,"name":"Locomotive ID","value":"4017"},{"id":130,"name":"Impact","value":""},{"id":150,"name":"Time of Event (Mountain Time)","value":"07:26:20"},{"id":151,"name":"Denver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73"/>
        <v>start /low /b %USERPROFILE%\Documents\GitHub\eaglep3\Utilities\DownloadLogsFromS3.py --loco 4017 --day 2017-04-10</v>
      </c>
      <c r="AN163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686</v>
      </c>
      <c r="B164" s="7">
        <v>4022</v>
      </c>
      <c r="C164" s="21" t="s">
        <v>215</v>
      </c>
      <c r="D164" s="21" t="s">
        <v>946</v>
      </c>
      <c r="E164" s="13">
        <v>42835.290613425925</v>
      </c>
      <c r="F164" s="13">
        <v>42835.30641203704</v>
      </c>
      <c r="G164" s="7">
        <v>1</v>
      </c>
      <c r="H164" s="21" t="s">
        <v>947</v>
      </c>
      <c r="I164" s="13">
        <v>42835.315451388888</v>
      </c>
      <c r="J164" s="7">
        <v>0</v>
      </c>
      <c r="K164" s="97" t="str">
        <f t="shared" si="58"/>
        <v>4021/4022</v>
      </c>
      <c r="L164" s="21" t="str">
        <f>VLOOKUP(A164,'Trips&amp;Operators'!$C$1:$G$99999,5,FALSE)</f>
        <v>LALONDE GREGORY</v>
      </c>
      <c r="M164" s="6">
        <f t="shared" si="59"/>
        <v>9.0393518476048484E-3</v>
      </c>
      <c r="N164" s="7">
        <f t="shared" si="56"/>
        <v>13.016666660550982</v>
      </c>
      <c r="O164" s="7"/>
      <c r="P164" s="7"/>
      <c r="Q164" s="22"/>
      <c r="R164" s="22"/>
      <c r="S164" s="31">
        <f t="shared" si="60"/>
        <v>1</v>
      </c>
      <c r="T164" s="46" t="str">
        <f t="shared" si="61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62"/>
        <v>https://d0f6bd738d7f1b3e5a7ca70fe4ff75f0.us-east-1.aws.found.io/app/kibana#/discover/Steve-Slow-Train-Analysis-(2080s-and-2083s)?_g=(refreshInterval:(display:Off,pause:!f,section:0,value:0),time:(from:'2017-04-10T05:58:29-0600',mode:absolute,to:'2017-04-10T08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183" t="str">
        <f t="shared" si="63"/>
        <v>N</v>
      </c>
      <c r="X164" s="183">
        <f t="shared" si="82"/>
        <v>1</v>
      </c>
      <c r="Y164" s="62">
        <f t="shared" si="80"/>
        <v>9.8500000000000004E-2</v>
      </c>
      <c r="Z164" s="62">
        <f t="shared" si="81"/>
        <v>5.8963000000000001</v>
      </c>
      <c r="AA164" s="62">
        <f t="shared" si="66"/>
        <v>5.7978000000000005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7"/>
        <v>0807-10</v>
      </c>
      <c r="AE164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64" s="82" t="str">
        <f t="shared" si="69"/>
        <v>"C:\Program Files (x86)\AstroGrep\AstroGrep.exe" /e /r /s /spath="%USERPROFILE%\AppData\Local\Temp\OnboardLogs" /stypes="app*4022*20170410*" /stext=" 13:.+((SYSTEM_STATE.+slice.+state.+changed )|(ment ac)|(multiple cpu faults)|(system.+state.+changed )|(\[timeout)|(PRM\|1\|D)|(kpr)|(kdp)|(\|lc)|(penalty))"</v>
      </c>
      <c r="AG164" s="1" t="str">
        <f t="shared" si="70"/>
        <v>NW</v>
      </c>
      <c r="AH164" s="86" t="str">
        <f t="shared" si="71"/>
        <v>"%USERPROFILE%\Documents\GitHub\eaglep3\Utilities\RefineRTDCRunTimes.py" --tripid 807-10 --locoid 4022 --swversion DE.1.0.9.0 --startMP 204:985 --initTime 2017-04-10T06:58:29 --startdatetime 2017-04-10T07:21:14 --delay 1 --endMP 300:58963 --enddatetime 2017-04-10T07:34:15 --enforcementcount 0 &gt;&gt;C:\Users\stu\Documents\GitHub\eaglep3-reporting\EC\2017-04-10-refined-times.txt</v>
      </c>
      <c r="AI164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{"issue":{"subject":"","project_id":79,"tracker_id":40,"status_id":1,"priority_id":2,"assigned_to_id":23,"start_date":"2017-04-10","description":"","custom_fields":[{"id":1,"name":"Subdivision","value":"NW"},{"id":4,"name":"Milepost","value":"5.8963"},{"id":17,"name":"Train ID","value":"807-10"},{"id":16,"name":"Locomotive ID","value":"4022"},{"id":130,"name":"Impact","value":""},{"id":150,"name":"Time of Event (Mountain Time)","value":"07:34:15"},{"id":151,"name":"Denver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73"/>
        <v>start /low /b %USERPROFILE%\Documents\GitHub\eaglep3\Utilities\DownloadLogsFromS3.py --loco 4022 --day 2017-04-10</v>
      </c>
      <c r="AN164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691</v>
      </c>
      <c r="B165" s="7">
        <v>4021</v>
      </c>
      <c r="C165" s="21" t="s">
        <v>215</v>
      </c>
      <c r="D165" s="21" t="s">
        <v>948</v>
      </c>
      <c r="E165" s="13">
        <v>42835.316331018519</v>
      </c>
      <c r="F165" s="13">
        <v>42835.317685185182</v>
      </c>
      <c r="G165" s="7">
        <v>1</v>
      </c>
      <c r="H165" s="21" t="s">
        <v>949</v>
      </c>
      <c r="I165" s="13">
        <v>42835.329872685186</v>
      </c>
      <c r="J165" s="7">
        <v>0</v>
      </c>
      <c r="K165" s="97" t="str">
        <f t="shared" si="58"/>
        <v>4021/4022</v>
      </c>
      <c r="L165" s="21" t="str">
        <f>VLOOKUP(A165,'Trips&amp;Operators'!$C$1:$G$99999,5,FALSE)</f>
        <v>LALONDE GREGORY</v>
      </c>
      <c r="M165" s="6">
        <f t="shared" si="59"/>
        <v>1.2187500004074536E-2</v>
      </c>
      <c r="N165" s="7">
        <f t="shared" si="56"/>
        <v>17.550000005867332</v>
      </c>
      <c r="O165" s="7"/>
      <c r="P165" s="7"/>
      <c r="Q165" s="22"/>
      <c r="R165" s="22"/>
      <c r="S165" s="31">
        <f t="shared" si="60"/>
        <v>1</v>
      </c>
      <c r="T165" s="46" t="str">
        <f t="shared" si="61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62"/>
        <v>https://d0f6bd738d7f1b3e5a7ca70fe4ff75f0.us-east-1.aws.found.io/app/kibana#/discover/Steve-Slow-Train-Analysis-(2080s-and-2083s)?_g=(refreshInterval:(display:Off,pause:!f,section:0,value:0),time:(from:'2017-04-10T06:35:31-0600',mode:absolute,to:'2017-04-10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183" t="str">
        <f t="shared" si="63"/>
        <v>N</v>
      </c>
      <c r="X165" s="183">
        <f t="shared" si="82"/>
        <v>1</v>
      </c>
      <c r="Y165" s="62">
        <f t="shared" si="80"/>
        <v>5.8655999999999997</v>
      </c>
      <c r="Z165" s="62">
        <f t="shared" si="81"/>
        <v>6.8900000000000003E-2</v>
      </c>
      <c r="AA165" s="62">
        <f t="shared" si="66"/>
        <v>5.7966999999999995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7"/>
        <v>0808-10</v>
      </c>
      <c r="AE165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65" s="82" t="str">
        <f t="shared" si="69"/>
        <v>"C:\Program Files (x86)\AstroGrep\AstroGrep.exe" /e /r /s /spath="%USERPROFILE%\AppData\Local\Temp\OnboardLogs" /stypes="app*4021*20170410*" /stext=" 13:.+((SYSTEM_STATE.+slice.+state.+changed )|(ment ac)|(multiple cpu faults)|(system.+state.+changed )|(\[timeout)|(PRM\|1\|D)|(kpr)|(kdp)|(\|lc)|(penalty))"</v>
      </c>
      <c r="AG165" s="1" t="str">
        <f t="shared" si="70"/>
        <v>NW</v>
      </c>
      <c r="AH165" s="86" t="str">
        <f t="shared" si="71"/>
        <v>"%USERPROFILE%\Documents\GitHub\eaglep3\Utilities\RefineRTDCRunTimes.py" --tripid 808-10 --locoid 4021 --swversion DE.1.0.9.0 --startMP 300:58656 --initTime 2017-04-10T07:35:31 --startdatetime 2017-04-10T07:37:28 --delay 1 --endMP 204:689 --enddatetime 2017-04-10T07:55:01 --enforcementcount 0 &gt;&gt;C:\Users\stu\Documents\GitHub\eaglep3-reporting\EC\2017-04-10-refined-times.txt</v>
      </c>
      <c r="AI165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{"issue":{"subject":"","project_id":79,"tracker_id":40,"status_id":1,"priority_id":2,"assigned_to_id":23,"start_date":"2017-04-10","description":"","custom_fields":[{"id":1,"name":"Subdivision","value":"NW"},{"id":4,"name":"Milepost","value":"0.0689"},{"id":17,"name":"Train ID","value":"808-10"},{"id":16,"name":"Locomotive ID","value":"4021"},{"id":130,"name":"Impact","value":""},{"id":150,"name":"Time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73"/>
        <v>start /low /b %USERPROFILE%\Documents\GitHub\eaglep3\Utilities\DownloadLogsFromS3.py --loco 4021 --day 2017-04-10</v>
      </c>
      <c r="AN165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3" t="s">
        <v>608</v>
      </c>
      <c r="B166" s="7">
        <v>4018</v>
      </c>
      <c r="C166" s="21" t="s">
        <v>215</v>
      </c>
      <c r="D166" s="21" t="s">
        <v>950</v>
      </c>
      <c r="E166" s="13">
        <v>42835.324548611112</v>
      </c>
      <c r="F166" s="13">
        <v>42835.327245370368</v>
      </c>
      <c r="G166" s="7">
        <v>1</v>
      </c>
      <c r="H166" s="21" t="s">
        <v>951</v>
      </c>
      <c r="I166" s="13">
        <v>42835.337152777778</v>
      </c>
      <c r="J166" s="7">
        <v>0</v>
      </c>
      <c r="K166" s="97" t="str">
        <f t="shared" si="58"/>
        <v>4017/4018</v>
      </c>
      <c r="L166" s="21" t="str">
        <f>VLOOKUP(A166,'Trips&amp;Operators'!$C$1:$G$99999,5,FALSE)</f>
        <v>DAVIS WENDY</v>
      </c>
      <c r="M166" s="6">
        <f t="shared" si="59"/>
        <v>9.9074074096279219E-3</v>
      </c>
      <c r="N166" s="7">
        <f t="shared" ref="N166:N194" si="83">24*60*SUM($M166:$M166)</f>
        <v>14.266666669864208</v>
      </c>
      <c r="O166" s="7"/>
      <c r="P166" s="7"/>
      <c r="Q166" s="22"/>
      <c r="R166" s="22"/>
      <c r="S166" s="31">
        <f t="shared" si="60"/>
        <v>1</v>
      </c>
      <c r="T166" s="46" t="str">
        <f t="shared" si="61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62"/>
        <v>https://d0f6bd738d7f1b3e5a7ca70fe4ff75f0.us-east-1.aws.found.io/app/kibana#/discover/Steve-Slow-Train-Analysis-(2080s-and-2083s)?_g=(refreshInterval:(display:Off,pause:!f,section:0,value:0),time:(from:'2017-04-10T06:47:21-0600',mode:absolute,to:'2017-04-10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183" t="str">
        <f t="shared" si="63"/>
        <v>N</v>
      </c>
      <c r="X166" s="183">
        <f t="shared" si="82"/>
        <v>1</v>
      </c>
      <c r="Y166" s="62">
        <f t="shared" si="80"/>
        <v>9.7799999999999998E-2</v>
      </c>
      <c r="Z166" s="62">
        <f t="shared" si="81"/>
        <v>5.8983999999999996</v>
      </c>
      <c r="AA166" s="62">
        <f t="shared" si="66"/>
        <v>5.8005999999999993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7"/>
        <v>0809-10</v>
      </c>
      <c r="AE166" s="85" t="str">
        <f t="shared" si="68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66" s="82" t="str">
        <f t="shared" si="69"/>
        <v>"C:\Program Files (x86)\AstroGrep\AstroGrep.exe" /e /r /s /spath="%USERPROFILE%\AppData\Local\Temp\OnboardLogs" /stypes="app*4018*20170410*" /stext=" 14:.+((SYSTEM_STATE.+slice.+state.+changed )|(ment ac)|(multiple cpu faults)|(system.+state.+changed )|(\[timeout)|(PRM\|1\|D)|(kpr)|(kdp)|(\|lc)|(penalty))"</v>
      </c>
      <c r="AG166" s="1" t="str">
        <f t="shared" si="70"/>
        <v>NW</v>
      </c>
      <c r="AH166" s="86" t="str">
        <f t="shared" si="71"/>
        <v>"%USERPROFILE%\Documents\GitHub\eaglep3\Utilities\RefineRTDCRunTimes.py" --tripid 809-10 --locoid 4018 --swversion DE.1.0.9.0 --startMP 204:978 --initTime 2017-04-10T07:47:21 --startdatetime 2017-04-10T07:51:14 --delay 1 --endMP 300:58984 --enddatetime 2017-04-10T08:05:30 --enforcementcount 0 &gt;&gt;C:\Users\stu\Documents\GitHub\eaglep3-reporting\EC\2017-04-10-refined-times.txt</v>
      </c>
      <c r="AI166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{"issue":{"subject":"","project_id":79,"tracker_id":40,"status_id":1,"priority_id":2,"assigned_to_id":23,"start_date":"2017-04-10","description":"","custom_fields":[{"id":1,"name":"Subdivision","value":"NW"},{"id":4,"name":"Milepost","value":"5.8984"},{"id":17,"name":"Train ID","value":"809-10"},{"id":16,"name":"Locomotive ID","value":"4018"},{"id":130,"name":"Impact","value":""},{"id":150,"name":"Time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8"/>
      <c r="AL166" s="48"/>
      <c r="AM166" s="150" t="str">
        <f t="shared" si="73"/>
        <v>start /low /b %USERPROFILE%\Documents\GitHub\eaglep3\Utilities\DownloadLogsFromS3.py --loco 4018 --day 2017-04-10</v>
      </c>
      <c r="AN166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610</v>
      </c>
      <c r="B167" s="7">
        <v>4017</v>
      </c>
      <c r="C167" s="21" t="s">
        <v>215</v>
      </c>
      <c r="D167" s="21" t="s">
        <v>952</v>
      </c>
      <c r="E167" s="13">
        <v>42835.337997685187</v>
      </c>
      <c r="F167" s="13">
        <v>42835.33898148148</v>
      </c>
      <c r="G167" s="7">
        <v>0</v>
      </c>
      <c r="H167" s="21" t="s">
        <v>953</v>
      </c>
      <c r="I167" s="13">
        <v>42835.350844907407</v>
      </c>
      <c r="J167" s="7">
        <v>0</v>
      </c>
      <c r="K167" s="97" t="str">
        <f t="shared" si="58"/>
        <v>4017/4018</v>
      </c>
      <c r="L167" s="21" t="str">
        <f>VLOOKUP(A167,'Trips&amp;Operators'!$C$1:$G$99999,5,FALSE)</f>
        <v>DAVIS WENDY</v>
      </c>
      <c r="M167" s="6">
        <f t="shared" si="59"/>
        <v>1.1863425927003846E-2</v>
      </c>
      <c r="N167" s="7">
        <f t="shared" si="83"/>
        <v>17.083333334885538</v>
      </c>
      <c r="O167" s="7"/>
      <c r="P167" s="7"/>
      <c r="Q167" s="22"/>
      <c r="R167" s="22"/>
      <c r="S167" s="31">
        <f t="shared" si="60"/>
        <v>1</v>
      </c>
      <c r="T167" s="46" t="str">
        <f t="shared" si="61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62"/>
        <v>https://d0f6bd738d7f1b3e5a7ca70fe4ff75f0.us-east-1.aws.found.io/app/kibana#/discover/Steve-Slow-Train-Analysis-(2080s-and-2083s)?_g=(refreshInterval:(display:Off,pause:!f,section:0,value:0),time:(from:'2017-04-10T07:06:43-0600',mode:absolute,to:'2017-04-10T09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183" t="str">
        <f t="shared" si="63"/>
        <v>N</v>
      </c>
      <c r="X167" s="183">
        <f t="shared" si="82"/>
        <v>1</v>
      </c>
      <c r="Y167" s="62">
        <f t="shared" si="80"/>
        <v>5.8693999999999997</v>
      </c>
      <c r="Z167" s="62">
        <f t="shared" si="81"/>
        <v>7.6799999999999993E-2</v>
      </c>
      <c r="AA167" s="62">
        <f t="shared" si="66"/>
        <v>5.7925999999999993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7"/>
        <v>0810-10</v>
      </c>
      <c r="AE167" s="85" t="str">
        <f t="shared" si="68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67" s="82" t="str">
        <f t="shared" si="69"/>
        <v>"C:\Program Files (x86)\AstroGrep\AstroGrep.exe" /e /r /s /spath="%USERPROFILE%\AppData\Local\Temp\OnboardLogs" /stypes="app*4017*20170410*" /stext=" 14:.+((SYSTEM_STATE.+slice.+state.+changed )|(ment ac)|(multiple cpu faults)|(system.+state.+changed )|(\[timeout)|(PRM\|1\|D)|(kpr)|(kdp)|(\|lc)|(penalty))"</v>
      </c>
      <c r="AG167" s="1" t="str">
        <f t="shared" si="70"/>
        <v>NW</v>
      </c>
      <c r="AH167" s="86" t="str">
        <f t="shared" si="71"/>
        <v>"%USERPROFILE%\Documents\GitHub\eaglep3\Utilities\RefineRTDCRunTimes.py" --tripid 810-10 --locoid 4017 --swversion DE.1.0.9.0 --startMP 300:58694 --initTime 2017-04-10T08:06:43 --startdatetime 2017-04-10T08:08:08 --delay 0 --endMP 204:768 --enddatetime 2017-04-10T08:25:13 --enforcementcount 0 &gt;&gt;C:\Users\stu\Documents\GitHub\eaglep3-reporting\EC\2017-04-10-refined-times.txt</v>
      </c>
      <c r="AI167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{"issue":{"subject":"","project_id":79,"tracker_id":40,"status_id":1,"priority_id":2,"assigned_to_id":23,"start_date":"2017-04-10","description":"","custom_fields":[{"id":1,"name":"Subdivision","value":"NW"},{"id":4,"name":"Milepost","value":"0.0768"},{"id":17,"name":"Train ID","value":"810-10"},{"id":16,"name":"Locomotive ID","value":"4017"},{"id":130,"name":"Impact","value":""},{"id":150,"name":"Time of Event (Mountain Time)","value":"08:25:13"},{"id":151,"name":"Denver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73"/>
        <v>start /low /b %USERPROFILE%\Documents\GitHub\eaglep3\Utilities\DownloadLogsFromS3.py --loco 4017 --day 2017-04-10</v>
      </c>
      <c r="AN167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3" t="s">
        <v>695</v>
      </c>
      <c r="B168" s="7">
        <v>4022</v>
      </c>
      <c r="C168" s="21" t="s">
        <v>215</v>
      </c>
      <c r="D168" s="21" t="s">
        <v>942</v>
      </c>
      <c r="E168" s="13">
        <v>42835.331423611111</v>
      </c>
      <c r="F168" s="13">
        <v>42835.348067129627</v>
      </c>
      <c r="G168" s="7">
        <v>1</v>
      </c>
      <c r="H168" s="21" t="s">
        <v>954</v>
      </c>
      <c r="I168" s="13">
        <v>42835.357048611113</v>
      </c>
      <c r="J168" s="7">
        <v>0</v>
      </c>
      <c r="K168" s="97" t="str">
        <f t="shared" si="58"/>
        <v>4021/4022</v>
      </c>
      <c r="L168" s="21" t="str">
        <f>VLOOKUP(A168,'Trips&amp;Operators'!$C$1:$G$99999,5,FALSE)</f>
        <v>LALONDE GREGORY</v>
      </c>
      <c r="M168" s="6">
        <f t="shared" si="59"/>
        <v>8.9814814855344594E-3</v>
      </c>
      <c r="N168" s="7">
        <f t="shared" si="83"/>
        <v>12.933333339169621</v>
      </c>
      <c r="O168" s="7"/>
      <c r="P168" s="7"/>
      <c r="Q168" s="22"/>
      <c r="R168" s="22"/>
      <c r="S168" s="31">
        <f t="shared" si="60"/>
        <v>1</v>
      </c>
      <c r="T168" s="46" t="str">
        <f t="shared" si="61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62"/>
        <v>https://d0f6bd738d7f1b3e5a7ca70fe4ff75f0.us-east-1.aws.found.io/app/kibana#/discover/Steve-Slow-Train-Analysis-(2080s-and-2083s)?_g=(refreshInterval:(display:Off,pause:!f,section:0,value:0),time:(from:'2017-04-10T06:57:15-0600',mode:absolute,to:'2017-04-10T09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183" t="str">
        <f t="shared" si="63"/>
        <v>N</v>
      </c>
      <c r="X168" s="183">
        <f t="shared" si="82"/>
        <v>1</v>
      </c>
      <c r="Y168" s="62">
        <f t="shared" si="80"/>
        <v>9.6500000000000002E-2</v>
      </c>
      <c r="Z168" s="62">
        <f t="shared" si="81"/>
        <v>5.8960999999999997</v>
      </c>
      <c r="AA168" s="62">
        <f t="shared" si="66"/>
        <v>5.7995999999999999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7"/>
        <v>0811-10</v>
      </c>
      <c r="AE168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68" s="82" t="str">
        <f t="shared" si="69"/>
        <v>"C:\Program Files (x86)\AstroGrep\AstroGrep.exe" /e /r /s /spath="%USERPROFILE%\AppData\Local\Temp\OnboardLogs" /stypes="app*4022*20170410*" /stext=" 14:.+((SYSTEM_STATE.+slice.+state.+changed )|(ment ac)|(multiple cpu faults)|(system.+state.+changed )|(\[timeout)|(PRM\|1\|D)|(kpr)|(kdp)|(\|lc)|(penalty))"</v>
      </c>
      <c r="AG168" s="1" t="str">
        <f t="shared" si="70"/>
        <v>NW</v>
      </c>
      <c r="AH168" s="86" t="str">
        <f t="shared" si="71"/>
        <v>"%USERPROFILE%\Documents\GitHub\eaglep3\Utilities\RefineRTDCRunTimes.py" --tripid 811-10 --locoid 4022 --swversion DE.1.0.9.0 --startMP 204:965 --initTime 2017-04-10T07:57:15 --startdatetime 2017-04-10T08:21:13 --delay 1 --endMP 300:58961 --enddatetime 2017-04-10T08:34:09 --enforcementcount 0 &gt;&gt;C:\Users\stu\Documents\GitHub\eaglep3-reporting\EC\2017-04-10-refined-times.txt</v>
      </c>
      <c r="AI168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{"issue":{"subject":"","project_id":79,"tracker_id":40,"status_id":1,"priority_id":2,"assigned_to_id":23,"start_date":"2017-04-10","description":"","custom_fields":[{"id":1,"name":"Subdivision","value":"NW"},{"id":4,"name":"Milepost","value":"5.8961"},{"id":17,"name":"Train ID","value":"811-10"},{"id":16,"name":"Locomotive ID","value":"4022"},{"id":130,"name":"Impact","value":""},{"id":150,"name":"Time of Event (Mountain Time)","value":"08:34:09"},{"id":151,"name":"Denver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73"/>
        <v>start /low /b %USERPROFILE%\Documents\GitHub\eaglep3\Utilities\DownloadLogsFromS3.py --loco 4022 --day 2017-04-10</v>
      </c>
      <c r="AN168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3" t="s">
        <v>700</v>
      </c>
      <c r="B169" s="7">
        <v>4021</v>
      </c>
      <c r="C169" s="21" t="s">
        <v>215</v>
      </c>
      <c r="D169" s="21" t="s">
        <v>955</v>
      </c>
      <c r="E169" s="13">
        <v>42835.357974537037</v>
      </c>
      <c r="F169" s="13">
        <v>42835.359317129631</v>
      </c>
      <c r="G169" s="7">
        <v>1</v>
      </c>
      <c r="H169" s="21" t="s">
        <v>956</v>
      </c>
      <c r="I169" s="13">
        <v>42835.371192129627</v>
      </c>
      <c r="J169" s="7">
        <v>0</v>
      </c>
      <c r="K169" s="97" t="str">
        <f t="shared" si="58"/>
        <v>4021/4022</v>
      </c>
      <c r="L169" s="21" t="str">
        <f>VLOOKUP(A169,'Trips&amp;Operators'!$C$1:$G$99999,5,FALSE)</f>
        <v>LALONDE GREGORY</v>
      </c>
      <c r="M169" s="6">
        <f t="shared" si="59"/>
        <v>1.187499999650754E-2</v>
      </c>
      <c r="N169" s="7">
        <f t="shared" si="83"/>
        <v>17.099999994970858</v>
      </c>
      <c r="O169" s="7"/>
      <c r="P169" s="7"/>
      <c r="Q169" s="22"/>
      <c r="R169" s="22"/>
      <c r="S169" s="31">
        <f t="shared" si="60"/>
        <v>1</v>
      </c>
      <c r="T169" s="46" t="str">
        <f t="shared" si="61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62"/>
        <v>https://d0f6bd738d7f1b3e5a7ca70fe4ff75f0.us-east-1.aws.found.io/app/kibana#/discover/Steve-Slow-Train-Analysis-(2080s-and-2083s)?_g=(refreshInterval:(display:Off,pause:!f,section:0,value:0),time:(from:'2017-04-10T07:35:29-0600',mode:absolute,to:'2017-04-10T09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183" t="str">
        <f t="shared" si="63"/>
        <v>N</v>
      </c>
      <c r="X169" s="183">
        <f t="shared" si="82"/>
        <v>1</v>
      </c>
      <c r="Y169" s="62">
        <f t="shared" si="80"/>
        <v>5.8644999999999996</v>
      </c>
      <c r="Z169" s="62">
        <f t="shared" si="81"/>
        <v>6.7299999999999999E-2</v>
      </c>
      <c r="AA169" s="62">
        <f t="shared" si="66"/>
        <v>5.7971999999999992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7"/>
        <v>0812-10</v>
      </c>
      <c r="AE169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69" s="82" t="str">
        <f t="shared" si="69"/>
        <v>"C:\Program Files (x86)\AstroGrep\AstroGrep.exe" /e /r /s /spath="%USERPROFILE%\AppData\Local\Temp\OnboardLogs" /stypes="app*4021*20170410*" /stext=" 14:.+((SYSTEM_STATE.+slice.+state.+changed )|(ment ac)|(multiple cpu faults)|(system.+state.+changed )|(\[timeout)|(PRM\|1\|D)|(kpr)|(kdp)|(\|lc)|(penalty))"</v>
      </c>
      <c r="AG169" s="1" t="str">
        <f t="shared" si="70"/>
        <v>NW</v>
      </c>
      <c r="AH169" s="86" t="str">
        <f t="shared" si="71"/>
        <v>"%USERPROFILE%\Documents\GitHub\eaglep3\Utilities\RefineRTDCRunTimes.py" --tripid 812-10 --locoid 4021 --swversion DE.1.0.9.0 --startMP 300:58645 --initTime 2017-04-10T08:35:29 --startdatetime 2017-04-10T08:37:25 --delay 1 --endMP 204:673 --enddatetime 2017-04-10T08:54:31 --enforcementcount 0 &gt;&gt;C:\Users\stu\Documents\GitHub\eaglep3-reporting\EC\2017-04-10-refined-times.txt</v>
      </c>
      <c r="AI169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{"issue":{"subject":"","project_id":79,"tracker_id":40,"status_id":1,"priority_id":2,"assigned_to_id":23,"start_date":"2017-04-10","description":"","custom_fields":[{"id":1,"name":"Subdivision","value":"NW"},{"id":4,"name":"Milepost","value":"0.0673"},{"id":17,"name":"Train ID","value":"812-10"},{"id":16,"name":"Locomotive ID","value":"4021"},{"id":130,"name":"Impact","value":""},{"id":150,"name":"Time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73"/>
        <v>start /low /b %USERPROFILE%\Documents\GitHub\eaglep3\Utilities\DownloadLogsFromS3.py --loco 4021 --day 2017-04-10</v>
      </c>
      <c r="AN169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704</v>
      </c>
      <c r="B170" s="7">
        <v>4022</v>
      </c>
      <c r="C170" s="21" t="s">
        <v>215</v>
      </c>
      <c r="D170" s="21" t="s">
        <v>942</v>
      </c>
      <c r="E170" s="13">
        <v>42835.372870370367</v>
      </c>
      <c r="F170" s="13">
        <v>42835.389803240738</v>
      </c>
      <c r="G170" s="7">
        <v>1</v>
      </c>
      <c r="H170" s="21" t="s">
        <v>957</v>
      </c>
      <c r="I170" s="13">
        <v>42835.398692129631</v>
      </c>
      <c r="J170" s="7">
        <v>0</v>
      </c>
      <c r="K170" s="97" t="str">
        <f t="shared" si="58"/>
        <v>4021/4022</v>
      </c>
      <c r="L170" s="21" t="str">
        <f>VLOOKUP(A170,'Trips&amp;Operators'!$C$1:$G$99999,5,FALSE)</f>
        <v>LALONDE GREGORY</v>
      </c>
      <c r="M170" s="6">
        <f t="shared" si="59"/>
        <v>8.8888888931251131E-3</v>
      </c>
      <c r="N170" s="7">
        <f t="shared" si="83"/>
        <v>12.800000006100163</v>
      </c>
      <c r="O170" s="7"/>
      <c r="P170" s="7"/>
      <c r="Q170" s="22"/>
      <c r="R170" s="22"/>
      <c r="S170" s="31">
        <f t="shared" si="60"/>
        <v>1</v>
      </c>
      <c r="T170" s="46" t="str">
        <f t="shared" si="61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62"/>
        <v>https://d0f6bd738d7f1b3e5a7ca70fe4ff75f0.us-east-1.aws.found.io/app/kibana#/discover/Steve-Slow-Train-Analysis-(2080s-and-2083s)?_g=(refreshInterval:(display:Off,pause:!f,section:0,value:0),time:(from:'2017-04-10T07:56:56-0600',mode:absolute,to:'2017-04-10T10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0" s="183" t="str">
        <f t="shared" si="63"/>
        <v>N</v>
      </c>
      <c r="X170" s="183">
        <f t="shared" si="82"/>
        <v>1</v>
      </c>
      <c r="Y170" s="62">
        <f t="shared" si="80"/>
        <v>9.6500000000000002E-2</v>
      </c>
      <c r="Z170" s="62">
        <f t="shared" si="81"/>
        <v>5.8973000000000004</v>
      </c>
      <c r="AA170" s="62">
        <f t="shared" si="66"/>
        <v>5.8008000000000006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7"/>
        <v>0813-10</v>
      </c>
      <c r="AE170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0" s="82" t="str">
        <f t="shared" si="69"/>
        <v>"C:\Program Files (x86)\AstroGrep\AstroGrep.exe" /e /r /s /spath="%USERPROFILE%\AppData\Local\Temp\OnboardLogs" /stypes="app*4022*20170410*" /stext=" 15:.+((SYSTEM_STATE.+slice.+state.+changed )|(ment ac)|(multiple cpu faults)|(system.+state.+changed )|(\[timeout)|(PRM\|1\|D)|(kpr)|(kdp)|(\|lc)|(penalty))"</v>
      </c>
      <c r="AG170" s="1" t="str">
        <f t="shared" si="70"/>
        <v>NW</v>
      </c>
      <c r="AH170" s="86" t="str">
        <f t="shared" si="71"/>
        <v>"%USERPROFILE%\Documents\GitHub\eaglep3\Utilities\RefineRTDCRunTimes.py" --tripid 813-10 --locoid 4022 --swversion DE.1.0.9.0 --startMP 204:965 --initTime 2017-04-10T08:56:56 --startdatetime 2017-04-10T09:21:19 --delay 1 --endMP 300:58973 --enddatetime 2017-04-10T09:34:07 --enforcementcount 0 &gt;&gt;C:\Users\stu\Documents\GitHub\eaglep3-reporting\EC\2017-04-10-refined-times.txt</v>
      </c>
      <c r="AI170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{"issue":{"subject":"","project_id":79,"tracker_id":40,"status_id":1,"priority_id":2,"assigned_to_id":23,"start_date":"2017-04-10","description":"","custom_fields":[{"id":1,"name":"Subdivision","value":"NW"},{"id":4,"name":"Milepost","value":"5.8973"},{"id":17,"name":"Train ID","value":"813-10"},{"id":16,"name":"Locomotive ID","value":"4022"},{"id":130,"name":"Impact","value":""},{"id":150,"name":"Time of Event (Mountain Time)","value":"09:34:07"},{"id":151,"name":"Denver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73"/>
        <v>start /low /b %USERPROFILE%\Documents\GitHub\eaglep3\Utilities\DownloadLogsFromS3.py --loco 4022 --day 2017-04-10</v>
      </c>
      <c r="AN170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3" t="s">
        <v>712</v>
      </c>
      <c r="B171" s="7">
        <v>4021</v>
      </c>
      <c r="C171" s="21" t="s">
        <v>215</v>
      </c>
      <c r="D171" s="21" t="s">
        <v>958</v>
      </c>
      <c r="E171" s="13">
        <v>42835.399814814817</v>
      </c>
      <c r="F171" s="13">
        <v>42835.400983796295</v>
      </c>
      <c r="G171" s="7">
        <v>0</v>
      </c>
      <c r="H171" s="21" t="s">
        <v>959</v>
      </c>
      <c r="I171" s="13">
        <v>42835.412800925929</v>
      </c>
      <c r="J171" s="7">
        <v>0</v>
      </c>
      <c r="K171" s="97" t="str">
        <f t="shared" si="58"/>
        <v>4021/4022</v>
      </c>
      <c r="L171" s="21" t="str">
        <f>VLOOKUP(A171,'Trips&amp;Operators'!$C$1:$G$99999,5,FALSE)</f>
        <v>LALONDE GREGORY</v>
      </c>
      <c r="M171" s="6">
        <f t="shared" si="59"/>
        <v>1.1817129634437151E-2</v>
      </c>
      <c r="N171" s="7">
        <f t="shared" si="83"/>
        <v>17.016666673589498</v>
      </c>
      <c r="O171" s="7"/>
      <c r="P171" s="7"/>
      <c r="Q171" s="22"/>
      <c r="R171" s="22"/>
      <c r="S171" s="31">
        <f t="shared" si="60"/>
        <v>1</v>
      </c>
      <c r="T171" s="46" t="str">
        <f t="shared" si="61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62"/>
        <v>https://d0f6bd738d7f1b3e5a7ca70fe4ff75f0.us-east-1.aws.found.io/app/kibana#/discover/Steve-Slow-Train-Analysis-(2080s-and-2083s)?_g=(refreshInterval:(display:Off,pause:!f,section:0,value:0),time:(from:'2017-04-10T08:35:44-0600',mode:absolute,to:'2017-04-10T10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1" s="183" t="str">
        <f t="shared" si="63"/>
        <v>N</v>
      </c>
      <c r="X171" s="183">
        <f t="shared" si="82"/>
        <v>1</v>
      </c>
      <c r="Y171" s="62">
        <f t="shared" si="80"/>
        <v>5.8648999999999996</v>
      </c>
      <c r="Z171" s="62">
        <f t="shared" si="81"/>
        <v>6.7500000000000004E-2</v>
      </c>
      <c r="AA171" s="62">
        <f t="shared" si="66"/>
        <v>5.7973999999999997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7"/>
        <v>0814-10</v>
      </c>
      <c r="AE171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1" s="82" t="str">
        <f t="shared" si="69"/>
        <v>"C:\Program Files (x86)\AstroGrep\AstroGrep.exe" /e /r /s /spath="%USERPROFILE%\AppData\Local\Temp\OnboardLogs" /stypes="app*4021*20170410*" /stext=" 15:.+((SYSTEM_STATE.+slice.+state.+changed )|(ment ac)|(multiple cpu faults)|(system.+state.+changed )|(\[timeout)|(PRM\|1\|D)|(kpr)|(kdp)|(\|lc)|(penalty))"</v>
      </c>
      <c r="AG171" s="1" t="str">
        <f t="shared" si="70"/>
        <v>NW</v>
      </c>
      <c r="AH171" s="86" t="str">
        <f t="shared" si="71"/>
        <v>"%USERPROFILE%\Documents\GitHub\eaglep3\Utilities\RefineRTDCRunTimes.py" --tripid 814-10 --locoid 4021 --swversion DE.1.0.9.0 --startMP 300:58649 --initTime 2017-04-10T09:35:44 --startdatetime 2017-04-10T09:37:25 --delay 0 --endMP 204:675 --enddatetime 2017-04-10T09:54:26 --enforcementcount 0 &gt;&gt;C:\Users\stu\Documents\GitHub\eaglep3-reporting\EC\2017-04-10-refined-times.txt</v>
      </c>
      <c r="AI171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{"issue":{"subject":"","project_id":79,"tracker_id":40,"status_id":1,"priority_id":2,"assigned_to_id":23,"start_date":"2017-04-10","description":"","custom_fields":[{"id":1,"name":"Subdivision","value":"NW"},{"id":4,"name":"Milepost","value":"0.0675"},{"id":17,"name":"Train ID","value":"814-10"},{"id":16,"name":"Locomotive ID","value":"4021"},{"id":130,"name":"Impact","value":""},{"id":150,"name":"Time of Event (Mountain Time)","value":"09:54:26"},{"id":151,"name":"Denver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73"/>
        <v>start /low /b %USERPROFILE%\Documents\GitHub\eaglep3\Utilities\DownloadLogsFromS3.py --loco 4021 --day 2017-04-10</v>
      </c>
      <c r="AN171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715</v>
      </c>
      <c r="B172" s="7">
        <v>4022</v>
      </c>
      <c r="C172" s="21" t="s">
        <v>215</v>
      </c>
      <c r="D172" s="21" t="s">
        <v>960</v>
      </c>
      <c r="E172" s="13">
        <v>42835.414525462962</v>
      </c>
      <c r="F172" s="13">
        <v>42835.43141203704</v>
      </c>
      <c r="G172" s="7">
        <v>1</v>
      </c>
      <c r="H172" s="21" t="s">
        <v>939</v>
      </c>
      <c r="I172" s="13">
        <v>42835.440439814818</v>
      </c>
      <c r="J172" s="7">
        <v>0</v>
      </c>
      <c r="K172" s="97" t="str">
        <f t="shared" si="58"/>
        <v>4021/4022</v>
      </c>
      <c r="L172" s="21" t="str">
        <f>VLOOKUP(A172,'Trips&amp;Operators'!$C$1:$G$99999,5,FALSE)</f>
        <v>LALONDE GREGORY</v>
      </c>
      <c r="M172" s="6">
        <f t="shared" si="59"/>
        <v>9.0277777781011537E-3</v>
      </c>
      <c r="N172" s="7">
        <f t="shared" si="83"/>
        <v>13.000000000465661</v>
      </c>
      <c r="O172" s="7"/>
      <c r="P172" s="7"/>
      <c r="Q172" s="22"/>
      <c r="R172" s="22"/>
      <c r="S172" s="31">
        <f t="shared" si="60"/>
        <v>1</v>
      </c>
      <c r="T172" s="46" t="str">
        <f t="shared" si="61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62"/>
        <v>https://d0f6bd738d7f1b3e5a7ca70fe4ff75f0.us-east-1.aws.found.io/app/kibana#/discover/Steve-Slow-Train-Analysis-(2080s-and-2083s)?_g=(refreshInterval:(display:Off,pause:!f,section:0,value:0),time:(from:'2017-04-10T08:56:55-0600',mode:absolute,to:'2017-04-10T11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2" s="183" t="str">
        <f t="shared" si="63"/>
        <v>N</v>
      </c>
      <c r="X172" s="183">
        <f t="shared" si="82"/>
        <v>1</v>
      </c>
      <c r="Y172" s="62">
        <f t="shared" si="80"/>
        <v>9.64E-2</v>
      </c>
      <c r="Z172" s="62">
        <f t="shared" si="81"/>
        <v>5.8964999999999996</v>
      </c>
      <c r="AA172" s="62">
        <f t="shared" si="66"/>
        <v>5.8000999999999996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7"/>
        <v>0815-10</v>
      </c>
      <c r="AE172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2" s="82" t="str">
        <f t="shared" si="69"/>
        <v>"C:\Program Files (x86)\AstroGrep\AstroGrep.exe" /e /r /s /spath="%USERPROFILE%\AppData\Local\Temp\OnboardLogs" /stypes="app*4022*20170410*" /stext=" 16:.+((SYSTEM_STATE.+slice.+state.+changed )|(ment ac)|(multiple cpu faults)|(system.+state.+changed )|(\[timeout)|(PRM\|1\|D)|(kpr)|(kdp)|(\|lc)|(penalty))"</v>
      </c>
      <c r="AG172" s="1" t="str">
        <f t="shared" si="70"/>
        <v>NW</v>
      </c>
      <c r="AH172" s="86" t="str">
        <f t="shared" si="71"/>
        <v>"%USERPROFILE%\Documents\GitHub\eaglep3\Utilities\RefineRTDCRunTimes.py" --tripid 815-10 --locoid 4022 --swversion DE.1.0.9.0 --startMP 204:964 --initTime 2017-04-10T09:56:55 --startdatetime 2017-04-10T10:21:14 --delay 1 --endMP 300:58965 --enddatetime 2017-04-10T10:34:14 --enforcementcount 0 &gt;&gt;C:\Users\stu\Documents\GitHub\eaglep3-reporting\EC\2017-04-10-refined-times.txt</v>
      </c>
      <c r="AI172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{"issue":{"subject":"","project_id":79,"tracker_id":40,"status_id":1,"priority_id":2,"assigned_to_id":23,"start_date":"2017-04-10","description":"","custom_fields":[{"id":1,"name":"Subdivision","value":"NW"},{"id":4,"name":"Milepost","value":"5.8965"},{"id":17,"name":"Train ID","value":"815-10"},{"id":16,"name":"Locomotive ID","value":"4022"},{"id":130,"name":"Impact","value":""},{"id":150,"name":"Time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73"/>
        <v>start /low /b %USERPROFILE%\Documents\GitHub\eaglep3\Utilities\DownloadLogsFromS3.py --loco 4022 --day 2017-04-10</v>
      </c>
      <c r="AN172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721</v>
      </c>
      <c r="B173" s="7">
        <v>4021</v>
      </c>
      <c r="C173" s="21" t="s">
        <v>215</v>
      </c>
      <c r="D173" s="21" t="s">
        <v>961</v>
      </c>
      <c r="E173" s="13">
        <v>42835.441365740742</v>
      </c>
      <c r="F173" s="13">
        <v>42835.442650462966</v>
      </c>
      <c r="G173" s="7">
        <v>1</v>
      </c>
      <c r="H173" s="21" t="s">
        <v>962</v>
      </c>
      <c r="I173" s="13">
        <v>42835.454421296294</v>
      </c>
      <c r="J173" s="7">
        <v>0</v>
      </c>
      <c r="K173" s="97" t="str">
        <f t="shared" si="58"/>
        <v>4021/4022</v>
      </c>
      <c r="L173" s="21" t="str">
        <f>VLOOKUP(A173,'Trips&amp;Operators'!$C$1:$G$99999,5,FALSE)</f>
        <v>LALONDE GREGORY</v>
      </c>
      <c r="M173" s="6">
        <f t="shared" si="59"/>
        <v>1.1770833327318542E-2</v>
      </c>
      <c r="N173" s="7">
        <f t="shared" si="83"/>
        <v>16.9499999913387</v>
      </c>
      <c r="O173" s="7"/>
      <c r="P173" s="7"/>
      <c r="Q173" s="22"/>
      <c r="R173" s="22"/>
      <c r="S173" s="31">
        <f t="shared" si="60"/>
        <v>1</v>
      </c>
      <c r="T173" s="46" t="str">
        <f t="shared" si="61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62"/>
        <v>https://d0f6bd738d7f1b3e5a7ca70fe4ff75f0.us-east-1.aws.found.io/app/kibana#/discover/Steve-Slow-Train-Analysis-(2080s-and-2083s)?_g=(refreshInterval:(display:Off,pause:!f,section:0,value:0),time:(from:'2017-04-10T09:35:34-0600',mode:absolute,to:'2017-04-10T11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3" s="183" t="str">
        <f t="shared" si="63"/>
        <v>N</v>
      </c>
      <c r="X173" s="183">
        <f t="shared" si="82"/>
        <v>1</v>
      </c>
      <c r="Y173" s="62">
        <f t="shared" si="80"/>
        <v>5.8666</v>
      </c>
      <c r="Z173" s="62">
        <f t="shared" si="81"/>
        <v>7.0099999999999996E-2</v>
      </c>
      <c r="AA173" s="62">
        <f t="shared" si="66"/>
        <v>5.7965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7"/>
        <v>0816-10</v>
      </c>
      <c r="AE173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3" s="82" t="str">
        <f t="shared" si="69"/>
        <v>"C:\Program Files (x86)\AstroGrep\AstroGrep.exe" /e /r /s /spath="%USERPROFILE%\AppData\Local\Temp\OnboardLogs" /stypes="app*4021*20170410*" /stext=" 16:.+((SYSTEM_STATE.+slice.+state.+changed )|(ment ac)|(multiple cpu faults)|(system.+state.+changed )|(\[timeout)|(PRM\|1\|D)|(kpr)|(kdp)|(\|lc)|(penalty))"</v>
      </c>
      <c r="AG173" s="1" t="str">
        <f t="shared" si="70"/>
        <v>NW</v>
      </c>
      <c r="AH173" s="86" t="str">
        <f t="shared" si="71"/>
        <v>"%USERPROFILE%\Documents\GitHub\eaglep3\Utilities\RefineRTDCRunTimes.py" --tripid 816-10 --locoid 4021 --swversion DE.1.0.9.0 --startMP 300:58666 --initTime 2017-04-10T10:35:34 --startdatetime 2017-04-10T10:37:25 --delay 1 --endMP 204:701 --enddatetime 2017-04-10T10:54:22 --enforcementcount 0 &gt;&gt;C:\Users\stu\Documents\GitHub\eaglep3-reporting\EC\2017-04-10-refined-times.txt</v>
      </c>
      <c r="AI173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{"issue":{"subject":"","project_id":79,"tracker_id":40,"status_id":1,"priority_id":2,"assigned_to_id":23,"start_date":"2017-04-10","description":"","custom_fields":[{"id":1,"name":"Subdivision","value":"NW"},{"id":4,"name":"Milepost","value":"0.0701"},{"id":17,"name":"Train ID","value":"816-10"},{"id":16,"name":"Locomotive ID","value":"4021"},{"id":130,"name":"Impact","value":""},{"id":150,"name":"Time of Event (Mountain Time)","value":"10:54:22"},{"id":151,"name":"Denver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73"/>
        <v>start /low /b %USERPROFILE%\Documents\GitHub\eaglep3\Utilities\DownloadLogsFromS3.py --loco 4021 --day 2017-04-10</v>
      </c>
      <c r="AN173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728</v>
      </c>
      <c r="B174" s="7">
        <v>4022</v>
      </c>
      <c r="C174" s="21" t="s">
        <v>215</v>
      </c>
      <c r="D174" s="21" t="s">
        <v>963</v>
      </c>
      <c r="E174" s="13">
        <v>42835.456030092595</v>
      </c>
      <c r="F174" s="13">
        <v>42835.473067129627</v>
      </c>
      <c r="G174" s="7">
        <v>1</v>
      </c>
      <c r="H174" s="21" t="s">
        <v>964</v>
      </c>
      <c r="I174" s="13">
        <v>42835.482083333336</v>
      </c>
      <c r="J174" s="7">
        <v>0</v>
      </c>
      <c r="K174" s="97" t="str">
        <f t="shared" si="58"/>
        <v>4021/4022</v>
      </c>
      <c r="L174" s="21" t="str">
        <f>VLOOKUP(A174,'Trips&amp;Operators'!$C$1:$G$99999,5,FALSE)</f>
        <v>LALONDE GREGORY</v>
      </c>
      <c r="M174" s="6">
        <f t="shared" si="59"/>
        <v>9.0162037085974589E-3</v>
      </c>
      <c r="N174" s="7">
        <f t="shared" si="83"/>
        <v>12.983333340380341</v>
      </c>
      <c r="O174" s="7"/>
      <c r="P174" s="7"/>
      <c r="Q174" s="22"/>
      <c r="R174" s="22"/>
      <c r="S174" s="31">
        <f t="shared" si="60"/>
        <v>1</v>
      </c>
      <c r="T174" s="46" t="str">
        <f t="shared" si="61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62"/>
        <v>https://d0f6bd738d7f1b3e5a7ca70fe4ff75f0.us-east-1.aws.found.io/app/kibana#/discover/Steve-Slow-Train-Analysis-(2080s-and-2083s)?_g=(refreshInterval:(display:Off,pause:!f,section:0,value:0),time:(from:'2017-04-10T09:56:41-0600',mode:absolute,to:'2017-04-10T12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4" s="183" t="str">
        <f t="shared" si="63"/>
        <v>N</v>
      </c>
      <c r="X174" s="183">
        <f t="shared" si="82"/>
        <v>1</v>
      </c>
      <c r="Y174" s="62">
        <f t="shared" si="80"/>
        <v>9.7199999999999995E-2</v>
      </c>
      <c r="Z174" s="62">
        <f t="shared" si="81"/>
        <v>5.8978000000000002</v>
      </c>
      <c r="AA174" s="62">
        <f t="shared" si="66"/>
        <v>5.8006000000000002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7"/>
        <v>0817-10</v>
      </c>
      <c r="AE174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4" s="82" t="str">
        <f t="shared" si="69"/>
        <v>"C:\Program Files (x86)\AstroGrep\AstroGrep.exe" /e /r /s /spath="%USERPROFILE%\AppData\Local\Temp\OnboardLogs" /stypes="app*4022*20170410*" /stext=" 17:.+((SYSTEM_STATE.+slice.+state.+changed )|(ment ac)|(multiple cpu faults)|(system.+state.+changed )|(\[timeout)|(PRM\|1\|D)|(kpr)|(kdp)|(\|lc)|(penalty))"</v>
      </c>
      <c r="AG174" s="1" t="str">
        <f t="shared" si="70"/>
        <v>NW</v>
      </c>
      <c r="AH174" s="86" t="str">
        <f t="shared" si="71"/>
        <v>"%USERPROFILE%\Documents\GitHub\eaglep3\Utilities\RefineRTDCRunTimes.py" --tripid 817-10 --locoid 4022 --swversion DE.1.0.9.0 --startMP 204:972 --initTime 2017-04-10T10:56:41 --startdatetime 2017-04-10T11:21:13 --delay 1 --endMP 300:58978 --enddatetime 2017-04-10T11:34:12 --enforcementcount 0 &gt;&gt;C:\Users\stu\Documents\GitHub\eaglep3-reporting\EC\2017-04-10-refined-times.txt</v>
      </c>
      <c r="AI174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{"issue":{"subject":"","project_id":79,"tracker_id":40,"status_id":1,"priority_id":2,"assigned_to_id":23,"start_date":"2017-04-10","description":"","custom_fields":[{"id":1,"name":"Subdivision","value":"NW"},{"id":4,"name":"Milepost","value":"5.8978"},{"id":17,"name":"Train ID","value":"817-10"},{"id":16,"name":"Locomotive ID","value":"4022"},{"id":130,"name":"Impact","value":""},{"id":150,"name":"Time of Event (Mountain Time)","value":"11:34:12"},{"id":151,"name":"Denver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8"/>
      <c r="AL174" s="48"/>
      <c r="AM174" s="150" t="str">
        <f t="shared" si="73"/>
        <v>start /low /b %USERPROFILE%\Documents\GitHub\eaglep3\Utilities\DownloadLogsFromS3.py --loco 4022 --day 2017-04-10</v>
      </c>
      <c r="AN174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619</v>
      </c>
      <c r="B175" s="7">
        <v>4021</v>
      </c>
      <c r="C175" s="21" t="s">
        <v>215</v>
      </c>
      <c r="D175" s="21" t="s">
        <v>965</v>
      </c>
      <c r="E175" s="13">
        <v>42835.482881944445</v>
      </c>
      <c r="F175" s="13">
        <v>42835.4843287037</v>
      </c>
      <c r="G175" s="7">
        <v>1</v>
      </c>
      <c r="H175" s="21" t="s">
        <v>966</v>
      </c>
      <c r="I175" s="13">
        <v>42835.498796296299</v>
      </c>
      <c r="J175" s="7">
        <v>0</v>
      </c>
      <c r="K175" s="97" t="str">
        <f t="shared" si="58"/>
        <v>4021/4022</v>
      </c>
      <c r="L175" s="21" t="str">
        <f>VLOOKUP(A175,'Trips&amp;Operators'!$C$1:$G$99999,5,FALSE)</f>
        <v>LALONDE GREGORY</v>
      </c>
      <c r="M175" s="6">
        <f t="shared" si="59"/>
        <v>1.4467592598521151E-2</v>
      </c>
      <c r="N175" s="7">
        <f t="shared" si="83"/>
        <v>20.833333341870457</v>
      </c>
      <c r="O175" s="7"/>
      <c r="P175" s="7"/>
      <c r="Q175" s="22"/>
      <c r="R175" s="22"/>
      <c r="S175" s="31">
        <f t="shared" si="60"/>
        <v>1</v>
      </c>
      <c r="T175" s="46" t="str">
        <f t="shared" si="61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62"/>
        <v>https://d0f6bd738d7f1b3e5a7ca70fe4ff75f0.us-east-1.aws.found.io/app/kibana#/discover/Steve-Slow-Train-Analysis-(2080s-and-2083s)?_g=(refreshInterval:(display:Off,pause:!f,section:0,value:0),time:(from:'2017-04-10T10:35:21-0600',mode:absolute,to:'2017-04-10T12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5" s="183" t="str">
        <f t="shared" si="63"/>
        <v>N</v>
      </c>
      <c r="X175" s="183">
        <f t="shared" si="82"/>
        <v>1</v>
      </c>
      <c r="Y175" s="62">
        <f t="shared" si="80"/>
        <v>5.8667999999999996</v>
      </c>
      <c r="Z175" s="62">
        <f t="shared" si="81"/>
        <v>6.7000000000000004E-2</v>
      </c>
      <c r="AA175" s="62">
        <f t="shared" si="66"/>
        <v>5.7997999999999994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7"/>
        <v>0818-10</v>
      </c>
      <c r="AE175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5" s="82" t="str">
        <f t="shared" si="69"/>
        <v>"C:\Program Files (x86)\AstroGrep\AstroGrep.exe" /e /r /s /spath="%USERPROFILE%\AppData\Local\Temp\OnboardLogs" /stypes="app*4021*20170410*" /stext=" 17:.+((SYSTEM_STATE.+slice.+state.+changed )|(ment ac)|(multiple cpu faults)|(system.+state.+changed )|(\[timeout)|(PRM\|1\|D)|(kpr)|(kdp)|(\|lc)|(penalty))"</v>
      </c>
      <c r="AG175" s="1" t="str">
        <f t="shared" si="70"/>
        <v>NW</v>
      </c>
      <c r="AH175" s="86" t="str">
        <f t="shared" si="71"/>
        <v>"%USERPROFILE%\Documents\GitHub\eaglep3\Utilities\RefineRTDCRunTimes.py" --tripid 818-10 --locoid 4021 --swversion DE.1.0.9.0 --startMP 300:58668 --initTime 2017-04-10T11:35:21 --startdatetime 2017-04-10T11:37:26 --delay 1 --endMP 204:670 --enddatetime 2017-04-10T11:58:16 --enforcementcount 0 &gt;&gt;C:\Users\stu\Documents\GitHub\eaglep3-reporting\EC\2017-04-10-refined-times.txt</v>
      </c>
      <c r="AI175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{"issue":{"subject":"","project_id":79,"tracker_id":40,"status_id":1,"priority_id":2,"assigned_to_id":23,"start_date":"2017-04-10","description":"","custom_fields":[{"id":1,"name":"Subdivision","value":"NW"},{"id":4,"name":"Milepost","value":"0.067"},{"id":17,"name":"Train ID","value":"818-10"},{"id":16,"name":"Locomotive ID","value":"4021"},{"id":130,"name":"Impact","value":""},{"id":150,"name":"Time of Event (Mountain Time)","value":"11:58:16"},{"id":151,"name":"Denver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73"/>
        <v>start /low /b %USERPROFILE%\Documents\GitHub\eaglep3\Utilities\DownloadLogsFromS3.py --loco 4021 --day 2017-04-10</v>
      </c>
      <c r="AN175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623</v>
      </c>
      <c r="B176" s="7">
        <v>4022</v>
      </c>
      <c r="C176" s="21" t="s">
        <v>215</v>
      </c>
      <c r="D176" s="21" t="s">
        <v>967</v>
      </c>
      <c r="E176" s="13">
        <v>42835.505891203706</v>
      </c>
      <c r="F176" s="13">
        <v>42835.514803240738</v>
      </c>
      <c r="G176" s="7">
        <v>1</v>
      </c>
      <c r="H176" s="21" t="s">
        <v>964</v>
      </c>
      <c r="I176" s="13">
        <v>42835.524224537039</v>
      </c>
      <c r="J176" s="7">
        <v>0</v>
      </c>
      <c r="K176" s="97" t="str">
        <f t="shared" si="58"/>
        <v>4021/4022</v>
      </c>
      <c r="L176" s="21" t="str">
        <f>VLOOKUP(A176,'Trips&amp;Operators'!$C$1:$G$99999,5,FALSE)</f>
        <v>LALONDE GREGORY</v>
      </c>
      <c r="M176" s="6">
        <f t="shared" si="59"/>
        <v>9.4212963012978435E-3</v>
      </c>
      <c r="N176" s="7">
        <f t="shared" si="83"/>
        <v>13.566666673868895</v>
      </c>
      <c r="O176" s="7"/>
      <c r="P176" s="7"/>
      <c r="Q176" s="22"/>
      <c r="R176" s="22"/>
      <c r="S176" s="31">
        <f t="shared" si="60"/>
        <v>1</v>
      </c>
      <c r="T176" s="46" t="str">
        <f t="shared" si="61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62"/>
        <v>https://d0f6bd738d7f1b3e5a7ca70fe4ff75f0.us-east-1.aws.found.io/app/kibana#/discover/Steve-Slow-Train-Analysis-(2080s-and-2083s)?_g=(refreshInterval:(display:Off,pause:!f,section:0,value:0),time:(from:'2017-04-10T11:08:29-0600',mode:absolute,to:'2017-04-10T13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6" s="183" t="str">
        <f t="shared" si="63"/>
        <v>N</v>
      </c>
      <c r="X176" s="183">
        <f t="shared" si="82"/>
        <v>1</v>
      </c>
      <c r="Y176" s="62">
        <f t="shared" si="80"/>
        <v>9.7100000000000006E-2</v>
      </c>
      <c r="Z176" s="62">
        <f t="shared" si="81"/>
        <v>5.8978000000000002</v>
      </c>
      <c r="AA176" s="62">
        <f t="shared" si="66"/>
        <v>5.8007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7"/>
        <v>0819-10</v>
      </c>
      <c r="AE176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6" s="82" t="str">
        <f t="shared" si="69"/>
        <v>"C:\Program Files (x86)\AstroGrep\AstroGrep.exe" /e /r /s /spath="%USERPROFILE%\AppData\Local\Temp\OnboardLogs" /stypes="app*4022*20170410*" /stext=" 18:.+((SYSTEM_STATE.+slice.+state.+changed )|(ment ac)|(multiple cpu faults)|(system.+state.+changed )|(\[timeout)|(PRM\|1\|D)|(kpr)|(kdp)|(\|lc)|(penalty))"</v>
      </c>
      <c r="AG176" s="1" t="str">
        <f t="shared" si="70"/>
        <v>NW</v>
      </c>
      <c r="AH176" s="86" t="str">
        <f t="shared" si="71"/>
        <v>"%USERPROFILE%\Documents\GitHub\eaglep3\Utilities\RefineRTDCRunTimes.py" --tripid 819-10 --locoid 4022 --swversion DE.1.0.9.0 --startMP 204:971 --initTime 2017-04-10T12:08:29 --startdatetime 2017-04-10T12:21:19 --delay 1 --endMP 300:58978 --enddatetime 2017-04-10T12:34:53 --enforcementcount 0 &gt;&gt;C:\Users\stu\Documents\GitHub\eaglep3-reporting\EC\2017-04-10-refined-times.txt</v>
      </c>
      <c r="AI176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{"issue":{"subject":"","project_id":79,"tracker_id":40,"status_id":1,"priority_id":2,"assigned_to_id":23,"start_date":"2017-04-10","description":"","custom_fields":[{"id":1,"name":"Subdivision","value":"NW"},{"id":4,"name":"Milepost","value":"5.8978"},{"id":17,"name":"Train ID","value":"819-10"},{"id":16,"name":"Locomotive ID","value":"4022"},{"id":130,"name":"Impact","value":""},{"id":150,"name":"Time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73"/>
        <v>start /low /b %USERPROFILE%\Documents\GitHub\eaglep3\Utilities\DownloadLogsFromS3.py --loco 4022 --day 2017-04-10</v>
      </c>
      <c r="AN176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3" t="s">
        <v>743</v>
      </c>
      <c r="B177" s="7">
        <v>4021</v>
      </c>
      <c r="C177" s="21" t="s">
        <v>215</v>
      </c>
      <c r="D177" s="21" t="s">
        <v>968</v>
      </c>
      <c r="E177" s="13">
        <v>42835.525636574072</v>
      </c>
      <c r="F177" s="13">
        <v>42835.526805555557</v>
      </c>
      <c r="G177" s="7">
        <v>0</v>
      </c>
      <c r="H177" s="21" t="s">
        <v>956</v>
      </c>
      <c r="I177" s="13">
        <v>42835.537789351853</v>
      </c>
      <c r="J177" s="7">
        <v>0</v>
      </c>
      <c r="K177" s="97" t="str">
        <f t="shared" si="58"/>
        <v>4021/4022</v>
      </c>
      <c r="L177" s="21" t="str">
        <f>VLOOKUP(A177,'Trips&amp;Operators'!$C$1:$G$99999,5,FALSE)</f>
        <v>LALONDE GREGORY</v>
      </c>
      <c r="M177" s="6">
        <f t="shared" si="59"/>
        <v>1.0983796295477077E-2</v>
      </c>
      <c r="N177" s="7">
        <f t="shared" si="83"/>
        <v>15.816666665486991</v>
      </c>
      <c r="O177" s="7"/>
      <c r="P177" s="7"/>
      <c r="Q177" s="22"/>
      <c r="R177" s="22"/>
      <c r="S177" s="31">
        <f t="shared" si="60"/>
        <v>1</v>
      </c>
      <c r="T177" s="46" t="str">
        <f t="shared" si="61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62"/>
        <v>https://d0f6bd738d7f1b3e5a7ca70fe4ff75f0.us-east-1.aws.found.io/app/kibana#/discover/Steve-Slow-Train-Analysis-(2080s-and-2083s)?_g=(refreshInterval:(display:Off,pause:!f,section:0,value:0),time:(from:'2017-04-10T11:36:55-0600',mode:absolute,to:'2017-04-10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7" s="183" t="str">
        <f t="shared" si="63"/>
        <v>N</v>
      </c>
      <c r="X177" s="183">
        <f t="shared" si="82"/>
        <v>1</v>
      </c>
      <c r="Y177" s="62">
        <f t="shared" si="80"/>
        <v>5.8639999999999999</v>
      </c>
      <c r="Z177" s="62">
        <f t="shared" si="81"/>
        <v>6.7299999999999999E-2</v>
      </c>
      <c r="AA177" s="62">
        <f t="shared" si="66"/>
        <v>5.7966999999999995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7"/>
        <v>0820-10</v>
      </c>
      <c r="AE177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7" s="82" t="str">
        <f t="shared" si="69"/>
        <v>"C:\Program Files (x86)\AstroGrep\AstroGrep.exe" /e /r /s /spath="%USERPROFILE%\AppData\Local\Temp\OnboardLogs" /stypes="app*4021*20170410*" /stext=" 18:.+((SYSTEM_STATE.+slice.+state.+changed )|(ment ac)|(multiple cpu faults)|(system.+state.+changed )|(\[timeout)|(PRM\|1\|D)|(kpr)|(kdp)|(\|lc)|(penalty))"</v>
      </c>
      <c r="AG177" s="1" t="str">
        <f t="shared" si="70"/>
        <v>NW</v>
      </c>
      <c r="AH177" s="86" t="str">
        <f t="shared" si="71"/>
        <v>"%USERPROFILE%\Documents\GitHub\eaglep3\Utilities\RefineRTDCRunTimes.py" --tripid 820-10 --locoid 4021 --swversion DE.1.0.9.0 --startMP 300:58640 --initTime 2017-04-10T12:36:55 --startdatetime 2017-04-10T12:38:36 --delay 0 --endMP 204:673 --enddatetime 2017-04-10T12:54:25 --enforcementcount 0 &gt;&gt;C:\Users\stu\Documents\GitHub\eaglep3-reporting\EC\2017-04-10-refined-times.txt</v>
      </c>
      <c r="AI177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{"issue":{"subject":"","project_id":79,"tracker_id":40,"status_id":1,"priority_id":2,"assigned_to_id":23,"start_date":"2017-04-10","description":"","custom_fields":[{"id":1,"name":"Subdivision","value":"NW"},{"id":4,"name":"Milepost","value":"0.0673"},{"id":17,"name":"Train ID","value":"820-10"},{"id":16,"name":"Locomotive ID","value":"4021"},{"id":130,"name":"Impact","value":""},{"id":150,"name":"Time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8"/>
      <c r="AL177" s="48"/>
      <c r="AM177" s="150" t="str">
        <f t="shared" si="73"/>
        <v>start /low /b %USERPROFILE%\Documents\GitHub\eaglep3\Utilities\DownloadLogsFromS3.py --loco 4021 --day 2017-04-10</v>
      </c>
      <c r="AN177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749</v>
      </c>
      <c r="B178" s="7">
        <v>4022</v>
      </c>
      <c r="C178" s="21" t="s">
        <v>215</v>
      </c>
      <c r="D178" s="21" t="s">
        <v>963</v>
      </c>
      <c r="E178" s="13">
        <v>42835.553287037037</v>
      </c>
      <c r="F178" s="13">
        <v>42835.556458333333</v>
      </c>
      <c r="G178" s="7">
        <v>1</v>
      </c>
      <c r="H178" s="21" t="s">
        <v>969</v>
      </c>
      <c r="I178" s="13">
        <v>42835.565185185187</v>
      </c>
      <c r="J178" s="7">
        <v>0</v>
      </c>
      <c r="K178" s="97" t="str">
        <f t="shared" si="58"/>
        <v>4021/4022</v>
      </c>
      <c r="L178" s="21" t="str">
        <f>VLOOKUP(A178,'Trips&amp;Operators'!$C$1:$G$99999,5,FALSE)</f>
        <v>LEVIN SCOTT</v>
      </c>
      <c r="M178" s="6">
        <f t="shared" si="59"/>
        <v>8.7268518545897678E-3</v>
      </c>
      <c r="N178" s="7">
        <f t="shared" si="83"/>
        <v>12.566666670609266</v>
      </c>
      <c r="O178" s="7"/>
      <c r="P178" s="7"/>
      <c r="Q178" s="22"/>
      <c r="R178" s="22"/>
      <c r="S178" s="31">
        <f t="shared" si="60"/>
        <v>1</v>
      </c>
      <c r="T178" s="46" t="str">
        <f t="shared" si="61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62"/>
        <v>https://d0f6bd738d7f1b3e5a7ca70fe4ff75f0.us-east-1.aws.found.io/app/kibana#/discover/Steve-Slow-Train-Analysis-(2080s-and-2083s)?_g=(refreshInterval:(display:Off,pause:!f,section:0,value:0),time:(from:'2017-04-10T12:16:44-0600',mode:absolute,to:'2017-04-10T14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8" s="183" t="str">
        <f t="shared" si="63"/>
        <v>N</v>
      </c>
      <c r="X178" s="183">
        <f t="shared" si="82"/>
        <v>1</v>
      </c>
      <c r="Y178" s="62">
        <f t="shared" si="80"/>
        <v>9.7199999999999995E-2</v>
      </c>
      <c r="Z178" s="62">
        <f t="shared" si="81"/>
        <v>5.9012000000000002</v>
      </c>
      <c r="AA178" s="62">
        <f t="shared" si="66"/>
        <v>5.8040000000000003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7"/>
        <v>0821-10</v>
      </c>
      <c r="AE178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8" s="82" t="str">
        <f t="shared" si="69"/>
        <v>"C:\Program Files (x86)\AstroGrep\AstroGrep.exe" /e /r /s /spath="%USERPROFILE%\AppData\Local\Temp\OnboardLogs" /stypes="app*4022*20170410*" /stext=" 19:.+((SYSTEM_STATE.+slice.+state.+changed )|(ment ac)|(multiple cpu faults)|(system.+state.+changed )|(\[timeout)|(PRM\|1\|D)|(kpr)|(kdp)|(\|lc)|(penalty))"</v>
      </c>
      <c r="AG178" s="1" t="str">
        <f t="shared" si="70"/>
        <v>NW</v>
      </c>
      <c r="AH178" s="86" t="str">
        <f t="shared" si="71"/>
        <v>"%USERPROFILE%\Documents\GitHub\eaglep3\Utilities\RefineRTDCRunTimes.py" --tripid 821-10 --locoid 4022 --swversion DE.1.0.9.0 --startMP 204:972 --initTime 2017-04-10T13:16:44 --startdatetime 2017-04-10T13:21:18 --delay 1 --endMP 300:59012 --enddatetime 2017-04-10T13:33:52 --enforcementcount 0 &gt;&gt;C:\Users\stu\Documents\GitHub\eaglep3-reporting\EC\2017-04-10-refined-times.txt</v>
      </c>
      <c r="AI178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{"issue":{"subject":"","project_id":79,"tracker_id":40,"status_id":1,"priority_id":2,"assigned_to_id":23,"start_date":"2017-04-10","description":"","custom_fields":[{"id":1,"name":"Subdivision","value":"NW"},{"id":4,"name":"Milepost","value":"5.9012"},{"id":17,"name":"Train ID","value":"821-10"},{"id":16,"name":"Locomotive ID","value":"4022"},{"id":130,"name":"Impact","value":""},{"id":150,"name":"Time of Event (Mountain Time)","value":"13:33:52"},{"id":151,"name":"Denver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73"/>
        <v>start /low /b %USERPROFILE%\Documents\GitHub\eaglep3\Utilities\DownloadLogsFromS3.py --loco 4022 --day 2017-04-10</v>
      </c>
      <c r="AN178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754</v>
      </c>
      <c r="B179" s="7">
        <v>4021</v>
      </c>
      <c r="C179" s="21" t="s">
        <v>215</v>
      </c>
      <c r="D179" s="21" t="s">
        <v>970</v>
      </c>
      <c r="E179" s="13">
        <v>42835.566400462965</v>
      </c>
      <c r="F179" s="13">
        <v>42835.567858796298</v>
      </c>
      <c r="G179" s="7">
        <v>1</v>
      </c>
      <c r="H179" s="21" t="s">
        <v>971</v>
      </c>
      <c r="I179" s="13">
        <v>42835.579710648148</v>
      </c>
      <c r="J179" s="7">
        <v>0</v>
      </c>
      <c r="K179" s="97" t="str">
        <f t="shared" si="58"/>
        <v>4021/4022</v>
      </c>
      <c r="L179" s="21" t="str">
        <f>VLOOKUP(A179,'Trips&amp;Operators'!$C$1:$G$99999,5,FALSE)</f>
        <v>LEVIN SCOTT</v>
      </c>
      <c r="M179" s="6">
        <f t="shared" si="59"/>
        <v>1.1851851850224193E-2</v>
      </c>
      <c r="N179" s="7">
        <f t="shared" si="83"/>
        <v>17.066666664322838</v>
      </c>
      <c r="O179" s="7"/>
      <c r="P179" s="7"/>
      <c r="Q179" s="22"/>
      <c r="R179" s="22"/>
      <c r="S179" s="31">
        <f t="shared" si="60"/>
        <v>1</v>
      </c>
      <c r="T179" s="46" t="str">
        <f t="shared" si="61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62"/>
        <v>https://d0f6bd738d7f1b3e5a7ca70fe4ff75f0.us-east-1.aws.found.io/app/kibana#/discover/Steve-Slow-Train-Analysis-(2080s-and-2083s)?_g=(refreshInterval:(display:Off,pause:!f,section:0,value:0),time:(from:'2017-04-10T12:35:37-0600',mode:absolute,to:'2017-04-10T14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9" s="183" t="str">
        <f t="shared" si="63"/>
        <v>N</v>
      </c>
      <c r="X179" s="183">
        <f t="shared" si="82"/>
        <v>1</v>
      </c>
      <c r="Y179" s="62">
        <f t="shared" si="80"/>
        <v>5.8689999999999998</v>
      </c>
      <c r="Z179" s="62">
        <f t="shared" si="81"/>
        <v>6.3500000000000001E-2</v>
      </c>
      <c r="AA179" s="62">
        <f t="shared" si="66"/>
        <v>5.8054999999999994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7"/>
        <v>0822-10</v>
      </c>
      <c r="AE179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9" s="82" t="str">
        <f t="shared" si="69"/>
        <v>"C:\Program Files (x86)\AstroGrep\AstroGrep.exe" /e /r /s /spath="%USERPROFILE%\AppData\Local\Temp\OnboardLogs" /stypes="app*4021*20170410*" /stext=" 19:.+((SYSTEM_STATE.+slice.+state.+changed )|(ment ac)|(multiple cpu faults)|(system.+state.+changed )|(\[timeout)|(PRM\|1\|D)|(kpr)|(kdp)|(\|lc)|(penalty))"</v>
      </c>
      <c r="AG179" s="1" t="str">
        <f t="shared" si="70"/>
        <v>NW</v>
      </c>
      <c r="AH179" s="86" t="str">
        <f t="shared" si="71"/>
        <v>"%USERPROFILE%\Documents\GitHub\eaglep3\Utilities\RefineRTDCRunTimes.py" --tripid 822-10 --locoid 4021 --swversion DE.1.0.9.0 --startMP 300:58690 --initTime 2017-04-10T13:35:37 --startdatetime 2017-04-10T13:37:43 --delay 1 --endMP 204:635 --enddatetime 2017-04-10T13:54:47 --enforcementcount 0 &gt;&gt;C:\Users\stu\Documents\GitHub\eaglep3-reporting\EC\2017-04-10-refined-times.txt</v>
      </c>
      <c r="AI179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{"issue":{"subject":"","project_id":79,"tracker_id":40,"status_id":1,"priority_id":2,"assigned_to_id":23,"start_date":"2017-04-10","description":"","custom_fields":[{"id":1,"name":"Subdivision","value":"NW"},{"id":4,"name":"Milepost","value":"0.0635"},{"id":17,"name":"Train ID","value":"822-10"},{"id":16,"name":"Locomotive ID","value":"4021"},{"id":130,"name":"Impact","value":""},{"id":150,"name":"Time of Event (Mountain Time)","value":"13:54:47"},{"id":151,"name":"Denver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73"/>
        <v>start /low /b %USERPROFILE%\Documents\GitHub\eaglep3\Utilities\DownloadLogsFromS3.py --loco 4021 --day 2017-04-10</v>
      </c>
      <c r="AN179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760</v>
      </c>
      <c r="B180" s="7">
        <v>4022</v>
      </c>
      <c r="C180" s="21" t="s">
        <v>215</v>
      </c>
      <c r="D180" s="21" t="s">
        <v>972</v>
      </c>
      <c r="E180" s="13">
        <v>42835.595925925925</v>
      </c>
      <c r="F180" s="13">
        <v>42835.598136574074</v>
      </c>
      <c r="G180" s="7">
        <v>1</v>
      </c>
      <c r="H180" s="21" t="s">
        <v>973</v>
      </c>
      <c r="I180" s="13">
        <v>42835.607083333336</v>
      </c>
      <c r="J180" s="7">
        <v>0</v>
      </c>
      <c r="K180" s="97" t="str">
        <f t="shared" si="58"/>
        <v>4021/4022</v>
      </c>
      <c r="L180" s="21" t="str">
        <f>VLOOKUP(A180,'Trips&amp;Operators'!$C$1:$G$99999,5,FALSE)</f>
        <v>LEVIN SCOTT</v>
      </c>
      <c r="M180" s="6">
        <f t="shared" si="59"/>
        <v>8.9467592624714598E-3</v>
      </c>
      <c r="N180" s="7">
        <f t="shared" si="83"/>
        <v>12.883333337958902</v>
      </c>
      <c r="O180" s="7"/>
      <c r="P180" s="7"/>
      <c r="Q180" s="22"/>
      <c r="R180" s="22"/>
      <c r="S180" s="31">
        <f t="shared" si="60"/>
        <v>1</v>
      </c>
      <c r="T180" s="46" t="str">
        <f t="shared" si="61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62"/>
        <v>https://d0f6bd738d7f1b3e5a7ca70fe4ff75f0.us-east-1.aws.found.io/app/kibana#/discover/Steve-Slow-Train-Analysis-(2080s-and-2083s)?_g=(refreshInterval:(display:Off,pause:!f,section:0,value:0),time:(from:'2017-04-10T13:18:08-0600',mode:absolute,to:'2017-04-10T15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0" s="183" t="str">
        <f t="shared" si="63"/>
        <v>N</v>
      </c>
      <c r="X180" s="183">
        <f t="shared" si="82"/>
        <v>1</v>
      </c>
      <c r="Y180" s="62">
        <f t="shared" si="80"/>
        <v>9.2999999999999999E-2</v>
      </c>
      <c r="Z180" s="62">
        <f t="shared" si="81"/>
        <v>5.8986000000000001</v>
      </c>
      <c r="AA180" s="62">
        <f t="shared" si="66"/>
        <v>5.8056000000000001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7"/>
        <v>0823-10</v>
      </c>
      <c r="AE180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80" s="82" t="str">
        <f t="shared" si="69"/>
        <v>"C:\Program Files (x86)\AstroGrep\AstroGrep.exe" /e /r /s /spath="%USERPROFILE%\AppData\Local\Temp\OnboardLogs" /stypes="app*4022*20170410*" /stext=" 20:.+((SYSTEM_STATE.+slice.+state.+changed )|(ment ac)|(multiple cpu faults)|(system.+state.+changed )|(\[timeout)|(PRM\|1\|D)|(kpr)|(kdp)|(\|lc)|(penalty))"</v>
      </c>
      <c r="AG180" s="1" t="str">
        <f t="shared" si="70"/>
        <v>NW</v>
      </c>
      <c r="AH180" s="86" t="str">
        <f t="shared" si="71"/>
        <v>"%USERPROFILE%\Documents\GitHub\eaglep3\Utilities\RefineRTDCRunTimes.py" --tripid 823-10 --locoid 4022 --swversion DE.1.0.9.0 --startMP 204:930 --initTime 2017-04-10T14:18:08 --startdatetime 2017-04-10T14:21:19 --delay 1 --endMP 300:58986 --enddatetime 2017-04-10T14:34:12 --enforcementcount 0 &gt;&gt;C:\Users\stu\Documents\GitHub\eaglep3-reporting\EC\2017-04-10-refined-times.txt</v>
      </c>
      <c r="AI180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{"issue":{"subject":"","project_id":79,"tracker_id":40,"status_id":1,"priority_id":2,"assigned_to_id":23,"start_date":"2017-04-10","description":"","custom_fields":[{"id":1,"name":"Subdivision","value":"NW"},{"id":4,"name":"Milepost","value":"5.8986"},{"id":17,"name":"Train ID","value":"823-10"},{"id":16,"name":"Locomotive ID","value":"4022"},{"id":130,"name":"Impact","value":""},{"id":150,"name":"Time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73"/>
        <v>start /low /b %USERPROFILE%\Documents\GitHub\eaglep3\Utilities\DownloadLogsFromS3.py --loco 4022 --day 2017-04-10</v>
      </c>
      <c r="AN180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761</v>
      </c>
      <c r="B181" s="7">
        <v>4021</v>
      </c>
      <c r="C181" s="21" t="s">
        <v>215</v>
      </c>
      <c r="D181" s="21" t="s">
        <v>974</v>
      </c>
      <c r="E181" s="13">
        <v>42835.608240740738</v>
      </c>
      <c r="F181" s="13">
        <v>42835.609571759262</v>
      </c>
      <c r="G181" s="7">
        <v>1</v>
      </c>
      <c r="H181" s="21" t="s">
        <v>975</v>
      </c>
      <c r="I181" s="13">
        <v>42835.621388888889</v>
      </c>
      <c r="J181" s="7">
        <v>0</v>
      </c>
      <c r="K181" s="97" t="str">
        <f t="shared" si="58"/>
        <v>4021/4022</v>
      </c>
      <c r="L181" s="21" t="str">
        <f>VLOOKUP(A181,'Trips&amp;Operators'!$C$1:$G$99999,5,FALSE)</f>
        <v>LEVIN SCOTT</v>
      </c>
      <c r="M181" s="6">
        <f t="shared" si="59"/>
        <v>1.1817129627161194E-2</v>
      </c>
      <c r="N181" s="7">
        <f t="shared" si="83"/>
        <v>17.016666663112119</v>
      </c>
      <c r="O181" s="7"/>
      <c r="P181" s="7"/>
      <c r="Q181" s="22"/>
      <c r="R181" s="22"/>
      <c r="S181" s="31">
        <f t="shared" si="60"/>
        <v>1</v>
      </c>
      <c r="T181" s="46" t="str">
        <f t="shared" si="61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62"/>
        <v>https://d0f6bd738d7f1b3e5a7ca70fe4ff75f0.us-east-1.aws.found.io/app/kibana#/discover/Steve-Slow-Train-Analysis-(2080s-and-2083s)?_g=(refreshInterval:(display:Off,pause:!f,section:0,value:0),time:(from:'2017-04-10T13:35:52-0600',mode:absolute,to:'2017-04-10T15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1" s="183" t="str">
        <f t="shared" si="63"/>
        <v>N</v>
      </c>
      <c r="X181" s="183">
        <f t="shared" si="82"/>
        <v>1</v>
      </c>
      <c r="Y181" s="62">
        <f t="shared" si="80"/>
        <v>5.8662000000000001</v>
      </c>
      <c r="Z181" s="62">
        <f t="shared" si="81"/>
        <v>6.5699999999999995E-2</v>
      </c>
      <c r="AA181" s="62">
        <f t="shared" si="66"/>
        <v>5.8005000000000004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7"/>
        <v>0824-10</v>
      </c>
      <c r="AE181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81" s="82" t="str">
        <f t="shared" si="69"/>
        <v>"C:\Program Files (x86)\AstroGrep\AstroGrep.exe" /e /r /s /spath="%USERPROFILE%\AppData\Local\Temp\OnboardLogs" /stypes="app*4021*20170410*" /stext=" 20:.+((SYSTEM_STATE.+slice.+state.+changed )|(ment ac)|(multiple cpu faults)|(system.+state.+changed )|(\[timeout)|(PRM\|1\|D)|(kpr)|(kdp)|(\|lc)|(penalty))"</v>
      </c>
      <c r="AG181" s="1" t="str">
        <f t="shared" si="70"/>
        <v>NW</v>
      </c>
      <c r="AH181" s="86" t="str">
        <f t="shared" si="71"/>
        <v>"%USERPROFILE%\Documents\GitHub\eaglep3\Utilities\RefineRTDCRunTimes.py" --tripid 824-10 --locoid 4021 --swversion DE.1.0.9.0 --startMP 300:58662 --initTime 2017-04-10T14:35:52 --startdatetime 2017-04-10T14:37:47 --delay 1 --endMP 204:657 --enddatetime 2017-04-10T14:54:48 --enforcementcount 0 &gt;&gt;C:\Users\stu\Documents\GitHub\eaglep3-reporting\EC\2017-04-10-refined-times.txt</v>
      </c>
      <c r="AI181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{"issue":{"subject":"","project_id":79,"tracker_id":40,"status_id":1,"priority_id":2,"assigned_to_id":23,"start_date":"2017-04-10","description":"","custom_fields":[{"id":1,"name":"Subdivision","value":"NW"},{"id":4,"name":"Milepost","value":"0.0657"},{"id":17,"name":"Train ID","value":"824-10"},{"id":16,"name":"Locomotive ID","value":"4021"},{"id":130,"name":"Impact","value":""},{"id":150,"name":"Time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73"/>
        <v>start /low /b %USERPROFILE%\Documents\GitHub\eaglep3\Utilities\DownloadLogsFromS3.py --loco 4021 --day 2017-04-10</v>
      </c>
      <c r="AN181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766</v>
      </c>
      <c r="B182" s="7">
        <v>4022</v>
      </c>
      <c r="C182" s="21" t="s">
        <v>215</v>
      </c>
      <c r="D182" s="21" t="s">
        <v>972</v>
      </c>
      <c r="E182" s="13">
        <v>42835.637407407405</v>
      </c>
      <c r="F182" s="13">
        <v>42835.639745370368</v>
      </c>
      <c r="G182" s="7">
        <v>1</v>
      </c>
      <c r="H182" s="21" t="s">
        <v>444</v>
      </c>
      <c r="I182" s="13">
        <v>42835.649456018517</v>
      </c>
      <c r="J182" s="7">
        <v>0</v>
      </c>
      <c r="K182" s="97" t="str">
        <f t="shared" si="58"/>
        <v>4021/4022</v>
      </c>
      <c r="L182" s="21" t="str">
        <f>VLOOKUP(A182,'Trips&amp;Operators'!$C$1:$G$99999,5,FALSE)</f>
        <v>LEVIN SCOTT</v>
      </c>
      <c r="M182" s="6">
        <f t="shared" si="59"/>
        <v>9.710648148029577E-3</v>
      </c>
      <c r="N182" s="7">
        <f t="shared" si="83"/>
        <v>13.983333333162591</v>
      </c>
      <c r="O182" s="7"/>
      <c r="P182" s="7"/>
      <c r="Q182" s="22"/>
      <c r="R182" s="22"/>
      <c r="S182" s="31">
        <f t="shared" si="60"/>
        <v>1</v>
      </c>
      <c r="T182" s="46" t="str">
        <f t="shared" si="61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62"/>
        <v>https://d0f6bd738d7f1b3e5a7ca70fe4ff75f0.us-east-1.aws.found.io/app/kibana#/discover/Steve-Slow-Train-Analysis-(2080s-and-2083s)?_g=(refreshInterval:(display:Off,pause:!f,section:0,value:0),time:(from:'2017-04-10T14:17:52-0600',mode:absolute,to:'2017-04-10T16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2" s="183" t="str">
        <f t="shared" si="63"/>
        <v>N</v>
      </c>
      <c r="X182" s="183">
        <f t="shared" si="82"/>
        <v>1</v>
      </c>
      <c r="Y182" s="62">
        <f t="shared" si="80"/>
        <v>9.2999999999999999E-2</v>
      </c>
      <c r="Z182" s="62">
        <f t="shared" si="81"/>
        <v>5.8930999999999996</v>
      </c>
      <c r="AA182" s="62">
        <f t="shared" si="66"/>
        <v>5.8000999999999996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7"/>
        <v>0825-10</v>
      </c>
      <c r="AE182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82" s="82" t="str">
        <f t="shared" si="69"/>
        <v>"C:\Program Files (x86)\AstroGrep\AstroGrep.exe" /e /r /s /spath="%USERPROFILE%\AppData\Local\Temp\OnboardLogs" /stypes="app*4022*20170410*" /stext=" 21:.+((SYSTEM_STATE.+slice.+state.+changed )|(ment ac)|(multiple cpu faults)|(system.+state.+changed )|(\[timeout)|(PRM\|1\|D)|(kpr)|(kdp)|(\|lc)|(penalty))"</v>
      </c>
      <c r="AG182" s="1" t="str">
        <f t="shared" si="70"/>
        <v>NW</v>
      </c>
      <c r="AH182" s="86" t="str">
        <f t="shared" si="71"/>
        <v>"%USERPROFILE%\Documents\GitHub\eaglep3\Utilities\RefineRTDCRunTimes.py" --tripid 825-10 --locoid 4022 --swversion DE.1.0.9.0 --startMP 204:930 --initTime 2017-04-10T15:17:52 --startdatetime 2017-04-10T15:21:14 --delay 1 --endMP 300:58931 --enddatetime 2017-04-10T15:35:13 --enforcementcount 0 &gt;&gt;C:\Users\stu\Documents\GitHub\eaglep3-reporting\EC\2017-04-10-refined-times.txt</v>
      </c>
      <c r="AI182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{"issue":{"subject":"","project_id":79,"tracker_id":40,"status_id":1,"priority_id":2,"assigned_to_id":23,"start_date":"2017-04-10","description":"","custom_fields":[{"id":1,"name":"Subdivision","value":"NW"},{"id":4,"name":"Milepost","value":"5.8931"},{"id":17,"name":"Train ID","value":"825-10"},{"id":16,"name":"Locomotive ID","value":"4022"},{"id":130,"name":"Impact","value":""},{"id":150,"name":"Time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73"/>
        <v>start /low /b %USERPROFILE%\Documents\GitHub\eaglep3\Utilities\DownloadLogsFromS3.py --loco 4022 --day 2017-04-10</v>
      </c>
      <c r="AN182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770</v>
      </c>
      <c r="B183" s="7">
        <v>4021</v>
      </c>
      <c r="C183" s="21" t="s">
        <v>215</v>
      </c>
      <c r="D183" s="21" t="s">
        <v>976</v>
      </c>
      <c r="E183" s="13">
        <v>42835.650694444441</v>
      </c>
      <c r="F183" s="13">
        <v>42835.652129629627</v>
      </c>
      <c r="G183" s="7">
        <v>1</v>
      </c>
      <c r="H183" s="21" t="s">
        <v>971</v>
      </c>
      <c r="I183" s="13">
        <v>42835.663252314815</v>
      </c>
      <c r="J183" s="7">
        <v>0</v>
      </c>
      <c r="K183" s="97" t="str">
        <f t="shared" si="58"/>
        <v>4021/4022</v>
      </c>
      <c r="L183" s="21" t="str">
        <f>VLOOKUP(A183,'Trips&amp;Operators'!$C$1:$G$99999,5,FALSE)</f>
        <v>LEVIN SCOTT</v>
      </c>
      <c r="M183" s="6">
        <f t="shared" si="59"/>
        <v>1.1122685187729076E-2</v>
      </c>
      <c r="N183" s="7">
        <f t="shared" si="83"/>
        <v>16.016666670329869</v>
      </c>
      <c r="O183" s="7"/>
      <c r="P183" s="7"/>
      <c r="Q183" s="22"/>
      <c r="R183" s="22"/>
      <c r="S183" s="31">
        <f t="shared" si="60"/>
        <v>1</v>
      </c>
      <c r="T183" s="46" t="str">
        <f t="shared" si="61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62"/>
        <v>https://d0f6bd738d7f1b3e5a7ca70fe4ff75f0.us-east-1.aws.found.io/app/kibana#/discover/Steve-Slow-Train-Analysis-(2080s-and-2083s)?_g=(refreshInterval:(display:Off,pause:!f,section:0,value:0),time:(from:'2017-04-10T14:37:00-0600',mode:absolute,to:'2017-04-10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3" s="183" t="str">
        <f t="shared" si="63"/>
        <v>N</v>
      </c>
      <c r="X183" s="183">
        <f t="shared" si="82"/>
        <v>1</v>
      </c>
      <c r="Y183" s="62">
        <f t="shared" si="80"/>
        <v>5.8677000000000001</v>
      </c>
      <c r="Z183" s="62">
        <f t="shared" si="81"/>
        <v>6.3500000000000001E-2</v>
      </c>
      <c r="AA183" s="62">
        <f t="shared" si="66"/>
        <v>5.8041999999999998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7"/>
        <v>0826-10</v>
      </c>
      <c r="AE183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83" s="82" t="str">
        <f t="shared" si="69"/>
        <v>"C:\Program Files (x86)\AstroGrep\AstroGrep.exe" /e /r /s /spath="%USERPROFILE%\AppData\Local\Temp\OnboardLogs" /stypes="app*4021*20170410*" /stext=" 21:.+((SYSTEM_STATE.+slice.+state.+changed )|(ment ac)|(multiple cpu faults)|(system.+state.+changed )|(\[timeout)|(PRM\|1\|D)|(kpr)|(kdp)|(\|lc)|(penalty))"</v>
      </c>
      <c r="AG183" s="1" t="str">
        <f t="shared" si="70"/>
        <v>NW</v>
      </c>
      <c r="AH183" s="86" t="str">
        <f t="shared" si="71"/>
        <v>"%USERPROFILE%\Documents\GitHub\eaglep3\Utilities\RefineRTDCRunTimes.py" --tripid 826-10 --locoid 4021 --swversion DE.1.0.9.0 --startMP 300:58677 --initTime 2017-04-10T15:37:00 --startdatetime 2017-04-10T15:39:04 --delay 1 --endMP 204:635 --enddatetime 2017-04-10T15:55:05 --enforcementcount 0 &gt;&gt;C:\Users\stu\Documents\GitHub\eaglep3-reporting\EC\2017-04-10-refined-times.txt</v>
      </c>
      <c r="AI183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{"issue":{"subject":"","project_id":79,"tracker_id":40,"status_id":1,"priority_id":2,"assigned_to_id":23,"start_date":"2017-04-10","description":"","custom_fields":[{"id":1,"name":"Subdivision","value":"NW"},{"id":4,"name":"Milepost","value":"0.0635"},{"id":17,"name":"Train ID","value":"826-10"},{"id":16,"name":"Locomotive ID","value":"4021"},{"id":130,"name":"Impact","value":""},{"id":150,"name":"Time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73"/>
        <v>start /low /b %USERPROFILE%\Documents\GitHub\eaglep3\Utilities\DownloadLogsFromS3.py --loco 4021 --day 2017-04-10</v>
      </c>
      <c r="AN183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633</v>
      </c>
      <c r="B184" s="7">
        <v>4018</v>
      </c>
      <c r="C184" s="21" t="s">
        <v>215</v>
      </c>
      <c r="D184" s="21" t="s">
        <v>977</v>
      </c>
      <c r="E184" s="13">
        <v>42835.647013888891</v>
      </c>
      <c r="F184" s="13">
        <v>42835.660567129627</v>
      </c>
      <c r="G184" s="7">
        <v>11</v>
      </c>
      <c r="H184" s="21" t="s">
        <v>534</v>
      </c>
      <c r="I184" s="13">
        <v>42835.669594907406</v>
      </c>
      <c r="J184" s="7">
        <v>0</v>
      </c>
      <c r="K184" s="97" t="str">
        <f t="shared" si="58"/>
        <v>4017/4018</v>
      </c>
      <c r="L184" s="21" t="str">
        <f>VLOOKUP(A184,'Trips&amp;Operators'!$C$1:$G$99999,5,FALSE)</f>
        <v>NEWELL JAMES</v>
      </c>
      <c r="M184" s="6">
        <f t="shared" si="59"/>
        <v>9.0277777781011537E-3</v>
      </c>
      <c r="N184" s="7">
        <f t="shared" si="83"/>
        <v>13.000000000465661</v>
      </c>
      <c r="O184" s="7"/>
      <c r="P184" s="7"/>
      <c r="Q184" s="22"/>
      <c r="R184" s="22"/>
      <c r="S184" s="31">
        <f t="shared" si="60"/>
        <v>1</v>
      </c>
      <c r="T184" s="46" t="str">
        <f t="shared" si="61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62"/>
        <v>https://d0f6bd738d7f1b3e5a7ca70fe4ff75f0.us-east-1.aws.found.io/app/kibana#/discover/Steve-Slow-Train-Analysis-(2080s-and-2083s)?_g=(refreshInterval:(display:Off,pause:!f,section:0,value:0),time:(from:'2017-04-10T14:31:42-0600',mode:absolute,to:'2017-04-10T17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183" t="str">
        <f t="shared" si="63"/>
        <v>N</v>
      </c>
      <c r="X184" s="183">
        <f t="shared" si="82"/>
        <v>1</v>
      </c>
      <c r="Y184" s="62">
        <f t="shared" si="80"/>
        <v>9.5100000000000004E-2</v>
      </c>
      <c r="Z184" s="62">
        <f t="shared" si="81"/>
        <v>5.8933</v>
      </c>
      <c r="AA184" s="62">
        <f t="shared" si="66"/>
        <v>5.7981999999999996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7"/>
        <v>0827-10</v>
      </c>
      <c r="AE184" s="85" t="str">
        <f t="shared" si="68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84" s="82" t="str">
        <f t="shared" si="69"/>
        <v>"C:\Program Files (x86)\AstroGrep\AstroGrep.exe" /e /r /s /spath="%USERPROFILE%\AppData\Local\Temp\OnboardLogs" /stypes="app*4018*20170410*" /stext=" 22:.+((SYSTEM_STATE.+slice.+state.+changed )|(ment ac)|(multiple cpu faults)|(system.+state.+changed )|(\[timeout)|(PRM\|1\|D)|(kpr)|(kdp)|(\|lc)|(penalty))"</v>
      </c>
      <c r="AG184" s="1" t="str">
        <f t="shared" si="70"/>
        <v>NW</v>
      </c>
      <c r="AH184" s="86" t="str">
        <f t="shared" si="71"/>
        <v>"%USERPROFILE%\Documents\GitHub\eaglep3\Utilities\RefineRTDCRunTimes.py" --tripid 827-10 --locoid 4018 --swversion DE.1.0.9.0 --startMP 204:951 --initTime 2017-04-10T15:31:42 --startdatetime 2017-04-10T15:51:13 --delay 11 --endMP 300:58933 --enddatetime 2017-04-10T16:04:13 --enforcementcount 0 &gt;&gt;C:\Users\stu\Documents\GitHub\eaglep3-reporting\EC\2017-04-10-refined-times.txt</v>
      </c>
      <c r="AI184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{"issue":{"subject":"","project_id":79,"tracker_id":40,"status_id":1,"priority_id":2,"assigned_to_id":23,"start_date":"2017-04-10","description":"","custom_fields":[{"id":1,"name":"Subdivision","value":"NW"},{"id":4,"name":"Milepost","value":"5.8933"},{"id":17,"name":"Train ID","value":"827-10"},{"id":16,"name":"Locomotive ID","value":"4018"},{"id":130,"name":"Impact","value":""},{"id":150,"name":"Time of Event (Mountain Time)","value":"16:04:13"},{"id":151,"name":"Denver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73"/>
        <v>start /low /b %USERPROFILE%\Documents\GitHub\eaglep3\Utilities\DownloadLogsFromS3.py --loco 4018 --day 2017-04-10</v>
      </c>
      <c r="AN184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635</v>
      </c>
      <c r="B185" s="7">
        <v>4017</v>
      </c>
      <c r="C185" s="21" t="s">
        <v>215</v>
      </c>
      <c r="D185" s="21" t="s">
        <v>570</v>
      </c>
      <c r="E185" s="13">
        <v>42835.670532407406</v>
      </c>
      <c r="F185" s="13">
        <v>42835.672013888892</v>
      </c>
      <c r="G185" s="7">
        <v>1</v>
      </c>
      <c r="H185" s="21" t="s">
        <v>978</v>
      </c>
      <c r="I185" s="13">
        <v>42835.684201388889</v>
      </c>
      <c r="J185" s="7">
        <v>0</v>
      </c>
      <c r="K185" s="97" t="str">
        <f t="shared" si="58"/>
        <v>4017/4018</v>
      </c>
      <c r="L185" s="21" t="str">
        <f>VLOOKUP(A185,'Trips&amp;Operators'!$C$1:$G$99999,5,FALSE)</f>
        <v>NEWELL JAMES</v>
      </c>
      <c r="M185" s="6">
        <f t="shared" si="59"/>
        <v>1.2187499996798579E-2</v>
      </c>
      <c r="N185" s="7">
        <f t="shared" si="83"/>
        <v>17.549999995389953</v>
      </c>
      <c r="O185" s="7"/>
      <c r="P185" s="7"/>
      <c r="Q185" s="22"/>
      <c r="R185" s="22"/>
      <c r="S185" s="31">
        <f t="shared" si="60"/>
        <v>1</v>
      </c>
      <c r="T185" s="46" t="str">
        <f t="shared" si="61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62"/>
        <v>https://d0f6bd738d7f1b3e5a7ca70fe4ff75f0.us-east-1.aws.found.io/app/kibana#/discover/Steve-Slow-Train-Analysis-(2080s-and-2083s)?_g=(refreshInterval:(display:Off,pause:!f,section:0,value:0),time:(from:'2017-04-10T15:05:34-0600',mode:absolute,to:'2017-04-10T17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183" t="str">
        <f t="shared" si="63"/>
        <v>N</v>
      </c>
      <c r="X185" s="183">
        <f t="shared" si="82"/>
        <v>1</v>
      </c>
      <c r="Y185" s="62">
        <f t="shared" si="80"/>
        <v>5.8623000000000003</v>
      </c>
      <c r="Z185" s="62">
        <f t="shared" si="81"/>
        <v>6.59E-2</v>
      </c>
      <c r="AA185" s="62">
        <f t="shared" si="66"/>
        <v>5.7964000000000002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7"/>
        <v>0828-10</v>
      </c>
      <c r="AE185" s="85" t="str">
        <f t="shared" si="68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85" s="82" t="str">
        <f t="shared" si="69"/>
        <v>"C:\Program Files (x86)\AstroGrep\AstroGrep.exe" /e /r /s /spath="%USERPROFILE%\AppData\Local\Temp\OnboardLogs" /stypes="app*4017*20170410*" /stext=" 22:.+((SYSTEM_STATE.+slice.+state.+changed )|(ment ac)|(multiple cpu faults)|(system.+state.+changed )|(\[timeout)|(PRM\|1\|D)|(kpr)|(kdp)|(\|lc)|(penalty))"</v>
      </c>
      <c r="AG185" s="1" t="str">
        <f t="shared" si="70"/>
        <v>NW</v>
      </c>
      <c r="AH185" s="86" t="str">
        <f t="shared" si="71"/>
        <v>"%USERPROFILE%\Documents\GitHub\eaglep3\Utilities\RefineRTDCRunTimes.py" --tripid 828-10 --locoid 4017 --swversion DE.1.0.9.0 --startMP 300:58623 --initTime 2017-04-10T16:05:34 --startdatetime 2017-04-10T16:07:42 --delay 1 --endMP 204:659 --enddatetime 2017-04-10T16:25:15 --enforcementcount 0 &gt;&gt;C:\Users\stu\Documents\GitHub\eaglep3-reporting\EC\2017-04-10-refined-times.txt</v>
      </c>
      <c r="AI185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{"issue":{"subject":"","project_id":79,"tracker_id":40,"status_id":1,"priority_id":2,"assigned_to_id":23,"start_date":"2017-04-10","description":"","custom_fields":[{"id":1,"name":"Subdivision","value":"NW"},{"id":4,"name":"Milepost","value":"0.0659"},{"id":17,"name":"Train ID","value":"828-10"},{"id":16,"name":"Locomotive ID","value":"4017"},{"id":130,"name":"Impact","value":""},{"id":150,"name":"Time of Event (Mountain Time)","value":"16:25:15"},{"id":151,"name":"Denver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73"/>
        <v>start /low /b %USERPROFILE%\Documents\GitHub\eaglep3\Utilities\DownloadLogsFromS3.py --loco 4017 --day 2017-04-10</v>
      </c>
      <c r="AN185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775</v>
      </c>
      <c r="B186" s="7">
        <v>4022</v>
      </c>
      <c r="C186" s="21" t="s">
        <v>215</v>
      </c>
      <c r="D186" s="21" t="s">
        <v>979</v>
      </c>
      <c r="E186" s="13">
        <v>42835.679085648146</v>
      </c>
      <c r="F186" s="13">
        <v>42835.681435185186</v>
      </c>
      <c r="G186" s="7">
        <v>1</v>
      </c>
      <c r="H186" s="21" t="s">
        <v>980</v>
      </c>
      <c r="I186" s="13">
        <v>42835.690520833334</v>
      </c>
      <c r="J186" s="7">
        <v>0</v>
      </c>
      <c r="K186" s="97" t="str">
        <f t="shared" si="58"/>
        <v>4021/4022</v>
      </c>
      <c r="L186" s="21" t="str">
        <f>VLOOKUP(A186,'Trips&amp;Operators'!$C$1:$G$99999,5,FALSE)</f>
        <v>LEVIN SCOTT</v>
      </c>
      <c r="M186" s="6">
        <f t="shared" si="59"/>
        <v>9.0856481474475004E-3</v>
      </c>
      <c r="N186" s="7">
        <f t="shared" si="83"/>
        <v>13.083333332324401</v>
      </c>
      <c r="O186" s="7"/>
      <c r="P186" s="7"/>
      <c r="Q186" s="22"/>
      <c r="R186" s="22"/>
      <c r="S186" s="31">
        <f t="shared" si="60"/>
        <v>1</v>
      </c>
      <c r="T186" s="46" t="str">
        <f t="shared" si="61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62"/>
        <v>https://d0f6bd738d7f1b3e5a7ca70fe4ff75f0.us-east-1.aws.found.io/app/kibana#/discover/Steve-Slow-Train-Analysis-(2080s-and-2083s)?_g=(refreshInterval:(display:Off,pause:!f,section:0,value:0),time:(from:'2017-04-10T15:17:53-0600',mode:absolute,to:'2017-04-10T17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6" s="183" t="str">
        <f t="shared" si="63"/>
        <v>N</v>
      </c>
      <c r="X186" s="183">
        <f t="shared" si="82"/>
        <v>1</v>
      </c>
      <c r="Y186" s="62">
        <f t="shared" ref="Y186:Y217" si="84">RIGHT(D186,LEN(D186)-4)/10000</f>
        <v>9.4299999999999995E-2</v>
      </c>
      <c r="Z186" s="62">
        <f t="shared" ref="Z186:Z217" si="85">RIGHT(H186,LEN(H186)-4)/10000</f>
        <v>5.8998999999999997</v>
      </c>
      <c r="AA186" s="62">
        <f t="shared" si="66"/>
        <v>5.8056000000000001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7"/>
        <v>0829-10</v>
      </c>
      <c r="AE186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86" s="82" t="str">
        <f t="shared" si="69"/>
        <v>"C:\Program Files (x86)\AstroGrep\AstroGrep.exe" /e /r /s /spath="%USERPROFILE%\AppData\Local\Temp\OnboardLogs" /stypes="app*4022*20170410*" /stext=" 22:.+((SYSTEM_STATE.+slice.+state.+changed )|(ment ac)|(multiple cpu faults)|(system.+state.+changed )|(\[timeout)|(PRM\|1\|D)|(kpr)|(kdp)|(\|lc)|(penalty))"</v>
      </c>
      <c r="AG186" s="1" t="str">
        <f t="shared" si="70"/>
        <v>NW</v>
      </c>
      <c r="AH186" s="86" t="str">
        <f t="shared" si="71"/>
        <v>"%USERPROFILE%\Documents\GitHub\eaglep3\Utilities\RefineRTDCRunTimes.py" --tripid 829-10 --locoid 4022 --swversion DE.1.0.9.0 --startMP 204:943 --initTime 2017-04-10T16:17:53 --startdatetime 2017-04-10T16:21:16 --delay 1 --endMP 300:58999 --enddatetime 2017-04-10T16:34:21 --enforcementcount 0 &gt;&gt;C:\Users\stu\Documents\GitHub\eaglep3-reporting\EC\2017-04-10-refined-times.txt</v>
      </c>
      <c r="AI186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{"issue":{"subject":"","project_id":79,"tracker_id":40,"status_id":1,"priority_id":2,"assigned_to_id":23,"start_date":"2017-04-10","description":"","custom_fields":[{"id":1,"name":"Subdivision","value":"NW"},{"id":4,"name":"Milepost","value":"5.8999"},{"id":17,"name":"Train ID","value":"829-10"},{"id":16,"name":"Locomotive ID","value":"4022"},{"id":130,"name":"Impact","value":""},{"id":150,"name":"Time of Event (Mountain Time)","value":"16:34:21"},{"id":151,"name":"Denver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73"/>
        <v>start /low /b %USERPROFILE%\Documents\GitHub\eaglep3\Utilities\DownloadLogsFromS3.py --loco 4022 --day 2017-04-10</v>
      </c>
      <c r="AN186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s="20" customFormat="1" x14ac:dyDescent="0.25">
      <c r="A187" s="33" t="s">
        <v>637</v>
      </c>
      <c r="B187" s="7">
        <v>4021</v>
      </c>
      <c r="C187" s="21" t="s">
        <v>215</v>
      </c>
      <c r="D187" s="21" t="s">
        <v>981</v>
      </c>
      <c r="E187" s="13">
        <v>42835.691782407404</v>
      </c>
      <c r="F187" s="13">
        <v>42835.693124999998</v>
      </c>
      <c r="G187" s="7">
        <v>1</v>
      </c>
      <c r="H187" s="21" t="s">
        <v>978</v>
      </c>
      <c r="I187" s="13">
        <v>42835.705335648148</v>
      </c>
      <c r="J187" s="7">
        <v>0</v>
      </c>
      <c r="K187" s="97" t="str">
        <f t="shared" si="58"/>
        <v>4021/4022</v>
      </c>
      <c r="L187" s="21" t="str">
        <f>VLOOKUP(A187,'Trips&amp;Operators'!$C$1:$G$99999,5,FALSE)</f>
        <v>LEVIN SCOTT</v>
      </c>
      <c r="M187" s="6">
        <f t="shared" si="59"/>
        <v>1.2210648150357883E-2</v>
      </c>
      <c r="N187" s="7">
        <f t="shared" si="83"/>
        <v>17.583333336515352</v>
      </c>
      <c r="O187" s="7"/>
      <c r="P187" s="7"/>
      <c r="Q187" s="22"/>
      <c r="R187" s="22"/>
      <c r="S187" s="31">
        <f t="shared" si="60"/>
        <v>1</v>
      </c>
      <c r="T187" s="46" t="str">
        <f t="shared" si="61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62"/>
        <v>https://d0f6bd738d7f1b3e5a7ca70fe4ff75f0.us-east-1.aws.found.io/app/kibana#/discover/Steve-Slow-Train-Analysis-(2080s-and-2083s)?_g=(refreshInterval:(display:Off,pause:!f,section:0,value:0),time:(from:'2017-04-10T15:36:10-0600',mode:absolute,to:'2017-04-10T17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7" s="183" t="str">
        <f t="shared" si="63"/>
        <v>N</v>
      </c>
      <c r="X187" s="183">
        <f t="shared" si="82"/>
        <v>1</v>
      </c>
      <c r="Y187" s="62">
        <f t="shared" si="84"/>
        <v>5.8685</v>
      </c>
      <c r="Z187" s="62">
        <f t="shared" si="85"/>
        <v>6.59E-2</v>
      </c>
      <c r="AA187" s="62">
        <f t="shared" si="66"/>
        <v>5.8026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7"/>
        <v>0830-10</v>
      </c>
      <c r="AE187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87" s="82" t="str">
        <f t="shared" si="69"/>
        <v>"C:\Program Files (x86)\AstroGrep\AstroGrep.exe" /e /r /s /spath="%USERPROFILE%\AppData\Local\Temp\OnboardLogs" /stypes="app*4021*20170410*" /stext=" 22:.+((SYSTEM_STATE.+slice.+state.+changed )|(ment ac)|(multiple cpu faults)|(system.+state.+changed )|(\[timeout)|(PRM\|1\|D)|(kpr)|(kdp)|(\|lc)|(penalty))"</v>
      </c>
      <c r="AG187" s="1" t="str">
        <f t="shared" si="70"/>
        <v>NW</v>
      </c>
      <c r="AH187" s="86" t="str">
        <f t="shared" si="71"/>
        <v>"%USERPROFILE%\Documents\GitHub\eaglep3\Utilities\RefineRTDCRunTimes.py" --tripid 830-10 --locoid 4021 --swversion DE.1.0.9.0 --startMP 300:58685 --initTime 2017-04-10T16:36:10 --startdatetime 2017-04-10T16:38:06 --delay 1 --endMP 204:659 --enddatetime 2017-04-10T16:55:41 --enforcementcount 0 &gt;&gt;C:\Users\stu\Documents\GitHub\eaglep3-reporting\EC\2017-04-10-refined-times.txt</v>
      </c>
      <c r="AI187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{"issue":{"subject":"","project_id":79,"tracker_id":40,"status_id":1,"priority_id":2,"assigned_to_id":23,"start_date":"2017-04-10","description":"","custom_fields":[{"id":1,"name":"Subdivision","value":"NW"},{"id":4,"name":"Milepost","value":"0.0659"},{"id":17,"name":"Train ID","value":"830-10"},{"id":16,"name":"Locomotive ID","value":"4021"},{"id":130,"name":"Impact","value":""},{"id":150,"name":"Time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8"/>
      <c r="AL187" s="48"/>
      <c r="AM187" s="150" t="str">
        <f t="shared" si="73"/>
        <v>start /low /b %USERPROFILE%\Documents\GitHub\eaglep3\Utilities\DownloadLogsFromS3.py --loco 4021 --day 2017-04-10</v>
      </c>
      <c r="AN187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3" t="s">
        <v>777</v>
      </c>
      <c r="B188" s="7">
        <v>4018</v>
      </c>
      <c r="C188" s="21" t="s">
        <v>215</v>
      </c>
      <c r="D188" s="21" t="s">
        <v>979</v>
      </c>
      <c r="E188" s="13">
        <v>42835.686550925922</v>
      </c>
      <c r="F188" s="13">
        <v>42835.702256944445</v>
      </c>
      <c r="G188" s="7">
        <v>1</v>
      </c>
      <c r="H188" s="21" t="s">
        <v>572</v>
      </c>
      <c r="I188" s="13">
        <v>42835.711354166669</v>
      </c>
      <c r="J188" s="7">
        <v>0</v>
      </c>
      <c r="K188" s="97" t="str">
        <f t="shared" si="58"/>
        <v>4017/4018</v>
      </c>
      <c r="L188" s="21" t="str">
        <f>VLOOKUP(A188,'Trips&amp;Operators'!$C$1:$G$99999,5,FALSE)</f>
        <v>NEWELL JAMES</v>
      </c>
      <c r="M188" s="6">
        <f t="shared" si="59"/>
        <v>9.0972222242271528E-3</v>
      </c>
      <c r="N188" s="7">
        <f t="shared" si="83"/>
        <v>13.1000000028871</v>
      </c>
      <c r="O188" s="7"/>
      <c r="P188" s="7"/>
      <c r="Q188" s="22"/>
      <c r="R188" s="22"/>
      <c r="S188" s="31">
        <f t="shared" si="60"/>
        <v>1</v>
      </c>
      <c r="T188" s="46" t="str">
        <f t="shared" si="61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62"/>
        <v>https://d0f6bd738d7f1b3e5a7ca70fe4ff75f0.us-east-1.aws.found.io/app/kibana#/discover/Steve-Slow-Train-Analysis-(2080s-and-2083s)?_g=(refreshInterval:(display:Off,pause:!f,section:0,value:0),time:(from:'2017-04-10T15:28:38-0600',mode:absolute,to:'2017-04-10T18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183" t="str">
        <f t="shared" si="63"/>
        <v>N</v>
      </c>
      <c r="X188" s="183">
        <f t="shared" si="82"/>
        <v>1</v>
      </c>
      <c r="Y188" s="62">
        <f t="shared" si="84"/>
        <v>9.4299999999999995E-2</v>
      </c>
      <c r="Z188" s="62">
        <f t="shared" si="85"/>
        <v>5.8935000000000004</v>
      </c>
      <c r="AA188" s="62">
        <f t="shared" si="66"/>
        <v>5.7992000000000008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7"/>
        <v>0831-10</v>
      </c>
      <c r="AE188" s="85" t="str">
        <f t="shared" si="68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88" s="82" t="str">
        <f t="shared" si="69"/>
        <v>"C:\Program Files (x86)\AstroGrep\AstroGrep.exe" /e /r /s /spath="%USERPROFILE%\AppData\Local\Temp\OnboardLogs" /stypes="app*4018*20170410*" /stext=" 23:.+((SYSTEM_STATE.+slice.+state.+changed )|(ment ac)|(multiple cpu faults)|(system.+state.+changed )|(\[timeout)|(PRM\|1\|D)|(kpr)|(kdp)|(\|lc)|(penalty))"</v>
      </c>
      <c r="AG188" s="1" t="str">
        <f t="shared" si="70"/>
        <v>NW</v>
      </c>
      <c r="AH188" s="86" t="str">
        <f t="shared" si="71"/>
        <v>"%USERPROFILE%\Documents\GitHub\eaglep3\Utilities\RefineRTDCRunTimes.py" --tripid 831-10 --locoid 4018 --swversion DE.1.0.9.0 --startMP 204:943 --initTime 2017-04-10T16:28:38 --startdatetime 2017-04-10T16:51:15 --delay 1 --endMP 300:58935 --enddatetime 2017-04-10T17:04:21 --enforcementcount 0 &gt;&gt;C:\Users\stu\Documents\GitHub\eaglep3-reporting\EC\2017-04-10-refined-times.txt</v>
      </c>
      <c r="AI188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{"issue":{"subject":"","project_id":79,"tracker_id":40,"status_id":1,"priority_id":2,"assigned_to_id":23,"start_date":"2017-04-10","description":"","custom_fields":[{"id":1,"name":"Subdivision","value":"NW"},{"id":4,"name":"Milepost","value":"5.8935"},{"id":17,"name":"Train ID","value":"831-10"},{"id":16,"name":"Locomotive ID","value":"4018"},{"id":130,"name":"Impact","value":""},{"id":150,"name":"Time of Event (Mountain Time)","value":"17:04:21"},{"id":151,"name":"Denver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73"/>
        <v>start /low /b %USERPROFILE%\Documents\GitHub\eaglep3\Utilities\DownloadLogsFromS3.py --loco 4018 --day 2017-04-10</v>
      </c>
      <c r="AN188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3" t="s">
        <v>782</v>
      </c>
      <c r="B189" s="7">
        <v>4017</v>
      </c>
      <c r="C189" s="21" t="s">
        <v>215</v>
      </c>
      <c r="D189" s="21" t="s">
        <v>571</v>
      </c>
      <c r="E189" s="13">
        <v>42835.712013888886</v>
      </c>
      <c r="F189" s="13">
        <v>42835.713090277779</v>
      </c>
      <c r="G189" s="7">
        <v>1</v>
      </c>
      <c r="H189" s="21" t="s">
        <v>982</v>
      </c>
      <c r="I189" s="13">
        <v>42835.725624999999</v>
      </c>
      <c r="J189" s="7">
        <v>0</v>
      </c>
      <c r="K189" s="97" t="str">
        <f t="shared" si="58"/>
        <v>4017/4018</v>
      </c>
      <c r="L189" s="21" t="str">
        <f>VLOOKUP(A189,'Trips&amp;Operators'!$C$1:$G$99999,5,FALSE)</f>
        <v>NEWELL JAMES</v>
      </c>
      <c r="M189" s="6">
        <f t="shared" si="59"/>
        <v>1.2534722220152617E-2</v>
      </c>
      <c r="N189" s="7">
        <f t="shared" si="83"/>
        <v>18.049999997019768</v>
      </c>
      <c r="O189" s="7"/>
      <c r="P189" s="7"/>
      <c r="Q189" s="22"/>
      <c r="R189" s="22"/>
      <c r="S189" s="31">
        <f t="shared" si="60"/>
        <v>1</v>
      </c>
      <c r="T189" s="46" t="str">
        <f t="shared" si="61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62"/>
        <v>https://d0f6bd738d7f1b3e5a7ca70fe4ff75f0.us-east-1.aws.found.io/app/kibana#/discover/Steve-Slow-Train-Analysis-(2080s-and-2083s)?_g=(refreshInterval:(display:Off,pause:!f,section:0,value:0),time:(from:'2017-04-10T16:05:18-0600',mode:absolute,to:'2017-04-10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83" t="str">
        <f t="shared" si="63"/>
        <v>N</v>
      </c>
      <c r="X189" s="183">
        <f t="shared" ref="X189:X220" si="86">VALUE(LEFT(AD189,4))-VALUE(LEFT(AD188,4))</f>
        <v>1</v>
      </c>
      <c r="Y189" s="62">
        <f t="shared" si="84"/>
        <v>5.8619000000000003</v>
      </c>
      <c r="Z189" s="62">
        <f t="shared" si="85"/>
        <v>6.3299999999999995E-2</v>
      </c>
      <c r="AA189" s="62">
        <f t="shared" si="66"/>
        <v>5.7986000000000004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7"/>
        <v>0832-10</v>
      </c>
      <c r="AE189" s="85" t="str">
        <f t="shared" si="68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89" s="82" t="str">
        <f t="shared" si="69"/>
        <v>"C:\Program Files (x86)\AstroGrep\AstroGrep.exe" /e /r /s /spath="%USERPROFILE%\AppData\Local\Temp\OnboardLogs" /stypes="app*4017*20170410*" /stext=" 23:.+((SYSTEM_STATE.+slice.+state.+changed )|(ment ac)|(multiple cpu faults)|(system.+state.+changed )|(\[timeout)|(PRM\|1\|D)|(kpr)|(kdp)|(\|lc)|(penalty))"</v>
      </c>
      <c r="AG189" s="1" t="str">
        <f t="shared" si="70"/>
        <v>NW</v>
      </c>
      <c r="AH189" s="86" t="str">
        <f t="shared" si="71"/>
        <v>"%USERPROFILE%\Documents\GitHub\eaglep3\Utilities\RefineRTDCRunTimes.py" --tripid 832-10 --locoid 4017 --swversion DE.1.0.9.0 --startMP 300:58619 --initTime 2017-04-10T17:05:18 --startdatetime 2017-04-10T17:06:51 --delay 1 --endMP 204:633 --enddatetime 2017-04-10T17:24:54 --enforcementcount 0 &gt;&gt;C:\Users\stu\Documents\GitHub\eaglep3-reporting\EC\2017-04-10-refined-times.txt</v>
      </c>
      <c r="AI189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{"issue":{"subject":"","project_id":79,"tracker_id":40,"status_id":1,"priority_id":2,"assigned_to_id":23,"start_date":"2017-04-10","description":"","custom_fields":[{"id":1,"name":"Subdivision","value":"NW"},{"id":4,"name":"Milepost","value":"0.0633"},{"id":17,"name":"Train ID","value":"832-10"},{"id":16,"name":"Locomotive ID","value":"4017"},{"id":130,"name":"Impact","value":""},{"id":150,"name":"Time of Event (Mountain Time)","value":"17:24:54"},{"id":151,"name":"Denver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8"/>
      <c r="AL189" s="48"/>
      <c r="AM189" s="150" t="str">
        <f t="shared" si="73"/>
        <v>start /low /b %USERPROFILE%\Documents\GitHub\eaglep3\Utilities\DownloadLogsFromS3.py --loco 4017 --day 2017-04-10</v>
      </c>
      <c r="AN189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784</v>
      </c>
      <c r="B190" s="7">
        <v>4022</v>
      </c>
      <c r="C190" s="21" t="s">
        <v>215</v>
      </c>
      <c r="D190" s="21" t="s">
        <v>983</v>
      </c>
      <c r="E190" s="13">
        <v>42835.719537037039</v>
      </c>
      <c r="F190" s="13">
        <v>42835.723124999997</v>
      </c>
      <c r="G190" s="7">
        <v>1</v>
      </c>
      <c r="H190" s="21" t="s">
        <v>984</v>
      </c>
      <c r="I190" s="13">
        <v>42835.732743055552</v>
      </c>
      <c r="J190" s="7">
        <v>0</v>
      </c>
      <c r="K190" s="97" t="str">
        <f t="shared" si="58"/>
        <v>4021/4022</v>
      </c>
      <c r="L190" s="21" t="str">
        <f>VLOOKUP(A190,'Trips&amp;Operators'!$C$1:$G$99999,5,FALSE)</f>
        <v>LEVIN SCOTT</v>
      </c>
      <c r="M190" s="6">
        <f t="shared" si="59"/>
        <v>9.6180555556202307E-3</v>
      </c>
      <c r="N190" s="7">
        <f t="shared" si="83"/>
        <v>13.850000000093132</v>
      </c>
      <c r="O190" s="7"/>
      <c r="P190" s="7"/>
      <c r="Q190" s="22"/>
      <c r="R190" s="22"/>
      <c r="S190" s="31">
        <f t="shared" si="60"/>
        <v>1</v>
      </c>
      <c r="T190" s="46" t="str">
        <f t="shared" si="61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62"/>
        <v>https://d0f6bd738d7f1b3e5a7ca70fe4ff75f0.us-east-1.aws.found.io/app/kibana#/discover/Steve-Slow-Train-Analysis-(2080s-and-2083s)?_g=(refreshInterval:(display:Off,pause:!f,section:0,value:0),time:(from:'2017-04-10T16:16:08-0600',mode:absolute,to:'2017-04-10T18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0" s="183" t="str">
        <f t="shared" si="63"/>
        <v>N</v>
      </c>
      <c r="X190" s="183">
        <f t="shared" si="86"/>
        <v>1</v>
      </c>
      <c r="Y190" s="62">
        <f t="shared" si="84"/>
        <v>9.3899999999999997E-2</v>
      </c>
      <c r="Z190" s="62">
        <f t="shared" si="85"/>
        <v>5.8959999999999999</v>
      </c>
      <c r="AA190" s="62">
        <f t="shared" si="66"/>
        <v>5.8021000000000003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7"/>
        <v>0833-10</v>
      </c>
      <c r="AE190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90" s="82" t="str">
        <f t="shared" si="69"/>
        <v>"C:\Program Files (x86)\AstroGrep\AstroGrep.exe" /e /r /s /spath="%USERPROFILE%\AppData\Local\Temp\OnboardLogs" /stypes="app*4022*20170410*" /stext=" 23:.+((SYSTEM_STATE.+slice.+state.+changed )|(ment ac)|(multiple cpu faults)|(system.+state.+changed )|(\[timeout)|(PRM\|1\|D)|(kpr)|(kdp)|(\|lc)|(penalty))"</v>
      </c>
      <c r="AG190" s="1" t="str">
        <f t="shared" si="70"/>
        <v>NW</v>
      </c>
      <c r="AH190" s="86" t="str">
        <f t="shared" si="71"/>
        <v>"%USERPROFILE%\Documents\GitHub\eaglep3\Utilities\RefineRTDCRunTimes.py" --tripid 833-10 --locoid 4022 --swversion DE.1.0.9.0 --startMP 204:939 --initTime 2017-04-10T17:16:08 --startdatetime 2017-04-10T17:21:18 --delay 1 --endMP 300:58960 --enddatetime 2017-04-10T17:35:09 --enforcementcount 0 &gt;&gt;C:\Users\stu\Documents\GitHub\eaglep3-reporting\EC\2017-04-10-refined-times.txt</v>
      </c>
      <c r="AI190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{"issue":{"subject":"","project_id":79,"tracker_id":40,"status_id":1,"priority_id":2,"assigned_to_id":23,"start_date":"2017-04-10","description":"","custom_fields":[{"id":1,"name":"Subdivision","value":"NW"},{"id":4,"name":"Milepost","value":"5.896"},{"id":17,"name":"Train ID","value":"833-10"},{"id":16,"name":"Locomotive ID","value":"4022"},{"id":130,"name":"Impact","value":""},{"id":150,"name":"Time of Event (Mountain Time)","value":"17:35:09"},{"id":151,"name":"Denver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73"/>
        <v>start /low /b %USERPROFILE%\Documents\GitHub\eaglep3\Utilities\DownloadLogsFromS3.py --loco 4022 --day 2017-04-10</v>
      </c>
      <c r="AN190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640</v>
      </c>
      <c r="B191" s="7">
        <v>4021</v>
      </c>
      <c r="C191" s="21" t="s">
        <v>215</v>
      </c>
      <c r="D191" s="21" t="s">
        <v>985</v>
      </c>
      <c r="E191" s="13">
        <v>42835.733993055554</v>
      </c>
      <c r="F191" s="13">
        <v>42835.735219907408</v>
      </c>
      <c r="G191" s="7">
        <v>1</v>
      </c>
      <c r="H191" s="21" t="s">
        <v>986</v>
      </c>
      <c r="I191" s="13">
        <v>42835.746701388889</v>
      </c>
      <c r="J191" s="7">
        <v>0</v>
      </c>
      <c r="K191" s="97" t="str">
        <f t="shared" si="58"/>
        <v>4021/4022</v>
      </c>
      <c r="L191" s="21" t="str">
        <f>VLOOKUP(A191,'Trips&amp;Operators'!$C$1:$G$99999,5,FALSE)</f>
        <v>LEVIN SCOTT</v>
      </c>
      <c r="M191" s="6">
        <f t="shared" si="59"/>
        <v>1.1481481480586808E-2</v>
      </c>
      <c r="N191" s="7">
        <f t="shared" si="83"/>
        <v>16.533333332045004</v>
      </c>
      <c r="O191" s="7"/>
      <c r="P191" s="7"/>
      <c r="Q191" s="22"/>
      <c r="R191" s="22"/>
      <c r="S191" s="31">
        <f t="shared" si="60"/>
        <v>1</v>
      </c>
      <c r="T191" s="46" t="str">
        <f t="shared" si="61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62"/>
        <v>https://d0f6bd738d7f1b3e5a7ca70fe4ff75f0.us-east-1.aws.found.io/app/kibana#/discover/Steve-Slow-Train-Analysis-(2080s-and-2083s)?_g=(refreshInterval:(display:Off,pause:!f,section:0,value:0),time:(from:'2017-04-10T16:36:57-0600',mode:absolute,to:'2017-04-10T18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1" s="183" t="str">
        <f t="shared" si="63"/>
        <v>N</v>
      </c>
      <c r="X191" s="183">
        <f t="shared" si="86"/>
        <v>1</v>
      </c>
      <c r="Y191" s="62">
        <f t="shared" si="84"/>
        <v>5.8651</v>
      </c>
      <c r="Z191" s="62">
        <f t="shared" si="85"/>
        <v>6.8199999999999997E-2</v>
      </c>
      <c r="AA191" s="62">
        <f t="shared" si="66"/>
        <v>5.7968999999999999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7"/>
        <v>0834-10</v>
      </c>
      <c r="AE191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1" s="82" t="str">
        <f t="shared" si="69"/>
        <v>"C:\Program Files (x86)\AstroGrep\AstroGrep.exe" /e /r /s /spath="%USERPROFILE%\AppData\Local\Temp\OnboardLogs" /stypes="app*4021*20170410*" /stext=" 23:.+((SYSTEM_STATE.+slice.+state.+changed )|(ment ac)|(multiple cpu faults)|(system.+state.+changed )|(\[timeout)|(PRM\|1\|D)|(kpr)|(kdp)|(\|lc)|(penalty))"</v>
      </c>
      <c r="AG191" s="1" t="str">
        <f t="shared" si="70"/>
        <v>NW</v>
      </c>
      <c r="AH191" s="86" t="str">
        <f t="shared" si="71"/>
        <v>"%USERPROFILE%\Documents\GitHub\eaglep3\Utilities\RefineRTDCRunTimes.py" --tripid 834-10 --locoid 4021 --swversion DE.1.0.9.0 --startMP 300:58651 --initTime 2017-04-10T17:36:57 --startdatetime 2017-04-10T17:38:43 --delay 1 --endMP 204:682 --enddatetime 2017-04-10T17:55:15 --enforcementcount 0 &gt;&gt;C:\Users\stu\Documents\GitHub\eaglep3-reporting\EC\2017-04-10-refined-times.txt</v>
      </c>
      <c r="AI191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{"issue":{"subject":"","project_id":79,"tracker_id":40,"status_id":1,"priority_id":2,"assigned_to_id":23,"start_date":"2017-04-10","description":"","custom_fields":[{"id":1,"name":"Subdivision","value":"NW"},{"id":4,"name":"Milepost","value":"0.0682"},{"id":17,"name":"Train ID","value":"834-10"},{"id":16,"name":"Locomotive ID","value":"4021"},{"id":130,"name":"Impact","value":""},{"id":150,"name":"Time of Event (Mountain Time)","value":"17:55:15"},{"id":151,"name":"Denver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73"/>
        <v>start /low /b %USERPROFILE%\Documents\GitHub\eaglep3\Utilities\DownloadLogsFromS3.py --loco 4021 --day 2017-04-10</v>
      </c>
      <c r="AN191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643</v>
      </c>
      <c r="B192" s="7">
        <v>4018</v>
      </c>
      <c r="C192" s="21" t="s">
        <v>215</v>
      </c>
      <c r="D192" s="21" t="s">
        <v>987</v>
      </c>
      <c r="E192" s="13">
        <v>42835.739710648151</v>
      </c>
      <c r="F192" s="13">
        <v>42835.743888888886</v>
      </c>
      <c r="G192" s="7">
        <v>1</v>
      </c>
      <c r="H192" s="21" t="s">
        <v>574</v>
      </c>
      <c r="I192" s="13">
        <v>42835.753657407404</v>
      </c>
      <c r="J192" s="7">
        <v>0</v>
      </c>
      <c r="K192" s="97" t="str">
        <f t="shared" si="58"/>
        <v>4017/4018</v>
      </c>
      <c r="L192" s="21" t="str">
        <f>VLOOKUP(A192,'Trips&amp;Operators'!$C$1:$G$99999,5,FALSE)</f>
        <v>NEWELL JAMES</v>
      </c>
      <c r="M192" s="6">
        <f t="shared" si="59"/>
        <v>9.7685185173759237E-3</v>
      </c>
      <c r="N192" s="7">
        <f t="shared" si="83"/>
        <v>14.06666666502133</v>
      </c>
      <c r="O192" s="7"/>
      <c r="P192" s="7"/>
      <c r="Q192" s="22"/>
      <c r="R192" s="22"/>
      <c r="S192" s="31">
        <f t="shared" si="60"/>
        <v>1</v>
      </c>
      <c r="T192" s="46" t="str">
        <f t="shared" si="61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62"/>
        <v>https://d0f6bd738d7f1b3e5a7ca70fe4ff75f0.us-east-1.aws.found.io/app/kibana#/discover/Steve-Slow-Train-Analysis-(2080s-and-2083s)?_g=(refreshInterval:(display:Off,pause:!f,section:0,value:0),time:(from:'2017-04-10T16:45:11-0600',mode:absolute,to:'2017-04-10T19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183" t="str">
        <f t="shared" si="63"/>
        <v>N</v>
      </c>
      <c r="X192" s="183">
        <f t="shared" si="86"/>
        <v>1</v>
      </c>
      <c r="Y192" s="62">
        <f t="shared" si="84"/>
        <v>9.3200000000000005E-2</v>
      </c>
      <c r="Z192" s="62">
        <f t="shared" si="85"/>
        <v>5.8925999999999998</v>
      </c>
      <c r="AA192" s="62">
        <f t="shared" si="66"/>
        <v>5.7993999999999994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7"/>
        <v>0835-10</v>
      </c>
      <c r="AE192" s="85" t="str">
        <f t="shared" si="68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92" s="82" t="str">
        <f t="shared" si="69"/>
        <v>"C:\Program Files (x86)\AstroGrep\AstroGrep.exe" /e /r /s /spath="%USERPROFILE%\AppData\Local\Temp\OnboardLogs" /stypes="app*4018*20170411*" /stext=" 00:.+((SYSTEM_STATE.+slice.+state.+changed )|(ment ac)|(multiple cpu faults)|(system.+state.+changed )|(\[timeout)|(PRM\|1\|D)|(kpr)|(kdp)|(\|lc)|(penalty))"</v>
      </c>
      <c r="AG192" s="1" t="str">
        <f t="shared" si="70"/>
        <v>NW</v>
      </c>
      <c r="AH192" s="86" t="str">
        <f t="shared" si="71"/>
        <v>"%USERPROFILE%\Documents\GitHub\eaglep3\Utilities\RefineRTDCRunTimes.py" --tripid 835-10 --locoid 4018 --swversion DE.1.0.9.0 --startMP 204:932 --initTime 2017-04-10T17:45:11 --startdatetime 2017-04-10T17:51:12 --delay 1 --endMP 300:58926 --enddatetime 2017-04-10T18:05:16 --enforcementcount 0 &gt;&gt;C:\Users\stu\Documents\GitHub\eaglep3-reporting\EC\2017-04-10-refined-times.txt</v>
      </c>
      <c r="AI192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{"issue":{"subject":"","project_id":79,"tracker_id":40,"status_id":1,"priority_id":2,"assigned_to_id":23,"start_date":"2017-04-10","description":"","custom_fields":[{"id":1,"name":"Subdivision","value":"NW"},{"id":4,"name":"Milepost","value":"5.8926"},{"id":17,"name":"Train ID","value":"835-10"},{"id":16,"name":"Locomotive ID","value":"4018"},{"id":130,"name":"Impact","value":""},{"id":150,"name":"Time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73"/>
        <v>start /low /b %USERPROFILE%\Documents\GitHub\eaglep3\Utilities\DownloadLogsFromS3.py --loco 4018 --day 2017-04-10</v>
      </c>
      <c r="AN192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789</v>
      </c>
      <c r="B193" s="7">
        <v>4017</v>
      </c>
      <c r="C193" s="21" t="s">
        <v>215</v>
      </c>
      <c r="D193" s="21" t="s">
        <v>988</v>
      </c>
      <c r="E193" s="13">
        <v>42835.754502314812</v>
      </c>
      <c r="F193" s="13">
        <v>42835.755567129629</v>
      </c>
      <c r="G193" s="7">
        <v>0</v>
      </c>
      <c r="H193" s="21" t="s">
        <v>989</v>
      </c>
      <c r="I193" s="13">
        <v>42835.768101851849</v>
      </c>
      <c r="J193" s="7">
        <v>0</v>
      </c>
      <c r="K193" s="97" t="str">
        <f t="shared" si="58"/>
        <v>4017/4018</v>
      </c>
      <c r="L193" s="21" t="str">
        <f>VLOOKUP(A193,'Trips&amp;Operators'!$C$1:$G$99999,5,FALSE)</f>
        <v>NEWELL JAMES</v>
      </c>
      <c r="M193" s="6">
        <f t="shared" si="59"/>
        <v>1.2534722220152617E-2</v>
      </c>
      <c r="N193" s="7">
        <f t="shared" si="83"/>
        <v>18.049999997019768</v>
      </c>
      <c r="O193" s="7"/>
      <c r="P193" s="7"/>
      <c r="Q193" s="22"/>
      <c r="R193" s="22"/>
      <c r="S193" s="31">
        <f t="shared" si="60"/>
        <v>1</v>
      </c>
      <c r="T193" s="46" t="str">
        <f t="shared" si="61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62"/>
        <v>https://d0f6bd738d7f1b3e5a7ca70fe4ff75f0.us-east-1.aws.found.io/app/kibana#/discover/Steve-Slow-Train-Analysis-(2080s-and-2083s)?_g=(refreshInterval:(display:Off,pause:!f,section:0,value:0),time:(from:'2017-04-10T17:06:29-0600',mode:absolute,to:'2017-04-10T19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183" t="str">
        <f t="shared" si="63"/>
        <v>N</v>
      </c>
      <c r="X193" s="183">
        <f t="shared" si="86"/>
        <v>1</v>
      </c>
      <c r="Y193" s="62">
        <f t="shared" si="84"/>
        <v>5.8608000000000002</v>
      </c>
      <c r="Z193" s="62">
        <f t="shared" si="85"/>
        <v>6.6400000000000001E-2</v>
      </c>
      <c r="AA193" s="62">
        <f t="shared" si="66"/>
        <v>5.7944000000000004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7"/>
        <v>0836-10</v>
      </c>
      <c r="AE193" s="85" t="str">
        <f t="shared" si="68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93" s="82" t="str">
        <f t="shared" si="69"/>
        <v>"C:\Program Files (x86)\AstroGrep\AstroGrep.exe" /e /r /s /spath="%USERPROFILE%\AppData\Local\Temp\OnboardLogs" /stypes="app*4017*20170411*" /stext=" 00:.+((SYSTEM_STATE.+slice.+state.+changed )|(ment ac)|(multiple cpu faults)|(system.+state.+changed )|(\[timeout)|(PRM\|1\|D)|(kpr)|(kdp)|(\|lc)|(penalty))"</v>
      </c>
      <c r="AG193" s="1" t="str">
        <f t="shared" si="70"/>
        <v>NW</v>
      </c>
      <c r="AH193" s="86" t="str">
        <f t="shared" si="71"/>
        <v>"%USERPROFILE%\Documents\GitHub\eaglep3\Utilities\RefineRTDCRunTimes.py" --tripid 836-10 --locoid 4017 --swversion DE.1.0.9.0 --startMP 300:58608 --initTime 2017-04-10T18:06:29 --startdatetime 2017-04-10T18:08:01 --delay 0 --endMP 204:664 --enddatetime 2017-04-10T18:26:04 --enforcementcount 0 &gt;&gt;C:\Users\stu\Documents\GitHub\eaglep3-reporting\EC\2017-04-10-refined-times.txt</v>
      </c>
      <c r="AI193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{"issue":{"subject":"","project_id":79,"tracker_id":40,"status_id":1,"priority_id":2,"assigned_to_id":23,"start_date":"2017-04-10","description":"","custom_fields":[{"id":1,"name":"Subdivision","value":"NW"},{"id":4,"name":"Milepost","value":"0.0664"},{"id":17,"name":"Train ID","value":"836-10"},{"id":16,"name":"Locomotive ID","value":"4017"},{"id":130,"name":"Impact","value":""},{"id":150,"name":"Time of Event (Mountain Time)","value":"18:26:04"},{"id":151,"name":"Denver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73"/>
        <v>start /low /b %USERPROFILE%\Documents\GitHub\eaglep3\Utilities\DownloadLogsFromS3.py --loco 4017 --day 2017-04-10</v>
      </c>
      <c r="AN193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792</v>
      </c>
      <c r="B194" s="7">
        <v>4022</v>
      </c>
      <c r="C194" s="21" t="s">
        <v>215</v>
      </c>
      <c r="D194" s="21" t="s">
        <v>963</v>
      </c>
      <c r="E194" s="13">
        <v>42835.757175925923</v>
      </c>
      <c r="F194" s="13">
        <v>42835.764745370368</v>
      </c>
      <c r="G194" s="7">
        <v>1</v>
      </c>
      <c r="H194" s="21" t="s">
        <v>984</v>
      </c>
      <c r="I194" s="13">
        <v>42835.773726851854</v>
      </c>
      <c r="J194" s="7">
        <v>0</v>
      </c>
      <c r="K194" s="97" t="str">
        <f t="shared" si="58"/>
        <v>4021/4022</v>
      </c>
      <c r="L194" s="21" t="str">
        <f>VLOOKUP(A194,'Trips&amp;Operators'!$C$1:$G$99999,5,FALSE)</f>
        <v>LEVIN SCOTT</v>
      </c>
      <c r="M194" s="6">
        <f t="shared" si="59"/>
        <v>8.9814814855344594E-3</v>
      </c>
      <c r="N194" s="7">
        <f t="shared" si="83"/>
        <v>12.933333339169621</v>
      </c>
      <c r="O194" s="7"/>
      <c r="P194" s="7"/>
      <c r="Q194" s="22"/>
      <c r="R194" s="22"/>
      <c r="S194" s="31">
        <f t="shared" si="60"/>
        <v>1</v>
      </c>
      <c r="T194" s="46" t="str">
        <f t="shared" si="61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62"/>
        <v>https://d0f6bd738d7f1b3e5a7ca70fe4ff75f0.us-east-1.aws.found.io/app/kibana#/discover/Steve-Slow-Train-Analysis-(2080s-and-2083s)?_g=(refreshInterval:(display:Off,pause:!f,section:0,value:0),time:(from:'2017-04-10T17:10:20-0600',mode:absolute,to:'2017-04-10T19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4" s="183" t="str">
        <f t="shared" si="63"/>
        <v>N</v>
      </c>
      <c r="X194" s="183">
        <f t="shared" si="86"/>
        <v>1</v>
      </c>
      <c r="Y194" s="62">
        <f t="shared" si="84"/>
        <v>9.7199999999999995E-2</v>
      </c>
      <c r="Z194" s="62">
        <f t="shared" si="85"/>
        <v>5.8959999999999999</v>
      </c>
      <c r="AA194" s="62">
        <f t="shared" si="66"/>
        <v>5.7988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7"/>
        <v>0837-10</v>
      </c>
      <c r="AE194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94" s="82" t="str">
        <f t="shared" si="69"/>
        <v>"C:\Program Files (x86)\AstroGrep\AstroGrep.exe" /e /r /s /spath="%USERPROFILE%\AppData\Local\Temp\OnboardLogs" /stypes="app*4022*20170411*" /stext=" 00:.+((SYSTEM_STATE.+slice.+state.+changed )|(ment ac)|(multiple cpu faults)|(system.+state.+changed )|(\[timeout)|(PRM\|1\|D)|(kpr)|(kdp)|(\|lc)|(penalty))"</v>
      </c>
      <c r="AG194" s="1" t="str">
        <f t="shared" si="70"/>
        <v>NW</v>
      </c>
      <c r="AH194" s="86" t="str">
        <f t="shared" si="71"/>
        <v>"%USERPROFILE%\Documents\GitHub\eaglep3\Utilities\RefineRTDCRunTimes.py" --tripid 837-10 --locoid 4022 --swversion DE.1.0.9.0 --startMP 204:972 --initTime 2017-04-10T18:10:20 --startdatetime 2017-04-10T18:21:14 --delay 1 --endMP 300:58960 --enddatetime 2017-04-10T18:34:10 --enforcementcount 0 &gt;&gt;C:\Users\stu\Documents\GitHub\eaglep3-reporting\EC\2017-04-10-refined-times.txt</v>
      </c>
      <c r="AI194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{"issue":{"subject":"","project_id":79,"tracker_id":40,"status_id":1,"priority_id":2,"assigned_to_id":23,"start_date":"2017-04-10","description":"","custom_fields":[{"id":1,"name":"Subdivision","value":"NW"},{"id":4,"name":"Milepost","value":"5.896"},{"id":17,"name":"Train ID","value":"837-10"},{"id":16,"name":"Locomotive ID","value":"4022"},{"id":130,"name":"Impact","value":""},{"id":150,"name":"Time of Event (Mountain Time)","value":"18:34:10"},{"id":151,"name":"Denver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73"/>
        <v>start /low /b %USERPROFILE%\Documents\GitHub\eaglep3\Utilities\DownloadLogsFromS3.py --loco 4022 --day 2017-04-10</v>
      </c>
      <c r="AN194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644</v>
      </c>
      <c r="B195" s="7">
        <v>4021</v>
      </c>
      <c r="C195" s="21" t="s">
        <v>215</v>
      </c>
      <c r="D195" s="21" t="s">
        <v>958</v>
      </c>
      <c r="E195" s="13">
        <v>42835.774826388886</v>
      </c>
      <c r="F195" s="13">
        <v>42835.775949074072</v>
      </c>
      <c r="G195" s="7">
        <v>0</v>
      </c>
      <c r="H195" s="21" t="s">
        <v>990</v>
      </c>
      <c r="I195" s="13">
        <v>42835.784953703704</v>
      </c>
      <c r="J195" s="7">
        <v>0</v>
      </c>
      <c r="K195" s="97" t="str">
        <f t="shared" si="58"/>
        <v>4021/4022</v>
      </c>
      <c r="L195" s="21" t="str">
        <f>VLOOKUP(A195,'Trips&amp;Operators'!$C$1:$G$99999,5,FALSE)</f>
        <v>LEVIN SCOTT</v>
      </c>
      <c r="M195" s="6">
        <f t="shared" si="59"/>
        <v>9.0046296318178065E-3</v>
      </c>
      <c r="N195" s="7"/>
      <c r="O195" s="7"/>
      <c r="P195" s="7">
        <f>24*60*SUM($M195:$M195)</f>
        <v>12.966666669817641</v>
      </c>
      <c r="Q195" s="22"/>
      <c r="R195" s="22" t="s">
        <v>475</v>
      </c>
      <c r="S195" s="31">
        <f t="shared" si="60"/>
        <v>0</v>
      </c>
      <c r="T195" s="46" t="str">
        <f t="shared" si="61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82" t="str">
        <f t="shared" si="62"/>
        <v>https://d0f6bd738d7f1b3e5a7ca70fe4ff75f0.us-east-1.aws.found.io/app/kibana#/discover/Steve-Slow-Train-Analysis-(2080s-and-2083s)?_g=(refreshInterval:(display:Off,pause:!f,section:0,value:0),time:(from:'2017-04-10T17:35:45-0600',mode:absolute,to:'2017-04-10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5" s="183" t="str">
        <f t="shared" si="63"/>
        <v>Y</v>
      </c>
      <c r="X195" s="183">
        <f t="shared" si="86"/>
        <v>1</v>
      </c>
      <c r="Y195" s="62">
        <f t="shared" si="84"/>
        <v>5.8648999999999996</v>
      </c>
      <c r="Z195" s="62">
        <f t="shared" si="85"/>
        <v>2.6663999999999999</v>
      </c>
      <c r="AA195" s="62">
        <f t="shared" si="66"/>
        <v>3.1984999999999997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7"/>
        <v>0838-10</v>
      </c>
      <c r="AE195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5" s="82" t="str">
        <f t="shared" si="69"/>
        <v>"C:\Program Files (x86)\AstroGrep\AstroGrep.exe" /e /r /s /spath="%USERPROFILE%\AppData\Local\Temp\OnboardLogs" /stypes="app*4021*20170411*" /stext=" 00:.+((SYSTEM_STATE.+slice.+state.+changed )|(ment ac)|(multiple cpu faults)|(system.+state.+changed )|(\[timeout)|(PRM\|1\|D)|(kpr)|(kdp)|(\|lc)|(penalty))"</v>
      </c>
      <c r="AG195" s="1" t="str">
        <f t="shared" si="70"/>
        <v>NW</v>
      </c>
      <c r="AH195" s="86" t="str">
        <f t="shared" si="71"/>
        <v>"%USERPROFILE%\Documents\GitHub\eaglep3\Utilities\RefineRTDCRunTimes.py" --tripid 838-10 --locoid 4021 --swversion DE.1.0.9.0 --startMP 300:58649 --initTime 2017-04-10T18:35:45 --startdatetime 2017-04-10T18:37:22 --delay 0 --endMP 300:26664 --enddatetime 2017-04-10T18:50:20 --enforcementcount 0 &gt;&gt;C:\Users\stu\Documents\GitHub\eaglep3-reporting\EC\2017-04-10-refined-times.txt</v>
      </c>
      <c r="AI195" s="104" t="str">
        <f t="shared" si="72"/>
        <v>echo {"issue":{"subject":"Wi-MAX data drop","project_id":79,"tracker_id":40,"status_id":1,"priority_id":2,"assigned_to_id":23,"start_date":"2017-04-10","description":"http://stevetu21.github.io/eaglep3/load_kml.html?kml=http://rtdc.gmaps-snips.s3.amazonaws.com/34ff0867-474d-4d54-830c-6a6659f34f26.kml","custom_fields":[{"id":1,"name":"Subdivision","value":"NW"},{"id":4,"name":"Milepost","value":"2.6664"},{"id":17,"name":"Train ID","value":"838-10"},{"id":16,"name":"Locomotive ID","value":"4021"},{"id":130,"name":"Impact","value":""},{"id":150,"name":"Time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t="s">
        <v>1039</v>
      </c>
      <c r="AK195" s="48"/>
      <c r="AL195" s="48"/>
      <c r="AM195" s="150" t="str">
        <f t="shared" si="73"/>
        <v>start /low /b %USERPROFILE%\Documents\GitHub\eaglep3\Utilities\DownloadLogsFromS3.py --loco 4021 --day 2017-04-10</v>
      </c>
      <c r="AN195" s="159" t="str">
        <f t="shared" si="74"/>
        <v>echo {"issue":{"subject":"Wi-MAX data drop","project_id":30,"tracker_id":4,"status_id":1,"priority_id":1,"assigned_to_id":10,"start_date":"2017-04-11","description":"http://stevetu21.github.io/eaglep3/load_kml.html?kml=http://rtdc.gmaps-snips.s3.amazonaws.com/34ff0867-474d-4d54-830c-6a6659f34f26.kml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801</v>
      </c>
      <c r="B196" s="7">
        <v>4018</v>
      </c>
      <c r="C196" s="21" t="s">
        <v>215</v>
      </c>
      <c r="D196" s="21" t="s">
        <v>991</v>
      </c>
      <c r="E196" s="13">
        <v>42835.78162037037</v>
      </c>
      <c r="F196" s="13">
        <v>42835.785555555558</v>
      </c>
      <c r="G196" s="7">
        <v>1</v>
      </c>
      <c r="H196" s="21" t="s">
        <v>534</v>
      </c>
      <c r="I196" s="13">
        <v>42835.795729166668</v>
      </c>
      <c r="J196" s="7">
        <v>0</v>
      </c>
      <c r="K196" s="97" t="str">
        <f t="shared" si="58"/>
        <v>4017/4018</v>
      </c>
      <c r="L196" s="21" t="str">
        <f>VLOOKUP(A196,'Trips&amp;Operators'!$C$1:$G$99999,5,FALSE)</f>
        <v>NEWELL JAMES</v>
      </c>
      <c r="M196" s="6">
        <f t="shared" si="59"/>
        <v>1.0173611110076308E-2</v>
      </c>
      <c r="N196" s="7">
        <f t="shared" ref="N196:N228" si="87">24*60*SUM($M196:$M196)</f>
        <v>14.649999998509884</v>
      </c>
      <c r="O196" s="7"/>
      <c r="P196" s="7"/>
      <c r="Q196" s="22"/>
      <c r="R196" s="22"/>
      <c r="S196" s="31">
        <f t="shared" si="60"/>
        <v>1</v>
      </c>
      <c r="T196" s="46" t="str">
        <f t="shared" si="61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62"/>
        <v>https://d0f6bd738d7f1b3e5a7ca70fe4ff75f0.us-east-1.aws.found.io/app/kibana#/discover/Steve-Slow-Train-Analysis-(2080s-and-2083s)?_g=(refreshInterval:(display:Off,pause:!f,section:0,value:0),time:(from:'2017-04-10T17:45:32-0600',mode:absolute,to:'2017-04-10T20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183" t="str">
        <f t="shared" si="63"/>
        <v>N</v>
      </c>
      <c r="X196" s="183">
        <f t="shared" si="86"/>
        <v>1</v>
      </c>
      <c r="Y196" s="62">
        <f t="shared" si="84"/>
        <v>9.3399999999999997E-2</v>
      </c>
      <c r="Z196" s="62">
        <f t="shared" si="85"/>
        <v>5.8933</v>
      </c>
      <c r="AA196" s="62">
        <f t="shared" si="66"/>
        <v>5.7999000000000001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7"/>
        <v>0839-10</v>
      </c>
      <c r="AE196" s="85" t="str">
        <f t="shared" si="68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96" s="82" t="str">
        <f t="shared" si="69"/>
        <v>"C:\Program Files (x86)\AstroGrep\AstroGrep.exe" /e /r /s /spath="%USERPROFILE%\AppData\Local\Temp\OnboardLogs" /stypes="app*4018*20170411*" /stext=" 01:.+((SYSTEM_STATE.+slice.+state.+changed )|(ment ac)|(multiple cpu faults)|(system.+state.+changed )|(\[timeout)|(PRM\|1\|D)|(kpr)|(kdp)|(\|lc)|(penalty))"</v>
      </c>
      <c r="AG196" s="1" t="str">
        <f t="shared" si="70"/>
        <v>NW</v>
      </c>
      <c r="AH196" s="86" t="str">
        <f t="shared" si="71"/>
        <v>"%USERPROFILE%\Documents\GitHub\eaglep3\Utilities\RefineRTDCRunTimes.py" --tripid 839-10 --locoid 4018 --swversion DE.1.0.9.0 --startMP 204:934 --initTime 2017-04-10T18:45:32 --startdatetime 2017-04-10T18:51:12 --delay 1 --endMP 300:58933 --enddatetime 2017-04-10T19:05:51 --enforcementcount 0 &gt;&gt;C:\Users\stu\Documents\GitHub\eaglep3-reporting\EC\2017-04-10-refined-times.txt</v>
      </c>
      <c r="AI196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{"issue":{"subject":"","project_id":79,"tracker_id":40,"status_id":1,"priority_id":2,"assigned_to_id":23,"start_date":"2017-04-10","description":"","custom_fields":[{"id":1,"name":"Subdivision","value":"NW"},{"id":4,"name":"Milepost","value":"5.8933"},{"id":17,"name":"Train ID","value":"839-10"},{"id":16,"name":"Locomotive ID","value":"4018"},{"id":130,"name":"Impact","value":""},{"id":150,"name":"Time of Event (Mountain Time)","value":"19:05:51"},{"id":151,"name":"Denver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73"/>
        <v>start /low /b %USERPROFILE%\Documents\GitHub\eaglep3\Utilities\DownloadLogsFromS3.py --loco 4018 --day 2017-04-10</v>
      </c>
      <c r="AN196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648</v>
      </c>
      <c r="B197" s="7">
        <v>4021</v>
      </c>
      <c r="C197" s="21" t="s">
        <v>215</v>
      </c>
      <c r="D197" s="21" t="s">
        <v>576</v>
      </c>
      <c r="E197" s="13">
        <v>42835.816886574074</v>
      </c>
      <c r="F197" s="13">
        <v>42835.818113425928</v>
      </c>
      <c r="G197" s="7">
        <v>1</v>
      </c>
      <c r="H197" s="21" t="s">
        <v>992</v>
      </c>
      <c r="I197" s="13">
        <v>42835.832743055558</v>
      </c>
      <c r="J197" s="7">
        <v>0</v>
      </c>
      <c r="K197" s="97" t="str">
        <f t="shared" si="58"/>
        <v>4021/4022</v>
      </c>
      <c r="L197" s="21" t="str">
        <f>VLOOKUP(A197,'Trips&amp;Operators'!$C$1:$G$99999,5,FALSE)</f>
        <v>LEVIN SCOTT</v>
      </c>
      <c r="M197" s="6">
        <f t="shared" si="59"/>
        <v>1.4629629629780538E-2</v>
      </c>
      <c r="N197" s="7">
        <f t="shared" si="87"/>
        <v>21.066666666883975</v>
      </c>
      <c r="O197" s="7"/>
      <c r="P197" s="7"/>
      <c r="Q197" s="22"/>
      <c r="R197" s="22"/>
      <c r="S197" s="31">
        <f t="shared" si="60"/>
        <v>1</v>
      </c>
      <c r="T197" s="46" t="str">
        <f t="shared" si="61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62"/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83" t="str">
        <f t="shared" si="63"/>
        <v>N</v>
      </c>
      <c r="X197" s="183">
        <f t="shared" si="86"/>
        <v>1</v>
      </c>
      <c r="Y197" s="62">
        <f t="shared" si="84"/>
        <v>5.8625999999999996</v>
      </c>
      <c r="Z197" s="62">
        <f t="shared" si="85"/>
        <v>6.7100000000000007E-2</v>
      </c>
      <c r="AA197" s="62">
        <f t="shared" si="66"/>
        <v>5.7954999999999997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7"/>
        <v>0840-10</v>
      </c>
      <c r="AE197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7" s="82" t="str">
        <f t="shared" si="69"/>
        <v>"C:\Program Files (x86)\AstroGrep\AstroGrep.exe" /e /r /s /spath="%USERPROFILE%\AppData\Local\Temp\OnboardLogs" /stypes="app*4021*20170411*" /stext=" 01:.+((SYSTEM_STATE.+slice.+state.+changed )|(ment ac)|(multiple cpu faults)|(system.+state.+changed )|(\[timeout)|(PRM\|1\|D)|(kpr)|(kdp)|(\|lc)|(penalty))"</v>
      </c>
      <c r="AG197" s="1" t="str">
        <f t="shared" si="70"/>
        <v>NW</v>
      </c>
      <c r="AH197" s="86" t="str">
        <f t="shared" si="71"/>
        <v>"%USERPROFILE%\Documents\GitHub\eaglep3\Utilities\RefineRTDCRunTimes.py" --tripid 840-10 --locoid 4021 --swversion DE.1.0.9.0 --startMP 300:58626 --initTime 2017-04-10T19:36:19 --startdatetime 2017-04-10T19:38:05 --delay 1 --endMP 204:671 --enddatetime 2017-04-10T19:59:09 --enforcementcount 0 &gt;&gt;C:\Users\stu\Documents\GitHub\eaglep3-reporting\EC\2017-04-10-refined-times.txt</v>
      </c>
      <c r="AI197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{"issue":{"subject":"","project_id":79,"tracker_id":40,"status_id":1,"priority_id":2,"assigned_to_id":23,"start_date":"2017-04-10","description":"","custom_fields":[{"id":1,"name":"Subdivision","value":"NW"},{"id":4,"name":"Milepost","value":"0.0671"},{"id":17,"name":"Train ID","value":"840-10"},{"id":16,"name":"Locomotive ID","value":"4021"},{"id":130,"name":"Impact","value":""},{"id":150,"name":"Time of Event (Mountain Time)","value":"19:59:09"},{"id":151,"name":"Denver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73"/>
        <v>start /low /b %USERPROFILE%\Documents\GitHub\eaglep3\Utilities\DownloadLogsFromS3.py --loco 4021 --day 2017-04-10</v>
      </c>
      <c r="AN197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01:59:09"},{"id":29,"name":"Sharepoint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804</v>
      </c>
      <c r="B198" s="7">
        <v>4022</v>
      </c>
      <c r="C198" s="21" t="s">
        <v>215</v>
      </c>
      <c r="D198" s="21" t="s">
        <v>993</v>
      </c>
      <c r="E198" s="13">
        <v>42835.797685185185</v>
      </c>
      <c r="F198" s="13">
        <v>42835.80641203704</v>
      </c>
      <c r="G198" s="7">
        <v>1</v>
      </c>
      <c r="H198" s="21" t="s">
        <v>575</v>
      </c>
      <c r="I198" s="13">
        <v>42835.815555555557</v>
      </c>
      <c r="J198" s="7">
        <v>0</v>
      </c>
      <c r="K198" s="97" t="str">
        <f t="shared" si="58"/>
        <v>4021/4022</v>
      </c>
      <c r="L198" s="21" t="str">
        <f>VLOOKUP(A198,'Trips&amp;Operators'!$C$1:$G$99999,5,FALSE)</f>
        <v>LEVIN SCOTT</v>
      </c>
      <c r="M198" s="6">
        <f t="shared" si="59"/>
        <v>9.1435185167938471E-3</v>
      </c>
      <c r="N198" s="7">
        <f t="shared" si="87"/>
        <v>13.16666666418314</v>
      </c>
      <c r="O198" s="7"/>
      <c r="P198" s="7"/>
      <c r="Q198" s="22"/>
      <c r="R198" s="22"/>
      <c r="S198" s="31">
        <f t="shared" si="60"/>
        <v>1</v>
      </c>
      <c r="T198" s="46" t="str">
        <f t="shared" si="61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62"/>
        <v>https://d0f6bd738d7f1b3e5a7ca70fe4ff75f0.us-east-1.aws.found.io/app/kibana#/discover/Steve-Slow-Train-Analysis-(2080s-and-2083s)?_g=(refreshInterval:(display:Off,pause:!f,section:0,value:0),time:(from:'2017-04-10T18:08:40-0600',mode:absolute,to:'2017-04-10T20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183" t="str">
        <f t="shared" si="63"/>
        <v>N</v>
      </c>
      <c r="X198" s="183">
        <f t="shared" si="86"/>
        <v>1</v>
      </c>
      <c r="Y198" s="62">
        <f t="shared" si="84"/>
        <v>8.9899999999999994E-2</v>
      </c>
      <c r="Z198" s="62">
        <f t="shared" si="85"/>
        <v>5.8943000000000003</v>
      </c>
      <c r="AA198" s="62">
        <f t="shared" si="66"/>
        <v>5.8044000000000002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7"/>
        <v>0841-10</v>
      </c>
      <c r="AE198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98" s="82" t="str">
        <f t="shared" si="69"/>
        <v>"C:\Program Files (x86)\AstroGrep\AstroGrep.exe" /e /r /s /spath="%USERPROFILE%\AppData\Local\Temp\OnboardLogs" /stypes="app*4022*20170411*" /stext=" 01:.+((SYSTEM_STATE.+slice.+state.+changed )|(ment ac)|(multiple cpu faults)|(system.+state.+changed )|(\[timeout)|(PRM\|1\|D)|(kpr)|(kdp)|(\|lc)|(penalty))"</v>
      </c>
      <c r="AG198" s="1" t="str">
        <f t="shared" si="70"/>
        <v>NW</v>
      </c>
      <c r="AH198" s="86" t="str">
        <f t="shared" si="71"/>
        <v>"%USERPROFILE%\Documents\GitHub\eaglep3\Utilities\RefineRTDCRunTimes.py" --tripid 841-10 --locoid 4022 --swversion DE.1.0.9.0 --startMP 204:899 --initTime 2017-04-10T19:08:40 --startdatetime 2017-04-10T19:21:14 --delay 1 --endMP 300:58943 --enddatetime 2017-04-10T19:34:24 --enforcementcount 0 &gt;&gt;C:\Users\stu\Documents\GitHub\eaglep3-reporting\EC\2017-04-10-refined-times.txt</v>
      </c>
      <c r="AI198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{"issue":{"subject":"","project_id":79,"tracker_id":40,"status_id":1,"priority_id":2,"assigned_to_id":23,"start_date":"2017-04-10","description":"","custom_fields":[{"id":1,"name":"Subdivision","value":"NW"},{"id":4,"name":"Milepost","value":"5.8943"},{"id":17,"name":"Train ID","value":"841-10"},{"id":16,"name":"Locomotive ID","value":"4022"},{"id":130,"name":"Impact","value":""},{"id":150,"name":"Time of Event (Mountain Time)","value":"19:34:24"},{"id":151,"name":"Denver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73"/>
        <v>start /low /b %USERPROFILE%\Documents\GitHub\eaglep3\Utilities\DownloadLogsFromS3.py --loco 4022 --day 2017-04-10</v>
      </c>
      <c r="AN198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813</v>
      </c>
      <c r="B199" s="7">
        <v>4021</v>
      </c>
      <c r="C199" s="21" t="s">
        <v>215</v>
      </c>
      <c r="D199" s="21" t="s">
        <v>994</v>
      </c>
      <c r="E199" s="13">
        <v>42835.859131944446</v>
      </c>
      <c r="F199" s="13">
        <v>42835.86037037037</v>
      </c>
      <c r="G199" s="7">
        <v>1</v>
      </c>
      <c r="H199" s="21" t="s">
        <v>995</v>
      </c>
      <c r="I199" s="13">
        <v>42835.871377314812</v>
      </c>
      <c r="J199" s="7">
        <v>0</v>
      </c>
      <c r="K199" s="97" t="str">
        <f t="shared" si="58"/>
        <v>4021/4022</v>
      </c>
      <c r="L199" s="21" t="str">
        <f>VLOOKUP(A199,'Trips&amp;Operators'!$C$1:$G$99999,5,FALSE)</f>
        <v>LEVIN SCOTT</v>
      </c>
      <c r="M199" s="6">
        <f t="shared" si="59"/>
        <v>1.1006944441760425E-2</v>
      </c>
      <c r="N199" s="7">
        <f t="shared" si="87"/>
        <v>15.849999996135011</v>
      </c>
      <c r="O199" s="7"/>
      <c r="P199" s="7"/>
      <c r="Q199" s="22"/>
      <c r="R199" s="22"/>
      <c r="S199" s="31">
        <f t="shared" si="60"/>
        <v>1</v>
      </c>
      <c r="T199" s="46" t="str">
        <f t="shared" si="61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62"/>
        <v>https://d0f6bd738d7f1b3e5a7ca70fe4ff75f0.us-east-1.aws.found.io/app/kibana#/discover/Steve-Slow-Train-Analysis-(2080s-and-2083s)?_g=(refreshInterval:(display:Off,pause:!f,section:0,value:0),time:(from:'2017-04-10T19:37:09-0600',mode:absolute,to:'2017-04-10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183" t="str">
        <f t="shared" si="63"/>
        <v>N</v>
      </c>
      <c r="X199" s="183">
        <f t="shared" si="86"/>
        <v>1</v>
      </c>
      <c r="Y199" s="62">
        <f t="shared" si="84"/>
        <v>5.8611000000000004</v>
      </c>
      <c r="Z199" s="62">
        <f t="shared" si="85"/>
        <v>6.7699999999999996E-2</v>
      </c>
      <c r="AA199" s="62">
        <f t="shared" si="66"/>
        <v>5.7934000000000001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7"/>
        <v>0842-10</v>
      </c>
      <c r="AE199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9" s="82" t="str">
        <f t="shared" si="69"/>
        <v>"C:\Program Files (x86)\AstroGrep\AstroGrep.exe" /e /r /s /spath="%USERPROFILE%\AppData\Local\Temp\OnboardLogs" /stypes="app*4021*20170411*" /stext=" 02:.+((SYSTEM_STATE.+slice.+state.+changed )|(ment ac)|(multiple cpu faults)|(system.+state.+changed )|(\[timeout)|(PRM\|1\|D)|(kpr)|(kdp)|(\|lc)|(penalty))"</v>
      </c>
      <c r="AG199" s="1" t="str">
        <f t="shared" si="70"/>
        <v>NW</v>
      </c>
      <c r="AH199" s="86" t="str">
        <f t="shared" si="71"/>
        <v>"%USERPROFILE%\Documents\GitHub\eaglep3\Utilities\RefineRTDCRunTimes.py" --tripid 842-10 --locoid 4021 --swversion DE.1.0.9.0 --startMP 300:58611 --initTime 2017-04-10T20:37:09 --startdatetime 2017-04-10T20:38:56 --delay 1 --endMP 204:677 --enddatetime 2017-04-10T20:54:47 --enforcementcount 0 &gt;&gt;C:\Users\stu\Documents\GitHub\eaglep3-reporting\EC\2017-04-10-refined-times.txt</v>
      </c>
      <c r="AI199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{"issue":{"subject":"","project_id":79,"tracker_id":40,"status_id":1,"priority_id":2,"assigned_to_id":23,"start_date":"2017-04-10","description":"","custom_fields":[{"id":1,"name":"Subdivision","value":"NW"},{"id":4,"name":"Milepost","value":"0.0677"},{"id":17,"name":"Train ID","value":"842-10"},{"id":16,"name":"Locomotive ID","value":"4021"},{"id":130,"name":"Impact","value":""},{"id":150,"name":"Time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73"/>
        <v>start /low /b %USERPROFILE%\Documents\GitHub\eaglep3\Utilities\DownloadLogsFromS3.py --loco 4021 --day 2017-04-10</v>
      </c>
      <c r="AN199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s="20" customFormat="1" x14ac:dyDescent="0.25">
      <c r="A200" s="33" t="s">
        <v>811</v>
      </c>
      <c r="B200" s="7">
        <v>4022</v>
      </c>
      <c r="C200" s="21" t="s">
        <v>215</v>
      </c>
      <c r="D200" s="21" t="s">
        <v>996</v>
      </c>
      <c r="E200" s="13">
        <v>42835.845925925925</v>
      </c>
      <c r="F200" s="13">
        <v>42835.848067129627</v>
      </c>
      <c r="G200" s="7">
        <v>1</v>
      </c>
      <c r="H200" s="21" t="s">
        <v>997</v>
      </c>
      <c r="I200" s="13">
        <v>42835.857523148145</v>
      </c>
      <c r="J200" s="7">
        <v>0</v>
      </c>
      <c r="K200" s="97" t="str">
        <f t="shared" si="58"/>
        <v>4021/4022</v>
      </c>
      <c r="L200" s="21" t="str">
        <f>VLOOKUP(A200,'Trips&amp;Operators'!$C$1:$G$99999,5,FALSE)</f>
        <v>LEVIN SCOTT</v>
      </c>
      <c r="M200" s="6">
        <f t="shared" si="59"/>
        <v>9.4560185170848854E-3</v>
      </c>
      <c r="N200" s="7">
        <f t="shared" si="87"/>
        <v>13.616666664602235</v>
      </c>
      <c r="O200" s="7"/>
      <c r="P200" s="7"/>
      <c r="Q200" s="22"/>
      <c r="R200" s="22"/>
      <c r="S200" s="31">
        <f t="shared" si="60"/>
        <v>1</v>
      </c>
      <c r="T200" s="46" t="str">
        <f t="shared" si="61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62"/>
        <v>https://d0f6bd738d7f1b3e5a7ca70fe4ff75f0.us-east-1.aws.found.io/app/kibana#/discover/Steve-Slow-Train-Analysis-(2080s-and-2083s)?_g=(refreshInterval:(display:Off,pause:!f,section:0,value:0),time:(from:'2017-04-10T19:18:08-0600',mode:absolute,to:'2017-04-10T21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183" t="str">
        <f t="shared" si="63"/>
        <v>N</v>
      </c>
      <c r="X200" s="183">
        <f t="shared" si="86"/>
        <v>1</v>
      </c>
      <c r="Y200" s="62">
        <f t="shared" si="84"/>
        <v>9.4100000000000003E-2</v>
      </c>
      <c r="Z200" s="62">
        <f t="shared" si="85"/>
        <v>5.8924000000000003</v>
      </c>
      <c r="AA200" s="62">
        <f t="shared" si="66"/>
        <v>5.7983000000000002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7"/>
        <v>0843-10</v>
      </c>
      <c r="AE200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200" s="82" t="str">
        <f t="shared" si="69"/>
        <v>"C:\Program Files (x86)\AstroGrep\AstroGrep.exe" /e /r /s /spath="%USERPROFILE%\AppData\Local\Temp\OnboardLogs" /stypes="app*4022*20170411*" /stext=" 02:.+((SYSTEM_STATE.+slice.+state.+changed )|(ment ac)|(multiple cpu faults)|(system.+state.+changed )|(\[timeout)|(PRM\|1\|D)|(kpr)|(kdp)|(\|lc)|(penalty))"</v>
      </c>
      <c r="AG200" s="1" t="str">
        <f t="shared" si="70"/>
        <v>NW</v>
      </c>
      <c r="AH200" s="86" t="str">
        <f t="shared" si="71"/>
        <v>"%USERPROFILE%\Documents\GitHub\eaglep3\Utilities\RefineRTDCRunTimes.py" --tripid 843-10 --locoid 4022 --swversion DE.1.0.9.0 --startMP 204:941 --initTime 2017-04-10T20:18:08 --startdatetime 2017-04-10T20:21:13 --delay 1 --endMP 300:58924 --enddatetime 2017-04-10T20:34:50 --enforcementcount 0 &gt;&gt;C:\Users\stu\Documents\GitHub\eaglep3-reporting\EC\2017-04-10-refined-times.txt</v>
      </c>
      <c r="AI200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{"issue":{"subject":"","project_id":79,"tracker_id":40,"status_id":1,"priority_id":2,"assigned_to_id":23,"start_date":"2017-04-10","description":"","custom_fields":[{"id":1,"name":"Subdivision","value":"NW"},{"id":4,"name":"Milepost","value":"5.8924"},{"id":17,"name":"Train ID","value":"843-10"},{"id":16,"name":"Locomotive ID","value":"4022"},{"id":130,"name":"Impact","value":""},{"id":150,"name":"Time of Event (Mountain Time)","value":"20:34:50"},{"id":151,"name":"Denver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8"/>
      <c r="AL200" s="48"/>
      <c r="AM200" s="150" t="str">
        <f t="shared" si="73"/>
        <v>start /low /b %USERPROFILE%\Documents\GitHub\eaglep3\Utilities\DownloadLogsFromS3.py --loco 4022 --day 2017-04-10</v>
      </c>
      <c r="AN200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819</v>
      </c>
      <c r="B201" s="7">
        <v>4021</v>
      </c>
      <c r="C201" s="21" t="s">
        <v>215</v>
      </c>
      <c r="D201" s="21" t="s">
        <v>998</v>
      </c>
      <c r="E201" s="13">
        <v>42835.899814814817</v>
      </c>
      <c r="F201" s="13">
        <v>42835.901041666664</v>
      </c>
      <c r="G201" s="7">
        <v>1</v>
      </c>
      <c r="H201" s="21" t="s">
        <v>999</v>
      </c>
      <c r="I201" s="13">
        <v>42835.912731481483</v>
      </c>
      <c r="J201" s="7">
        <v>0</v>
      </c>
      <c r="K201" s="97" t="str">
        <f t="shared" si="58"/>
        <v>4021/4022</v>
      </c>
      <c r="L201" s="21" t="str">
        <f>VLOOKUP(A201,'Trips&amp;Operators'!$C$1:$G$99999,5,FALSE)</f>
        <v>NEWELL JAMES</v>
      </c>
      <c r="M201" s="6">
        <f t="shared" si="59"/>
        <v>1.1689814818964805E-2</v>
      </c>
      <c r="N201" s="7">
        <f t="shared" si="87"/>
        <v>16.83333333930932</v>
      </c>
      <c r="O201" s="7"/>
      <c r="P201" s="7"/>
      <c r="Q201" s="22"/>
      <c r="R201" s="22"/>
      <c r="S201" s="31">
        <f t="shared" si="60"/>
        <v>1</v>
      </c>
      <c r="T201" s="46" t="str">
        <f t="shared" si="61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62"/>
        <v>https://d0f6bd738d7f1b3e5a7ca70fe4ff75f0.us-east-1.aws.found.io/app/kibana#/discover/Steve-Slow-Train-Analysis-(2080s-and-2083s)?_g=(refreshInterval:(display:Off,pause:!f,section:0,value:0),time:(from:'2017-04-10T20:35:44-0600',mode:absolute,to:'2017-04-10T22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183" t="str">
        <f t="shared" si="63"/>
        <v>N</v>
      </c>
      <c r="X201" s="183">
        <f t="shared" si="86"/>
        <v>1</v>
      </c>
      <c r="Y201" s="62">
        <f t="shared" si="84"/>
        <v>5.8613</v>
      </c>
      <c r="Z201" s="62">
        <f t="shared" si="85"/>
        <v>6.4500000000000002E-2</v>
      </c>
      <c r="AA201" s="62">
        <f t="shared" si="66"/>
        <v>5.7968000000000002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7"/>
        <v>0844-10</v>
      </c>
      <c r="AE201" s="85" t="str">
        <f t="shared" si="68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201" s="82" t="str">
        <f t="shared" si="69"/>
        <v>"C:\Program Files (x86)\AstroGrep\AstroGrep.exe" /e /r /s /spath="%USERPROFILE%\AppData\Local\Temp\OnboardLogs" /stypes="app*4021*20170411*" /stext=" 03:.+((SYSTEM_STATE.+slice.+state.+changed )|(ment ac)|(multiple cpu faults)|(system.+state.+changed )|(\[timeout)|(PRM\|1\|D)|(kpr)|(kdp)|(\|lc)|(penalty))"</v>
      </c>
      <c r="AG201" s="1" t="str">
        <f t="shared" si="70"/>
        <v>NW</v>
      </c>
      <c r="AH201" s="86" t="str">
        <f t="shared" si="71"/>
        <v>"%USERPROFILE%\Documents\GitHub\eaglep3\Utilities\RefineRTDCRunTimes.py" --tripid 844-10 --locoid 4021 --swversion DE.1.0.9.0 --startMP 300:58613 --initTime 2017-04-10T21:35:44 --startdatetime 2017-04-10T21:37:30 --delay 1 --endMP 204:645 --enddatetime 2017-04-10T21:54:20 --enforcementcount 0 &gt;&gt;C:\Users\stu\Documents\GitHub\eaglep3-reporting\EC\2017-04-10-refined-times.txt</v>
      </c>
      <c r="AI201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{"issue":{"subject":"","project_id":79,"tracker_id":40,"status_id":1,"priority_id":2,"assigned_to_id":23,"start_date":"2017-04-10","description":"","custom_fields":[{"id":1,"name":"Subdivision","value":"NW"},{"id":4,"name":"Milepost","value":"0.0645"},{"id":17,"name":"Train ID","value":"844-10"},{"id":16,"name":"Locomotive ID","value":"4021"},{"id":130,"name":"Impact","value":""},{"id":150,"name":"Time of Event (Mountain Time)","value":"21:54:20"},{"id":151,"name":"Denver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73"/>
        <v>start /low /b %USERPROFILE%\Documents\GitHub\eaglep3\Utilities\DownloadLogsFromS3.py --loco 4021 --day 2017-04-10</v>
      </c>
      <c r="AN201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816</v>
      </c>
      <c r="B202" s="7">
        <v>4022</v>
      </c>
      <c r="C202" s="21" t="s">
        <v>215</v>
      </c>
      <c r="D202" s="21" t="s">
        <v>1000</v>
      </c>
      <c r="E202" s="13">
        <v>42835.874918981484</v>
      </c>
      <c r="F202" s="13">
        <v>42835.889791666668</v>
      </c>
      <c r="G202" s="7">
        <v>1</v>
      </c>
      <c r="H202" s="21" t="s">
        <v>997</v>
      </c>
      <c r="I202" s="13">
        <v>42835.898981481485</v>
      </c>
      <c r="J202" s="7">
        <v>0</v>
      </c>
      <c r="K202" s="97" t="str">
        <f t="shared" si="58"/>
        <v>4021/4022</v>
      </c>
      <c r="L202" s="21" t="str">
        <f>VLOOKUP(A202,'Trips&amp;Operators'!$C$1:$G$99999,5,FALSE)</f>
        <v>NEWELL JAMES</v>
      </c>
      <c r="M202" s="6">
        <f t="shared" si="59"/>
        <v>9.189814816636499E-3</v>
      </c>
      <c r="N202" s="7">
        <f t="shared" si="87"/>
        <v>13.233333335956559</v>
      </c>
      <c r="O202" s="7"/>
      <c r="P202" s="7"/>
      <c r="Q202" s="22"/>
      <c r="R202" s="22"/>
      <c r="S202" s="31">
        <f t="shared" si="60"/>
        <v>1</v>
      </c>
      <c r="T202" s="46" t="str">
        <f t="shared" si="61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62"/>
        <v>https://d0f6bd738d7f1b3e5a7ca70fe4ff75f0.us-east-1.aws.found.io/app/kibana#/discover/Steve-Slow-Train-Analysis-(2080s-and-2083s)?_g=(refreshInterval:(display:Off,pause:!f,section:0,value:0),time:(from:'2017-04-10T19:59:53-0600',mode:absolute,to:'2017-04-10T22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3" t="str">
        <f t="shared" si="63"/>
        <v>N</v>
      </c>
      <c r="X202" s="183">
        <f t="shared" si="86"/>
        <v>1</v>
      </c>
      <c r="Y202" s="62">
        <f t="shared" si="84"/>
        <v>9.5699999999999993E-2</v>
      </c>
      <c r="Z202" s="62">
        <f t="shared" si="85"/>
        <v>5.8924000000000003</v>
      </c>
      <c r="AA202" s="62">
        <f t="shared" si="66"/>
        <v>5.7967000000000004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7"/>
        <v>0845-10</v>
      </c>
      <c r="AE202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202" s="82" t="str">
        <f t="shared" si="69"/>
        <v>"C:\Program Files (x86)\AstroGrep\AstroGrep.exe" /e /r /s /spath="%USERPROFILE%\AppData\Local\Temp\OnboardLogs" /stypes="app*4022*20170411*" /stext=" 03:.+((SYSTEM_STATE.+slice.+state.+changed )|(ment ac)|(multiple cpu faults)|(system.+state.+changed )|(\[timeout)|(PRM\|1\|D)|(kpr)|(kdp)|(\|lc)|(penalty))"</v>
      </c>
      <c r="AG202" s="1" t="str">
        <f t="shared" si="70"/>
        <v>NW</v>
      </c>
      <c r="AH202" s="86" t="str">
        <f t="shared" si="71"/>
        <v>"%USERPROFILE%\Documents\GitHub\eaglep3\Utilities\RefineRTDCRunTimes.py" --tripid 845-10 --locoid 4022 --swversion DE.1.0.9.0 --startMP 204:957 --initTime 2017-04-10T20:59:53 --startdatetime 2017-04-10T21:21:18 --delay 1 --endMP 300:58924 --enddatetime 2017-04-10T21:34:32 --enforcementcount 0 &gt;&gt;C:\Users\stu\Documents\GitHub\eaglep3-reporting\EC\2017-04-10-refined-times.txt</v>
      </c>
      <c r="AI202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{"issue":{"subject":"","project_id":79,"tracker_id":40,"status_id":1,"priority_id":2,"assigned_to_id":23,"start_date":"2017-04-10","description":"","custom_fields":[{"id":1,"name":"Subdivision","value":"NW"},{"id":4,"name":"Milepost","value":"5.8924"},{"id":17,"name":"Train ID","value":"845-10"},{"id":16,"name":"Locomotive ID","value":"4022"},{"id":130,"name":"Impact","value":""},{"id":150,"name":"Time of Event (Mountain Time)","value":"21:34:32"},{"id":151,"name":"Denver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73"/>
        <v>start /low /b %USERPROFILE%\Documents\GitHub\eaglep3\Utilities\DownloadLogsFromS3.py --loco 4022 --day 2017-04-10</v>
      </c>
      <c r="AN202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822</v>
      </c>
      <c r="B203" s="7">
        <v>4022</v>
      </c>
      <c r="C203" s="21" t="s">
        <v>215</v>
      </c>
      <c r="D203" s="21" t="s">
        <v>1001</v>
      </c>
      <c r="E203" s="13">
        <v>42835.927418981482</v>
      </c>
      <c r="F203" s="13">
        <v>42835.931400462963</v>
      </c>
      <c r="G203" s="7">
        <v>1</v>
      </c>
      <c r="H203" s="21" t="s">
        <v>1002</v>
      </c>
      <c r="I203" s="13">
        <v>42835.940578703703</v>
      </c>
      <c r="J203" s="7">
        <v>0</v>
      </c>
      <c r="K203" s="97" t="str">
        <f t="shared" si="58"/>
        <v>4021/4022</v>
      </c>
      <c r="L203" s="21" t="str">
        <f>VLOOKUP(A203,'Trips&amp;Operators'!$C$1:$G$99999,5,FALSE)</f>
        <v>NEWELL JAMES</v>
      </c>
      <c r="M203" s="6">
        <f t="shared" si="59"/>
        <v>9.1782407398568466E-3</v>
      </c>
      <c r="N203" s="7">
        <f t="shared" si="87"/>
        <v>13.216666665393859</v>
      </c>
      <c r="O203" s="7"/>
      <c r="P203" s="7"/>
      <c r="Q203" s="22"/>
      <c r="R203" s="22"/>
      <c r="S203" s="31">
        <f t="shared" si="60"/>
        <v>1</v>
      </c>
      <c r="T203" s="46" t="str">
        <f t="shared" si="61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62"/>
        <v>https://d0f6bd738d7f1b3e5a7ca70fe4ff75f0.us-east-1.aws.found.io/app/kibana#/discover/Steve-Slow-Train-Analysis-(2080s-and-2083s)?_g=(refreshInterval:(display:Off,pause:!f,section:0,value:0),time:(from:'2017-04-10T21:15:29-0600',mode:absolute,to:'2017-04-10T23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3" s="183" t="str">
        <f t="shared" si="63"/>
        <v>N</v>
      </c>
      <c r="X203" s="183">
        <f t="shared" si="86"/>
        <v>2</v>
      </c>
      <c r="Y203" s="62">
        <f t="shared" si="84"/>
        <v>9.4799999999999995E-2</v>
      </c>
      <c r="Z203" s="62">
        <f t="shared" si="85"/>
        <v>5.8917999999999999</v>
      </c>
      <c r="AA203" s="62">
        <f t="shared" si="66"/>
        <v>5.7969999999999997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7"/>
        <v>0847-10</v>
      </c>
      <c r="AE203" s="85" t="str">
        <f t="shared" si="68"/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203" s="82" t="str">
        <f t="shared" si="69"/>
        <v>"C:\Program Files (x86)\AstroGrep\AstroGrep.exe" /e /r /s /spath="%USERPROFILE%\AppData\Local\Temp\OnboardLogs" /stypes="app*4022*20170411*" /stext=" 04:.+((SYSTEM_STATE.+slice.+state.+changed )|(ment ac)|(multiple cpu faults)|(system.+state.+changed )|(\[timeout)|(PRM\|1\|D)|(kpr)|(kdp)|(\|lc)|(penalty))"</v>
      </c>
      <c r="AG203" s="1" t="str">
        <f t="shared" si="70"/>
        <v>NW</v>
      </c>
      <c r="AH203" s="86" t="str">
        <f t="shared" si="71"/>
        <v>"%USERPROFILE%\Documents\GitHub\eaglep3\Utilities\RefineRTDCRunTimes.py" --tripid 847-10 --locoid 4022 --swversion DE.1.0.9.0 --startMP 204:948 --initTime 2017-04-10T22:15:29 --startdatetime 2017-04-10T22:21:13 --delay 1 --endMP 300:58918 --enddatetime 2017-04-10T22:34:26 --enforcementcount 0 &gt;&gt;C:\Users\stu\Documents\GitHub\eaglep3-reporting\EC\2017-04-10-refined-times.txt</v>
      </c>
      <c r="AI203" s="104" t="str">
        <f t="shared" si="72"/>
        <v>echo {"issue":{"subject":"","project_id":79,"tracker_id":40,"status_id":1,"priority_id":2,"assigned_to_id":23,"start_date":"2017-04-10","description":"","custom_fields":[{"id":1,"name":"Subdivision","value":"NW"},{"id":4,"name":"Milepost","value":"5.8918"},{"id":17,"name":"Train ID","value":"847-10"},{"id":16,"name":"Locomotive ID","value":"4022"},{"id":130,"name":"Impact","value":""},{"id":150,"name":"Time of Event (Mountain Time)","value":"22:34:26"},{"id":151,"name":"Denver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73"/>
        <v>start /low /b %USERPROFILE%\Documents\GitHub\eaglep3\Utilities\DownloadLogsFromS3.py --loco 4022 --day 2017-04-10</v>
      </c>
      <c r="AN203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588</v>
      </c>
      <c r="B204" s="7">
        <v>4013</v>
      </c>
      <c r="C204" s="21" t="s">
        <v>215</v>
      </c>
      <c r="D204" s="21" t="s">
        <v>910</v>
      </c>
      <c r="E204" s="13">
        <v>42835.120509259257</v>
      </c>
      <c r="F204" s="13">
        <v>42835.125034722223</v>
      </c>
      <c r="G204" s="7">
        <v>6</v>
      </c>
      <c r="H204" s="21" t="s">
        <v>911</v>
      </c>
      <c r="I204" s="13">
        <v>42835.129953703705</v>
      </c>
      <c r="J204" s="7">
        <v>0</v>
      </c>
      <c r="K204" s="97" t="str">
        <f t="shared" si="58"/>
        <v>4013/4014</v>
      </c>
      <c r="L204" s="21" t="str">
        <f>VLOOKUP(A204,'Trips&amp;Operators'!$C$1:$G$99999,5,FALSE)</f>
        <v>SANTIZO D. EDY</v>
      </c>
      <c r="M204" s="6">
        <f t="shared" si="59"/>
        <v>4.9189814817509614E-3</v>
      </c>
      <c r="N204" s="7">
        <f t="shared" si="87"/>
        <v>7.0833333337213844</v>
      </c>
      <c r="O204" s="7"/>
      <c r="P204" s="7"/>
      <c r="Q204" s="22"/>
      <c r="R204" s="22"/>
      <c r="S204" s="31">
        <f t="shared" si="60"/>
        <v>1</v>
      </c>
      <c r="T204" s="46" t="str">
        <f t="shared" si="61"/>
        <v>Southbound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62"/>
        <v>https://d0f6bd738d7f1b3e5a7ca70fe4ff75f0.us-east-1.aws.found.io/app/kibana#/discover/Steve-Slow-Train-Analysis-(2080s-and-2083s)?_g=(refreshInterval:(display:Off,pause:!f,section:0,value:0),time:(from:'2017-04-10T01:53:32-0600',mode:absolute,to:'2017-04-10T04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83" t="str">
        <f t="shared" si="63"/>
        <v>Y</v>
      </c>
      <c r="X204" s="183">
        <f t="shared" si="86"/>
        <v>-545</v>
      </c>
      <c r="Y204" s="62">
        <f t="shared" si="84"/>
        <v>1.9368000000000001</v>
      </c>
      <c r="Z204" s="62">
        <f t="shared" si="85"/>
        <v>1.1599999999999999E-2</v>
      </c>
      <c r="AA204" s="62">
        <f t="shared" si="66"/>
        <v>1.9252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7"/>
        <v>0302-10</v>
      </c>
      <c r="AE204" s="85" t="str">
        <f t="shared" si="68"/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204" s="82" t="str">
        <f t="shared" si="69"/>
        <v>"C:\Program Files (x86)\AstroGrep\AstroGrep.exe" /e /r /s /spath="%USERPROFILE%\AppData\Local\Temp\OnboardLogs" /stypes="app*4013*20170410*" /stext=" 09:.+((SYSTEM_STATE.+slice.+state.+changed )|(ment ac)|(multiple cpu faults)|(system.+state.+changed )|(\[timeout)|(PRM\|1\|D)|(kpr)|(kdp)|(\|lc)|(penalty))"</v>
      </c>
      <c r="AG204" s="1" t="str">
        <f t="shared" si="70"/>
        <v>Other</v>
      </c>
      <c r="AH204" s="86" t="str">
        <f t="shared" si="71"/>
        <v>"%USERPROFILE%\Documents\GitHub\eaglep3\Utilities\RefineRTDCRunTimes.py" --tripid 302-10 --locoid 4013 --swversion DE.1.0.9.0 --startMP 300:19368 --initTime 2017-04-10T02:53:32 --startdatetime 2017-04-10T03:00:03 --delay 6 --endMP 204:116 --enddatetime 2017-04-10T03:07:08 --enforcementcount 0 &gt;&gt;C:\Users\stu\Documents\GitHub\eaglep3-reporting\EC\2017-04-10-refined-times.txt</v>
      </c>
      <c r="AI204" s="104" t="str">
        <f t="shared" si="72"/>
        <v>echo {"issue":{"subject":"","project_id":79,"tracker_id":40,"status_id":1,"priority_id":2,"assigned_to_id":23,"start_date":"2017-04-10","description":"","custom_fields":[{"id":1,"name":"Subdivision","value":"Other"},{"id":4,"name":"Milepost","value":"0.0116"},{"id":17,"name":"Train ID","value":"302-10"},{"id":16,"name":"Locomotive ID","value":"4013"},{"id":130,"name":"Impact","value":""},{"id":150,"name":"Time of Event (Mountain Time)","value":"03:07:08"},{"id":151,"name":"Denver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73"/>
        <v>start /low /b %USERPROFILE%\Documents\GitHub\eaglep3\Utilities\DownloadLogsFromS3.py --loco 4013 --day 2017-04-10</v>
      </c>
      <c r="AN204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800</v>
      </c>
      <c r="B205" s="7">
        <v>4016</v>
      </c>
      <c r="C205" s="21" t="s">
        <v>215</v>
      </c>
      <c r="D205" s="21" t="s">
        <v>204</v>
      </c>
      <c r="E205" s="13">
        <v>42835.778541666667</v>
      </c>
      <c r="F205" s="13">
        <v>42835.780474537038</v>
      </c>
      <c r="G205" s="7">
        <v>1</v>
      </c>
      <c r="H205" s="21" t="s">
        <v>912</v>
      </c>
      <c r="I205" s="13">
        <v>42835.788564814815</v>
      </c>
      <c r="J205" s="7">
        <v>0</v>
      </c>
      <c r="K205" s="97" t="str">
        <f t="shared" ref="K205:K228" si="88">IF(ISEVEN(B205),(B205-1)&amp;"/"&amp;B205,B205&amp;"/"&amp;(B205+1))</f>
        <v>4015/4016</v>
      </c>
      <c r="L205" s="21" t="str">
        <f>VLOOKUP(A205,'Trips&amp;Operators'!$C$1:$G$99999,5,FALSE)</f>
        <v>MENGES BRAD</v>
      </c>
      <c r="M205" s="6">
        <f t="shared" ref="M205:M228" si="89">I205-F205</f>
        <v>8.0902777772280388E-3</v>
      </c>
      <c r="N205" s="7">
        <f t="shared" si="87"/>
        <v>11.649999999208376</v>
      </c>
      <c r="O205" s="7"/>
      <c r="P205" s="7"/>
      <c r="Q205" s="22"/>
      <c r="R205" s="22"/>
      <c r="S205" s="31">
        <f t="shared" ref="S205:S228" si="90">SUM(U205:U205)/IF(AG205="EC",12,1)</f>
        <v>1</v>
      </c>
      <c r="T205" s="46" t="str">
        <f t="shared" ref="T205:T228" si="91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28" si="9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-10T17:41:06-0600',mode:absolute,to:'2017-04-10T19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83" t="str">
        <f t="shared" ref="W205:W228" si="93">IF(AA205&lt;IF(AG205="EC",23,5.65),"Y","N")</f>
        <v>Y</v>
      </c>
      <c r="X205" s="183">
        <f t="shared" si="86"/>
        <v>1</v>
      </c>
      <c r="Y205" s="62">
        <f t="shared" si="84"/>
        <v>4.5100000000000001E-2</v>
      </c>
      <c r="Z205" s="62">
        <f t="shared" si="85"/>
        <v>2.3298999999999999</v>
      </c>
      <c r="AA205" s="62">
        <f t="shared" ref="AA205:AA268" si="94">ABS(Z205-Y205)</f>
        <v>2.2847999999999997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8" si="95">IF(LEN(A205)=6,"0"&amp;A205,A205)</f>
        <v>0303-10</v>
      </c>
      <c r="AE205" s="85" t="str">
        <f t="shared" ref="AE205:AE228" si="9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205" s="82" t="str">
        <f t="shared" ref="AF205:AF228" si="9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/stypes="app*4016*20170411*" /stext=" 00:.+((SYSTEM_STATE.+slice.+state.+changed )|(ment ac)|(multiple cpu faults)|(system.+state.+changed )|(\[timeout)|(PRM\|1\|D)|(kpr)|(kdp)|(\|lc)|(penalty))"</v>
      </c>
      <c r="AG205" s="1" t="str">
        <f t="shared" ref="AG205:AG228" si="98">IFERROR(IF(VALUE(LEFT(AD205,2))&lt;=2,"EC",IF(OR(VALUE(LEFT(AD205,2))=8,VALUE(LEFT(AD205,2))=18),"NW","Other")),"Other")</f>
        <v>Other</v>
      </c>
      <c r="AH205" s="86" t="str">
        <f t="shared" si="71"/>
        <v>"%USERPROFILE%\Documents\GitHub\eaglep3\Utilities\RefineRTDCRunTimes.py" --tripid 303-10 --locoid 4016 --swversion DE.1.0.9.0 --startMP 204:451 --initTime 2017-04-10T18:41:06 --startdatetime 2017-04-10T18:43:53 --delay 1 --endMP 300:23299 --enddatetime 2017-04-10T18:55:32 --enforcementcount 0 &gt;&gt;C:\Users\stu\Documents\GitHub\eaglep3-reporting\EC\2017-04-10-refined-times.txt</v>
      </c>
      <c r="AI205" s="104" t="str">
        <f t="shared" si="72"/>
        <v>echo {"issue":{"subject":"","project_id":79,"tracker_id":40,"status_id":1,"priority_id":2,"assigned_to_id":23,"start_date":"2017-04-10","description":"","custom_fields":[{"id":1,"name":"Subdivision","value":"Other"},{"id":4,"name":"Milepost","value":"2.3299"},{"id":17,"name":"Train ID","value":"303-10"},{"id":16,"name":"Locomotive ID","value":"4016"},{"id":130,"name":"Impact","value":""},{"id":150,"name":"Time of Event (Mountain Time)","value":"18:55:32"},{"id":151,"name":"Denver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73"/>
        <v>start /low /b %USERPROFILE%\Documents\GitHub\eaglep3\Utilities\DownloadLogsFromS3.py --loco 4016 --day 2017-04-10</v>
      </c>
      <c r="AN205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590</v>
      </c>
      <c r="B206" s="7">
        <v>4025</v>
      </c>
      <c r="C206" s="21" t="s">
        <v>215</v>
      </c>
      <c r="D206" s="21" t="s">
        <v>913</v>
      </c>
      <c r="E206" s="13">
        <v>42835.140949074077</v>
      </c>
      <c r="F206" s="13">
        <v>42835.142974537041</v>
      </c>
      <c r="G206" s="7">
        <v>2</v>
      </c>
      <c r="H206" s="21" t="s">
        <v>914</v>
      </c>
      <c r="I206" s="13">
        <v>42835.149027777778</v>
      </c>
      <c r="J206" s="7">
        <v>0</v>
      </c>
      <c r="K206" s="97" t="str">
        <f t="shared" si="88"/>
        <v>4025/4026</v>
      </c>
      <c r="L206" s="21" t="str">
        <f>VLOOKUP(A206,'Trips&amp;Operators'!$C$1:$G$99999,5,FALSE)</f>
        <v>ACKERMAN JARED</v>
      </c>
      <c r="M206" s="6">
        <f t="shared" si="89"/>
        <v>6.0532407369464636E-3</v>
      </c>
      <c r="N206" s="7">
        <f t="shared" si="87"/>
        <v>8.7166666612029076</v>
      </c>
      <c r="O206" s="7"/>
      <c r="P206" s="7"/>
      <c r="Q206" s="22"/>
      <c r="R206" s="22"/>
      <c r="S206" s="31">
        <f t="shared" si="90"/>
        <v>1</v>
      </c>
      <c r="T206" s="46" t="str">
        <f t="shared" si="91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92"/>
        <v>https://d0f6bd738d7f1b3e5a7ca70fe4ff75f0.us-east-1.aws.found.io/app/kibana#/discover/Steve-Slow-Train-Analysis-(2080s-and-2083s)?_g=(refreshInterval:(display:Off,pause:!f,section:0,value:0),time:(from:'2017-04-10T02:22:58-0600',mode:absolute,to:'2017-04-10T04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183" t="str">
        <f t="shared" si="93"/>
        <v>Y</v>
      </c>
      <c r="X206" s="183">
        <f t="shared" si="86"/>
        <v>1</v>
      </c>
      <c r="Y206" s="62">
        <f t="shared" si="84"/>
        <v>2.3475999999999999</v>
      </c>
      <c r="Z206" s="62">
        <f t="shared" si="85"/>
        <v>1.21E-2</v>
      </c>
      <c r="AA206" s="62">
        <f t="shared" si="94"/>
        <v>2.3354999999999997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5"/>
        <v>0304-10</v>
      </c>
      <c r="AE206" s="85" t="str">
        <f t="shared" si="96"/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206" s="82" t="str">
        <f t="shared" si="97"/>
        <v>"C:\Program Files (x86)\AstroGrep\AstroGrep.exe" /e /r /s /spath="%USERPROFILE%\AppData\Local\Temp\OnboardLogs" /stypes="app*4025*20170410*" /stext=" 09:.+((SYSTEM_STATE.+slice.+state.+changed )|(ment ac)|(multiple cpu faults)|(system.+state.+changed )|(\[timeout)|(PRM\|1\|D)|(kpr)|(kdp)|(\|lc)|(penalty))"</v>
      </c>
      <c r="AG206" s="1" t="str">
        <f t="shared" si="98"/>
        <v>Other</v>
      </c>
      <c r="AH206" s="86" t="str">
        <f t="shared" si="71"/>
        <v>"%USERPROFILE%\Documents\GitHub\eaglep3\Utilities\RefineRTDCRunTimes.py" --tripid 304-10 --locoid 4025 --swversion DE.1.0.9.0 --startMP 300:23476 --initTime 2017-04-10T03:22:58 --startdatetime 2017-04-10T03:25:53 --delay 2 --endMP 204:121 --enddatetime 2017-04-10T03:34:36 --enforcementcount 0 &gt;&gt;C:\Users\stu\Documents\GitHub\eaglep3-reporting\EC\2017-04-10-refined-times.txt</v>
      </c>
      <c r="AI206" s="104" t="str">
        <f t="shared" si="72"/>
        <v>echo {"issue":{"subject":"","project_id":79,"tracker_id":40,"status_id":1,"priority_id":2,"assigned_to_id":23,"start_date":"2017-04-10","description":"","custom_fields":[{"id":1,"name":"Subdivision","value":"Other"},{"id":4,"name":"Milepost","value":"0.0121"},{"id":17,"name":"Train ID","value":"304-10"},{"id":16,"name":"Locomotive ID","value":"4025"},{"id":130,"name":"Impact","value":""},{"id":150,"name":"Time of Event (Mountain Time)","value":"03:34:36"},{"id":151,"name":"Denver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3"/>
        <v>start /low /b %USERPROFILE%\Documents\GitHub\eaglep3\Utilities\DownloadLogsFromS3.py --loco 4025 --day 2017-04-10</v>
      </c>
      <c r="AN206" s="159" t="str">
        <f t="shared" si="74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s="20" customFormat="1" x14ac:dyDescent="0.25">
      <c r="A207" s="33" t="s">
        <v>805</v>
      </c>
      <c r="B207" s="7">
        <v>4014</v>
      </c>
      <c r="C207" s="21" t="s">
        <v>215</v>
      </c>
      <c r="D207" s="21" t="s">
        <v>393</v>
      </c>
      <c r="E207" s="13">
        <v>42835.798506944448</v>
      </c>
      <c r="F207" s="13">
        <v>42835.804699074077</v>
      </c>
      <c r="G207" s="7">
        <v>1</v>
      </c>
      <c r="H207" s="21" t="s">
        <v>915</v>
      </c>
      <c r="I207" s="13">
        <v>42835.811319444445</v>
      </c>
      <c r="J207" s="7">
        <v>0</v>
      </c>
      <c r="K207" s="97" t="str">
        <f t="shared" si="88"/>
        <v>4013/4014</v>
      </c>
      <c r="L207" s="21" t="str">
        <f>VLOOKUP(A207,'Trips&amp;Operators'!$C$1:$G$99999,5,FALSE)</f>
        <v>LOCKLEAR TRAVIS</v>
      </c>
      <c r="M207" s="6">
        <f t="shared" si="89"/>
        <v>6.6203703681821935E-3</v>
      </c>
      <c r="N207" s="7">
        <f t="shared" si="87"/>
        <v>9.5333333301823586</v>
      </c>
      <c r="O207" s="7"/>
      <c r="P207" s="7"/>
      <c r="Q207" s="22"/>
      <c r="R207" s="22"/>
      <c r="S207" s="31">
        <f t="shared" si="90"/>
        <v>1</v>
      </c>
      <c r="T207" s="46" t="str">
        <f t="shared" si="91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92"/>
        <v>https://d0f6bd738d7f1b3e5a7ca70fe4ff75f0.us-east-1.aws.found.io/app/kibana#/discover/Steve-Slow-Train-Analysis-(2080s-and-2083s)?_g=(refreshInterval:(display:Off,pause:!f,section:0,value:0),time:(from:'2017-04-10T18:09:51-0600',mode:absolute,to:'2017-04-10T20:28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183" t="str">
        <f t="shared" si="93"/>
        <v>Y</v>
      </c>
      <c r="X207" s="183">
        <f t="shared" si="86"/>
        <v>1</v>
      </c>
      <c r="Y207" s="62">
        <f t="shared" si="84"/>
        <v>4.4900000000000002E-2</v>
      </c>
      <c r="Z207" s="62">
        <f t="shared" si="85"/>
        <v>2.3308</v>
      </c>
      <c r="AA207" s="62">
        <f t="shared" si="94"/>
        <v>2.2858999999999998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5"/>
        <v>0305-10</v>
      </c>
      <c r="AE207" s="85" t="str">
        <f t="shared" si="96"/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207" s="82" t="str">
        <f t="shared" si="97"/>
        <v>"C:\Program Files (x86)\AstroGrep\AstroGrep.exe" /e /r /s /spath="%USERPROFILE%\AppData\Local\Temp\OnboardLogs" /stypes="app*4014*20170411*" /stext=" 01:.+((SYSTEM_STATE.+slice.+state.+changed )|(ment ac)|(multiple cpu faults)|(system.+state.+changed )|(\[timeout)|(PRM\|1\|D)|(kpr)|(kdp)|(\|lc)|(penalty))"</v>
      </c>
      <c r="AG207" s="1" t="str">
        <f t="shared" si="98"/>
        <v>Other</v>
      </c>
      <c r="AH207" s="86" t="str">
        <f t="shared" si="71"/>
        <v>"%USERPROFILE%\Documents\GitHub\eaglep3\Utilities\RefineRTDCRunTimes.py" --tripid 305-10 --locoid 4014 --swversion DE.1.0.9.0 --startMP 204:449 --initTime 2017-04-10T19:09:51 --startdatetime 2017-04-10T19:18:46 --delay 1 --endMP 300:23308 --enddatetime 2017-04-10T19:28:18 --enforcementcount 0 &gt;&gt;C:\Users\stu\Documents\GitHub\eaglep3-reporting\EC\2017-04-10-refined-times.txt</v>
      </c>
      <c r="AI207" s="104" t="str">
        <f t="shared" si="72"/>
        <v>echo {"issue":{"subject":"","project_id":79,"tracker_id":40,"status_id":1,"priority_id":2,"assigned_to_id":23,"start_date":"2017-04-10","description":"","custom_fields":[{"id":1,"name":"Subdivision","value":"Other"},{"id":4,"name":"Milepost","value":"2.3308"},{"id":17,"name":"Train ID","value":"305-10"},{"id":16,"name":"Locomotive ID","value":"4014"},{"id":130,"name":"Impact","value":""},{"id":150,"name":"Time of Event (Mountain Time)","value":"19:28:18"},{"id":151,"name":"Denver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8"/>
      <c r="AL207" s="48"/>
      <c r="AM207" s="150" t="str">
        <f t="shared" si="73"/>
        <v>start /low /b %USERPROFILE%\Documents\GitHub\eaglep3\Utilities\DownloadLogsFromS3.py --loco 4014 --day 2017-04-10</v>
      </c>
      <c r="AN207" s="159" t="str">
        <f t="shared" si="7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01:28:18"},{"id":29,"name":"Sharepoint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591</v>
      </c>
      <c r="B208" s="7">
        <v>4001</v>
      </c>
      <c r="C208" s="21" t="s">
        <v>215</v>
      </c>
      <c r="D208" s="21" t="s">
        <v>916</v>
      </c>
      <c r="E208" s="13">
        <v>42835.158194444448</v>
      </c>
      <c r="F208" s="13">
        <v>42835.159791666665</v>
      </c>
      <c r="G208" s="7">
        <v>1</v>
      </c>
      <c r="H208" s="21" t="s">
        <v>857</v>
      </c>
      <c r="I208" s="13">
        <v>42835.15997685185</v>
      </c>
      <c r="J208" s="7">
        <v>0</v>
      </c>
      <c r="K208" s="97" t="str">
        <f t="shared" si="88"/>
        <v>4001/4002</v>
      </c>
      <c r="L208" s="21" t="str">
        <f>VLOOKUP(A208,'Trips&amp;Operators'!$C$1:$G$99999,5,FALSE)</f>
        <v>STARKS ANGELINA</v>
      </c>
      <c r="M208" s="6">
        <f t="shared" si="89"/>
        <v>1.8518518481869251E-4</v>
      </c>
      <c r="N208" s="7">
        <f t="shared" si="87"/>
        <v>0.26666666613891721</v>
      </c>
      <c r="O208" s="7"/>
      <c r="P208" s="7"/>
      <c r="Q208" s="22"/>
      <c r="R208" s="22"/>
      <c r="S208" s="31">
        <f t="shared" si="90"/>
        <v>1</v>
      </c>
      <c r="T208" s="46" t="str">
        <f t="shared" si="91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92"/>
        <v>https://d0f6bd738d7f1b3e5a7ca70fe4ff75f0.us-east-1.aws.found.io/app/kibana#/discover/Steve-Slow-Train-Analysis-(2080s-and-2083s)?_g=(refreshInterval:(display:Off,pause:!f,section:0,value:0),time:(from:'2017-04-10T02:47:48-0600',mode:absolute,to:'2017-04-10T04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3" t="str">
        <f t="shared" si="93"/>
        <v>Y</v>
      </c>
      <c r="X208" s="183">
        <f t="shared" si="86"/>
        <v>1</v>
      </c>
      <c r="Y208" s="62">
        <f t="shared" si="84"/>
        <v>2.5129000000000001</v>
      </c>
      <c r="Z208" s="62">
        <f t="shared" si="85"/>
        <v>1.49E-2</v>
      </c>
      <c r="AA208" s="62">
        <f t="shared" si="94"/>
        <v>2.4980000000000002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5"/>
        <v>0306-10</v>
      </c>
      <c r="AE208" s="85" t="str">
        <f t="shared" si="96"/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208" s="82" t="str">
        <f t="shared" si="97"/>
        <v>"C:\Program Files (x86)\AstroGrep\AstroGrep.exe" /e /r /s /spath="%USERPROFILE%\AppData\Local\Temp\OnboardLogs" /stypes="app*4001*20170410*" /stext=" 09:.+((SYSTEM_STATE.+slice.+state.+changed )|(ment ac)|(multiple cpu faults)|(system.+state.+changed )|(\[timeout)|(PRM\|1\|D)|(kpr)|(kdp)|(\|lc)|(penalty))"</v>
      </c>
      <c r="AG208" s="1" t="str">
        <f t="shared" si="98"/>
        <v>Other</v>
      </c>
      <c r="AH208" s="86" t="str">
        <f t="shared" ref="AH208:AH228" si="99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306-10 --locoid 4001 --swversion DE.1.0.9.0 --startMP 300:25129 --initTime 2017-04-10T03:47:48 --startdatetime 2017-04-10T03:50:06 --delay 1 --endMP 204:149 --enddatetime 2017-04-10T03:50:22 --enforcementcount 0 &gt;&gt;C:\Users\stu\Documents\GitHub\eaglep3-reporting\EC\2017-04-10-refined-times.txt</v>
      </c>
      <c r="AI208" s="104" t="str">
        <f t="shared" ref="AI208:AI228" si="100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{"issue":{"subject":"","project_id":79,"tracker_id":40,"status_id":1,"priority_id":2,"assigned_to_id":23,"start_date":"2017-04-10","description":"","custom_fields":[{"id":1,"name":"Subdivision","value":"Other"},{"id":4,"name":"Milepost","value":"0.0149"},{"id":17,"name":"Train ID","value":"306-10"},{"id":16,"name":"Locomotive ID","value":"4001"},{"id":130,"name":"Impact","value":""},{"id":150,"name":"Time of Event (Mountain Time)","value":"03:50:22"},{"id":151,"name":"Denver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ref="AM208:AM228" si="101">"start /low /b "&amp;dls3logs&amp;" --loco "&amp;B208&amp;" --day "&amp;TEXT(F208,"YYYY-MM-DD")</f>
        <v>start /low /b %USERPROFILE%\Documents\GitHub\eaglep3\Utilities\DownloadLogsFromS3.py --loco 4001 --day 2017-04-10</v>
      </c>
      <c r="AN208" s="159" t="str">
        <f t="shared" ref="AN208:AN228" si="102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807</v>
      </c>
      <c r="B209" s="7">
        <v>4026</v>
      </c>
      <c r="C209" s="21" t="s">
        <v>215</v>
      </c>
      <c r="D209" s="21" t="s">
        <v>917</v>
      </c>
      <c r="E209" s="13">
        <v>42835.820381944446</v>
      </c>
      <c r="F209" s="13">
        <v>42835.822268518517</v>
      </c>
      <c r="G209" s="7">
        <v>2</v>
      </c>
      <c r="H209" s="21" t="s">
        <v>918</v>
      </c>
      <c r="I209" s="13">
        <v>42835.827557870369</v>
      </c>
      <c r="J209" s="7">
        <v>0</v>
      </c>
      <c r="K209" s="97" t="str">
        <f t="shared" si="88"/>
        <v>4025/4026</v>
      </c>
      <c r="L209" s="21" t="str">
        <f>VLOOKUP(A209,'Trips&amp;Operators'!$C$1:$G$99999,5,FALSE)</f>
        <v>BRANDNER MELINDA</v>
      </c>
      <c r="M209" s="6">
        <f t="shared" si="89"/>
        <v>5.2893518513883464E-3</v>
      </c>
      <c r="N209" s="7">
        <f t="shared" si="87"/>
        <v>7.6166666659992188</v>
      </c>
      <c r="O209" s="7"/>
      <c r="P209" s="7"/>
      <c r="Q209" s="22"/>
      <c r="R209" s="22"/>
      <c r="S209" s="31">
        <f t="shared" si="90"/>
        <v>1</v>
      </c>
      <c r="T209" s="46" t="str">
        <f t="shared" si="91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92"/>
        <v>https://d0f6bd738d7f1b3e5a7ca70fe4ff75f0.us-east-1.aws.found.io/app/kibana#/discover/Steve-Slow-Train-Analysis-(2080s-and-2083s)?_g=(refreshInterval:(display:Off,pause:!f,section:0,value:0),time:(from:'2017-04-10T18:41:21-0600',mode:absolute,to:'2017-04-10T20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183" t="str">
        <f t="shared" si="93"/>
        <v>Y</v>
      </c>
      <c r="X209" s="183">
        <f t="shared" si="86"/>
        <v>1</v>
      </c>
      <c r="Y209" s="62">
        <f t="shared" si="84"/>
        <v>4.3299999999999998E-2</v>
      </c>
      <c r="Z209" s="62">
        <f t="shared" si="85"/>
        <v>2.3033999999999999</v>
      </c>
      <c r="AA209" s="62">
        <f t="shared" si="94"/>
        <v>2.2601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5"/>
        <v>0307-10</v>
      </c>
      <c r="AE209" s="85" t="str">
        <f t="shared" si="96"/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209" s="82" t="str">
        <f t="shared" si="97"/>
        <v>"C:\Program Files (x86)\AstroGrep\AstroGrep.exe" /e /r /s /spath="%USERPROFILE%\AppData\Local\Temp\OnboardLogs" /stypes="app*4026*20170411*" /stext=" 01:.+((SYSTEM_STATE.+slice.+state.+changed )|(ment ac)|(multiple cpu faults)|(system.+state.+changed )|(\[timeout)|(PRM\|1\|D)|(kpr)|(kdp)|(\|lc)|(penalty))"</v>
      </c>
      <c r="AG209" s="1" t="str">
        <f t="shared" si="98"/>
        <v>Other</v>
      </c>
      <c r="AH209" s="86" t="str">
        <f t="shared" si="99"/>
        <v>"%USERPROFILE%\Documents\GitHub\eaglep3\Utilities\RefineRTDCRunTimes.py" --tripid 307-10 --locoid 4026 --swversion DE.1.0.9.0 --startMP 204:433 --initTime 2017-04-10T19:41:21 --startdatetime 2017-04-10T19:44:04 --delay 2 --endMP 300:23034 --enddatetime 2017-04-10T19:51:41 --enforcementcount 0 &gt;&gt;C:\Users\stu\Documents\GitHub\eaglep3-reporting\EC\2017-04-10-refined-times.txt</v>
      </c>
      <c r="AI209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{"issue":{"subject":"","project_id":79,"tracker_id":40,"status_id":1,"priority_id":2,"assigned_to_id":23,"start_date":"2017-04-10","description":"","custom_fields":[{"id":1,"name":"Subdivision","value":"Other"},{"id":4,"name":"Milepost","value":"2.3034"},{"id":17,"name":"Train ID","value":"307-10"},{"id":16,"name":"Locomotive ID","value":"4026"},{"id":130,"name":"Impact","value":""},{"id":150,"name":"Time of Event (Mountain Time)","value":"19:51:41"},{"id":151,"name":"Denver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101"/>
        <v>start /low /b %USERPROFILE%\Documents\GitHub\eaglep3\Utilities\DownloadLogsFromS3.py --loco 4026 --day 2017-04-10</v>
      </c>
      <c r="AN209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658</v>
      </c>
      <c r="B210" s="7">
        <v>4019</v>
      </c>
      <c r="C210" s="21" t="s">
        <v>215</v>
      </c>
      <c r="D210" s="21" t="s">
        <v>919</v>
      </c>
      <c r="E210" s="13">
        <v>42835.16982638889</v>
      </c>
      <c r="F210" s="13">
        <v>42835.172962962963</v>
      </c>
      <c r="G210" s="7">
        <v>4</v>
      </c>
      <c r="H210" s="21" t="s">
        <v>211</v>
      </c>
      <c r="I210" s="13">
        <v>42835.178865740738</v>
      </c>
      <c r="J210" s="7">
        <v>0</v>
      </c>
      <c r="K210" s="97" t="str">
        <f t="shared" si="88"/>
        <v>4019/4020</v>
      </c>
      <c r="L210" s="21" t="str">
        <f>VLOOKUP(A210,'Trips&amp;Operators'!$C$1:$G$99999,5,FALSE)</f>
        <v>BONDS REYNALDO</v>
      </c>
      <c r="M210" s="6">
        <f t="shared" si="89"/>
        <v>5.9027777751907706E-3</v>
      </c>
      <c r="N210" s="7">
        <f t="shared" si="87"/>
        <v>8.4999999962747097</v>
      </c>
      <c r="O210" s="7"/>
      <c r="P210" s="7"/>
      <c r="Q210" s="22"/>
      <c r="R210" s="22"/>
      <c r="S210" s="31">
        <f t="shared" si="90"/>
        <v>1</v>
      </c>
      <c r="T210" s="46" t="str">
        <f t="shared" si="91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92"/>
        <v>https://d0f6bd738d7f1b3e5a7ca70fe4ff75f0.us-east-1.aws.found.io/app/kibana#/discover/Steve-Slow-Train-Analysis-(2080s-and-2083s)?_g=(refreshInterval:(display:Off,pause:!f,section:0,value:0),time:(from:'2017-04-10T03:04:33-0600',mode:absolute,to:'2017-04-10T05:17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83" t="str">
        <f t="shared" si="93"/>
        <v>Y</v>
      </c>
      <c r="X210" s="183">
        <f t="shared" si="86"/>
        <v>1</v>
      </c>
      <c r="Y210" s="62">
        <f t="shared" si="84"/>
        <v>2.3694999999999999</v>
      </c>
      <c r="Z210" s="62">
        <f t="shared" si="85"/>
        <v>1.5599999999999999E-2</v>
      </c>
      <c r="AA210" s="62">
        <f t="shared" si="94"/>
        <v>2.3538999999999999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5"/>
        <v>0308-10</v>
      </c>
      <c r="AE210" s="85" t="str">
        <f t="shared" si="96"/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210" s="82" t="str">
        <f t="shared" si="97"/>
        <v>"C:\Program Files (x86)\AstroGrep\AstroGrep.exe" /e /r /s /spath="%USERPROFILE%\AppData\Local\Temp\OnboardLogs" /stypes="app*4019*20170410*" /stext=" 10:.+((SYSTEM_STATE.+slice.+state.+changed )|(ment ac)|(multiple cpu faults)|(system.+state.+changed )|(\[timeout)|(PRM\|1\|D)|(kpr)|(kdp)|(\|lc)|(penalty))"</v>
      </c>
      <c r="AG210" s="1" t="str">
        <f t="shared" si="98"/>
        <v>Other</v>
      </c>
      <c r="AH210" s="86" t="str">
        <f t="shared" si="99"/>
        <v>"%USERPROFILE%\Documents\GitHub\eaglep3\Utilities\RefineRTDCRunTimes.py" --tripid 308-10 --locoid 4019 --swversion DE.1.0.9.0 --startMP 300:23695 --initTime 2017-04-10T04:04:33 --startdatetime 2017-04-10T04:09:04 --delay 4 --endMP 204:156 --enddatetime 2017-04-10T04:17:34 --enforcementcount 0 &gt;&gt;C:\Users\stu\Documents\GitHub\eaglep3-reporting\EC\2017-04-10-refined-times.txt</v>
      </c>
      <c r="AI210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{"issue":{"subject":"","project_id":79,"tracker_id":40,"status_id":1,"priority_id":2,"assigned_to_id":23,"start_date":"2017-04-10","description":"","custom_fields":[{"id":1,"name":"Subdivision","value":"Other"},{"id":4,"name":"Milepost","value":"0.0156"},{"id":17,"name":"Train ID","value":"308-10"},{"id":16,"name":"Locomotive ID","value":"4019"},{"id":130,"name":"Impact","value":""},{"id":150,"name":"Time of Event (Mountain Time)","value":"04:17:34"},{"id":151,"name":"Denver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101"/>
        <v>start /low /b %USERPROFILE%\Documents\GitHub\eaglep3\Utilities\DownloadLogsFromS3.py --loco 4019 --day 2017-04-10</v>
      </c>
      <c r="AN210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10:17:34"},{"id":29,"name":"Sharepoint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835</v>
      </c>
      <c r="B211" s="7">
        <v>4002</v>
      </c>
      <c r="C211" s="21" t="s">
        <v>215</v>
      </c>
      <c r="D211" s="21" t="s">
        <v>430</v>
      </c>
      <c r="E211" s="13">
        <v>42836.048680555556</v>
      </c>
      <c r="F211" s="13">
        <v>42836.050428240742</v>
      </c>
      <c r="G211" s="7">
        <v>1</v>
      </c>
      <c r="H211" s="21" t="s">
        <v>920</v>
      </c>
      <c r="I211" s="13">
        <v>42836.055486111109</v>
      </c>
      <c r="J211" s="7">
        <v>0</v>
      </c>
      <c r="K211" s="97" t="str">
        <f t="shared" si="88"/>
        <v>4001/4002</v>
      </c>
      <c r="L211" s="21" t="str">
        <f>VLOOKUP(A211,'Trips&amp;Operators'!$C$1:$G$99999,5,FALSE)</f>
        <v>SMITH MICHAEL</v>
      </c>
      <c r="M211" s="6">
        <f t="shared" si="89"/>
        <v>5.057870366727002E-3</v>
      </c>
      <c r="N211" s="7">
        <f t="shared" si="87"/>
        <v>7.2833333280868828</v>
      </c>
      <c r="O211" s="7"/>
      <c r="P211" s="7"/>
      <c r="Q211" s="22"/>
      <c r="R211" s="22"/>
      <c r="S211" s="31">
        <f t="shared" si="90"/>
        <v>1</v>
      </c>
      <c r="T211" s="46" t="str">
        <f t="shared" si="91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92"/>
        <v>https://d0f6bd738d7f1b3e5a7ca70fe4ff75f0.us-east-1.aws.found.io/app/kibana#/discover/Steve-Slow-Train-Analysis-(2080s-and-2083s)?_g=(refreshInterval:(display:Off,pause:!f,section:0,value:0),time:(from:'2017-04-11T00:10:06-0600',mode:absolute,to:'2017-04-11T02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83" t="str">
        <f t="shared" si="93"/>
        <v>Y</v>
      </c>
      <c r="X211" s="183">
        <f t="shared" si="86"/>
        <v>1</v>
      </c>
      <c r="Y211" s="62">
        <f t="shared" si="84"/>
        <v>4.58E-2</v>
      </c>
      <c r="Z211" s="62">
        <f t="shared" si="85"/>
        <v>2.2766999999999999</v>
      </c>
      <c r="AA211" s="62">
        <f t="shared" si="94"/>
        <v>2.2309000000000001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5"/>
        <v>0309-10</v>
      </c>
      <c r="AE211" s="85" t="str">
        <f t="shared" si="96"/>
        <v>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 &amp; aws s3 cp s3://rtdc.mdm.uploadarchive.raw/RTDC4002/ "%USERPROFILE%\AppData\Local\Temp\OnboardLogs"\RTDC4002\2017-04-12 --exclude "*" --recursive --include "*20170412*" &amp; "%USERPROFILE%\Documents\GitHub\mrs-test-scripts\Headless Mode &amp; Sideloading\WalkAndUnGZ.bat" "%USERPROFILE%\AppData\Local\Temp\OnboardLogs"\RTDC4002\2017-04-12</v>
      </c>
      <c r="AF211" s="82" t="str">
        <f t="shared" si="97"/>
        <v>"C:\Program Files (x86)\AstroGrep\AstroGrep.exe" /e /r /s /spath="%USERPROFILE%\AppData\Local\Temp\OnboardLogs" /stypes="app*4002*20170411*" /stext=" 07:.+((SYSTEM_STATE.+slice.+state.+changed )|(ment ac)|(multiple cpu faults)|(system.+state.+changed )|(\[timeout)|(PRM\|1\|D)|(kpr)|(kdp)|(\|lc)|(penalty))"</v>
      </c>
      <c r="AG211" s="1" t="str">
        <f t="shared" si="98"/>
        <v>Other</v>
      </c>
      <c r="AH211" s="86" t="str">
        <f t="shared" si="99"/>
        <v>"%USERPROFILE%\Documents\GitHub\eaglep3\Utilities\RefineRTDCRunTimes.py" --tripid 309-10 --locoid 4002 --swversion DE.1.0.9.0 --startMP 204:458 --initTime 2017-04-11T01:10:06 --startdatetime 2017-04-11T01:12:37 --delay 1 --endMP 300:22767 --enddatetime 2017-04-11T01:19:54 --enforcementcount 0 &gt;&gt;C:\Users\stu\Documents\GitHub\eaglep3-reporting\EC\2017-04-10-refined-times.txt</v>
      </c>
      <c r="AI211" s="104" t="str">
        <f t="shared" si="100"/>
        <v>echo {"issue":{"subject":"","project_id":79,"tracker_id":40,"status_id":1,"priority_id":2,"assigned_to_id":23,"start_date":"2017-04-11","description":"","custom_fields":[{"id":1,"name":"Subdivision","value":"Other"},{"id":4,"name":"Milepost","value":"2.2767"},{"id":17,"name":"Train ID","value":"309-10"},{"id":16,"name":"Locomotive ID","value":"4002"},{"id":130,"name":"Impact","value":""},{"id":150,"name":"Time of Event (Mountain Time)","value":"01:19:54"},{"id":151,"name":"Denver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101"/>
        <v>start /low /b %USERPROFILE%\Documents\GitHub\eaglep3\Utilities\DownloadLogsFromS3.py --loco 4002 --day 2017-04-11</v>
      </c>
      <c r="AN211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661</v>
      </c>
      <c r="B212" s="7">
        <v>4015</v>
      </c>
      <c r="C212" s="21" t="s">
        <v>215</v>
      </c>
      <c r="D212" s="21" t="s">
        <v>921</v>
      </c>
      <c r="E212" s="13">
        <v>42835.174814814818</v>
      </c>
      <c r="F212" s="13">
        <v>42835.179745370369</v>
      </c>
      <c r="G212" s="7">
        <v>6</v>
      </c>
      <c r="H212" s="21" t="s">
        <v>203</v>
      </c>
      <c r="I212" s="13">
        <v>42835.185312499998</v>
      </c>
      <c r="J212" s="7">
        <v>0</v>
      </c>
      <c r="K212" s="97" t="str">
        <f t="shared" si="88"/>
        <v>4015/4016</v>
      </c>
      <c r="L212" s="21" t="str">
        <f>VLOOKUP(A212,'Trips&amp;Operators'!$C$1:$G$99999,5,FALSE)</f>
        <v>SHOOK JOHN</v>
      </c>
      <c r="M212" s="6">
        <f t="shared" si="89"/>
        <v>5.5671296286163852E-3</v>
      </c>
      <c r="N212" s="7">
        <f t="shared" si="87"/>
        <v>8.0166666652075946</v>
      </c>
      <c r="O212" s="7"/>
      <c r="P212" s="7"/>
      <c r="Q212" s="22"/>
      <c r="R212" s="22"/>
      <c r="S212" s="31">
        <f t="shared" si="90"/>
        <v>1</v>
      </c>
      <c r="T212" s="46" t="str">
        <f t="shared" si="91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92"/>
        <v>https://d0f6bd738d7f1b3e5a7ca70fe4ff75f0.us-east-1.aws.found.io/app/kibana#/discover/Steve-Slow-Train-Analysis-(2080s-and-2083s)?_g=(refreshInterval:(display:Off,pause:!f,section:0,value:0),time:(from:'2017-04-10T03:11:44-0600',mode:absolute,to:'2017-04-10T05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83" t="str">
        <f t="shared" si="93"/>
        <v>Y</v>
      </c>
      <c r="X212" s="183">
        <f t="shared" si="86"/>
        <v>1</v>
      </c>
      <c r="Y212" s="62">
        <f t="shared" si="84"/>
        <v>2.3071999999999999</v>
      </c>
      <c r="Z212" s="62">
        <f t="shared" si="85"/>
        <v>1.54E-2</v>
      </c>
      <c r="AA212" s="62">
        <f t="shared" si="94"/>
        <v>2.2917999999999998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5"/>
        <v>0310-10</v>
      </c>
      <c r="AE212" s="85" t="str">
        <f t="shared" si="96"/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212" s="82" t="str">
        <f t="shared" si="97"/>
        <v>"C:\Program Files (x86)\AstroGrep\AstroGrep.exe" /e /r /s /spath="%USERPROFILE%\AppData\Local\Temp\OnboardLogs" /stypes="app*4015*20170410*" /stext=" 10:.+((SYSTEM_STATE.+slice.+state.+changed )|(ment ac)|(multiple cpu faults)|(system.+state.+changed )|(\[timeout)|(PRM\|1\|D)|(kpr)|(kdp)|(\|lc)|(penalty))"</v>
      </c>
      <c r="AG212" s="1" t="str">
        <f t="shared" si="98"/>
        <v>Other</v>
      </c>
      <c r="AH212" s="86" t="str">
        <f t="shared" si="99"/>
        <v>"%USERPROFILE%\Documents\GitHub\eaglep3\Utilities\RefineRTDCRunTimes.py" --tripid 310-10 --locoid 4015 --swversion DE.1.0.9.0 --startMP 300:23072 --initTime 2017-04-10T04:11:44 --startdatetime 2017-04-10T04:18:50 --delay 6 --endMP 204:154 --enddatetime 2017-04-10T04:26:51 --enforcementcount 0 &gt;&gt;C:\Users\stu\Documents\GitHub\eaglep3-reporting\EC\2017-04-10-refined-times.txt</v>
      </c>
      <c r="AI212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{"issue":{"subject":"","project_id":79,"tracker_id":40,"status_id":1,"priority_id":2,"assigned_to_id":23,"start_date":"2017-04-10","description":"","custom_fields":[{"id":1,"name":"Subdivision","value":"Other"},{"id":4,"name":"Milepost","value":"0.0154"},{"id":17,"name":"Train ID","value":"310-10"},{"id":16,"name":"Locomotive ID","value":"4015"},{"id":130,"name":"Impact","value":""},{"id":150,"name":"Time of Event (Mountain Time)","value":"04:26:51"},{"id":151,"name":"Denver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101"/>
        <v>start /low /b %USERPROFILE%\Documents\GitHub\eaglep3\Utilities\DownloadLogsFromS3.py --loco 4015 --day 2017-04-10</v>
      </c>
      <c r="AN212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837</v>
      </c>
      <c r="B213" s="7">
        <v>4006</v>
      </c>
      <c r="C213" s="21" t="s">
        <v>215</v>
      </c>
      <c r="D213" s="21" t="s">
        <v>554</v>
      </c>
      <c r="E213" s="13">
        <v>42836.069374999999</v>
      </c>
      <c r="F213" s="13">
        <v>42836.07298611111</v>
      </c>
      <c r="G213" s="7">
        <v>0</v>
      </c>
      <c r="H213" s="21" t="s">
        <v>532</v>
      </c>
      <c r="I213" s="13">
        <v>42836.08084490741</v>
      </c>
      <c r="J213" s="7">
        <v>0</v>
      </c>
      <c r="K213" s="97" t="str">
        <f t="shared" si="88"/>
        <v>4005/4006</v>
      </c>
      <c r="L213" s="21" t="str">
        <f>VLOOKUP(A213,'Trips&amp;Operators'!$C$1:$G$99999,5,FALSE)</f>
        <v>SULLIVAN BRANDON</v>
      </c>
      <c r="M213" s="6">
        <f t="shared" si="89"/>
        <v>7.8587962998426519E-3</v>
      </c>
      <c r="N213" s="7">
        <f t="shared" si="87"/>
        <v>11.316666671773419</v>
      </c>
      <c r="O213" s="7"/>
      <c r="P213" s="7"/>
      <c r="Q213" s="22"/>
      <c r="R213" s="22"/>
      <c r="S213" s="31">
        <f t="shared" si="90"/>
        <v>1</v>
      </c>
      <c r="T213" s="46" t="str">
        <f t="shared" si="91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92"/>
        <v>https://d0f6bd738d7f1b3e5a7ca70fe4ff75f0.us-east-1.aws.found.io/app/kibana#/discover/Steve-Slow-Train-Analysis-(2080s-and-2083s)?_g=(refreshInterval:(display:Off,pause:!f,section:0,value:0),time:(from:'2017-04-11T00:39:54-0600',mode:absolute,to:'2017-04-11T02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183" t="str">
        <f t="shared" si="93"/>
        <v>Y</v>
      </c>
      <c r="X213" s="183">
        <f t="shared" si="86"/>
        <v>1</v>
      </c>
      <c r="Y213" s="62">
        <f t="shared" si="84"/>
        <v>4.3799999999999999E-2</v>
      </c>
      <c r="Z213" s="62">
        <f t="shared" si="85"/>
        <v>2.3302</v>
      </c>
      <c r="AA213" s="62">
        <f t="shared" si="94"/>
        <v>2.2864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5"/>
        <v>0311-10</v>
      </c>
      <c r="AE213" s="85" t="str">
        <f t="shared" si="96"/>
        <v>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 &amp; aws s3 cp s3://rtdc.mdm.uploadarchive.raw/RTDC4006/ "%USERPROFILE%\AppData\Local\Temp\OnboardLogs"\RTDC4006\2017-04-12 --exclude "*" --recursive --include "*20170412*" &amp; "%USERPROFILE%\Documents\GitHub\mrs-test-scripts\Headless Mode &amp; Sideloading\WalkAndUnGZ.bat" "%USERPROFILE%\AppData\Local\Temp\OnboardLogs"\RTDC4006\2017-04-12</v>
      </c>
      <c r="AF213" s="82" t="str">
        <f t="shared" si="97"/>
        <v>"C:\Program Files (x86)\AstroGrep\AstroGrep.exe" /e /r /s /spath="%USERPROFILE%\AppData\Local\Temp\OnboardLogs" /stypes="app*4006*20170411*" /stext=" 07:.+((SYSTEM_STATE.+slice.+state.+changed )|(ment ac)|(multiple cpu faults)|(system.+state.+changed )|(\[timeout)|(PRM\|1\|D)|(kpr)|(kdp)|(\|lc)|(penalty))"</v>
      </c>
      <c r="AG213" s="1" t="str">
        <f t="shared" si="98"/>
        <v>Other</v>
      </c>
      <c r="AH213" s="86" t="str">
        <f t="shared" si="99"/>
        <v>"%USERPROFILE%\Documents\GitHub\eaglep3\Utilities\RefineRTDCRunTimes.py" --tripid 311-10 --locoid 4006 --swversion DE.1.0.9.0 --startMP 204:438 --initTime 2017-04-11T01:39:54 --startdatetime 2017-04-11T01:45:06 --delay 0 --endMP 300:23302 --enddatetime 2017-04-11T01:56:25 --enforcementcount 0 &gt;&gt;C:\Users\stu\Documents\GitHub\eaglep3-reporting\EC\2017-04-10-refined-times.txt</v>
      </c>
      <c r="AI213" s="104" t="str">
        <f t="shared" si="100"/>
        <v>echo {"issue":{"subject":"","project_id":79,"tracker_id":40,"status_id":1,"priority_id":2,"assigned_to_id":23,"start_date":"2017-04-11","description":"","custom_fields":[{"id":1,"name":"Subdivision","value":"Other"},{"id":4,"name":"Milepost","value":"2.3302"},{"id":17,"name":"Train ID","value":"311-10"},{"id":16,"name":"Locomotive ID","value":"4006"},{"id":130,"name":"Impact","value":""},{"id":150,"name":"Time of Event (Mountain Time)","value":"01:56:25"},{"id":151,"name":"Denver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101"/>
        <v>start /low /b %USERPROFILE%\Documents\GitHub\eaglep3\Utilities\DownloadLogsFromS3.py --loco 4006 --day 2017-04-11</v>
      </c>
      <c r="AN213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551</v>
      </c>
      <c r="B214" s="7">
        <v>4046</v>
      </c>
      <c r="C214" s="21" t="s">
        <v>215</v>
      </c>
      <c r="D214" s="21" t="s">
        <v>504</v>
      </c>
      <c r="E214" s="13">
        <v>42835.088854166665</v>
      </c>
      <c r="F214" s="13">
        <v>42835.090532407405</v>
      </c>
      <c r="G214" s="7">
        <v>1</v>
      </c>
      <c r="H214" s="21" t="s">
        <v>585</v>
      </c>
      <c r="I214" s="13">
        <v>42835.09815972222</v>
      </c>
      <c r="J214" s="7">
        <v>0</v>
      </c>
      <c r="K214" s="97" t="str">
        <f t="shared" si="88"/>
        <v>4045/4046</v>
      </c>
      <c r="L214" s="21" t="str">
        <f>VLOOKUP(A214,'Trips&amp;Operators'!$C$1:$G$99999,5,FALSE)</f>
        <v>STAMBAUGH JAMES</v>
      </c>
      <c r="M214" s="6">
        <f t="shared" si="89"/>
        <v>7.6273148151813075E-3</v>
      </c>
      <c r="N214" s="7">
        <f t="shared" si="87"/>
        <v>10.983333333861083</v>
      </c>
      <c r="O214" s="7"/>
      <c r="P214" s="7"/>
      <c r="Q214" s="22"/>
      <c r="R214" s="22"/>
      <c r="S214" s="31">
        <f t="shared" si="90"/>
        <v>1</v>
      </c>
      <c r="T214" s="46" t="str">
        <f t="shared" si="91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92"/>
        <v>https://d0f6bd738d7f1b3e5a7ca70fe4ff75f0.us-east-1.aws.found.io/app/kibana#/discover/Steve-Slow-Train-Analysis-(2080s-and-2083s)?_g=(refreshInterval:(display:Off,pause:!f,section:0,value:0),time:(from:'2017-04-10T01:07:57-0600',mode:absolute,to:'2017-04-10T03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83" t="str">
        <f t="shared" si="93"/>
        <v>Y</v>
      </c>
      <c r="X214" s="183">
        <f t="shared" si="86"/>
        <v>2</v>
      </c>
      <c r="Y214" s="62">
        <f t="shared" si="84"/>
        <v>4.6399999999999997E-2</v>
      </c>
      <c r="Z214" s="62">
        <f t="shared" si="85"/>
        <v>2.331</v>
      </c>
      <c r="AA214" s="62">
        <f t="shared" si="94"/>
        <v>2.2846000000000002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5"/>
        <v>0313-09</v>
      </c>
      <c r="AE214" s="85" t="str">
        <f t="shared" si="96"/>
        <v>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 &amp; aws s3 cp s3://rtdc.mdm.uploadarchive.raw/RTDC4046/ "%USERPROFILE%\AppData\Local\Temp\OnboardLogs"\RTDC4046\2017-04-11 --exclude "*" --recursive --include "*20170411*" &amp; "%USERPROFILE%\Documents\GitHub\mrs-test-scripts\Headless Mode &amp; Sideloading\WalkAndUnGZ.bat" "%USERPROFILE%\AppData\Local\Temp\OnboardLogs"\RTDC4046\2017-04-11</v>
      </c>
      <c r="AF214" s="82" t="str">
        <f t="shared" si="97"/>
        <v>"C:\Program Files (x86)\AstroGrep\AstroGrep.exe" /e /r /s /spath="%USERPROFILE%\AppData\Local\Temp\OnboardLogs" /stypes="app*4046*20170410*" /stext=" 08:.+((SYSTEM_STATE.+slice.+state.+changed )|(ment ac)|(multiple cpu faults)|(system.+state.+changed )|(\[timeout)|(PRM\|1\|D)|(kpr)|(kdp)|(\|lc)|(penalty))"</v>
      </c>
      <c r="AG214" s="1" t="str">
        <f t="shared" si="98"/>
        <v>Other</v>
      </c>
      <c r="AH214" s="86" t="str">
        <f t="shared" si="99"/>
        <v>"%USERPROFILE%\Documents\GitHub\eaglep3\Utilities\RefineRTDCRunTimes.py" --tripid 313-09 --locoid 4046 --swversion DE.1.0.9.0 --startMP 204:464 --initTime 2017-04-10T02:07:57 --startdatetime 2017-04-10T02:10:22 --delay 1 --endMP 300:23310 --enddatetime 2017-04-10T02:21:21 --enforcementcount 0 &gt;&gt;C:\Users\stu\Documents\GitHub\eaglep3-reporting\EC\2017-04-10-refined-times.txt</v>
      </c>
      <c r="AI214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{"issue":{"subject":"","project_id":79,"tracker_id":40,"status_id":1,"priority_id":2,"assigned_to_id":23,"start_date":"2017-04-10","description":"","custom_fields":[{"id":1,"name":"Subdivision","value":"Other"},{"id":4,"name":"Milepost","value":"2.331"},{"id":17,"name":"Train ID","value":"313-09"},{"id":16,"name":"Locomotive ID","value":"4046"},{"id":130,"name":"Impact","value":""},{"id":150,"name":"Time of Event (Mountain Time)","value":"02:21:21"},{"id":151,"name":"Denver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101"/>
        <v>start /low /b %USERPROFILE%\Documents\GitHub\eaglep3\Utilities\DownloadLogsFromS3.py --loco 4046 --day 2017-04-10</v>
      </c>
      <c r="AN214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08:21:21"},{"id":29,"name":"Sharepoint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838</v>
      </c>
      <c r="B215" s="7">
        <v>4020</v>
      </c>
      <c r="C215" s="21" t="s">
        <v>215</v>
      </c>
      <c r="D215" s="21" t="s">
        <v>561</v>
      </c>
      <c r="E215" s="13">
        <v>42836.088576388887</v>
      </c>
      <c r="F215" s="13">
        <v>42836.092951388891</v>
      </c>
      <c r="G215" s="7">
        <v>1</v>
      </c>
      <c r="H215" s="21" t="s">
        <v>912</v>
      </c>
      <c r="I215" s="13">
        <v>42836.103078703702</v>
      </c>
      <c r="J215" s="7">
        <v>0</v>
      </c>
      <c r="K215" s="97" t="str">
        <f t="shared" si="88"/>
        <v>4019/4020</v>
      </c>
      <c r="L215" s="21" t="str">
        <f>VLOOKUP(A215,'Trips&amp;Operators'!$C$1:$G$99999,5,FALSE)</f>
        <v>FORTUNATO FRANK</v>
      </c>
      <c r="M215" s="6">
        <f t="shared" si="89"/>
        <v>1.0127314810233656E-2</v>
      </c>
      <c r="N215" s="7">
        <f t="shared" si="87"/>
        <v>14.583333326736465</v>
      </c>
      <c r="O215" s="7"/>
      <c r="P215" s="7"/>
      <c r="Q215" s="22"/>
      <c r="R215" s="22"/>
      <c r="S215" s="31">
        <f t="shared" si="90"/>
        <v>1</v>
      </c>
      <c r="T215" s="46" t="str">
        <f t="shared" si="91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92"/>
        <v>https://d0f6bd738d7f1b3e5a7ca70fe4ff75f0.us-east-1.aws.found.io/app/kibana#/discover/Steve-Slow-Train-Analysis-(2080s-and-2083s)?_g=(refreshInterval:(display:Off,pause:!f,section:0,value:0),time:(from:'2017-04-11T01:07:33-0600',mode:absolute,to:'2017-04-11T03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3" t="str">
        <f t="shared" si="93"/>
        <v>Y</v>
      </c>
      <c r="X215" s="183">
        <f t="shared" si="86"/>
        <v>0</v>
      </c>
      <c r="Y215" s="62">
        <f t="shared" si="84"/>
        <v>4.2900000000000001E-2</v>
      </c>
      <c r="Z215" s="62">
        <f t="shared" si="85"/>
        <v>2.3298999999999999</v>
      </c>
      <c r="AA215" s="62">
        <f t="shared" si="94"/>
        <v>2.2869999999999999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5"/>
        <v>0313-10</v>
      </c>
      <c r="AE215" s="85" t="str">
        <f t="shared" si="96"/>
        <v>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 &amp; 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</v>
      </c>
      <c r="AF215" s="82" t="str">
        <f t="shared" si="97"/>
        <v>"C:\Program Files (x86)\AstroGrep\AstroGrep.exe" /e /r /s /spath="%USERPROFILE%\AppData\Local\Temp\OnboardLogs" /stypes="app*4020*20170411*" /stext=" 08:.+((SYSTEM_STATE.+slice.+state.+changed )|(ment ac)|(multiple cpu faults)|(system.+state.+changed )|(\[timeout)|(PRM\|1\|D)|(kpr)|(kdp)|(\|lc)|(penalty))"</v>
      </c>
      <c r="AG215" s="1" t="str">
        <f t="shared" si="98"/>
        <v>Other</v>
      </c>
      <c r="AH215" s="86" t="str">
        <f t="shared" si="99"/>
        <v>"%USERPROFILE%\Documents\GitHub\eaglep3\Utilities\RefineRTDCRunTimes.py" --tripid 313-10 --locoid 4020 --swversion DE.1.0.9.0 --startMP 204:429 --initTime 2017-04-11T02:07:33 --startdatetime 2017-04-11T02:13:51 --delay 1 --endMP 300:23299 --enddatetime 2017-04-11T02:28:26 --enforcementcount 0 &gt;&gt;C:\Users\stu\Documents\GitHub\eaglep3-reporting\EC\2017-04-10-refined-times.txt</v>
      </c>
      <c r="AI215" s="104" t="str">
        <f t="shared" si="100"/>
        <v>echo {"issue":{"subject":"","project_id":79,"tracker_id":40,"status_id":1,"priority_id":2,"assigned_to_id":23,"start_date":"2017-04-11","description":"","custom_fields":[{"id":1,"name":"Subdivision","value":"Other"},{"id":4,"name":"Milepost","value":"2.3299"},{"id":17,"name":"Train ID","value":"313-10"},{"id":16,"name":"Locomotive ID","value":"4020"},{"id":130,"name":"Impact","value":""},{"id":150,"name":"Time of Event (Mountain Time)","value":"02:28:26"},{"id":151,"name":"Denver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101"/>
        <v>start /low /b %USERPROFILE%\Documents\GitHub\eaglep3\Utilities\DownloadLogsFromS3.py --loco 4020 --day 2017-04-11</v>
      </c>
      <c r="AN215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08:28:26"},{"id":29,"name":"Sharepoint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833</v>
      </c>
      <c r="B216" s="7">
        <v>4042</v>
      </c>
      <c r="C216" s="21" t="s">
        <v>215</v>
      </c>
      <c r="D216" s="21" t="s">
        <v>533</v>
      </c>
      <c r="E216" s="13">
        <v>42836.028240740743</v>
      </c>
      <c r="F216" s="13">
        <v>42836.029733796298</v>
      </c>
      <c r="G216" s="7">
        <v>1</v>
      </c>
      <c r="H216" s="21" t="s">
        <v>585</v>
      </c>
      <c r="I216" s="13">
        <v>42836.035381944443</v>
      </c>
      <c r="J216" s="7">
        <v>0</v>
      </c>
      <c r="K216" s="97" t="str">
        <f t="shared" si="88"/>
        <v>4041/4042</v>
      </c>
      <c r="L216" s="21" t="str">
        <f>VLOOKUP(A216,'Trips&amp;Operators'!$C$1:$G$99999,5,FALSE)</f>
        <v>CHANDLER KELVIN</v>
      </c>
      <c r="M216" s="6">
        <f t="shared" si="89"/>
        <v>5.648148144246079E-3</v>
      </c>
      <c r="N216" s="7">
        <f t="shared" si="87"/>
        <v>8.1333333277143538</v>
      </c>
      <c r="O216" s="7"/>
      <c r="P216" s="7"/>
      <c r="Q216" s="22"/>
      <c r="R216" s="22"/>
      <c r="S216" s="31">
        <f t="shared" si="90"/>
        <v>1</v>
      </c>
      <c r="T216" s="46" t="str">
        <f t="shared" si="91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92"/>
        <v>https://d0f6bd738d7f1b3e5a7ca70fe4ff75f0.us-east-1.aws.found.io/app/kibana#/discover/Steve-Slow-Train-Analysis-(2080s-and-2083s)?_g=(refreshInterval:(display:Off,pause:!f,section:0,value:0),time:(from:'2017-04-10T23:40:40-0600',mode:absolute,to:'2017-04-11T01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83" t="str">
        <f t="shared" si="93"/>
        <v>Y</v>
      </c>
      <c r="X216" s="183">
        <f t="shared" si="86"/>
        <v>2</v>
      </c>
      <c r="Y216" s="62">
        <f t="shared" si="84"/>
        <v>4.7800000000000002E-2</v>
      </c>
      <c r="Z216" s="62">
        <f t="shared" si="85"/>
        <v>2.331</v>
      </c>
      <c r="AA216" s="62">
        <f t="shared" si="94"/>
        <v>2.2831999999999999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5"/>
        <v>0315-10</v>
      </c>
      <c r="AE216" s="85" t="str">
        <f t="shared" si="96"/>
        <v>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 &amp; 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</v>
      </c>
      <c r="AF216" s="82" t="str">
        <f t="shared" si="97"/>
        <v>"C:\Program Files (x86)\AstroGrep\AstroGrep.exe" /e /r /s /spath="%USERPROFILE%\AppData\Local\Temp\OnboardLogs" /stypes="app*4042*20170411*" /stext=" 06:.+((SYSTEM_STATE.+slice.+state.+changed )|(ment ac)|(multiple cpu faults)|(system.+state.+changed )|(\[timeout)|(PRM\|1\|D)|(kpr)|(kdp)|(\|lc)|(penalty))"</v>
      </c>
      <c r="AG216" s="1" t="str">
        <f t="shared" si="98"/>
        <v>Other</v>
      </c>
      <c r="AH216" s="86" t="str">
        <f t="shared" si="99"/>
        <v>"%USERPROFILE%\Documents\GitHub\eaglep3\Utilities\RefineRTDCRunTimes.py" --tripid 315-10 --locoid 4042 --swversion DE.1.0.9.0 --startMP 204:478 --initTime 2017-04-11T00:40:40 --startdatetime 2017-04-11T00:42:49 --delay 1 --endMP 300:23310 --enddatetime 2017-04-11T00:50:57 --enforcementcount 0 &gt;&gt;C:\Users\stu\Documents\GitHub\eaglep3-reporting\EC\2017-04-10-refined-times.txt</v>
      </c>
      <c r="AI216" s="104" t="str">
        <f t="shared" si="100"/>
        <v>echo {"issue":{"subject":"","project_id":79,"tracker_id":40,"status_id":1,"priority_id":2,"assigned_to_id":23,"start_date":"2017-04-11","description":"","custom_fields":[{"id":1,"name":"Subdivision","value":"Other"},{"id":4,"name":"Milepost","value":"2.331"},{"id":17,"name":"Train ID","value":"315-10"},{"id":16,"name":"Locomotive ID","value":"4042"},{"id":130,"name":"Impact","value":""},{"id":150,"name":"Time of Event (Mountain Time)","value":"00:50:57"},{"id":151,"name":"Denver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101"/>
        <v>start /low /b %USERPROFILE%\Documents\GitHub\eaglep3\Utilities\DownloadLogsFromS3.py --loco 4042 --day 2017-04-11</v>
      </c>
      <c r="AN216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597</v>
      </c>
      <c r="B217" s="7">
        <v>4018</v>
      </c>
      <c r="C217" s="21" t="s">
        <v>215</v>
      </c>
      <c r="D217" s="21" t="s">
        <v>1003</v>
      </c>
      <c r="E217" s="13">
        <v>42835.205196759256</v>
      </c>
      <c r="F217" s="13">
        <v>42835.210092592592</v>
      </c>
      <c r="G217" s="7">
        <v>6</v>
      </c>
      <c r="H217" s="21" t="s">
        <v>1004</v>
      </c>
      <c r="I217" s="13">
        <v>42835.215960648151</v>
      </c>
      <c r="J217" s="7">
        <v>0</v>
      </c>
      <c r="K217" s="97" t="str">
        <f t="shared" si="88"/>
        <v>4017/4018</v>
      </c>
      <c r="L217" s="21" t="str">
        <f>VLOOKUP(A217,'Trips&amp;Operators'!$C$1:$G$99999,5,FALSE)</f>
        <v>DAVIS WENDY</v>
      </c>
      <c r="M217" s="6">
        <f t="shared" si="89"/>
        <v>5.8680555594037287E-3</v>
      </c>
      <c r="N217" s="7">
        <f t="shared" si="87"/>
        <v>8.4500000055413693</v>
      </c>
      <c r="O217" s="7"/>
      <c r="P217" s="7"/>
      <c r="Q217" s="22"/>
      <c r="R217" s="22"/>
      <c r="S217" s="31">
        <f t="shared" si="90"/>
        <v>0</v>
      </c>
      <c r="T217" s="46" t="str">
        <f t="shared" si="91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92"/>
        <v>https://d0f6bd738d7f1b3e5a7ca70fe4ff75f0.us-east-1.aws.found.io/app/kibana#/discover/Steve-Slow-Train-Analysis-(2080s-and-2083s)?_g=(refreshInterval:(display:Off,pause:!f,section:0,value:0),time:(from:'2017-04-10T03:55:29-0600',mode:absolute,to:'2017-04-10T06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183" t="str">
        <f t="shared" si="93"/>
        <v>Y</v>
      </c>
      <c r="X217" s="183">
        <f t="shared" si="86"/>
        <v>586</v>
      </c>
      <c r="Y217" s="62">
        <f t="shared" si="84"/>
        <v>2.9714</v>
      </c>
      <c r="Z217" s="62">
        <f t="shared" si="85"/>
        <v>5.9001000000000001</v>
      </c>
      <c r="AA217" s="62">
        <f t="shared" si="94"/>
        <v>2.9287000000000001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5"/>
        <v>0901-10</v>
      </c>
      <c r="AE217" s="85" t="str">
        <f t="shared" si="96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217" s="82" t="str">
        <f t="shared" si="97"/>
        <v>"C:\Program Files (x86)\AstroGrep\AstroGrep.exe" /e /r /s /spath="%USERPROFILE%\AppData\Local\Temp\OnboardLogs" /stypes="app*4018*20170410*" /stext=" 11:.+((SYSTEM_STATE.+slice.+state.+changed )|(ment ac)|(multiple cpu faults)|(system.+state.+changed )|(\[timeout)|(PRM\|1\|D)|(kpr)|(kdp)|(\|lc)|(penalty))"</v>
      </c>
      <c r="AG217" s="1" t="str">
        <f t="shared" si="98"/>
        <v>Other</v>
      </c>
      <c r="AH217" s="86" t="str">
        <f t="shared" si="99"/>
        <v>"%USERPROFILE%\Documents\GitHub\eaglep3\Utilities\RefineRTDCRunTimes.py" --tripid 901-10 --locoid 4018 --swversion DE.1.0.9.0 --startMP 300:29714 --initTime 2017-04-10T04:55:29 --startdatetime 2017-04-10T05:02:32 --delay 6 --endMP 300:59001 --enddatetime 2017-04-10T05:10:59 --enforcementcount 0 &gt;&gt;C:\Users\stu\Documents\GitHub\eaglep3-reporting\EC\2017-04-10-refined-times.txt</v>
      </c>
      <c r="AI217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{"issue":{"subject":"","project_id":79,"tracker_id":40,"status_id":1,"priority_id":2,"assigned_to_id":23,"start_date":"2017-04-10","description":"","custom_fields":[{"id":1,"name":"Subdivision","value":"Other"},{"id":4,"name":"Milepost","value":"5.9001"},{"id":17,"name":"Train ID","value":"901-10"},{"id":16,"name":"Locomotive ID","value":"4018"},{"id":130,"name":"Impact","value":""},{"id":150,"name":"Time of Event (Mountain Time)","value":"05:10:59"},{"id":151,"name":"Denver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101"/>
        <v>start /low /b %USERPROFILE%\Documents\GitHub\eaglep3\Utilities\DownloadLogsFromS3.py --loco 4018 --day 2017-04-10</v>
      </c>
      <c r="AN217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11:10:59"},{"id":29,"name":"Sharepoint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673</v>
      </c>
      <c r="B218" s="7">
        <v>4021</v>
      </c>
      <c r="C218" s="21" t="s">
        <v>215</v>
      </c>
      <c r="D218" s="21" t="s">
        <v>1005</v>
      </c>
      <c r="E218" s="13">
        <v>42835.245740740742</v>
      </c>
      <c r="F218" s="13">
        <v>42835.248159722221</v>
      </c>
      <c r="G218" s="7">
        <v>3</v>
      </c>
      <c r="H218" s="21" t="s">
        <v>986</v>
      </c>
      <c r="I218" s="13">
        <v>42835.253472222219</v>
      </c>
      <c r="J218" s="7">
        <v>0</v>
      </c>
      <c r="K218" s="97" t="str">
        <f t="shared" si="88"/>
        <v>4021/4022</v>
      </c>
      <c r="L218" s="21" t="str">
        <f>VLOOKUP(A218,'Trips&amp;Operators'!$C$1:$G$99999,5,FALSE)</f>
        <v>LALONDE GREGORY</v>
      </c>
      <c r="M218" s="6">
        <f t="shared" si="89"/>
        <v>5.3124999976716936E-3</v>
      </c>
      <c r="N218" s="7">
        <f t="shared" si="87"/>
        <v>7.6499999966472387</v>
      </c>
      <c r="O218" s="7"/>
      <c r="P218" s="7"/>
      <c r="Q218" s="22"/>
      <c r="R218" s="22"/>
      <c r="S218" s="31">
        <f t="shared" si="90"/>
        <v>1</v>
      </c>
      <c r="T218" s="46" t="str">
        <f t="shared" si="91"/>
        <v>Southbound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92"/>
        <v>https://d0f6bd738d7f1b3e5a7ca70fe4ff75f0.us-east-1.aws.found.io/app/kibana#/discover/Steve-Slow-Train-Analysis-(2080s-and-2083s)?_g=(refreshInterval:(display:Off,pause:!f,section:0,value:0),time:(from:'2017-04-10T04:53:52-0600',mode:absolute,to:'2017-04-10T07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8" s="183" t="str">
        <f t="shared" si="93"/>
        <v>Y</v>
      </c>
      <c r="X218" s="183">
        <f t="shared" si="86"/>
        <v>1</v>
      </c>
      <c r="Y218" s="62">
        <f t="shared" ref="Y218:Y228" si="103">RIGHT(D218,LEN(D218)-4)/10000</f>
        <v>2.3468</v>
      </c>
      <c r="Z218" s="62">
        <f t="shared" ref="Z218:Z228" si="104">RIGHT(H218,LEN(H218)-4)/10000</f>
        <v>6.8199999999999997E-2</v>
      </c>
      <c r="AA218" s="62">
        <f t="shared" si="94"/>
        <v>2.2786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5"/>
        <v>0902-10</v>
      </c>
      <c r="AE218" s="85" t="str">
        <f t="shared" si="96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218" s="82" t="str">
        <f t="shared" si="97"/>
        <v>"C:\Program Files (x86)\AstroGrep\AstroGrep.exe" /e /r /s /spath="%USERPROFILE%\AppData\Local\Temp\OnboardLogs" /stypes="app*4021*20170410*" /stext=" 12:.+((SYSTEM_STATE.+slice.+state.+changed )|(ment ac)|(multiple cpu faults)|(system.+state.+changed )|(\[timeout)|(PRM\|1\|D)|(kpr)|(kdp)|(\|lc)|(penalty))"</v>
      </c>
      <c r="AG218" s="1" t="str">
        <f t="shared" si="98"/>
        <v>Other</v>
      </c>
      <c r="AH218" s="86" t="str">
        <f t="shared" si="99"/>
        <v>"%USERPROFILE%\Documents\GitHub\eaglep3\Utilities\RefineRTDCRunTimes.py" --tripid 902-10 --locoid 4021 --swversion DE.1.0.9.0 --startMP 300:23468 --initTime 2017-04-10T05:53:52 --startdatetime 2017-04-10T05:57:21 --delay 3 --endMP 204:682 --enddatetime 2017-04-10T06:05:00 --enforcementcount 0 &gt;&gt;C:\Users\stu\Documents\GitHub\eaglep3-reporting\EC\2017-04-10-refined-times.txt</v>
      </c>
      <c r="AI218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{"issue":{"subject":"","project_id":79,"tracker_id":40,"status_id":1,"priority_id":2,"assigned_to_id":23,"start_date":"2017-04-10","description":"","custom_fields":[{"id":1,"name":"Subdivision","value":"Other"},{"id":4,"name":"Milepost","value":"0.0682"},{"id":17,"name":"Train ID","value":"902-10"},{"id":16,"name":"Locomotive ID","value":"4021"},{"id":130,"name":"Impact","value":""},{"id":150,"name":"Time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101"/>
        <v>start /low /b %USERPROFILE%\Documents\GitHub\eaglep3\Utilities\DownloadLogsFromS3.py --loco 4021 --day 2017-04-10</v>
      </c>
      <c r="AN218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699</v>
      </c>
      <c r="B219" s="7">
        <v>4018</v>
      </c>
      <c r="C219" s="21" t="s">
        <v>215</v>
      </c>
      <c r="D219" s="21" t="s">
        <v>1006</v>
      </c>
      <c r="E219" s="13">
        <v>42835.352511574078</v>
      </c>
      <c r="F219" s="13">
        <v>42835.354108796295</v>
      </c>
      <c r="G219" s="7">
        <v>1</v>
      </c>
      <c r="H219" s="21" t="s">
        <v>1007</v>
      </c>
      <c r="I219" s="13">
        <v>42835.360405092593</v>
      </c>
      <c r="J219" s="7">
        <v>0</v>
      </c>
      <c r="K219" s="97" t="str">
        <f t="shared" si="88"/>
        <v>4017/4018</v>
      </c>
      <c r="L219" s="21" t="str">
        <f>VLOOKUP(A219,'Trips&amp;Operators'!$C$1:$G$99999,5,FALSE)</f>
        <v>DAVIS WENDY</v>
      </c>
      <c r="M219" s="6">
        <f t="shared" si="89"/>
        <v>6.2962962983874604E-3</v>
      </c>
      <c r="N219" s="7">
        <f t="shared" si="87"/>
        <v>9.066666669677943</v>
      </c>
      <c r="O219" s="7"/>
      <c r="P219" s="7"/>
      <c r="Q219" s="22"/>
      <c r="R219" s="22"/>
      <c r="S219" s="31">
        <f t="shared" si="90"/>
        <v>1</v>
      </c>
      <c r="T219" s="46" t="str">
        <f t="shared" si="91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92"/>
        <v>https://d0f6bd738d7f1b3e5a7ca70fe4ff75f0.us-east-1.aws.found.io/app/kibana#/discover/Steve-Slow-Train-Analysis-(2080s-and-2083s)?_g=(refreshInterval:(display:Off,pause:!f,section:0,value:0),time:(from:'2017-04-10T07:27:37-0600',mode:absolute,to:'2017-04-10T09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183" t="str">
        <f t="shared" si="93"/>
        <v>Y</v>
      </c>
      <c r="X219" s="183">
        <f t="shared" si="86"/>
        <v>1</v>
      </c>
      <c r="Y219" s="62">
        <f t="shared" si="103"/>
        <v>0.1056</v>
      </c>
      <c r="Z219" s="62">
        <f t="shared" si="104"/>
        <v>2.5449999999999999</v>
      </c>
      <c r="AA219" s="62">
        <f t="shared" si="94"/>
        <v>2.4394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5"/>
        <v>0903-10</v>
      </c>
      <c r="AE219" s="85" t="str">
        <f t="shared" si="96"/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219" s="82" t="str">
        <f t="shared" si="97"/>
        <v>"C:\Program Files (x86)\AstroGrep\AstroGrep.exe" /e /r /s /spath="%USERPROFILE%\AppData\Local\Temp\OnboardLogs" /stypes="app*4018*20170410*" /stext=" 14:.+((SYSTEM_STATE.+slice.+state.+changed )|(ment ac)|(multiple cpu faults)|(system.+state.+changed )|(\[timeout)|(PRM\|1\|D)|(kpr)|(kdp)|(\|lc)|(penalty))"</v>
      </c>
      <c r="AG219" s="1" t="str">
        <f t="shared" si="98"/>
        <v>Other</v>
      </c>
      <c r="AH219" s="86" t="str">
        <f t="shared" si="99"/>
        <v>"%USERPROFILE%\Documents\GitHub\eaglep3\Utilities\RefineRTDCRunTimes.py" --tripid 903-10 --locoid 4018 --swversion DE.1.0.9.0 --startMP 204:1056 --initTime 2017-04-10T08:27:37 --startdatetime 2017-04-10T08:29:55 --delay 1 --endMP 300:25450 --enddatetime 2017-04-10T08:38:59 --enforcementcount 0 &gt;&gt;C:\Users\stu\Documents\GitHub\eaglep3-reporting\EC\2017-04-10-refined-times.txt</v>
      </c>
      <c r="AI219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{"issue":{"subject":"","project_id":79,"tracker_id":40,"status_id":1,"priority_id":2,"assigned_to_id":23,"start_date":"2017-04-10","description":"","custom_fields":[{"id":1,"name":"Subdivision","value":"Other"},{"id":4,"name":"Milepost","value":"2.545"},{"id":17,"name":"Train ID","value":"903-10"},{"id":16,"name":"Locomotive ID","value":"4018"},{"id":130,"name":"Impact","value":""},{"id":150,"name":"Time of Event (Mountain Time)","value":"08:38:59"},{"id":151,"name":"Denver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101"/>
        <v>start /low /b %USERPROFILE%\Documents\GitHub\eaglep3\Utilities\DownloadLogsFromS3.py --loco 4018 --day 2017-04-10</v>
      </c>
      <c r="AN219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767</v>
      </c>
      <c r="B220" s="7">
        <v>4017</v>
      </c>
      <c r="C220" s="21" t="s">
        <v>215</v>
      </c>
      <c r="D220" s="21" t="s">
        <v>1008</v>
      </c>
      <c r="E220" s="13">
        <v>42835.638171296298</v>
      </c>
      <c r="F220" s="13">
        <v>42835.640451388892</v>
      </c>
      <c r="G220" s="7">
        <v>3</v>
      </c>
      <c r="H220" s="21" t="s">
        <v>1009</v>
      </c>
      <c r="I220" s="13">
        <v>42835.645601851851</v>
      </c>
      <c r="J220" s="7">
        <v>0</v>
      </c>
      <c r="K220" s="97" t="str">
        <f t="shared" si="88"/>
        <v>4017/4018</v>
      </c>
      <c r="L220" s="21" t="str">
        <f>VLOOKUP(A220,'Trips&amp;Operators'!$C$1:$G$99999,5,FALSE)</f>
        <v>NEWELL JAMES</v>
      </c>
      <c r="M220" s="6">
        <f t="shared" si="89"/>
        <v>5.1504629591363482E-3</v>
      </c>
      <c r="N220" s="7">
        <f t="shared" si="87"/>
        <v>7.4166666611563414</v>
      </c>
      <c r="O220" s="7"/>
      <c r="P220" s="7"/>
      <c r="Q220" s="22"/>
      <c r="R220" s="22"/>
      <c r="S220" s="31">
        <f t="shared" si="90"/>
        <v>1</v>
      </c>
      <c r="T220" s="46" t="str">
        <f t="shared" si="91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92"/>
        <v>https://d0f6bd738d7f1b3e5a7ca70fe4ff75f0.us-east-1.aws.found.io/app/kibana#/discover/Steve-Slow-Train-Analysis-(2080s-and-2083s)?_g=(refreshInterval:(display:Off,pause:!f,section:0,value:0),time:(from:'2017-04-10T14:18:58-0600',mode:absolute,to:'2017-04-10T16:29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0" s="183" t="str">
        <f t="shared" si="93"/>
        <v>Y</v>
      </c>
      <c r="X220" s="183">
        <f t="shared" si="86"/>
        <v>1</v>
      </c>
      <c r="Y220" s="62">
        <f t="shared" si="103"/>
        <v>2.2907999999999999</v>
      </c>
      <c r="Z220" s="62">
        <f t="shared" si="104"/>
        <v>6.5600000000000006E-2</v>
      </c>
      <c r="AA220" s="62">
        <f t="shared" si="94"/>
        <v>2.2252000000000001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5"/>
        <v>0904-10</v>
      </c>
      <c r="AE220" s="85" t="str">
        <f t="shared" si="96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220" s="82" t="str">
        <f t="shared" si="97"/>
        <v>"C:\Program Files (x86)\AstroGrep\AstroGrep.exe" /e /r /s /spath="%USERPROFILE%\AppData\Local\Temp\OnboardLogs" /stypes="app*4017*20170410*" /stext=" 21:.+((SYSTEM_STATE.+slice.+state.+changed )|(ment ac)|(multiple cpu faults)|(system.+state.+changed )|(\[timeout)|(PRM\|1\|D)|(kpr)|(kdp)|(\|lc)|(penalty))"</v>
      </c>
      <c r="AG220" s="1" t="str">
        <f t="shared" si="98"/>
        <v>Other</v>
      </c>
      <c r="AH220" s="86" t="str">
        <f t="shared" si="99"/>
        <v>"%USERPROFILE%\Documents\GitHub\eaglep3\Utilities\RefineRTDCRunTimes.py" --tripid 904-10 --locoid 4017 --swversion DE.1.0.9.0 --startMP 300:22908 --initTime 2017-04-10T15:18:58 --startdatetime 2017-04-10T15:22:15 --delay 3 --endMP 204:656 --enddatetime 2017-04-10T15:29:40 --enforcementcount 0 &gt;&gt;C:\Users\stu\Documents\GitHub\eaglep3-reporting\EC\2017-04-10-refined-times.txt</v>
      </c>
      <c r="AI220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{"issue":{"subject":"","project_id":79,"tracker_id":40,"status_id":1,"priority_id":2,"assigned_to_id":23,"start_date":"2017-04-10","description":"","custom_fields":[{"id":1,"name":"Subdivision","value":"Other"},{"id":4,"name":"Milepost","value":"0.0656"},{"id":17,"name":"Train ID","value":"904-10"},{"id":16,"name":"Locomotive ID","value":"4017"},{"id":130,"name":"Impact","value":""},{"id":150,"name":"Time of Event (Mountain Time)","value":"15:29:40"},{"id":151,"name":"Denver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101"/>
        <v>start /low /b %USERPROFILE%\Documents\GitHub\eaglep3\Utilities\DownloadLogsFromS3.py --loco 4017 --day 2017-04-10</v>
      </c>
      <c r="AN220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21:29:40"},{"id":29,"name":"Sharepoint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803</v>
      </c>
      <c r="B221" s="7">
        <v>4017</v>
      </c>
      <c r="C221" s="21" t="s">
        <v>215</v>
      </c>
      <c r="D221" s="21" t="s">
        <v>571</v>
      </c>
      <c r="E221" s="13">
        <v>42835.796724537038</v>
      </c>
      <c r="F221" s="13">
        <v>42835.798067129632</v>
      </c>
      <c r="G221" s="7">
        <v>1</v>
      </c>
      <c r="H221" s="21" t="s">
        <v>1010</v>
      </c>
      <c r="I221" s="13">
        <v>42835.802604166667</v>
      </c>
      <c r="J221" s="7">
        <v>0</v>
      </c>
      <c r="K221" s="97" t="str">
        <f t="shared" si="88"/>
        <v>4017/4018</v>
      </c>
      <c r="L221" s="21" t="str">
        <f>VLOOKUP(A221,'Trips&amp;Operators'!$C$1:$G$99999,5,FALSE)</f>
        <v>NEWELL JAMES</v>
      </c>
      <c r="M221" s="6">
        <f t="shared" si="89"/>
        <v>4.537037035333924E-3</v>
      </c>
      <c r="N221" s="7">
        <f t="shared" si="87"/>
        <v>6.5333333308808506</v>
      </c>
      <c r="O221" s="7"/>
      <c r="P221" s="7"/>
      <c r="Q221" s="22"/>
      <c r="R221" s="22"/>
      <c r="S221" s="31">
        <f t="shared" si="90"/>
        <v>0</v>
      </c>
      <c r="T221" s="46" t="str">
        <f t="shared" si="91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92"/>
        <v>https://d0f6bd738d7f1b3e5a7ca70fe4ff75f0.us-east-1.aws.found.io/app/kibana#/discover/Steve-Slow-Train-Analysis-(2080s-and-2083s)?_g=(refreshInterval:(display:Off,pause:!f,section:0,value:0),time:(from:'2017-04-10T18:07:17-0600',mode:absolute,to:'2017-04-10T20:15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183" t="str">
        <f t="shared" si="93"/>
        <v>Y</v>
      </c>
      <c r="X221" s="183">
        <f t="shared" ref="X221:X228" si="105">VALUE(LEFT(AD221,4))-VALUE(LEFT(AD220,4))</f>
        <v>2</v>
      </c>
      <c r="Y221" s="62">
        <f t="shared" si="103"/>
        <v>5.8619000000000003</v>
      </c>
      <c r="Z221" s="62">
        <f t="shared" si="104"/>
        <v>2.8784000000000001</v>
      </c>
      <c r="AA221" s="62">
        <f t="shared" si="94"/>
        <v>2.9835000000000003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5"/>
        <v>0906-10</v>
      </c>
      <c r="AE221" s="85" t="str">
        <f t="shared" si="96"/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221" s="82" t="str">
        <f t="shared" si="97"/>
        <v>"C:\Program Files (x86)\AstroGrep\AstroGrep.exe" /e /r /s /spath="%USERPROFILE%\AppData\Local\Temp\OnboardLogs" /stypes="app*4017*20170411*" /stext=" 01:.+((SYSTEM_STATE.+slice.+state.+changed )|(ment ac)|(multiple cpu faults)|(system.+state.+changed )|(\[timeout)|(PRM\|1\|D)|(kpr)|(kdp)|(\|lc)|(penalty))"</v>
      </c>
      <c r="AG221" s="1" t="str">
        <f t="shared" si="98"/>
        <v>Other</v>
      </c>
      <c r="AH221" s="86" t="str">
        <f t="shared" si="99"/>
        <v>"%USERPROFILE%\Documents\GitHub\eaglep3\Utilities\RefineRTDCRunTimes.py" --tripid 906-10 --locoid 4017 --swversion DE.1.0.9.0 --startMP 300:58619 --initTime 2017-04-10T19:07:17 --startdatetime 2017-04-10T19:09:13 --delay 1 --endMP 300:28784 --enddatetime 2017-04-10T19:15:45 --enforcementcount 0 &gt;&gt;C:\Users\stu\Documents\GitHub\eaglep3-reporting\EC\2017-04-10-refined-times.txt</v>
      </c>
      <c r="AI221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{"issue":{"subject":"","project_id":79,"tracker_id":40,"status_id":1,"priority_id":2,"assigned_to_id":23,"start_date":"2017-04-10","description":"","custom_fields":[{"id":1,"name":"Subdivision","value":"Other"},{"id":4,"name":"Milepost","value":"2.8784"},{"id":17,"name":"Train ID","value":"906-10"},{"id":16,"name":"Locomotive ID","value":"4017"},{"id":130,"name":"Impact","value":""},{"id":150,"name":"Time of Event (Mountain Time)","value":"19:15:45"},{"id":151,"name":"Denver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101"/>
        <v>start /low /b %USERPROFILE%\Documents\GitHub\eaglep3\Utilities\DownloadLogsFromS3.py --loco 4017 --day 2017-04-10</v>
      </c>
      <c r="AN221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01:15:45"},{"id":29,"name":"Sharepoint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825</v>
      </c>
      <c r="B222" s="7">
        <v>4021</v>
      </c>
      <c r="C222" s="21" t="s">
        <v>215</v>
      </c>
      <c r="D222" s="21" t="s">
        <v>1011</v>
      </c>
      <c r="E222" s="13">
        <v>42835.941944444443</v>
      </c>
      <c r="F222" s="13">
        <v>42835.943749999999</v>
      </c>
      <c r="G222" s="7">
        <v>1</v>
      </c>
      <c r="H222" s="21" t="s">
        <v>1012</v>
      </c>
      <c r="I222" s="13">
        <v>42835.947962962964</v>
      </c>
      <c r="J222" s="7">
        <v>0</v>
      </c>
      <c r="K222" s="97" t="str">
        <f t="shared" si="88"/>
        <v>4021/4022</v>
      </c>
      <c r="L222" s="21" t="str">
        <f>VLOOKUP(A222,'Trips&amp;Operators'!$C$1:$G$99999,5,FALSE)</f>
        <v>NEWELL JAMES</v>
      </c>
      <c r="M222" s="6">
        <f t="shared" si="89"/>
        <v>4.2129629655391909E-3</v>
      </c>
      <c r="N222" s="7">
        <f t="shared" si="87"/>
        <v>6.0666666703764349</v>
      </c>
      <c r="O222" s="7"/>
      <c r="P222" s="7"/>
      <c r="Q222" s="22"/>
      <c r="R222" s="22"/>
      <c r="S222" s="31">
        <f t="shared" si="90"/>
        <v>0</v>
      </c>
      <c r="T222" s="46" t="str">
        <f t="shared" si="91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92"/>
        <v>https://d0f6bd738d7f1b3e5a7ca70fe4ff75f0.us-east-1.aws.found.io/app/kibana#/discover/Steve-Slow-Train-Analysis-(2080s-and-2083s)?_g=(refreshInterval:(display:Off,pause:!f,section:0,value:0),time:(from:'2017-04-10T21:36:24-0600',mode:absolute,to:'2017-04-10T23:45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83" t="str">
        <f t="shared" si="93"/>
        <v>Y</v>
      </c>
      <c r="X222" s="183">
        <f t="shared" si="105"/>
        <v>2</v>
      </c>
      <c r="Y222" s="62">
        <f t="shared" si="103"/>
        <v>5.8604000000000003</v>
      </c>
      <c r="Z222" s="62">
        <f t="shared" si="104"/>
        <v>2.1774</v>
      </c>
      <c r="AA222" s="62">
        <f t="shared" si="94"/>
        <v>3.6830000000000003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5"/>
        <v>0908-10</v>
      </c>
      <c r="AE222" s="85" t="str">
        <f t="shared" si="96"/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222" s="82" t="str">
        <f t="shared" si="97"/>
        <v>"C:\Program Files (x86)\AstroGrep\AstroGrep.exe" /e /r /s /spath="%USERPROFILE%\AppData\Local\Temp\OnboardLogs" /stypes="app*4021*20170411*" /stext=" 04:.+((SYSTEM_STATE.+slice.+state.+changed )|(ment ac)|(multiple cpu faults)|(system.+state.+changed )|(\[timeout)|(PRM\|1\|D)|(kpr)|(kdp)|(\|lc)|(penalty))"</v>
      </c>
      <c r="AG222" s="1" t="str">
        <f t="shared" si="98"/>
        <v>Other</v>
      </c>
      <c r="AH222" s="86" t="str">
        <f t="shared" si="99"/>
        <v>"%USERPROFILE%\Documents\GitHub\eaglep3\Utilities\RefineRTDCRunTimes.py" --tripid 908-10 --locoid 4021 --swversion DE.1.0.9.0 --startMP 300:58604 --initTime 2017-04-10T22:36:24 --startdatetime 2017-04-10T22:39:00 --delay 1 --endMP 300:21774 --enddatetime 2017-04-10T22:45:04 --enforcementcount 0 &gt;&gt;C:\Users\stu\Documents\GitHub\eaglep3-reporting\EC\2017-04-10-refined-times.txt</v>
      </c>
      <c r="AI222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{"issue":{"subject":"","project_id":79,"tracker_id":40,"status_id":1,"priority_id":2,"assigned_to_id":23,"start_date":"2017-04-10","description":"","custom_fields":[{"id":1,"name":"Subdivision","value":"Other"},{"id":4,"name":"Milepost","value":"2.1774"},{"id":17,"name":"Train ID","value":"908-10"},{"id":16,"name":"Locomotive ID","value":"4021"},{"id":130,"name":"Impact","value":""},{"id":150,"name":"Time of Event (Mountain Time)","value":"22:45:04"},{"id":151,"name":"Denver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101"/>
        <v>start /low /b %USERPROFILE%\Documents\GitHub\eaglep3\Utilities\DownloadLogsFromS3.py --loco 4021 --day 2017-04-10</v>
      </c>
      <c r="AN222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04:45:04"},{"id":29,"name":"Sharepoint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652</v>
      </c>
      <c r="B223" s="7">
        <v>4039</v>
      </c>
      <c r="C223" s="21" t="s">
        <v>215</v>
      </c>
      <c r="D223" s="21" t="s">
        <v>922</v>
      </c>
      <c r="E223" s="13">
        <v>42835.136608796296</v>
      </c>
      <c r="F223" s="13">
        <v>42835.138067129628</v>
      </c>
      <c r="G223" s="7">
        <v>1</v>
      </c>
      <c r="H223" s="21" t="s">
        <v>923</v>
      </c>
      <c r="I223" s="13">
        <v>42835.15488425926</v>
      </c>
      <c r="J223" s="7">
        <v>0</v>
      </c>
      <c r="K223" s="97" t="str">
        <f t="shared" si="88"/>
        <v>4039/4040</v>
      </c>
      <c r="L223" s="21" t="str">
        <f>VLOOKUP(A223,'Trips&amp;Operators'!$C$1:$G$99999,5,FALSE)</f>
        <v>YANAI IAN</v>
      </c>
      <c r="M223" s="6">
        <f t="shared" si="89"/>
        <v>1.6817129631817807E-2</v>
      </c>
      <c r="N223" s="7">
        <f t="shared" si="87"/>
        <v>24.216666669817641</v>
      </c>
      <c r="O223" s="7"/>
      <c r="P223" s="7"/>
      <c r="Q223" s="22"/>
      <c r="R223" s="22"/>
      <c r="S223" s="31">
        <f t="shared" si="90"/>
        <v>0</v>
      </c>
      <c r="T223" s="46" t="e">
        <f t="shared" si="91"/>
        <v>#VALUE!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92"/>
        <v>https://d0f6bd738d7f1b3e5a7ca70fe4ff75f0.us-east-1.aws.found.io/app/kibana#/discover/Steve-Slow-Train-Analysis-(2080s-and-2083s)?_g=(refreshInterval:(display:Off,pause:!f,section:0,value:0),time:(from:'2017-04-10T02:16:43-0600',mode:absolute,to:'2017-04-10T04:43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83" t="str">
        <f t="shared" si="93"/>
        <v>N</v>
      </c>
      <c r="X223" s="183" t="e">
        <f t="shared" si="105"/>
        <v>#VALUE!</v>
      </c>
      <c r="Y223" s="62">
        <f t="shared" si="103"/>
        <v>10.699400000000001</v>
      </c>
      <c r="Z223" s="62">
        <f t="shared" si="104"/>
        <v>0.1045</v>
      </c>
      <c r="AA223" s="62">
        <f t="shared" si="94"/>
        <v>10.594900000000001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5"/>
        <v>50-10</v>
      </c>
      <c r="AE223" s="85" t="str">
        <f t="shared" si="96"/>
        <v>aws s3 cp s3://rtdc.mdm.uploadarchive.raw/RTDC4039/ "%USERPROFILE%\AppData\Local\Temp\OnboardLogs"\RTDC4039\2017-04-10 --exclude "*" --recursive --include "*20170410*" &amp; "%USERPROFILE%\Documents\GitHub\mrs-test-scripts\Headless Mode &amp; Sideloading\WalkAndUnGZ.bat" "%USERPROFILE%\AppData\Local\Temp\OnboardLogs"\RTDC4039\2017-04-10 &amp; 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</v>
      </c>
      <c r="AF223" s="82" t="str">
        <f t="shared" si="97"/>
        <v>"C:\Program Files (x86)\AstroGrep\AstroGrep.exe" /e /r /s /spath="%USERPROFILE%\AppData\Local\Temp\OnboardLogs" /stypes="app*4039*20170410*" /stext=" 09:.+((SYSTEM_STATE.+slice.+state.+changed )|(ment ac)|(multiple cpu faults)|(system.+state.+changed )|(\[timeout)|(PRM\|1\|D)|(kpr)|(kdp)|(\|lc)|(penalty))"</v>
      </c>
      <c r="AG223" s="1" t="str">
        <f t="shared" si="98"/>
        <v>Other</v>
      </c>
      <c r="AH223" s="86" t="str">
        <f t="shared" si="99"/>
        <v>"%USERPROFILE%\Documents\GitHub\eaglep3\Utilities\RefineRTDCRunTimes.py" --tripid 50-10 --locoid 4039 --swversion DE.1.0.9.0 --startMP 204:106994 --initTime 2017-04-10T03:16:43 --startdatetime 2017-04-10T03:18:49 --delay 1 --endMP 204:1045 --enddatetime 2017-04-10T03:43:02 --enforcementcount 0 &gt;&gt;C:\Users\stu\Documents\GitHub\eaglep3-reporting\EC\2017-04-10-refined-times.txt</v>
      </c>
      <c r="AI223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{"issue":{"subject":"","project_id":79,"tracker_id":40,"status_id":1,"priority_id":2,"assigned_to_id":23,"start_date":"2017-04-10","description":"","custom_fields":[{"id":1,"name":"Subdivision","value":"Other"},{"id":4,"name":"Milepost","value":"0.1045"},{"id":17,"name":"Train ID","value":"50-10"},{"id":16,"name":"Locomotive ID","value":"4039"},{"id":130,"name":"Impact","value":""},{"id":150,"name":"Time of Event (Mountain Time)","value":"03:43:02"},{"id":151,"name":"Denver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101"/>
        <v>start /low /b %USERPROFILE%\Documents\GitHub\eaglep3\Utilities\DownloadLogsFromS3.py --loco 4039 --day 2017-04-10</v>
      </c>
      <c r="AN223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09:43:02"},{"id":29,"name":"Sharepoint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553</v>
      </c>
      <c r="B224" s="7">
        <v>4040</v>
      </c>
      <c r="C224" s="21" t="s">
        <v>215</v>
      </c>
      <c r="D224" s="21" t="s">
        <v>586</v>
      </c>
      <c r="E224" s="13">
        <v>42835.113159722219</v>
      </c>
      <c r="F224" s="13">
        <v>42835.115671296298</v>
      </c>
      <c r="G224" s="7">
        <v>1</v>
      </c>
      <c r="H224" s="21" t="s">
        <v>587</v>
      </c>
      <c r="I224" s="13">
        <v>42835.135601851849</v>
      </c>
      <c r="J224" s="7">
        <v>0</v>
      </c>
      <c r="K224" s="97" t="str">
        <f t="shared" si="88"/>
        <v>4039/4040</v>
      </c>
      <c r="L224" s="21" t="str">
        <f>VLOOKUP(A224,'Trips&amp;Operators'!$C$1:$G$99999,5,FALSE)</f>
        <v>YANAI IAN</v>
      </c>
      <c r="M224" s="6">
        <f t="shared" si="89"/>
        <v>1.993055555067258E-2</v>
      </c>
      <c r="N224" s="7">
        <f t="shared" si="87"/>
        <v>28.699999992968515</v>
      </c>
      <c r="O224" s="7"/>
      <c r="P224" s="7"/>
      <c r="Q224" s="22"/>
      <c r="R224" s="22"/>
      <c r="S224" s="31">
        <f t="shared" si="90"/>
        <v>0</v>
      </c>
      <c r="T224" s="46" t="e">
        <f t="shared" si="91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92"/>
        <v>https://d0f6bd738d7f1b3e5a7ca70fe4ff75f0.us-east-1.aws.found.io/app/kibana#/discover/Steve-Slow-Train-Analysis-(2080s-and-2083s)?_g=(refreshInterval:(display:Off,pause:!f,section:0,value:0),time:(from:'2017-04-10T01:42:57-0600',mode:absolute,to:'2017-04-10T04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4" s="183" t="str">
        <f t="shared" si="93"/>
        <v>N</v>
      </c>
      <c r="X224" s="183" t="e">
        <f t="shared" si="105"/>
        <v>#VALUE!</v>
      </c>
      <c r="Y224" s="62">
        <f t="shared" si="103"/>
        <v>0.11650000000000001</v>
      </c>
      <c r="Z224" s="62">
        <f t="shared" si="104"/>
        <v>10.732200000000001</v>
      </c>
      <c r="AA224" s="62">
        <f t="shared" si="94"/>
        <v>10.6157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5"/>
        <v>51-10</v>
      </c>
      <c r="AE224" s="85" t="str">
        <f t="shared" si="96"/>
        <v>aws s3 cp s3://rtdc.mdm.uploadarchive.raw/RTDC4040/ "%USERPROFILE%\AppData\Local\Temp\OnboardLogs"\RTDC4040\2017-04-10 --exclude "*" --recursive --include "*20170410*" &amp; "%USERPROFILE%\Documents\GitHub\mrs-test-scripts\Headless Mode &amp; Sideloading\WalkAndUnGZ.bat" "%USERPROFILE%\AppData\Local\Temp\OnboardLogs"\RTDC4040\2017-04-10 &amp; 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</v>
      </c>
      <c r="AF224" s="82" t="str">
        <f t="shared" si="97"/>
        <v>"C:\Program Files (x86)\AstroGrep\AstroGrep.exe" /e /r /s /spath="%USERPROFILE%\AppData\Local\Temp\OnboardLogs" /stypes="app*4040*20170410*" /stext=" 09:.+((SYSTEM_STATE.+slice.+state.+changed )|(ment ac)|(multiple cpu faults)|(system.+state.+changed )|(\[timeout)|(PRM\|1\|D)|(kpr)|(kdp)|(\|lc)|(penalty))"</v>
      </c>
      <c r="AG224" s="1" t="str">
        <f t="shared" si="98"/>
        <v>Other</v>
      </c>
      <c r="AH224" s="86" t="str">
        <f t="shared" si="99"/>
        <v>"%USERPROFILE%\Documents\GitHub\eaglep3\Utilities\RefineRTDCRunTimes.py" --tripid 51-10 --locoid 4040 --swversion DE.1.0.9.0 --startMP 204:1165 --initTime 2017-04-10T02:42:57 --startdatetime 2017-04-10T02:46:34 --delay 1 --endMP 204:107322 --enddatetime 2017-04-10T03:15:16 --enforcementcount 0 &gt;&gt;C:\Users\stu\Documents\GitHub\eaglep3-reporting\EC\2017-04-10-refined-times.txt</v>
      </c>
      <c r="AI224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{"issue":{"subject":"","project_id":79,"tracker_id":40,"status_id":1,"priority_id":2,"assigned_to_id":23,"start_date":"2017-04-10","description":"","custom_fields":[{"id":1,"name":"Subdivision","value":"Other"},{"id":4,"name":"Milepost","value":"10.7322"},{"id":17,"name":"Train ID","value":"51-10"},{"id":16,"name":"Locomotive ID","value":"4040"},{"id":130,"name":"Impact","value":""},{"id":150,"name":"Time of Event (Mountain Time)","value":"03:15:16"},{"id":151,"name":"Denver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101"/>
        <v>start /low /b %USERPROFILE%\Documents\GitHub\eaglep3\Utilities\DownloadLogsFromS3.py --loco 4040 --day 2017-04-10</v>
      </c>
      <c r="AN224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719</v>
      </c>
      <c r="B225" s="7">
        <v>4051</v>
      </c>
      <c r="C225" s="21" t="s">
        <v>215</v>
      </c>
      <c r="D225" s="21" t="s">
        <v>924</v>
      </c>
      <c r="E225" s="13">
        <v>42835.434629629628</v>
      </c>
      <c r="F225" s="13">
        <v>42835.436932870369</v>
      </c>
      <c r="G225" s="7">
        <v>3</v>
      </c>
      <c r="H225" s="21" t="s">
        <v>925</v>
      </c>
      <c r="I225" s="13">
        <v>42835.44226851852</v>
      </c>
      <c r="J225" s="7">
        <v>0</v>
      </c>
      <c r="K225" s="97" t="str">
        <f t="shared" si="88"/>
        <v>4051/4052</v>
      </c>
      <c r="L225" s="21" t="str">
        <f>VLOOKUP(A225,'Trips&amp;Operators'!$C$1:$G$99999,5,FALSE)</f>
        <v>MACDONALD THOMAS</v>
      </c>
      <c r="M225" s="6">
        <f t="shared" si="89"/>
        <v>5.3356481512309983E-3</v>
      </c>
      <c r="N225" s="7">
        <f t="shared" si="87"/>
        <v>7.6833333377726376</v>
      </c>
      <c r="O225" s="7"/>
      <c r="P225" s="7"/>
      <c r="Q225" s="22"/>
      <c r="R225" s="22"/>
      <c r="S225" s="31">
        <f t="shared" si="90"/>
        <v>0</v>
      </c>
      <c r="T225" s="46" t="e">
        <f t="shared" si="91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92"/>
        <v>https://d0f6bd738d7f1b3e5a7ca70fe4ff75f0.us-east-1.aws.found.io/app/kibana#/discover/Steve-Slow-Train-Analysis-(2080s-and-2083s)?_g=(refreshInterval:(display:Off,pause:!f,section:0,value:0),time:(from:'2017-04-10T09:25:52-0600',mode:absolute,to:'2017-04-10T11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5" s="183" t="str">
        <f t="shared" si="93"/>
        <v>Y</v>
      </c>
      <c r="X225" s="183" t="e">
        <f t="shared" si="105"/>
        <v>#VALUE!</v>
      </c>
      <c r="Y225" s="62">
        <f t="shared" si="103"/>
        <v>2.3504</v>
      </c>
      <c r="Z225" s="62">
        <f t="shared" si="104"/>
        <v>8.8700000000000001E-2</v>
      </c>
      <c r="AA225" s="62">
        <f t="shared" si="94"/>
        <v>2.2617000000000003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5"/>
        <v>52-10</v>
      </c>
      <c r="AE225" s="85" t="str">
        <f t="shared" si="96"/>
        <v>aws s3 cp s3://rtdc.mdm.uploadarchive.raw/RTDC4051/ "%USERPROFILE%\AppData\Local\Temp\OnboardLogs"\RTDC4051\2017-04-10 --exclude "*" --recursive --include "*20170410*" &amp; "%USERPROFILE%\Documents\GitHub\mrs-test-scripts\Headless Mode &amp; Sideloading\WalkAndUnGZ.bat" "%USERPROFILE%\AppData\Local\Temp\OnboardLogs"\RTDC4051\2017-04-10 &amp; 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</v>
      </c>
      <c r="AF225" s="82" t="str">
        <f t="shared" si="97"/>
        <v>"C:\Program Files (x86)\AstroGrep\AstroGrep.exe" /e /r /s /spath="%USERPROFILE%\AppData\Local\Temp\OnboardLogs" /stypes="app*4051*20170410*" /stext=" 16:.+((SYSTEM_STATE.+slice.+state.+changed )|(ment ac)|(multiple cpu faults)|(system.+state.+changed )|(\[timeout)|(PRM\|1\|D)|(kpr)|(kdp)|(\|lc)|(penalty))"</v>
      </c>
      <c r="AG225" s="1" t="str">
        <f t="shared" si="98"/>
        <v>Other</v>
      </c>
      <c r="AH225" s="86" t="str">
        <f t="shared" si="99"/>
        <v>"%USERPROFILE%\Documents\GitHub\eaglep3\Utilities\RefineRTDCRunTimes.py" --tripid 52-10 --locoid 4051 --swversion DE.1.0.9.0 --startMP 300:23504 --initTime 2017-04-10T10:25:52 --startdatetime 2017-04-10T10:29:11 --delay 3 --endMP 204:887 --enddatetime 2017-04-10T10:36:52 --enforcementcount 0 &gt;&gt;C:\Users\stu\Documents\GitHub\eaglep3-reporting\EC\2017-04-10-refined-times.txt</v>
      </c>
      <c r="AI225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{"issue":{"subject":"","project_id":79,"tracker_id":40,"status_id":1,"priority_id":2,"assigned_to_id":23,"start_date":"2017-04-10","description":"","custom_fields":[{"id":1,"name":"Subdivision","value":"Other"},{"id":4,"name":"Milepost","value":"0.0887"},{"id":17,"name":"Train ID","value":"52-10"},{"id":16,"name":"Locomotive ID","value":"4051"},{"id":130,"name":"Impact","value":""},{"id":150,"name":"Time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101"/>
        <v>start /low /b %USERPROFILE%\Documents\GitHub\eaglep3\Utilities\DownloadLogsFromS3.py --loco 4051 --day 2017-04-10</v>
      </c>
      <c r="AN225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724</v>
      </c>
      <c r="B226" s="7">
        <v>4052</v>
      </c>
      <c r="C226" s="21" t="s">
        <v>215</v>
      </c>
      <c r="D226" s="21" t="s">
        <v>926</v>
      </c>
      <c r="E226" s="13">
        <v>42835.451805555553</v>
      </c>
      <c r="F226" s="13">
        <v>42835.469108796293</v>
      </c>
      <c r="G226" s="7">
        <v>1</v>
      </c>
      <c r="H226" s="21" t="s">
        <v>927</v>
      </c>
      <c r="I226" s="13">
        <v>42835.474803240744</v>
      </c>
      <c r="J226" s="7">
        <v>0</v>
      </c>
      <c r="K226" s="97" t="str">
        <f t="shared" si="88"/>
        <v>4051/4052</v>
      </c>
      <c r="L226" s="21" t="str">
        <f>VLOOKUP(A226,'Trips&amp;Operators'!$C$1:$G$99999,5,FALSE)</f>
        <v>SPECTOR MICHAEL</v>
      </c>
      <c r="M226" s="6">
        <f t="shared" si="89"/>
        <v>5.6944444513646886E-3</v>
      </c>
      <c r="N226" s="7">
        <f t="shared" si="87"/>
        <v>8.2000000099651515</v>
      </c>
      <c r="O226" s="7"/>
      <c r="P226" s="7"/>
      <c r="Q226" s="22"/>
      <c r="R226" s="22"/>
      <c r="S226" s="31">
        <f t="shared" si="90"/>
        <v>0</v>
      </c>
      <c r="T226" s="46" t="e">
        <f t="shared" si="91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92"/>
        <v>https://d0f6bd738d7f1b3e5a7ca70fe4ff75f0.us-east-1.aws.found.io/app/kibana#/discover/Steve-Slow-Train-Analysis-(2080s-and-2083s)?_g=(refreshInterval:(display:Off,pause:!f,section:0,value:0),time:(from:'2017-04-10T09:50:36-0600',mode:absolute,to:'2017-04-10T12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183" t="str">
        <f t="shared" si="93"/>
        <v>Y</v>
      </c>
      <c r="X226" s="183" t="e">
        <f t="shared" si="105"/>
        <v>#VALUE!</v>
      </c>
      <c r="Y226" s="62">
        <f t="shared" si="103"/>
        <v>0.11990000000000001</v>
      </c>
      <c r="Z226" s="62">
        <f t="shared" si="104"/>
        <v>2.4253999999999998</v>
      </c>
      <c r="AA226" s="62">
        <f t="shared" si="94"/>
        <v>2.3054999999999999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5"/>
        <v>53-10</v>
      </c>
      <c r="AE226" s="85" t="str">
        <f t="shared" si="96"/>
        <v>aws s3 cp s3://rtdc.mdm.uploadarchive.raw/RTDC4052/ "%USERPROFILE%\AppData\Local\Temp\OnboardLogs"\RTDC4052\2017-04-10 --exclude "*" --recursive --include "*20170410*" &amp; "%USERPROFILE%\Documents\GitHub\mrs-test-scripts\Headless Mode &amp; Sideloading\WalkAndUnGZ.bat" "%USERPROFILE%\AppData\Local\Temp\OnboardLogs"\RTDC4052\2017-04-10 &amp; 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</v>
      </c>
      <c r="AF226" s="82" t="str">
        <f t="shared" si="97"/>
        <v>"C:\Program Files (x86)\AstroGrep\AstroGrep.exe" /e /r /s /spath="%USERPROFILE%\AppData\Local\Temp\OnboardLogs" /stypes="app*4052*20170410*" /stext=" 17:.+((SYSTEM_STATE.+slice.+state.+changed )|(ment ac)|(multiple cpu faults)|(system.+state.+changed )|(\[timeout)|(PRM\|1\|D)|(kpr)|(kdp)|(\|lc)|(penalty))"</v>
      </c>
      <c r="AG226" s="1" t="str">
        <f t="shared" si="98"/>
        <v>Other</v>
      </c>
      <c r="AH226" s="86" t="str">
        <f t="shared" si="99"/>
        <v>"%USERPROFILE%\Documents\GitHub\eaglep3\Utilities\RefineRTDCRunTimes.py" --tripid 53-10 --locoid 4052 --swversion DE.1.0.9.0 --startMP 204:1199 --initTime 2017-04-10T10:50:36 --startdatetime 2017-04-10T11:15:31 --delay 1 --endMP 300:24254 --enddatetime 2017-04-10T11:23:43 --enforcementcount 0 &gt;&gt;C:\Users\stu\Documents\GitHub\eaglep3-reporting\EC\2017-04-10-refined-times.txt</v>
      </c>
      <c r="AI226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{"issue":{"subject":"","project_id":79,"tracker_id":40,"status_id":1,"priority_id":2,"assigned_to_id":23,"start_date":"2017-04-10","description":"","custom_fields":[{"id":1,"name":"Subdivision","value":"Other"},{"id":4,"name":"Milepost","value":"2.4254"},{"id":17,"name":"Train ID","value":"53-10"},{"id":16,"name":"Locomotive ID","value":"4052"},{"id":130,"name":"Impact","value":""},{"id":150,"name":"Time of Event (Mountain Time)","value":"11:23:43"},{"id":151,"name":"Denver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101"/>
        <v>start /low /b %USERPROFILE%\Documents\GitHub\eaglep3\Utilities\DownloadLogsFromS3.py --loco 4052 --day 2017-04-10</v>
      </c>
      <c r="AN226" s="159" t="str">
        <f t="shared" si="102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799</v>
      </c>
      <c r="B227" s="7">
        <v>4031</v>
      </c>
      <c r="C227" s="21" t="s">
        <v>215</v>
      </c>
      <c r="D227" s="21" t="s">
        <v>928</v>
      </c>
      <c r="E227" s="13">
        <v>42835.774826388886</v>
      </c>
      <c r="F227" s="13">
        <v>42835.789166666669</v>
      </c>
      <c r="G227" s="7">
        <v>20</v>
      </c>
      <c r="H227" s="21" t="s">
        <v>929</v>
      </c>
      <c r="I227" s="13">
        <v>42835.804432870369</v>
      </c>
      <c r="J227" s="7">
        <v>0</v>
      </c>
      <c r="K227" s="97" t="str">
        <f t="shared" si="88"/>
        <v>4031/4032</v>
      </c>
      <c r="L227" s="21" t="str">
        <f>VLOOKUP(A227,'Trips&amp;Operators'!$C$1:$G$99999,5,FALSE)</f>
        <v>SAFIEF AEIMEN</v>
      </c>
      <c r="M227" s="6">
        <f t="shared" si="89"/>
        <v>1.526620369986631E-2</v>
      </c>
      <c r="N227" s="7">
        <f t="shared" si="87"/>
        <v>21.983333327807486</v>
      </c>
      <c r="O227" s="7"/>
      <c r="P227" s="7"/>
      <c r="Q227" s="22"/>
      <c r="R227" s="22"/>
      <c r="S227" s="31">
        <f t="shared" si="90"/>
        <v>0</v>
      </c>
      <c r="T227" s="46" t="e">
        <f t="shared" si="91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92"/>
        <v>https://d0f6bd738d7f1b3e5a7ca70fe4ff75f0.us-east-1.aws.found.io/app/kibana#/discover/Steve-Slow-Train-Analysis-(2080s-and-2083s)?_g=(refreshInterval:(display:Off,pause:!f,section:0,value:0),time:(from:'2017-04-10T17:35:45-0600',mode:absolute,to:'2017-04-10T20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183" t="str">
        <f t="shared" si="93"/>
        <v>Y</v>
      </c>
      <c r="X227" s="183" t="e">
        <f t="shared" si="105"/>
        <v>#VALUE!</v>
      </c>
      <c r="Y227" s="62">
        <f t="shared" si="103"/>
        <v>2.2094</v>
      </c>
      <c r="Z227" s="62">
        <f t="shared" si="104"/>
        <v>9.6699999999999994E-2</v>
      </c>
      <c r="AA227" s="62">
        <f t="shared" si="94"/>
        <v>2.1127000000000002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5"/>
        <v>54-10</v>
      </c>
      <c r="AE227" s="85" t="str">
        <f t="shared" si="96"/>
        <v>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 &amp; aws s3 cp s3://rtdc.mdm.uploadarchive.raw/RTDC4031/ "%USERPROFILE%\AppData\Local\Temp\OnboardLogs"\RTDC4031\2017-04-11 --exclude "*" --recursive --include "*20170411*" &amp; "%USERPROFILE%\Documents\GitHub\mrs-test-scripts\Headless Mode &amp; Sideloading\WalkAndUnGZ.bat" "%USERPROFILE%\AppData\Local\Temp\OnboardLogs"\RTDC4031\2017-04-11</v>
      </c>
      <c r="AF227" s="82" t="str">
        <f t="shared" si="97"/>
        <v>"C:\Program Files (x86)\AstroGrep\AstroGrep.exe" /e /r /s /spath="%USERPROFILE%\AppData\Local\Temp\OnboardLogs" /stypes="app*4031*20170411*" /stext=" 01:.+((SYSTEM_STATE.+slice.+state.+changed )|(ment ac)|(multiple cpu faults)|(system.+state.+changed )|(\[timeout)|(PRM\|1\|D)|(kpr)|(kdp)|(\|lc)|(penalty))"</v>
      </c>
      <c r="AG227" s="1" t="str">
        <f t="shared" si="98"/>
        <v>Other</v>
      </c>
      <c r="AH227" s="86" t="str">
        <f t="shared" si="99"/>
        <v>"%USERPROFILE%\Documents\GitHub\eaglep3\Utilities\RefineRTDCRunTimes.py" --tripid 54-10 --locoid 4031 --swversion DE.1.0.9.0 --startMP 300:22094 --initTime 2017-04-10T18:35:45 --startdatetime 2017-04-10T18:56:24 --delay 20 --endMP 204:967 --enddatetime 2017-04-10T19:18:23 --enforcementcount 0 &gt;&gt;C:\Users\stu\Documents\GitHub\eaglep3-reporting\EC\2017-04-10-refined-times.txt</v>
      </c>
      <c r="AI227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{"issue":{"subject":"","project_id":79,"tracker_id":40,"status_id":1,"priority_id":2,"assigned_to_id":23,"start_date":"2017-04-10","description":"","custom_fields":[{"id":1,"name":"Subdivision","value":"Other"},{"id":4,"name":"Milepost","value":"0.0967"},{"id":17,"name":"Train ID","value":"54-10"},{"id":16,"name":"Locomotive ID","value":"4031"},{"id":130,"name":"Impact","value":""},{"id":150,"name":"Time of Event (Mountain Time)","value":"19:18:23"},{"id":151,"name":"Denver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101"/>
        <v>start /low /b %USERPROFILE%\Documents\GitHub\eaglep3\Utilities\DownloadLogsFromS3.py --loco 4031 --day 2017-04-10</v>
      </c>
      <c r="AN227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s="20" customFormat="1" x14ac:dyDescent="0.25">
      <c r="A228" s="33" t="s">
        <v>793</v>
      </c>
      <c r="B228" s="7">
        <v>4054</v>
      </c>
      <c r="C228" s="21" t="s">
        <v>215</v>
      </c>
      <c r="D228" s="21" t="s">
        <v>930</v>
      </c>
      <c r="E228" s="13">
        <v>42835.759027777778</v>
      </c>
      <c r="F228" s="13">
        <v>42835.761284722219</v>
      </c>
      <c r="G228" s="7">
        <v>1</v>
      </c>
      <c r="H228" s="21" t="s">
        <v>931</v>
      </c>
      <c r="I228" s="13">
        <v>42835.773344907408</v>
      </c>
      <c r="J228" s="7">
        <v>0</v>
      </c>
      <c r="K228" s="97" t="str">
        <f t="shared" si="88"/>
        <v>4053/4054</v>
      </c>
      <c r="L228" s="21" t="str">
        <f>VLOOKUP(A228,'Trips&amp;Operators'!$C$1:$G$99999,5,FALSE)</f>
        <v>MACDONALD THOMAS</v>
      </c>
      <c r="M228" s="6">
        <f t="shared" si="89"/>
        <v>1.206018518860219E-2</v>
      </c>
      <c r="N228" s="7">
        <f t="shared" si="87"/>
        <v>17.366666671587154</v>
      </c>
      <c r="O228" s="7"/>
      <c r="P228" s="7"/>
      <c r="Q228" s="22"/>
      <c r="R228" s="22"/>
      <c r="S228" s="31">
        <f t="shared" si="90"/>
        <v>0</v>
      </c>
      <c r="T228" s="46" t="e">
        <f t="shared" si="91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92"/>
        <v>https://d0f6bd738d7f1b3e5a7ca70fe4ff75f0.us-east-1.aws.found.io/app/kibana#/discover/Steve-Slow-Train-Analysis-(2080s-and-2083s)?_g=(refreshInterval:(display:Off,pause:!f,section:0,value:0),time:(from:'2017-04-10T17:13:00-0600',mode:absolute,to:'2017-04-10T19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8" s="183" t="str">
        <f t="shared" si="93"/>
        <v>Y</v>
      </c>
      <c r="X228" s="183" t="e">
        <f t="shared" si="105"/>
        <v>#VALUE!</v>
      </c>
      <c r="Y228" s="62">
        <f t="shared" si="103"/>
        <v>0.14749999999999999</v>
      </c>
      <c r="Z228" s="62">
        <f t="shared" si="104"/>
        <v>2.3300999999999998</v>
      </c>
      <c r="AA228" s="62">
        <f t="shared" si="94"/>
        <v>2.1825999999999999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5"/>
        <v>71-10</v>
      </c>
      <c r="AE228" s="85" t="str">
        <f t="shared" si="96"/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228" s="82" t="str">
        <f t="shared" si="97"/>
        <v>"C:\Program Files (x86)\AstroGrep\AstroGrep.exe" /e /r /s /spath="%USERPROFILE%\AppData\Local\Temp\OnboardLogs" /stypes="app*4054*20170411*" /stext=" 00:.+((SYSTEM_STATE.+slice.+state.+changed )|(ment ac)|(multiple cpu faults)|(system.+state.+changed )|(\[timeout)|(PRM\|1\|D)|(kpr)|(kdp)|(\|lc)|(penalty))"</v>
      </c>
      <c r="AG228" s="1" t="str">
        <f t="shared" si="98"/>
        <v>Other</v>
      </c>
      <c r="AH228" s="86" t="str">
        <f t="shared" si="99"/>
        <v>"%USERPROFILE%\Documents\GitHub\eaglep3\Utilities\RefineRTDCRunTimes.py" --tripid 71-10 --locoid 4054 --swversion DE.1.0.9.0 --startMP 204:1475 --initTime 2017-04-10T18:13:00 --startdatetime 2017-04-10T18:16:15 --delay 1 --endMP 300:23301 --enddatetime 2017-04-10T18:33:37 --enforcementcount 0 &gt;&gt;C:\Users\stu\Documents\GitHub\eaglep3-reporting\EC\2017-04-10-refined-times.txt</v>
      </c>
      <c r="AI228" s="104" t="str">
        <f t="shared" si="100"/>
        <v>echo {"issue":{"subject":"","project_id":79,"tracker_id":40,"status_id":1,"priority_id":2,"assigned_to_id":23,"start_date":"2017-04-10","description":"","custom_fields":[{"id":1,"name":"Subdivision","value":"Other"},{"id":4,"name":"Milepost","value":"2.3301"},{"id":17,"name":"Train ID","value":"71-10"},{"id":16,"name":"Locomotive ID","value":"4054"},{"id":130,"name":"Impact","value":""},{"id":150,"name":"Time of Event (Mountain Time)","value":"18:33:37"},{"id":151,"name":"Denver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8"/>
      <c r="AL228" s="48"/>
      <c r="AM228" s="150" t="str">
        <f t="shared" si="101"/>
        <v>start /low /b %USERPROFILE%\Documents\GitHub\eaglep3\Utilities\DownloadLogsFromS3.py --loco 4054 --day 2017-04-10</v>
      </c>
      <c r="AN228" s="159" t="str">
        <f t="shared" si="102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3"/>
  <sortState ref="A13:AH200">
    <sortCondition ref="AG13:AG200"/>
    <sortCondition ref="AD13:AD200"/>
  </sortState>
  <mergeCells count="1">
    <mergeCell ref="A11:P11"/>
  </mergeCells>
  <conditionalFormatting sqref="W11:W12 W270:X1048576 W13:X228">
    <cfRule type="cellIs" dxfId="10" priority="370" operator="equal">
      <formula>"Y"</formula>
    </cfRule>
  </conditionalFormatting>
  <conditionalFormatting sqref="X270:X1048576 X13:X228">
    <cfRule type="cellIs" dxfId="9" priority="353" operator="greaterThan">
      <formula>1</formula>
    </cfRule>
  </conditionalFormatting>
  <conditionalFormatting sqref="X270:X1048576 X12:X228">
    <cfRule type="cellIs" dxfId="8" priority="350" operator="equal">
      <formula>0</formula>
    </cfRule>
  </conditionalFormatting>
  <conditionalFormatting sqref="A13:S228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3"/>
  <sheetViews>
    <sheetView topLeftCell="A20" zoomScaleNormal="100" workbookViewId="0">
      <selection activeCell="N18" sqref="N1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COUNTIF($O$7:$O$301,"=Y")</f>
        <v>7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COUNTA($O$7:$O$301)-O2</f>
        <v>60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42835.822939814818</v>
      </c>
      <c r="B7" s="30" t="s">
        <v>614</v>
      </c>
      <c r="C7" s="30" t="s">
        <v>647</v>
      </c>
      <c r="D7" s="30" t="s">
        <v>98</v>
      </c>
      <c r="E7" s="30" t="s">
        <v>191</v>
      </c>
      <c r="F7" s="43">
        <v>190</v>
      </c>
      <c r="G7" s="43">
        <v>244</v>
      </c>
      <c r="H7" s="43">
        <v>26996</v>
      </c>
      <c r="I7" s="43">
        <v>26996</v>
      </c>
      <c r="J7" s="30" t="s">
        <v>192</v>
      </c>
      <c r="K7" s="43">
        <v>27350</v>
      </c>
      <c r="L7" s="139" t="s">
        <v>51</v>
      </c>
      <c r="M7" s="140">
        <f t="shared" ref="M7:M38" si="0">CONVERT((I7-K7)/10000,"mi","ft")*IF(L7="Increasing Mileposts (1)",-1,1)</f>
        <v>-186.91200000000001</v>
      </c>
      <c r="N7" s="141" t="str">
        <f>VLOOKUP(C7,'Trips&amp;Operators'!$C$1:$G$99999,5,FALSE)</f>
        <v>SULLIVAN BRANDON</v>
      </c>
      <c r="O7" s="190" t="s">
        <v>184</v>
      </c>
      <c r="P7" s="142" t="s">
        <v>445</v>
      </c>
      <c r="Q7" s="30"/>
      <c r="R7" s="89" t="str">
        <f>IF(VLOOKUP(C7,'Train Runs'!$A$13:$AE$9939,1,1)=C7,VLOOKUP(C7,'Train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7" s="92" t="str">
        <f>VLOOKUP(C7,'Train Runs'!$A$13:$AE$9939,22,0)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/stypes="*4005*201704110*" /stext=" 01:.+((SYSTEM_STATE.+slice.+state.+changed )|(ment ac)|(multiple cpu faults)|(system.+state.+changed )|(\[timeout)|(PRM\|1\|D)|(kpr)|(kdp)|(\|lc)|(penalty))"</v>
      </c>
      <c r="U7" s="9" t="str">
        <f t="shared" ref="U7:U38" si="2">MID(B7,13,4)</f>
        <v>4005</v>
      </c>
      <c r="V7" s="32">
        <f t="shared" ref="V7:V38" si="3">A7-utc_offset/24</f>
        <v>42836.072939814818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arrival","project_id":79,"tracker_id":40,"status_id":1,"priority_id":2,"assigned_to_id":23,"start_date":"2017-04-10","description":"","custom_fields":[{"id":1,"name":"Subdivision","value":"EC"},{"id":4,"name":"Milepost","value":"2.735"},{"id":17,"name":"Train ID","value":"218-10"},{"id":16,"name":"Locomotive ID","value":"4005"},{"id":130,"name":"Impact","value":""},{"id":150,"name":"Time of Event (Mountain Time)","value":"19:45:02"},{"id":151,"name":"Denver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"%USERPROFILE%\AppData\Local\Temp\OnboardLogs"\RTDC4005\*4005*201704110*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"%USERPROFILE%\AppData\Local\Temp\OnboardLogs"\RTDC4005\*4005*201704110* &gt;&gt; 2017-04-10-SliceDisagreementCheck.txt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4005 --day 2017-04-11</v>
      </c>
    </row>
    <row r="8" spans="1:32" s="1" customFormat="1" x14ac:dyDescent="0.25">
      <c r="A8" s="32">
        <v>42835.823113425926</v>
      </c>
      <c r="B8" s="30" t="s">
        <v>614</v>
      </c>
      <c r="C8" s="30" t="s">
        <v>647</v>
      </c>
      <c r="D8" s="30" t="s">
        <v>98</v>
      </c>
      <c r="E8" s="30" t="s">
        <v>191</v>
      </c>
      <c r="F8" s="43">
        <v>190</v>
      </c>
      <c r="G8" s="43">
        <v>244</v>
      </c>
      <c r="H8" s="43">
        <v>26992</v>
      </c>
      <c r="I8" s="43">
        <v>26299</v>
      </c>
      <c r="J8" s="30" t="s">
        <v>192</v>
      </c>
      <c r="K8" s="43">
        <v>27350</v>
      </c>
      <c r="L8" s="139" t="s">
        <v>51</v>
      </c>
      <c r="M8" s="140">
        <f t="shared" si="0"/>
        <v>-554.928</v>
      </c>
      <c r="N8" s="141" t="str">
        <f>VLOOKUP(C8,'Trips&amp;Operators'!$C$1:$G$99999,5,FALSE)</f>
        <v>SULLIVAN BRANDON</v>
      </c>
      <c r="O8" s="190" t="s">
        <v>184</v>
      </c>
      <c r="P8" s="142" t="s">
        <v>445</v>
      </c>
      <c r="Q8" s="30"/>
      <c r="R8" s="89" t="str">
        <f>IF(VLOOKUP(C8,'Train Runs'!$A$13:$AE$9939,1,1)=C8,VLOOKUP(C8,'Train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8" s="92" t="str">
        <f>VLOOKUP(C8,'Train Runs'!$A$13:$AE$9939,22,0)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94" t="str">
        <f t="shared" si="1"/>
        <v>"C:\Program Files (x86)\AstroGrep\AstroGrep.exe" /e /r /s /spath="%USERPROFILE%\AppData\Local\Temp\OnboardLogs" /stypes="*4005*201704110*" /stext=" 01:.+((SYSTEM_STATE.+slice.+state.+changed )|(ment ac)|(multiple cpu faults)|(system.+state.+changed )|(\[timeout)|(PRM\|1\|D)|(kpr)|(kdp)|(\|lc)|(penalty))"</v>
      </c>
      <c r="U8" s="9" t="str">
        <f t="shared" si="2"/>
        <v>4005</v>
      </c>
      <c r="V8" s="32">
        <f t="shared" si="3"/>
        <v>42836.073113425926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arrival","project_id":79,"tracker_id":40,"status_id":1,"priority_id":2,"assigned_to_id":23,"start_date":"2017-04-10","description":"","custom_fields":[{"id":1,"name":"Subdivision","value":"EC"},{"id":4,"name":"Milepost","value":"2.735"},{"id":17,"name":"Train ID","value":"218-10"},{"id":16,"name":"Locomotive ID","value":"4005"},{"id":130,"name":"Impact","value":""},{"id":150,"name":"Time of Event (Mountain Time)","value":"19:45:17"},{"id":151,"name":"Denver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"%USERPROFILE%\AppData\Local\Temp\OnboardLogs"\RTDC4005\*4005*201704110*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"%USERPROFILE%\AppData\Local\Temp\OnboardLogs"\RTDC4005\*4005*201704110* &gt;&gt; 2017-04-10-SliceDisagreementCheck.txt</v>
      </c>
      <c r="AE8" s="153" t="str">
        <f t="shared" ref="AE8:AE71" si="9">"start /low /b "&amp;dls3logs&amp;" --loco "&amp;U8&amp;" --day "&amp;TEXT(V8,"YYYY-MM-DD")</f>
        <v>start /low /b %USERPROFILE%\Documents\GitHub\eaglep3\Utilities\DownloadLogsFromS3.py --loco 4005 --day 2017-04-11</v>
      </c>
    </row>
    <row r="9" spans="1:32" s="1" customFormat="1" x14ac:dyDescent="0.25">
      <c r="A9" s="32">
        <v>42835.823796296296</v>
      </c>
      <c r="B9" s="30" t="s">
        <v>614</v>
      </c>
      <c r="C9" s="30" t="s">
        <v>647</v>
      </c>
      <c r="D9" s="30" t="s">
        <v>98</v>
      </c>
      <c r="E9" s="30" t="s">
        <v>191</v>
      </c>
      <c r="F9" s="43">
        <v>190</v>
      </c>
      <c r="G9" s="43">
        <v>244</v>
      </c>
      <c r="H9" s="43">
        <v>26992</v>
      </c>
      <c r="I9" s="43">
        <v>23809</v>
      </c>
      <c r="J9" s="30" t="s">
        <v>192</v>
      </c>
      <c r="K9" s="43">
        <v>27350</v>
      </c>
      <c r="L9" s="139" t="s">
        <v>51</v>
      </c>
      <c r="M9" s="140">
        <f t="shared" si="0"/>
        <v>-1869.6479999999999</v>
      </c>
      <c r="N9" s="141" t="str">
        <f>VLOOKUP(C9,'Trips&amp;Operators'!$C$1:$G$99999,5,FALSE)</f>
        <v>SULLIVAN BRANDON</v>
      </c>
      <c r="O9" s="190" t="s">
        <v>184</v>
      </c>
      <c r="P9" s="142" t="s">
        <v>445</v>
      </c>
      <c r="Q9" s="30"/>
      <c r="R9" s="89" t="str">
        <f>IF(VLOOKUP(C9,'Train Runs'!$A$13:$AE$9939,1,1)=C9,VLOOKUP(C9,'Train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9" s="92" t="str">
        <f>VLOOKUP(C9,'Train Runs'!$A$13:$AE$9939,22,0)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94" t="str">
        <f t="shared" si="1"/>
        <v>"C:\Program Files (x86)\AstroGrep\AstroGrep.exe" /e /r /s /spath="%USERPROFILE%\AppData\Local\Temp\OnboardLogs" /stypes="*4005*201704110*" /stext=" 01:.+((SYSTEM_STATE.+slice.+state.+changed )|(ment ac)|(multiple cpu faults)|(system.+state.+changed )|(\[timeout)|(PRM\|1\|D)|(kpr)|(kdp)|(\|lc)|(penalty))"</v>
      </c>
      <c r="U9" s="9" t="str">
        <f t="shared" si="2"/>
        <v>4005</v>
      </c>
      <c r="V9" s="32">
        <f t="shared" si="3"/>
        <v>42836.073796296296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arrival","project_id":79,"tracker_id":40,"status_id":1,"priority_id":2,"assigned_to_id":23,"start_date":"2017-04-10","description":"","custom_fields":[{"id":1,"name":"Subdivision","value":"EC"},{"id":4,"name":"Milepost","value":"2.735"},{"id":17,"name":"Train ID","value":"218-10"},{"id":16,"name":"Locomotive ID","value":"4005"},{"id":130,"name":"Impact","value":""},{"id":150,"name":"Time of Event (Mountain Time)","value":"19:46:16"},{"id":151,"name":"Denver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"%USERPROFILE%\AppData\Local\Temp\OnboardLogs"\RTDC4005\*4005*201704110*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"%USERPROFILE%\AppData\Local\Temp\OnboardLogs"\RTDC4005\*4005*201704110* &gt;&gt; 2017-04-10-SliceDisagreementCheck.txt</v>
      </c>
      <c r="AE9" s="153" t="str">
        <f t="shared" si="9"/>
        <v>start /low /b %USERPROFILE%\Documents\GitHub\eaglep3\Utilities\DownloadLogsFromS3.py --loco 4005 --day 2017-04-11</v>
      </c>
    </row>
    <row r="10" spans="1:32" s="1" customFormat="1" x14ac:dyDescent="0.25">
      <c r="A10" s="32">
        <v>42835.341261574074</v>
      </c>
      <c r="B10" s="30" t="s">
        <v>432</v>
      </c>
      <c r="C10" s="30" t="s">
        <v>609</v>
      </c>
      <c r="D10" s="30" t="s">
        <v>49</v>
      </c>
      <c r="E10" s="30" t="s">
        <v>191</v>
      </c>
      <c r="F10" s="43">
        <v>0</v>
      </c>
      <c r="G10" s="43">
        <v>208</v>
      </c>
      <c r="H10" s="43">
        <v>31091</v>
      </c>
      <c r="I10" s="43">
        <v>30835</v>
      </c>
      <c r="J10" s="30" t="s">
        <v>192</v>
      </c>
      <c r="K10" s="43">
        <v>30970</v>
      </c>
      <c r="L10" s="139" t="s">
        <v>51</v>
      </c>
      <c r="M10" s="140">
        <f t="shared" si="0"/>
        <v>-71.28</v>
      </c>
      <c r="N10" s="141" t="str">
        <f>VLOOKUP(C10,'Trips&amp;Operators'!$C$1:$G$99999,5,FALSE)</f>
        <v>YORK EDGAR</v>
      </c>
      <c r="O10" s="190" t="s">
        <v>184</v>
      </c>
      <c r="P10" s="142" t="s">
        <v>445</v>
      </c>
      <c r="Q10" s="30"/>
      <c r="R10" s="89" t="str">
        <f>IF(VLOOKUP(C10,'Train Runs'!$A$13:$AE$9939,1,1)=C10,VLOOKUP(C10,'Train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10" s="92" t="str">
        <f>VLOOKUP(C10,'Train Runs'!$A$13:$AE$9939,22,0)</f>
        <v>https://d0f6bd738d7f1b3e5a7ca70fe4ff75f0.us-east-1.aws.found.io/app/kibana#/discover/Steve-Slow-Train-Analysis-(2080s-and-2083s)?_g=(refreshInterval:(display:Off,pause:!f,section:0,value:0),time:(from:'2017-04-10T06:22:20-0600',mode:absolute,to:'2017-04-10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94" t="str">
        <f t="shared" si="1"/>
        <v>"C:\Program Files (x86)\AstroGrep\AstroGrep.exe" /e /r /s /spath="%USERPROFILE%\AppData\Local\Temp\OnboardLogs" /stypes="*4041*201704101*" /stext=" 14:.+((SYSTEM_STATE.+slice.+state.+changed )|(ment ac)|(multiple cpu faults)|(system.+state.+changed )|(\[timeout)|(PRM\|1\|D)|(kpr)|(kdp)|(\|lc)|(penalty))"</v>
      </c>
      <c r="U10" s="9" t="str">
        <f t="shared" si="2"/>
        <v>4041</v>
      </c>
      <c r="V10" s="32">
        <f t="shared" si="3"/>
        <v>42835.591261574074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arrival","project_id":79,"tracker_id":40,"status_id":1,"priority_id":2,"assigned_to_id":23,"start_date":"2017-04-10","description":"","custom_fields":[{"id":1,"name":"Subdivision","value":"EC"},{"id":4,"name":"Milepost","value":"3.097"},{"id":17,"name":"Train ID","value":"126-10"},{"id":16,"name":"Locomotive ID","value":"4041"},{"id":130,"name":"Impact","value":""},{"id":150,"name":"Time of Event (Mountain Time)","value":"08:11:25"},{"id":151,"name":"Denver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"%USERPROFILE%\AppData\Local\Temp\OnboardLogs"\RTDC4041\*4041*201704101*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"%USERPROFILE%\AppData\Local\Temp\OnboardLogs"\RTDC4041\*4041*201704101* &gt;&gt; 2017-04-10-SliceDisagreementCheck.txt</v>
      </c>
      <c r="AE10" s="153" t="str">
        <f t="shared" si="9"/>
        <v>start /low /b %USERPROFILE%\Documents\GitHub\eaglep3\Utilities\DownloadLogsFromS3.py --loco 4041 --day 2017-04-10</v>
      </c>
    </row>
    <row r="11" spans="1:32" s="1" customFormat="1" x14ac:dyDescent="0.25">
      <c r="A11" s="32">
        <v>42835.476550925923</v>
      </c>
      <c r="B11" s="30" t="s">
        <v>616</v>
      </c>
      <c r="C11" s="30" t="s">
        <v>617</v>
      </c>
      <c r="D11" s="30" t="s">
        <v>49</v>
      </c>
      <c r="E11" s="30" t="s">
        <v>191</v>
      </c>
      <c r="F11" s="43">
        <v>530</v>
      </c>
      <c r="G11" s="43">
        <v>592</v>
      </c>
      <c r="H11" s="43">
        <v>44512</v>
      </c>
      <c r="I11" s="43">
        <v>42222</v>
      </c>
      <c r="J11" s="30" t="s">
        <v>192</v>
      </c>
      <c r="K11" s="43">
        <v>42961</v>
      </c>
      <c r="L11" s="139" t="s">
        <v>51</v>
      </c>
      <c r="M11" s="140">
        <f t="shared" si="0"/>
        <v>-390.19200000000001</v>
      </c>
      <c r="N11" s="141" t="str">
        <f>VLOOKUP(C11,'Trips&amp;Operators'!$C$1:$G$99999,5,FALSE)</f>
        <v>SHOOK JOHN</v>
      </c>
      <c r="O11" s="190" t="s">
        <v>184</v>
      </c>
      <c r="P11" s="142" t="s">
        <v>445</v>
      </c>
      <c r="Q11" s="30"/>
      <c r="R11" s="89" t="str">
        <f>IF(VLOOKUP(C11,'Train Runs'!$A$13:$AE$9939,1,1)=C11,VLOOKUP(C11,'Train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1" s="92" t="str">
        <f>VLOOKUP(C11,'Train Runs'!$A$13:$AE$9939,22,0)</f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94" t="str">
        <f t="shared" si="1"/>
        <v>"C:\Program Files (x86)\AstroGrep\AstroGrep.exe" /e /r /s /spath="%USERPROFILE%\AppData\Local\Temp\OnboardLogs" /stypes="*4015*201704101*" /stext=" 17:.+((SYSTEM_STATE.+slice.+state.+changed )|(ment ac)|(multiple cpu faults)|(system.+state.+changed )|(\[timeout)|(PRM\|1\|D)|(kpr)|(kdp)|(\|lc)|(penalty))"</v>
      </c>
      <c r="U11" s="9" t="str">
        <f t="shared" si="2"/>
        <v>4015</v>
      </c>
      <c r="V11" s="32">
        <f t="shared" si="3"/>
        <v>42835.726550925923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arrival","project_id":79,"tracker_id":40,"status_id":1,"priority_id":2,"assigned_to_id":23,"start_date":"2017-04-10","description":"","custom_fields":[{"id":1,"name":"Subdivision","value":"EC"},{"id":4,"name":"Milepost","value":"4.2961"},{"id":17,"name":"Train ID","value":"152-10"},{"id":16,"name":"Locomotive ID","value":"4015"},{"id":130,"name":"Impact","value":""},{"id":150,"name":"Time of Event (Mountain Time)","value":"11:26:14"},{"id":151,"name":"Denver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"%USERPROFILE%\AppData\Local\Temp\OnboardLogs"\RTDC4015\*4015*201704101*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11" s="153" t="str">
        <f t="shared" si="9"/>
        <v>start /low /b %USERPROFILE%\Documents\GitHub\eaglep3\Utilities\DownloadLogsFromS3.py --loco 4015 --day 2017-04-10</v>
      </c>
    </row>
    <row r="12" spans="1:32" s="1" customFormat="1" x14ac:dyDescent="0.25">
      <c r="A12" s="32">
        <v>42835.585763888892</v>
      </c>
      <c r="B12" s="30" t="s">
        <v>446</v>
      </c>
      <c r="C12" s="30" t="s">
        <v>627</v>
      </c>
      <c r="D12" s="30" t="s">
        <v>49</v>
      </c>
      <c r="E12" s="30" t="s">
        <v>191</v>
      </c>
      <c r="F12" s="43">
        <v>450</v>
      </c>
      <c r="G12" s="43">
        <v>537</v>
      </c>
      <c r="H12" s="43">
        <v>49137</v>
      </c>
      <c r="I12" s="43">
        <v>46996</v>
      </c>
      <c r="J12" s="30" t="s">
        <v>192</v>
      </c>
      <c r="K12" s="43">
        <v>48048</v>
      </c>
      <c r="L12" s="139" t="s">
        <v>51</v>
      </c>
      <c r="M12" s="140">
        <f t="shared" si="0"/>
        <v>-555.45600000000002</v>
      </c>
      <c r="N12" s="141" t="str">
        <f>VLOOKUP(C12,'Trips&amp;Operators'!$C$1:$G$99999,5,FALSE)</f>
        <v>BRANDNER MELINDA</v>
      </c>
      <c r="O12" s="190" t="s">
        <v>184</v>
      </c>
      <c r="P12" s="142" t="s">
        <v>445</v>
      </c>
      <c r="Q12" s="30"/>
      <c r="R12" s="89" t="str">
        <f>IF(VLOOKUP(C12,'Train Runs'!$A$13:$AE$9939,1,1)=C12,VLOOKUP(C12,'Train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12" s="92" t="str">
        <f>VLOOKUP(C12,'Train Runs'!$A$13:$AE$9939,22,0)</f>
        <v>https://d0f6bd738d7f1b3e5a7ca70fe4ff75f0.us-east-1.aws.found.io/app/kibana#/discover/Steve-Slow-Train-Analysis-(2080s-and-2083s)?_g=(refreshInterval:(display:Off,pause:!f,section:0,value:0),time:(from:'2017-04-10T12:46:27-0600',mode:absolute,to:'2017-04-10T15:16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94" t="str">
        <f t="shared" si="1"/>
        <v>"C:\Program Files (x86)\AstroGrep\AstroGrep.exe" /e /r /s /spath="%USERPROFILE%\AppData\Local\Temp\OnboardLogs" /stypes="*4053*201704102*" /stext=" 20:.+((SYSTEM_STATE.+slice.+state.+changed )|(ment ac)|(multiple cpu faults)|(system.+state.+changed )|(\[timeout)|(PRM\|1\|D)|(kpr)|(kdp)|(\|lc)|(penalty))"</v>
      </c>
      <c r="U12" s="9" t="str">
        <f t="shared" si="2"/>
        <v>4053</v>
      </c>
      <c r="V12" s="32">
        <f t="shared" si="3"/>
        <v>42835.835763888892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arrival","project_id":79,"tracker_id":40,"status_id":1,"priority_id":2,"assigned_to_id":23,"start_date":"2017-04-10","description":"","custom_fields":[{"id":1,"name":"Subdivision","value":"EC"},{"id":4,"name":"Milepost","value":"4.8048"},{"id":17,"name":"Train ID","value":"172-10"},{"id":16,"name":"Locomotive ID","value":"4053"},{"id":130,"name":"Impact","value":""},{"id":150,"name":"Time of Event (Mountain Time)","value":"14:03:30"},{"id":151,"name":"Denver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"%USERPROFILE%\AppData\Local\Temp\OnboardLogs"\RTDC4053\*4053*201704102*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"%USERPROFILE%\AppData\Local\Temp\OnboardLogs"\RTDC4053\*4053*201704102* &gt;&gt; 2017-04-10-SliceDisagreementCheck.txt</v>
      </c>
      <c r="AE12" s="153" t="str">
        <f t="shared" si="9"/>
        <v>start /low /b %USERPROFILE%\Documents\GitHub\eaglep3\Utilities\DownloadLogsFromS3.py --loco 4053 --day 2017-04-10</v>
      </c>
    </row>
    <row r="13" spans="1:32" s="1" customFormat="1" x14ac:dyDescent="0.25">
      <c r="A13" s="32">
        <v>42835.621006944442</v>
      </c>
      <c r="B13" s="30" t="s">
        <v>616</v>
      </c>
      <c r="C13" s="30" t="s">
        <v>630</v>
      </c>
      <c r="D13" s="30" t="s">
        <v>49</v>
      </c>
      <c r="E13" s="30" t="s">
        <v>191</v>
      </c>
      <c r="F13" s="43">
        <v>240</v>
      </c>
      <c r="G13" s="43">
        <v>353</v>
      </c>
      <c r="H13" s="43">
        <v>54247</v>
      </c>
      <c r="I13" s="43">
        <v>53274</v>
      </c>
      <c r="J13" s="30" t="s">
        <v>192</v>
      </c>
      <c r="K13" s="43">
        <v>53277</v>
      </c>
      <c r="L13" s="139" t="s">
        <v>51</v>
      </c>
      <c r="M13" s="140">
        <f t="shared" si="0"/>
        <v>-1.5840000000000001</v>
      </c>
      <c r="N13" s="141" t="str">
        <f>VLOOKUP(C13,'Trips&amp;Operators'!$C$1:$G$99999,5,FALSE)</f>
        <v>MENGES BRAD</v>
      </c>
      <c r="O13" s="190" t="s">
        <v>184</v>
      </c>
      <c r="P13" s="142" t="s">
        <v>445</v>
      </c>
      <c r="Q13" s="30"/>
      <c r="R13" s="89" t="str">
        <f>IF(VLOOKUP(C13,'Train Runs'!$A$13:$AE$9939,1,1)=C13,VLOOKUP(C13,'Train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3" s="92" t="str">
        <f>VLOOKUP(C13,'Train Runs'!$A$13:$AE$9939,22,0)</f>
        <v>https://d0f6bd738d7f1b3e5a7ca70fe4ff75f0.us-east-1.aws.found.io/app/kibana#/discover/Steve-Slow-Train-Analysis-(2080s-and-2083s)?_g=(refreshInterval:(display:Off,pause:!f,section:0,value:0),time:(from:'2017-04-10T13:23:12-0600',mode:absolute,to:'2017-04-10T16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3" s="94" t="str">
        <f t="shared" si="1"/>
        <v>"C:\Program Files (x86)\AstroGrep\AstroGrep.exe" /e /r /s /spath="%USERPROFILE%\AppData\Local\Temp\OnboardLogs" /stypes="*4015*201704102*" /stext=" 20:.+((SYSTEM_STATE.+slice.+state.+changed )|(ment ac)|(multiple cpu faults)|(system.+state.+changed )|(\[timeout)|(PRM\|1\|D)|(kpr)|(kdp)|(\|lc)|(penalty))"</v>
      </c>
      <c r="U13" s="9" t="str">
        <f t="shared" si="2"/>
        <v>4015</v>
      </c>
      <c r="V13" s="32">
        <f t="shared" si="3"/>
        <v>42835.871006944442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arrival","project_id":79,"tracker_id":40,"status_id":1,"priority_id":2,"assigned_to_id":23,"start_date":"2017-04-10","description":"","custom_fields":[{"id":1,"name":"Subdivision","value":"EC"},{"id":4,"name":"Milepost","value":"5.3277"},{"id":17,"name":"Train ID","value":"180-10"},{"id":16,"name":"Locomotive ID","value":"4015"},{"id":130,"name":"Impact","value":""},{"id":150,"name":"Time of Event (Mountain Time)","value":"14:54:15"},{"id":151,"name":"Denver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"%USERPROFILE%\AppData\Local\Temp\OnboardLogs"\RTDC4015\*4015*201704102*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"%USERPROFILE%\AppData\Local\Temp\OnboardLogs"\RTDC4015\*4015*201704102* &gt;&gt; 2017-04-10-SliceDisagreementCheck.txt</v>
      </c>
      <c r="AE13" s="153" t="str">
        <f t="shared" si="9"/>
        <v>start /low /b %USERPROFILE%\Documents\GitHub\eaglep3\Utilities\DownloadLogsFromS3.py --loco 4015 --day 2017-04-10</v>
      </c>
    </row>
    <row r="14" spans="1:32" x14ac:dyDescent="0.25">
      <c r="A14" s="32">
        <v>42835.546134259261</v>
      </c>
      <c r="B14" s="30" t="s">
        <v>616</v>
      </c>
      <c r="C14" s="30" t="s">
        <v>626</v>
      </c>
      <c r="D14" s="30" t="s">
        <v>49</v>
      </c>
      <c r="E14" s="30" t="s">
        <v>191</v>
      </c>
      <c r="F14" s="43">
        <v>0</v>
      </c>
      <c r="G14" s="43">
        <v>333</v>
      </c>
      <c r="H14" s="43">
        <v>58732</v>
      </c>
      <c r="I14" s="43">
        <v>57708</v>
      </c>
      <c r="J14" s="30" t="s">
        <v>192</v>
      </c>
      <c r="K14" s="43">
        <v>58301</v>
      </c>
      <c r="L14" s="139" t="s">
        <v>51</v>
      </c>
      <c r="M14" s="140">
        <f t="shared" si="0"/>
        <v>-313.10399999999998</v>
      </c>
      <c r="N14" s="141" t="str">
        <f>VLOOKUP(C14,'Trips&amp;Operators'!$C$1:$G$99999,5,FALSE)</f>
        <v>ROMERO CHAD</v>
      </c>
      <c r="O14" s="190" t="s">
        <v>184</v>
      </c>
      <c r="P14" s="142" t="s">
        <v>445</v>
      </c>
      <c r="Q14" s="30"/>
      <c r="R14" s="89" t="str">
        <f>IF(VLOOKUP(C14,'Train Runs'!$A$13:$AE$9939,1,1)=C14,VLOOKUP(C14,'Train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4" s="92" t="str">
        <f>VLOOKUP(C14,'Train Runs'!$A$13:$AE$9939,22,0)</f>
        <v>https://d0f6bd738d7f1b3e5a7ca70fe4ff75f0.us-east-1.aws.found.io/app/kibana#/discover/Steve-Slow-Train-Analysis-(2080s-and-2083s)?_g=(refreshInterval:(display:Off,pause:!f,section:0,value:0),time:(from:'2017-04-10T11:28:28-0600',mode:absolute,to:'2017-04-10T14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94" t="str">
        <f t="shared" si="1"/>
        <v>"C:\Program Files (x86)\AstroGrep\AstroGrep.exe" /e /r /s /spath="%USERPROFILE%\AppData\Local\Temp\OnboardLogs" /stypes="*4015*201704101*" /stext=" 19:.+((SYSTEM_STATE.+slice.+state.+changed )|(ment ac)|(multiple cpu faults)|(system.+state.+changed )|(\[timeout)|(PRM\|1\|D)|(kpr)|(kdp)|(\|lc)|(penalty))"</v>
      </c>
      <c r="U14" s="9" t="str">
        <f t="shared" si="2"/>
        <v>4015</v>
      </c>
      <c r="V14" s="32">
        <f t="shared" si="3"/>
        <v>42835.796134259261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arrival","project_id":79,"tracker_id":40,"status_id":1,"priority_id":2,"assigned_to_id":23,"start_date":"2017-04-10","description":"","custom_fields":[{"id":1,"name":"Subdivision","value":"EC"},{"id":4,"name":"Milepost","value":"5.8301"},{"id":17,"name":"Train ID","value":"166-10"},{"id":16,"name":"Locomotive ID","value":"4015"},{"id":130,"name":"Impact","value":""},{"id":150,"name":"Time of Event (Mountain Time)","value":"13:06:26"},{"id":151,"name":"Denver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"%USERPROFILE%\AppData\Local\Temp\OnboardLogs"\RTDC4015\*4015*201704101*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14" s="153" t="str">
        <f t="shared" si="9"/>
        <v>start /low /b %USERPROFILE%\Documents\GitHub\eaglep3\Utilities\DownloadLogsFromS3.py --loco 4015 --day 2017-04-10</v>
      </c>
      <c r="AF14" s="1"/>
    </row>
    <row r="15" spans="1:32" x14ac:dyDescent="0.25">
      <c r="A15" s="32">
        <v>42835.632754629631</v>
      </c>
      <c r="B15" s="30" t="s">
        <v>432</v>
      </c>
      <c r="C15" s="30" t="s">
        <v>631</v>
      </c>
      <c r="D15" s="30" t="s">
        <v>49</v>
      </c>
      <c r="E15" s="30" t="s">
        <v>191</v>
      </c>
      <c r="F15" s="43">
        <v>260</v>
      </c>
      <c r="G15" s="43">
        <v>323</v>
      </c>
      <c r="H15" s="43">
        <v>58432</v>
      </c>
      <c r="I15" s="43">
        <v>57629</v>
      </c>
      <c r="J15" s="30" t="s">
        <v>192</v>
      </c>
      <c r="K15" s="43">
        <v>58301</v>
      </c>
      <c r="L15" s="139" t="s">
        <v>51</v>
      </c>
      <c r="M15" s="140">
        <f t="shared" si="0"/>
        <v>-354.81599999999997</v>
      </c>
      <c r="N15" s="141" t="str">
        <f>VLOOKUP(C15,'Trips&amp;Operators'!$C$1:$G$99999,5,FALSE)</f>
        <v>LOCKLEAR TRAVIS</v>
      </c>
      <c r="O15" s="190" t="s">
        <v>184</v>
      </c>
      <c r="P15" s="142" t="s">
        <v>445</v>
      </c>
      <c r="Q15" s="30"/>
      <c r="R15" s="89" t="str">
        <f>IF(VLOOKUP(C15,'Train Runs'!$A$13:$AE$9939,1,1)=C15,VLOOKUP(C15,'Train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15" s="92" t="str">
        <f>VLOOKUP(C15,'Train Runs'!$A$13:$AE$9939,22,0)</f>
        <v>https://d0f6bd738d7f1b3e5a7ca70fe4ff75f0.us-east-1.aws.found.io/app/kibana#/discover/Steve-Slow-Train-Analysis-(2080s-and-2083s)?_g=(refreshInterval:(display:Off,pause:!f,section:0,value:0),time:(from:'2017-04-10T13:39:36-0600',mode:absolute,to:'2017-04-10T16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94" t="str">
        <f t="shared" si="1"/>
        <v>"C:\Program Files (x86)\AstroGrep\AstroGrep.exe" /e /r /s /spath="%USERPROFILE%\AppData\Local\Temp\OnboardLogs" /stypes="*4041*201704102*" /stext=" 21:.+((SYSTEM_STATE.+slice.+state.+changed )|(ment ac)|(multiple cpu faults)|(system.+state.+changed )|(\[timeout)|(PRM\|1\|D)|(kpr)|(kdp)|(\|lc)|(penalty))"</v>
      </c>
      <c r="U15" s="9" t="str">
        <f t="shared" si="2"/>
        <v>4041</v>
      </c>
      <c r="V15" s="32">
        <f t="shared" si="3"/>
        <v>42835.882754629631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arrival","project_id":79,"tracker_id":40,"status_id":1,"priority_id":2,"assigned_to_id":23,"start_date":"2017-04-10","description":"","custom_fields":[{"id":1,"name":"Subdivision","value":"EC"},{"id":4,"name":"Milepost","value":"5.8301"},{"id":17,"name":"Train ID","value":"182-10"},{"id":16,"name":"Locomotive ID","value":"4041"},{"id":130,"name":"Impact","value":""},{"id":150,"name":"Time of Event (Mountain Time)","value":"15:11:10"},{"id":151,"name":"Denver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"%USERPROFILE%\AppData\Local\Temp\OnboardLogs"\RTDC4041\*4041*201704102*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"%USERPROFILE%\AppData\Local\Temp\OnboardLogs"\RTDC4041\*4041*201704102* &gt;&gt; 2017-04-10-SliceDisagreementCheck.txt</v>
      </c>
      <c r="AE15" s="153" t="str">
        <f t="shared" si="9"/>
        <v>start /low /b %USERPROFILE%\Documents\GitHub\eaglep3\Utilities\DownloadLogsFromS3.py --loco 4041 --day 2017-04-10</v>
      </c>
      <c r="AF15" s="1"/>
    </row>
    <row r="16" spans="1:32" x14ac:dyDescent="0.25">
      <c r="A16" s="32">
        <v>42835.687164351853</v>
      </c>
      <c r="B16" s="30" t="s">
        <v>628</v>
      </c>
      <c r="C16" s="30" t="s">
        <v>636</v>
      </c>
      <c r="D16" s="30" t="s">
        <v>49</v>
      </c>
      <c r="E16" s="30" t="s">
        <v>191</v>
      </c>
      <c r="F16" s="43">
        <v>0</v>
      </c>
      <c r="G16" s="43">
        <v>522</v>
      </c>
      <c r="H16" s="43">
        <v>62131</v>
      </c>
      <c r="I16" s="43">
        <v>63624</v>
      </c>
      <c r="J16" s="30" t="s">
        <v>192</v>
      </c>
      <c r="K16" s="43">
        <v>63069</v>
      </c>
      <c r="L16" s="139" t="s">
        <v>50</v>
      </c>
      <c r="M16" s="140">
        <f t="shared" si="0"/>
        <v>-293.04000000000002</v>
      </c>
      <c r="N16" s="141" t="str">
        <f>VLOOKUP(C16,'Trips&amp;Operators'!$C$1:$G$99999,5,FALSE)</f>
        <v>STEWART MICHAEL</v>
      </c>
      <c r="O16" s="190" t="s">
        <v>184</v>
      </c>
      <c r="P16" s="142" t="s">
        <v>445</v>
      </c>
      <c r="Q16" s="30"/>
      <c r="R16" s="89" t="str">
        <f>IF(VLOOKUP(C16,'Train Runs'!$A$13:$AE$9939,1,1)=C16,VLOOKUP(C16,'Train Runs'!$A$13:$AE$9939,31,1),NA())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S16" s="92" t="str">
        <f>VLOOKUP(C16,'Train Runs'!$A$13:$AE$9939,22,0)</f>
        <v>https://d0f6bd738d7f1b3e5a7ca70fe4ff75f0.us-east-1.aws.found.io/app/kibana#/discover/Steve-Slow-Train-Analysis-(2080s-and-2083s)?_g=(refreshInterval:(display:Off,pause:!f,section:0,value:0),time:(from:'2017-04-10T15:11:04-0600',mode:absolute,to:'2017-04-10T17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6" s="94" t="str">
        <f t="shared" si="1"/>
        <v>"C:\Program Files (x86)\AstroGrep\AstroGrep.exe" /e /r /s /spath="%USERPROFILE%\AppData\Local\Temp\OnboardLogs" /stypes="*4026*201704102*" /stext=" 22:.+((SYSTEM_STATE.+slice.+state.+changed )|(ment ac)|(multiple cpu faults)|(system.+state.+changed )|(\[timeout)|(PRM\|1\|D)|(kpr)|(kdp)|(\|lc)|(penalty))"</v>
      </c>
      <c r="U16" s="9" t="str">
        <f t="shared" si="2"/>
        <v>4026</v>
      </c>
      <c r="V16" s="32">
        <f t="shared" si="3"/>
        <v>42835.937164351853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arrival","project_id":79,"tracker_id":40,"status_id":1,"priority_id":2,"assigned_to_id":23,"start_date":"2017-04-10","description":"","custom_fields":[{"id":1,"name":"Subdivision","value":"EC"},{"id":4,"name":"Milepost","value":"6.3069"},{"id":17,"name":"Train ID","value":"201-10"},{"id":16,"name":"Locomotive ID","value":"4026"},{"id":130,"name":"Impact","value":""},{"id":150,"name":"Time of Event (Mountain Time)","value":"16:29:31"},{"id":151,"name":"Denver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"%USERPROFILE%\AppData\Local\Temp\OnboardLogs"\RTDC4026\*4026*201704102*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"%USERPROFILE%\AppData\Local\Temp\OnboardLogs"\RTDC4026\*4026*201704102* &gt;&gt; 2017-04-10-SliceDisagreementCheck.txt</v>
      </c>
      <c r="AE16" s="153" t="str">
        <f t="shared" si="9"/>
        <v>start /low /b %USERPROFILE%\Documents\GitHub\eaglep3\Utilities\DownloadLogsFromS3.py --loco 4026 --day 2017-04-10</v>
      </c>
      <c r="AF16" s="1"/>
    </row>
    <row r="17" spans="1:32" x14ac:dyDescent="0.25">
      <c r="A17" s="32">
        <v>42835.259965277779</v>
      </c>
      <c r="B17" s="30" t="s">
        <v>593</v>
      </c>
      <c r="C17" s="30" t="s">
        <v>601</v>
      </c>
      <c r="D17" s="30" t="s">
        <v>49</v>
      </c>
      <c r="E17" s="30" t="s">
        <v>191</v>
      </c>
      <c r="F17" s="43">
        <v>350</v>
      </c>
      <c r="G17" s="43">
        <v>478</v>
      </c>
      <c r="H17" s="43">
        <v>61520</v>
      </c>
      <c r="I17" s="43">
        <v>63185</v>
      </c>
      <c r="J17" s="30" t="s">
        <v>192</v>
      </c>
      <c r="K17" s="43">
        <v>63069</v>
      </c>
      <c r="L17" s="139" t="s">
        <v>50</v>
      </c>
      <c r="M17" s="140">
        <f t="shared" si="0"/>
        <v>-61.247999999999998</v>
      </c>
      <c r="N17" s="141" t="str">
        <f>VLOOKUP(C17,'Trips&amp;Operators'!$C$1:$G$99999,5,FALSE)</f>
        <v>STARKS ANGELINA</v>
      </c>
      <c r="O17" s="190" t="s">
        <v>184</v>
      </c>
      <c r="P17" s="142" t="s">
        <v>445</v>
      </c>
      <c r="Q17" s="30"/>
      <c r="R17" s="89" t="str">
        <f>IF(VLOOKUP(C17,'Train Runs'!$A$13:$AE$9939,1,1)=C17,VLOOKUP(C17,'Train Runs'!$A$13:$AE$9939,31,1),NA())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S17" s="92" t="str">
        <f>VLOOKUP(C17,'Train Runs'!$A$13:$AE$9939,22,0)</f>
        <v>https://d0f6bd738d7f1b3e5a7ca70fe4ff75f0.us-east-1.aws.found.io/app/kibana#/discover/Steve-Slow-Train-Analysis-(2080s-and-2083s)?_g=(refreshInterval:(display:Off,pause:!f,section:0,value:0),time:(from:'2017-04-10T04:59:22-0600',mode:absolute,to:'2017-04-10T07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94" t="str">
        <f t="shared" si="1"/>
        <v>"C:\Program Files (x86)\AstroGrep\AstroGrep.exe" /e /r /s /spath="%USERPROFILE%\AppData\Local\Temp\OnboardLogs" /stypes="*4006*201704101*" /stext=" 12:.+((SYSTEM_STATE.+slice.+state.+changed )|(ment ac)|(multiple cpu faults)|(system.+state.+changed )|(\[timeout)|(PRM\|1\|D)|(kpr)|(kdp)|(\|lc)|(penalty))"</v>
      </c>
      <c r="U17" s="9" t="str">
        <f t="shared" si="2"/>
        <v>4006</v>
      </c>
      <c r="V17" s="32">
        <f t="shared" si="3"/>
        <v>42835.509965277779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arrival","project_id":79,"tracker_id":40,"status_id":1,"priority_id":2,"assigned_to_id":23,"start_date":"2017-04-10","description":"","custom_fields":[{"id":1,"name":"Subdivision","value":"EC"},{"id":4,"name":"Milepost","value":"6.3069"},{"id":17,"name":"Train ID","value":"119-10"},{"id":16,"name":"Locomotive ID","value":"4006"},{"id":130,"name":"Impact","value":""},{"id":150,"name":"Time of Event (Mountain Time)","value":"06:14:21"},{"id":151,"name":"Denver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"%USERPROFILE%\AppData\Local\Temp\OnboardLogs"\RTDC4006\*4006*201704101*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"%USERPROFILE%\AppData\Local\Temp\OnboardLogs"\RTDC4006\*4006*201704101* &gt;&gt; 2017-04-10-SliceDisagreementCheck.txt</v>
      </c>
      <c r="AE17" s="153" t="str">
        <f t="shared" si="9"/>
        <v>start /low /b %USERPROFILE%\Documents\GitHub\eaglep3\Utilities\DownloadLogsFromS3.py --loco 4006 --day 2017-04-10</v>
      </c>
      <c r="AF17" s="1"/>
    </row>
    <row r="18" spans="1:32" ht="15" customHeight="1" x14ac:dyDescent="0.25">
      <c r="A18" s="32">
        <v>42835.451736111114</v>
      </c>
      <c r="B18" s="30" t="s">
        <v>614</v>
      </c>
      <c r="C18" s="30" t="s">
        <v>615</v>
      </c>
      <c r="D18" s="30" t="s">
        <v>49</v>
      </c>
      <c r="E18" s="30" t="s">
        <v>191</v>
      </c>
      <c r="F18" s="43">
        <v>100</v>
      </c>
      <c r="G18" s="43">
        <v>154</v>
      </c>
      <c r="H18" s="43">
        <v>64009</v>
      </c>
      <c r="I18" s="43">
        <v>63808</v>
      </c>
      <c r="J18" s="30" t="s">
        <v>192</v>
      </c>
      <c r="K18" s="43">
        <v>63309</v>
      </c>
      <c r="L18" s="139" t="s">
        <v>51</v>
      </c>
      <c r="M18" s="140">
        <f t="shared" si="0"/>
        <v>263.47199999999998</v>
      </c>
      <c r="N18" s="141" t="str">
        <f>VLOOKUP(C18,'Trips&amp;Operators'!$C$1:$G$99999,5,FALSE)</f>
        <v>STARKS ANGELINA</v>
      </c>
      <c r="O18" s="190" t="s">
        <v>184</v>
      </c>
      <c r="P18" s="142" t="s">
        <v>445</v>
      </c>
      <c r="Q18" s="30"/>
      <c r="R18" s="89" t="str">
        <f>IF(VLOOKUP(C18,'Train Runs'!$A$13:$AE$9939,1,1)=C18,VLOOKUP(C18,'Train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18" s="92" t="str">
        <f>VLOOKUP(C18,'Train Runs'!$A$13:$AE$9939,22,0)</f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8" s="94" t="str">
        <f t="shared" si="1"/>
        <v>"C:\Program Files (x86)\AstroGrep\AstroGrep.exe" /e /r /s /spath="%USERPROFILE%\AppData\Local\Temp\OnboardLogs" /stypes="*4005*201704101*" /stext=" 16:.+((SYSTEM_STATE.+slice.+state.+changed )|(ment ac)|(multiple cpu faults)|(system.+state.+changed )|(\[timeout)|(PRM\|1\|D)|(kpr)|(kdp)|(\|lc)|(penalty))"</v>
      </c>
      <c r="U18" s="9" t="str">
        <f t="shared" si="2"/>
        <v>4005</v>
      </c>
      <c r="V18" s="32">
        <f t="shared" si="3"/>
        <v>42835.701736111114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arrival","project_id":79,"tracker_id":40,"status_id":1,"priority_id":2,"assigned_to_id":23,"start_date":"2017-04-10","description":"","custom_fields":[{"id":1,"name":"Subdivision","value":"EC"},{"id":4,"name":"Milepost","value":"6.3309"},{"id":17,"name":"Train ID","value":"148-10"},{"id":16,"name":"Locomotive ID","value":"4005"},{"id":130,"name":"Impact","value":""},{"id":150,"name":"Time of Event (Mountain Time)","value":"10:50:30"},{"id":151,"name":"Denver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"%USERPROFILE%\AppData\Local\Temp\OnboardLogs"\RTDC4005\*4005*201704101*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"%USERPROFILE%\AppData\Local\Temp\OnboardLogs"\RTDC4005\*4005*201704101* &gt;&gt; 2017-04-10-SliceDisagreementCheck.txt</v>
      </c>
      <c r="AE18" s="153" t="str">
        <f t="shared" si="9"/>
        <v>start /low /b %USERPROFILE%\Documents\GitHub\eaglep3\Utilities\DownloadLogsFromS3.py --loco 4005 --day 2017-04-10</v>
      </c>
      <c r="AF18" s="1"/>
    </row>
    <row r="19" spans="1:32" x14ac:dyDescent="0.25">
      <c r="A19" s="32">
        <v>42835.474016203705</v>
      </c>
      <c r="B19" s="30" t="s">
        <v>616</v>
      </c>
      <c r="C19" s="30" t="s">
        <v>617</v>
      </c>
      <c r="D19" s="30" t="s">
        <v>98</v>
      </c>
      <c r="E19" s="30" t="s">
        <v>191</v>
      </c>
      <c r="F19" s="43">
        <v>130</v>
      </c>
      <c r="G19" s="43">
        <v>186</v>
      </c>
      <c r="H19" s="43">
        <v>63162</v>
      </c>
      <c r="I19" s="43">
        <v>62753</v>
      </c>
      <c r="J19" s="30" t="s">
        <v>192</v>
      </c>
      <c r="K19" s="43">
        <v>63309</v>
      </c>
      <c r="L19" s="139" t="s">
        <v>51</v>
      </c>
      <c r="M19" s="140">
        <f t="shared" si="0"/>
        <v>-293.56799999999998</v>
      </c>
      <c r="N19" s="141" t="str">
        <f>VLOOKUP(C19,'Trips&amp;Operators'!$C$1:$G$99999,5,FALSE)</f>
        <v>SHOOK JOHN</v>
      </c>
      <c r="O19" s="190" t="s">
        <v>184</v>
      </c>
      <c r="P19" s="142" t="s">
        <v>445</v>
      </c>
      <c r="Q19" s="30"/>
      <c r="R19" s="89" t="str">
        <f>IF(VLOOKUP(C19,'Train Runs'!$A$13:$AE$9939,1,1)=C19,VLOOKUP(C19,'Train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9" s="92" t="str">
        <f>VLOOKUP(C19,'Train Runs'!$A$13:$AE$9939,22,0)</f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94" t="str">
        <f t="shared" si="1"/>
        <v>"C:\Program Files (x86)\AstroGrep\AstroGrep.exe" /e /r /s /spath="%USERPROFILE%\AppData\Local\Temp\OnboardLogs" /stypes="*4015*201704101*" /stext=" 17:.+((SYSTEM_STATE.+slice.+state.+changed )|(ment ac)|(multiple cpu faults)|(system.+state.+changed )|(\[timeout)|(PRM\|1\|D)|(kpr)|(kdp)|(\|lc)|(penalty))"</v>
      </c>
      <c r="U19" s="9" t="str">
        <f t="shared" si="2"/>
        <v>4015</v>
      </c>
      <c r="V19" s="32">
        <f t="shared" si="3"/>
        <v>42835.724016203705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arrival","project_id":79,"tracker_id":40,"status_id":1,"priority_id":2,"assigned_to_id":23,"start_date":"2017-04-10","description":"","custom_fields":[{"id":1,"name":"Subdivision","value":"EC"},{"id":4,"name":"Milepost","value":"6.3309"},{"id":17,"name":"Train ID","value":"152-10"},{"id":16,"name":"Locomotive ID","value":"4015"},{"id":130,"name":"Impact","value":""},{"id":150,"name":"Time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"%USERPROFILE%\AppData\Local\Temp\OnboardLogs"\RTDC4015\*4015*201704101*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19" s="153" t="str">
        <f t="shared" si="9"/>
        <v>start /low /b %USERPROFILE%\Documents\GitHub\eaglep3\Utilities\DownloadLogsFromS3.py --loco 4015 --day 2017-04-10</v>
      </c>
      <c r="AF19" s="1"/>
    </row>
    <row r="20" spans="1:32" x14ac:dyDescent="0.25">
      <c r="A20" s="32">
        <v>42835.431400462963</v>
      </c>
      <c r="B20" s="30" t="s">
        <v>446</v>
      </c>
      <c r="C20" s="30" t="s">
        <v>613</v>
      </c>
      <c r="D20" s="30" t="s">
        <v>98</v>
      </c>
      <c r="E20" s="30" t="s">
        <v>191</v>
      </c>
      <c r="F20" s="43">
        <v>260</v>
      </c>
      <c r="G20" s="43">
        <v>321</v>
      </c>
      <c r="H20" s="43">
        <v>63088</v>
      </c>
      <c r="I20" s="43">
        <v>62225</v>
      </c>
      <c r="J20" s="30" t="s">
        <v>192</v>
      </c>
      <c r="K20" s="43">
        <v>63309</v>
      </c>
      <c r="L20" s="139" t="s">
        <v>51</v>
      </c>
      <c r="M20" s="140">
        <f t="shared" si="0"/>
        <v>-572.35199999999998</v>
      </c>
      <c r="N20" s="141" t="str">
        <f>VLOOKUP(C20,'Trips&amp;Operators'!$C$1:$G$99999,5,FALSE)</f>
        <v>WILLIAMS DONTE</v>
      </c>
      <c r="O20" s="190" t="s">
        <v>184</v>
      </c>
      <c r="P20" s="142" t="s">
        <v>445</v>
      </c>
      <c r="Q20" s="30"/>
      <c r="R20" s="89" t="str">
        <f>IF(VLOOKUP(C20,'Train Runs'!$A$13:$AE$9939,1,1)=C20,VLOOKUP(C20,'Train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20" s="92" t="str">
        <f>VLOOKUP(C20,'Train Runs'!$A$13:$AE$9939,22,0)</f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94" t="str">
        <f t="shared" si="1"/>
        <v>"C:\Program Files (x86)\AstroGrep\AstroGrep.exe" /e /r /s /spath="%USERPROFILE%\AppData\Local\Temp\OnboardLogs" /stypes="*4053*201704101*" /stext=" 16:.+((SYSTEM_STATE.+slice.+state.+changed )|(ment ac)|(multiple cpu faults)|(system.+state.+changed )|(\[timeout)|(PRM\|1\|D)|(kpr)|(kdp)|(\|lc)|(penalty))"</v>
      </c>
      <c r="U20" s="9" t="str">
        <f t="shared" si="2"/>
        <v>4053</v>
      </c>
      <c r="V20" s="32">
        <f t="shared" si="3"/>
        <v>42835.681400462963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arrival","project_id":79,"tracker_id":40,"status_id":1,"priority_id":2,"assigned_to_id":23,"start_date":"2017-04-10","description":"","custom_fields":[{"id":1,"name":"Subdivision","value":"EC"},{"id":4,"name":"Milepost","value":"6.3309"},{"id":17,"name":"Train ID","value":"144-10"},{"id":16,"name":"Locomotive ID","value":"4053"},{"id":130,"name":"Impact","value":""},{"id":150,"name":"Time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"%USERPROFILE%\AppData\Local\Temp\OnboardLogs"\RTDC4053\*4053*201704101*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20" s="153" t="str">
        <f t="shared" si="9"/>
        <v>start /low /b %USERPROFILE%\Documents\GitHub\eaglep3\Utilities\DownloadLogsFromS3.py --loco 4053 --day 2017-04-10</v>
      </c>
      <c r="AF20" s="1"/>
    </row>
    <row r="21" spans="1:32" x14ac:dyDescent="0.25">
      <c r="A21" s="32">
        <v>42835.425949074073</v>
      </c>
      <c r="B21" s="30" t="s">
        <v>446</v>
      </c>
      <c r="C21" s="30" t="s">
        <v>613</v>
      </c>
      <c r="D21" s="30" t="s">
        <v>49</v>
      </c>
      <c r="E21" s="30" t="s">
        <v>191</v>
      </c>
      <c r="F21" s="43">
        <v>410</v>
      </c>
      <c r="G21" s="43">
        <v>475</v>
      </c>
      <c r="H21" s="43">
        <v>110321</v>
      </c>
      <c r="I21" s="43">
        <v>108842</v>
      </c>
      <c r="J21" s="30" t="s">
        <v>192</v>
      </c>
      <c r="K21" s="43">
        <v>109135</v>
      </c>
      <c r="L21" s="139" t="s">
        <v>51</v>
      </c>
      <c r="M21" s="140">
        <f t="shared" si="0"/>
        <v>-154.70400000000001</v>
      </c>
      <c r="N21" s="141" t="str">
        <f>VLOOKUP(C21,'Trips&amp;Operators'!$C$1:$G$99999,5,FALSE)</f>
        <v>WILLIAMS DONTE</v>
      </c>
      <c r="O21" s="190" t="s">
        <v>184</v>
      </c>
      <c r="P21" s="142" t="s">
        <v>445</v>
      </c>
      <c r="Q21" s="30"/>
      <c r="R21" s="89" t="str">
        <f>IF(VLOOKUP(C21,'Train Runs'!$A$13:$AE$9939,1,1)=C21,VLOOKUP(C21,'Train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21" s="92" t="str">
        <f>VLOOKUP(C21,'Train Runs'!$A$13:$AE$9939,22,0)</f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94" t="str">
        <f t="shared" si="1"/>
        <v>"C:\Program Files (x86)\AstroGrep\AstroGrep.exe" /e /r /s /spath="%USERPROFILE%\AppData\Local\Temp\OnboardLogs" /stypes="*4053*201704101*" /stext=" 16:.+((SYSTEM_STATE.+slice.+state.+changed )|(ment ac)|(multiple cpu faults)|(system.+state.+changed )|(\[timeout)|(PRM\|1\|D)|(kpr)|(kdp)|(\|lc)|(penalty))"</v>
      </c>
      <c r="U21" s="9" t="str">
        <f t="shared" si="2"/>
        <v>4053</v>
      </c>
      <c r="V21" s="32">
        <f t="shared" si="3"/>
        <v>42835.675949074073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{"issue":{"subject":"Early arrival","project_id":79,"tracker_id":40,"status_id":1,"priority_id":2,"assigned_to_id":23,"start_date":"2017-04-10","description":"","custom_fields":[{"id":1,"name":"Subdivision","value":"EC"},{"id":4,"name":"Milepost","value":"10.9135"},{"id":17,"name":"Train ID","value":"144-10"},{"id":16,"name":"Locomotive ID","value":"4053"},{"id":130,"name":"Impact","value":""},{"id":150,"name":"Time of Event (Mountain Time)","value":"10:13:22"},{"id":151,"name":"Denver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"%USERPROFILE%\AppData\Local\Temp\OnboardLogs"\RTDC4053\*4053*201704101*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21" s="153" t="str">
        <f t="shared" si="9"/>
        <v>start /low /b %USERPROFILE%\Documents\GitHub\eaglep3\Utilities\DownloadLogsFromS3.py --loco 4053 --day 2017-04-10</v>
      </c>
      <c r="AF21" s="1"/>
    </row>
    <row r="22" spans="1:32" x14ac:dyDescent="0.25">
      <c r="A22" s="32">
        <v>42835.367291666669</v>
      </c>
      <c r="B22" s="30" t="s">
        <v>401</v>
      </c>
      <c r="C22" s="30" t="s">
        <v>611</v>
      </c>
      <c r="D22" s="30" t="s">
        <v>49</v>
      </c>
      <c r="E22" s="30" t="s">
        <v>213</v>
      </c>
      <c r="F22" s="43">
        <v>400</v>
      </c>
      <c r="G22" s="43">
        <v>587</v>
      </c>
      <c r="H22" s="43">
        <v>14106</v>
      </c>
      <c r="I22" s="43">
        <v>17648</v>
      </c>
      <c r="J22" s="30" t="s">
        <v>214</v>
      </c>
      <c r="K22" s="43">
        <v>17867</v>
      </c>
      <c r="L22" s="139" t="s">
        <v>50</v>
      </c>
      <c r="M22" s="140">
        <f t="shared" si="0"/>
        <v>115.63200000000001</v>
      </c>
      <c r="N22" s="141" t="str">
        <f>VLOOKUP(C22,'Trips&amp;Operators'!$C$1:$G$99999,5,FALSE)</f>
        <v>MAYBERRY BILL</v>
      </c>
      <c r="O22" s="190" t="s">
        <v>184</v>
      </c>
      <c r="P22" s="142"/>
      <c r="Q22" s="30"/>
      <c r="R22" s="89" t="str">
        <f>IF(VLOOKUP(C22,'Train Runs'!$A$13:$AE$9939,1,1)=C22,VLOOKUP(C22,'Train Runs'!$A$13:$AE$9939,31,1),NA())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S22" s="92" t="str">
        <f>VLOOKUP(C22,'Train Runs'!$A$13:$AE$9939,22,0)</f>
        <v>https://d0f6bd738d7f1b3e5a7ca70fe4ff75f0.us-east-1.aws.found.io/app/kibana#/discover/Steve-Slow-Train-Analysis-(2080s-and-2083s)?_g=(refreshInterval:(display:Off,pause:!f,section:0,value:0),time:(from:'2017-04-10T07:40:03-0600',mode:absolute,to:'2017-04-10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2" s="94" t="str">
        <f t="shared" si="1"/>
        <v>"C:\Program Files (x86)\AstroGrep\AstroGrep.exe" /e /r /s /spath="%USERPROFILE%\AppData\Local\Temp\OnboardLogs" /stypes="*4014*201704101*" /stext=" 14:.+((SYSTEM_STATE.+slice.+state.+changed )|(ment ac)|(multiple cpu faults)|(system.+state.+changed )|(\[timeout)|(PRM\|1\|D)|(kpr)|(kdp)|(\|lc)|(penalty))"</v>
      </c>
      <c r="U22" s="9" t="str">
        <f t="shared" si="2"/>
        <v>4014</v>
      </c>
      <c r="V22" s="32">
        <f t="shared" si="3"/>
        <v>42835.617291666669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{"issue":{"subject":"","project_id":79,"tracker_id":40,"status_id":1,"priority_id":2,"assigned_to_id":23,"start_date":"2017-04-10","description":"","custom_fields":[{"id":1,"name":"Subdivision","value":"EC"},{"id":4,"name":"Milepost","value":"1.7867"},{"id":17,"name":"Train ID","value":"141-10"},{"id":16,"name":"Locomotive ID","value":"4014"},{"id":130,"name":"Impact","value":""},{"id":150,"name":"Time of Event (Mountain Time)","value":"08:48:54"},{"id":151,"name":"Denver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"%USERPROFILE%\AppData\Local\Temp\OnboardLogs"\RTDC4014\*4014*201704101*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"%USERPROFILE%\AppData\Local\Temp\OnboardLogs"\RTDC4014\*4014*201704101* &gt;&gt; 2017-04-10-SliceDisagreementCheck.txt</v>
      </c>
      <c r="AE22" s="153" t="str">
        <f t="shared" si="9"/>
        <v>start /low /b %USERPROFILE%\Documents\GitHub\eaglep3\Utilities\DownloadLogsFromS3.py --loco 4014 --day 2017-04-10</v>
      </c>
      <c r="AF22" s="1"/>
    </row>
    <row r="23" spans="1:32" x14ac:dyDescent="0.25">
      <c r="A23" s="32">
        <v>42835.465069444443</v>
      </c>
      <c r="B23" s="30" t="s">
        <v>505</v>
      </c>
      <c r="C23" s="30" t="s">
        <v>618</v>
      </c>
      <c r="D23" s="30" t="s">
        <v>98</v>
      </c>
      <c r="E23" s="30" t="s">
        <v>213</v>
      </c>
      <c r="F23" s="43">
        <v>400</v>
      </c>
      <c r="G23" s="43">
        <v>452</v>
      </c>
      <c r="H23" s="43">
        <v>119771</v>
      </c>
      <c r="I23" s="43">
        <v>124768</v>
      </c>
      <c r="J23" s="30" t="s">
        <v>214</v>
      </c>
      <c r="K23" s="43">
        <v>116838</v>
      </c>
      <c r="L23" s="139" t="s">
        <v>50</v>
      </c>
      <c r="M23" s="140">
        <f t="shared" si="0"/>
        <v>-4187.04</v>
      </c>
      <c r="N23" s="141" t="str">
        <f>VLOOKUP(C23,'Trips&amp;Operators'!$C$1:$G$99999,5,FALSE)</f>
        <v>WILLIAMS DONTE</v>
      </c>
      <c r="O23" s="190" t="s">
        <v>184</v>
      </c>
      <c r="P23" s="142"/>
      <c r="Q23" s="30"/>
      <c r="R23" s="89" t="str">
        <f>IF(VLOOKUP(C23,'Train Runs'!$A$13:$AE$9939,1,1)=C23,VLOOKUP(C23,'Train Runs'!$A$13:$AE$9939,31,1),NA())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S23" s="92" t="str">
        <f>VLOOKUP(C23,'Train Runs'!$A$13:$AE$9939,22,0)</f>
        <v>https://d0f6bd738d7f1b3e5a7ca70fe4ff75f0.us-east-1.aws.found.io/app/kibana#/discover/Steve-Slow-Train-Analysis-(2080s-and-2083s)?_g=(refreshInterval:(display:Off,pause:!f,section:0,value:0),time:(from:'2017-04-10T09:39:58-0600',mode:absolute,to:'2017-04-10T12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94" t="str">
        <f t="shared" si="1"/>
        <v>"C:\Program Files (x86)\AstroGrep\AstroGrep.exe" /e /r /s /spath="%USERPROFILE%\AppData\Local\Temp\OnboardLogs" /stypes="*4054*201704101*" /stext=" 17:.+((SYSTEM_STATE.+slice.+state.+changed )|(ment ac)|(multiple cpu faults)|(system.+state.+changed )|(\[timeout)|(PRM\|1\|D)|(kpr)|(kdp)|(\|lc)|(penalty))"</v>
      </c>
      <c r="U23" s="9" t="str">
        <f t="shared" si="2"/>
        <v>4054</v>
      </c>
      <c r="V23" s="32">
        <f t="shared" si="3"/>
        <v>42835.715069444443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{"issue":{"subject":"","project_id":79,"tracker_id":40,"status_id":1,"priority_id":2,"assigned_to_id":23,"start_date":"2017-04-10","description":"","custom_fields":[{"id":1,"name":"Subdivision","value":"EC"},{"id":4,"name":"Milepost","value":"11.6838"},{"id":17,"name":"Train ID","value":"157-10"},{"id":16,"name":"Locomotive ID","value":"4054"},{"id":130,"name":"Impact","value":""},{"id":150,"name":"Time of Event (Mountain Time)","value":"11:09:42"},{"id":151,"name":"Denver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"%USERPROFILE%\AppData\Local\Temp\OnboardLogs"\RTDC4054\*4054*201704101*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"%USERPROFILE%\AppData\Local\Temp\OnboardLogs"\RTDC4054\*4054*201704101* &gt;&gt; 2017-04-10-SliceDisagreementCheck.txt</v>
      </c>
      <c r="AE23" s="153" t="str">
        <f t="shared" si="9"/>
        <v>start /low /b %USERPROFILE%\Documents\GitHub\eaglep3\Utilities\DownloadLogsFromS3.py --loco 4054 --day 2017-04-10</v>
      </c>
      <c r="AF23" s="1"/>
    </row>
    <row r="24" spans="1:32" x14ac:dyDescent="0.25">
      <c r="A24" s="32">
        <v>42835.738356481481</v>
      </c>
      <c r="B24" s="30" t="s">
        <v>614</v>
      </c>
      <c r="C24" s="30" t="s">
        <v>639</v>
      </c>
      <c r="D24" s="30" t="s">
        <v>49</v>
      </c>
      <c r="E24" s="30" t="s">
        <v>213</v>
      </c>
      <c r="F24" s="43">
        <v>400</v>
      </c>
      <c r="G24" s="43">
        <v>534</v>
      </c>
      <c r="H24" s="43">
        <v>121802</v>
      </c>
      <c r="I24" s="43">
        <v>120246</v>
      </c>
      <c r="J24" s="30" t="s">
        <v>214</v>
      </c>
      <c r="K24" s="43">
        <v>119716</v>
      </c>
      <c r="L24" s="139" t="s">
        <v>51</v>
      </c>
      <c r="M24" s="140">
        <f t="shared" si="0"/>
        <v>279.83999999999997</v>
      </c>
      <c r="N24" s="141" t="str">
        <f>VLOOKUP(C24,'Trips&amp;Operators'!$C$1:$G$99999,5,FALSE)</f>
        <v>DAVIS MICHAEL</v>
      </c>
      <c r="O24" s="190" t="s">
        <v>184</v>
      </c>
      <c r="P24" s="142"/>
      <c r="Q24" s="30"/>
      <c r="R24" s="89" t="str">
        <f>IF(VLOOKUP(C24,'Train Runs'!$A$13:$AE$9939,1,1)=C24,VLOOKUP(C24,'Train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24" s="92" t="str">
        <f>VLOOKUP(C24,'Train Runs'!$A$13:$AE$9939,22,0)</f>
        <v>https://d0f6bd738d7f1b3e5a7ca70fe4ff75f0.us-east-1.aws.found.io/app/kibana#/discover/Steve-Slow-Train-Analysis-(2080s-and-2083s)?_g=(refreshInterval:(display:Off,pause:!f,section:0,value:0),time:(from:'2017-04-10T16:22:10-0600',mode:absolute,to:'2017-04-10T19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4" s="94" t="str">
        <f t="shared" si="1"/>
        <v>"C:\Program Files (x86)\AstroGrep\AstroGrep.exe" /e /r /s /spath="%USERPROFILE%\AppData\Local\Temp\OnboardLogs" /stypes="*4005*201704102*" /stext=" 23:.+((SYSTEM_STATE.+slice.+state.+changed )|(ment ac)|(multiple cpu faults)|(system.+state.+changed )|(\[timeout)|(PRM\|1\|D)|(kpr)|(kdp)|(\|lc)|(penalty))"</v>
      </c>
      <c r="U24" s="9" t="str">
        <f t="shared" si="2"/>
        <v>4005</v>
      </c>
      <c r="V24" s="32">
        <f t="shared" si="3"/>
        <v>42835.988356481481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{"issue":{"subject":"","project_id":79,"tracker_id":40,"status_id":1,"priority_id":2,"assigned_to_id":23,"start_date":"2017-04-10","description":"","custom_fields":[{"id":1,"name":"Subdivision","value":"EC"},{"id":4,"name":"Milepost","value":"11.9716"},{"id":17,"name":"Train ID","value":"204-10"},{"id":16,"name":"Locomotive ID","value":"4005"},{"id":130,"name":"Impact","value":""},{"id":150,"name":"Time of Event (Mountain Time)","value":"17:43:14"},{"id":151,"name":"Denver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"%USERPROFILE%\AppData\Local\Temp\OnboardLogs"\RTDC4005\*4005*201704102*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"%USERPROFILE%\AppData\Local\Temp\OnboardLogs"\RTDC4005\*4005*201704102* &gt;&gt; 2017-04-10-SliceDisagreementCheck.txt</v>
      </c>
      <c r="AE24" s="153" t="str">
        <f t="shared" si="9"/>
        <v>start /low /b %USERPROFILE%\Documents\GitHub\eaglep3\Utilities\DownloadLogsFromS3.py --loco 4005 --day 2017-04-10</v>
      </c>
      <c r="AF24" s="1"/>
    </row>
    <row r="25" spans="1:32" x14ac:dyDescent="0.25">
      <c r="A25" s="32">
        <v>42835.273865740739</v>
      </c>
      <c r="B25" s="30" t="s">
        <v>446</v>
      </c>
      <c r="C25" s="30" t="s">
        <v>604</v>
      </c>
      <c r="D25" s="30" t="s">
        <v>98</v>
      </c>
      <c r="E25" s="30" t="s">
        <v>213</v>
      </c>
      <c r="F25" s="43">
        <v>600</v>
      </c>
      <c r="G25" s="43">
        <v>653</v>
      </c>
      <c r="H25" s="43">
        <v>184502</v>
      </c>
      <c r="I25" s="43">
        <v>181581</v>
      </c>
      <c r="J25" s="30" t="s">
        <v>214</v>
      </c>
      <c r="K25" s="43">
        <v>190834</v>
      </c>
      <c r="L25" s="139" t="s">
        <v>51</v>
      </c>
      <c r="M25" s="140">
        <f t="shared" si="0"/>
        <v>-4885.5839999999998</v>
      </c>
      <c r="N25" s="141" t="str">
        <f>VLOOKUP(C25,'Trips&amp;Operators'!$C$1:$G$99999,5,FALSE)</f>
        <v>WILLIAMS DONTE</v>
      </c>
      <c r="O25" s="190" t="s">
        <v>184</v>
      </c>
      <c r="P25" s="142"/>
      <c r="Q25" s="30"/>
      <c r="R25" s="89" t="str">
        <f>IF(VLOOKUP(C25,'Train Runs'!$A$13:$AE$9939,1,1)=C25,VLOOKUP(C25,'Train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25" s="92" t="str">
        <f>VLOOKUP(C25,'Train Runs'!$A$13:$AE$9939,22,0)</f>
        <v>https://d0f6bd738d7f1b3e5a7ca70fe4ff75f0.us-east-1.aws.found.io/app/kibana#/discover/Steve-Slow-Train-Analysis-(2080s-and-2083s)?_g=(refreshInterval:(display:Off,pause:!f,section:0,value:0),time:(from:'2017-04-10T05:15:32-0600',mode:absolute,to:'2017-04-10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94" t="str">
        <f t="shared" si="1"/>
        <v>"C:\Program Files (x86)\AstroGrep\AstroGrep.exe" /e /r /s /spath="%USERPROFILE%\AppData\Local\Temp\OnboardLogs" /stypes="*4053*201704101*" /stext=" 12:.+((SYSTEM_STATE.+slice.+state.+changed )|(ment ac)|(multiple cpu faults)|(system.+state.+changed )|(\[timeout)|(PRM\|1\|D)|(kpr)|(kdp)|(\|lc)|(penalty))"</v>
      </c>
      <c r="U25" s="9" t="str">
        <f t="shared" si="2"/>
        <v>4053</v>
      </c>
      <c r="V25" s="32">
        <f t="shared" si="3"/>
        <v>42835.523865740739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{"issue":{"subject":"","project_id":79,"tracker_id":40,"status_id":1,"priority_id":2,"assigned_to_id":23,"start_date":"2017-04-10","description":"","custom_fields":[{"id":1,"name":"Subdivision","value":"EC"},{"id":4,"name":"Milepost","value":"19.0834"},{"id":17,"name":"Train ID","value":"116-10"},{"id":16,"name":"Locomotive ID","value":"4053"},{"id":130,"name":"Impact","value":""},{"id":150,"name":"Time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"%USERPROFILE%\AppData\Local\Temp\OnboardLogs"\RTDC4053\*4053*201704101*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25" s="153" t="str">
        <f t="shared" si="9"/>
        <v>start /low /b %USERPROFILE%\Documents\GitHub\eaglep3\Utilities\DownloadLogsFromS3.py --loco 4053 --day 2017-04-10</v>
      </c>
      <c r="AF25" s="1"/>
    </row>
    <row r="26" spans="1:32" x14ac:dyDescent="0.25">
      <c r="A26" s="32">
        <v>42835.461342592593</v>
      </c>
      <c r="B26" s="30" t="s">
        <v>616</v>
      </c>
      <c r="C26" s="30" t="s">
        <v>617</v>
      </c>
      <c r="D26" s="30" t="s">
        <v>98</v>
      </c>
      <c r="E26" s="30" t="s">
        <v>213</v>
      </c>
      <c r="F26" s="43">
        <v>600</v>
      </c>
      <c r="G26" s="43">
        <v>652</v>
      </c>
      <c r="H26" s="43">
        <v>184634</v>
      </c>
      <c r="I26" s="43">
        <v>181195</v>
      </c>
      <c r="J26" s="30" t="s">
        <v>214</v>
      </c>
      <c r="K26" s="43">
        <v>190834</v>
      </c>
      <c r="L26" s="139" t="s">
        <v>51</v>
      </c>
      <c r="M26" s="140">
        <f t="shared" si="0"/>
        <v>-5089.3919999999998</v>
      </c>
      <c r="N26" s="141" t="str">
        <f>VLOOKUP(C26,'Trips&amp;Operators'!$C$1:$G$99999,5,FALSE)</f>
        <v>SHOOK JOHN</v>
      </c>
      <c r="O26" s="190" t="s">
        <v>184</v>
      </c>
      <c r="P26" s="142"/>
      <c r="Q26" s="30"/>
      <c r="R26" s="89" t="str">
        <f>IF(VLOOKUP(C26,'Train Runs'!$A$13:$AE$9939,1,1)=C26,VLOOKUP(C26,'Train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26" s="92" t="str">
        <f>VLOOKUP(C26,'Train Runs'!$A$13:$AE$9939,22,0)</f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6" s="94" t="str">
        <f t="shared" si="1"/>
        <v>"C:\Program Files (x86)\AstroGrep\AstroGrep.exe" /e /r /s /spath="%USERPROFILE%\AppData\Local\Temp\OnboardLogs" /stypes="*4015*201704101*" /stext=" 17:.+((SYSTEM_STATE.+slice.+state.+changed )|(ment ac)|(multiple cpu faults)|(system.+state.+changed )|(\[timeout)|(PRM\|1\|D)|(kpr)|(kdp)|(\|lc)|(penalty))"</v>
      </c>
      <c r="U26" s="9" t="str">
        <f t="shared" si="2"/>
        <v>4015</v>
      </c>
      <c r="V26" s="32">
        <f t="shared" si="3"/>
        <v>42835.711342592593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{"issue":{"subject":"","project_id":79,"tracker_id":40,"status_id":1,"priority_id":2,"assigned_to_id":23,"start_date":"2017-04-10","description":"","custom_fields":[{"id":1,"name":"Subdivision","value":"EC"},{"id":4,"name":"Milepost","value":"19.0834"},{"id":17,"name":"Train ID","value":"152-10"},{"id":16,"name":"Locomotive ID","value":"4015"},{"id":130,"name":"Impact","value":""},{"id":150,"name":"Time of Event (Mountain Time)","value":"11:04:20"},{"id":151,"name":"Denver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"%USERPROFILE%\AppData\Local\Temp\OnboardLogs"\RTDC4015\*4015*201704101*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26" s="153" t="str">
        <f t="shared" si="9"/>
        <v>start /low /b %USERPROFILE%\Documents\GitHub\eaglep3\Utilities\DownloadLogsFromS3.py --loco 4015 --day 2017-04-10</v>
      </c>
      <c r="AF26" s="1"/>
    </row>
    <row r="27" spans="1:32" x14ac:dyDescent="0.25">
      <c r="A27" s="32">
        <v>42835.752997685187</v>
      </c>
      <c r="B27" s="30" t="s">
        <v>616</v>
      </c>
      <c r="C27" s="30" t="s">
        <v>642</v>
      </c>
      <c r="D27" s="30" t="s">
        <v>98</v>
      </c>
      <c r="E27" s="30" t="s">
        <v>213</v>
      </c>
      <c r="F27" s="43">
        <v>600</v>
      </c>
      <c r="G27" s="43">
        <v>651</v>
      </c>
      <c r="H27" s="43">
        <v>184061</v>
      </c>
      <c r="I27" s="43">
        <v>180963</v>
      </c>
      <c r="J27" s="30" t="s">
        <v>214</v>
      </c>
      <c r="K27" s="43">
        <v>190834</v>
      </c>
      <c r="L27" s="139" t="s">
        <v>51</v>
      </c>
      <c r="M27" s="140">
        <f t="shared" si="0"/>
        <v>-5211.8879999999999</v>
      </c>
      <c r="N27" s="141" t="str">
        <f>VLOOKUP(C27,'Trips&amp;Operators'!$C$1:$G$99999,5,FALSE)</f>
        <v>MENGES BRAD</v>
      </c>
      <c r="O27" s="190" t="s">
        <v>184</v>
      </c>
      <c r="P27" s="142"/>
      <c r="Q27" s="30"/>
      <c r="R27" s="89" t="str">
        <f>IF(VLOOKUP(C27,'Train Runs'!$A$13:$AE$9939,1,1)=C27,VLOOKUP(C27,'Train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27" s="92" t="str">
        <f>VLOOKUP(C27,'Train Runs'!$A$13:$AE$9939,22,0)</f>
        <v>https://d0f6bd738d7f1b3e5a7ca70fe4ff75f0.us-east-1.aws.found.io/app/kibana#/discover/Steve-Slow-Train-Analysis-(2080s-and-2083s)?_g=(refreshInterval:(display:Off,pause:!f,section:0,value:0),time:(from:'2017-04-10T16:53:52-0600',mode:absolute,to:'2017-04-10T19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94" t="str">
        <f t="shared" si="1"/>
        <v>"C:\Program Files (x86)\AstroGrep\AstroGrep.exe" /e /r /s /spath="%USERPROFILE%\AppData\Local\Temp\OnboardLogs" /stypes="*4015*201704110*" /stext=" 00:.+((SYSTEM_STATE.+slice.+state.+changed )|(ment ac)|(multiple cpu faults)|(system.+state.+changed )|(\[timeout)|(PRM\|1\|D)|(kpr)|(kdp)|(\|lc)|(penalty))"</v>
      </c>
      <c r="U27" s="9" t="str">
        <f t="shared" si="2"/>
        <v>4015</v>
      </c>
      <c r="V27" s="32">
        <f t="shared" si="3"/>
        <v>42836.002997685187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{"issue":{"subject":"","project_id":79,"tracker_id":40,"status_id":1,"priority_id":2,"assigned_to_id":23,"start_date":"2017-04-10","description":"","custom_fields":[{"id":1,"name":"Subdivision","value":"EC"},{"id":4,"name":"Milepost","value":"19.0834"},{"id":17,"name":"Train ID","value":"208-10"},{"id":16,"name":"Locomotive ID","value":"4015"},{"id":130,"name":"Impact","value":""},{"id":150,"name":"Time of Event (Mountain Time)","value":"18:04:19"},{"id":151,"name":"Denver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"%USERPROFILE%\AppData\Local\Temp\OnboardLogs"\RTDC4015\*4015*201704110*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"%USERPROFILE%\AppData\Local\Temp\OnboardLogs"\RTDC4015\*4015*201704110* &gt;&gt; 2017-04-10-SliceDisagreementCheck.txt</v>
      </c>
      <c r="AE27" s="153" t="str">
        <f t="shared" si="9"/>
        <v>start /low /b %USERPROFILE%\Documents\GitHub\eaglep3\Utilities\DownloadLogsFromS3.py --loco 4015 --day 2017-04-11</v>
      </c>
      <c r="AF27" s="1"/>
    </row>
    <row r="28" spans="1:32" x14ac:dyDescent="0.25">
      <c r="A28" s="32">
        <v>42835.200069444443</v>
      </c>
      <c r="B28" s="30" t="s">
        <v>593</v>
      </c>
      <c r="C28" s="30" t="s">
        <v>594</v>
      </c>
      <c r="D28" s="30" t="s">
        <v>49</v>
      </c>
      <c r="E28" s="30" t="s">
        <v>213</v>
      </c>
      <c r="F28" s="43">
        <v>550</v>
      </c>
      <c r="G28" s="43">
        <v>770</v>
      </c>
      <c r="H28" s="43">
        <v>218129</v>
      </c>
      <c r="I28" s="43">
        <v>222002</v>
      </c>
      <c r="J28" s="30" t="s">
        <v>214</v>
      </c>
      <c r="K28" s="43">
        <v>222090</v>
      </c>
      <c r="L28" s="139" t="s">
        <v>50</v>
      </c>
      <c r="M28" s="140">
        <f t="shared" si="0"/>
        <v>46.463999999999999</v>
      </c>
      <c r="N28" s="141" t="str">
        <f>VLOOKUP(C28,'Trips&amp;Operators'!$C$1:$G$99999,5,FALSE)</f>
        <v>STARKS ANGELINA</v>
      </c>
      <c r="O28" s="190" t="s">
        <v>184</v>
      </c>
      <c r="P28" s="142"/>
      <c r="Q28" s="30"/>
      <c r="R28" s="89" t="str">
        <f>IF(VLOOKUP(C28,'Train Runs'!$A$13:$AE$9939,1,1)=C28,VLOOKUP(C28,'Train Runs'!$A$13:$AE$9939,31,1),NA())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S28" s="92" t="str">
        <f>VLOOKUP(C28,'Train Runs'!$A$13:$AE$9939,22,0)</f>
        <v>https://d0f6bd738d7f1b3e5a7ca70fe4ff75f0.us-east-1.aws.found.io/app/kibana#/discover/Steve-Slow-Train-Analysis-(2080s-and-2083s)?_g=(refreshInterval:(display:Off,pause:!f,section:0,value:0),time:(from:'2017-04-10T03:10:29-0600',mode:absolute,to:'2017-04-10T05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94" t="str">
        <f t="shared" si="1"/>
        <v>"C:\Program Files (x86)\AstroGrep\AstroGrep.exe" /e /r /s /spath="%USERPROFILE%\AppData\Local\Temp\OnboardLogs" /stypes="*4006*201704101*" /stext=" 10:.+((SYSTEM_STATE.+slice.+state.+changed )|(ment ac)|(multiple cpu faults)|(system.+state.+changed )|(\[timeout)|(PRM\|1\|D)|(kpr)|(kdp)|(\|lc)|(penalty))"</v>
      </c>
      <c r="U28" s="9" t="str">
        <f t="shared" si="2"/>
        <v>4006</v>
      </c>
      <c r="V28" s="32">
        <f t="shared" si="3"/>
        <v>42835.450069444443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{"issue":{"subject":"","project_id":79,"tracker_id":40,"status_id":1,"priority_id":2,"assigned_to_id":23,"start_date":"2017-04-10","description":"","custom_fields":[{"id":1,"name":"Subdivision","value":"EC"},{"id":4,"name":"Milepost","value":"22.209"},{"id":17,"name":"Train ID","value":"105-10"},{"id":16,"name":"Locomotive ID","value":"4006"},{"id":130,"name":"Impact","value":""},{"id":150,"name":"Time of Event (Mountain Time)","value":"04:48:06"},{"id":151,"name":"Denver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"%USERPROFILE%\AppData\Local\Temp\OnboardLogs"\RTDC4006\*4006*201704101*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"%USERPROFILE%\AppData\Local\Temp\OnboardLogs"\RTDC4006\*4006*201704101* &gt;&gt; 2017-04-10-SliceDisagreementCheck.txt</v>
      </c>
      <c r="AE28" s="153" t="str">
        <f t="shared" si="9"/>
        <v>start /low /b %USERPROFILE%\Documents\GitHub\eaglep3\Utilities\DownloadLogsFromS3.py --loco 4006 --day 2017-04-10</v>
      </c>
      <c r="AF28" s="1"/>
    </row>
    <row r="29" spans="1:32" x14ac:dyDescent="0.25">
      <c r="A29" s="32">
        <v>42835.618321759262</v>
      </c>
      <c r="B29" s="30" t="s">
        <v>628</v>
      </c>
      <c r="C29" s="30" t="s">
        <v>629</v>
      </c>
      <c r="D29" s="30" t="s">
        <v>98</v>
      </c>
      <c r="E29" s="30" t="s">
        <v>435</v>
      </c>
      <c r="F29" s="43">
        <v>200</v>
      </c>
      <c r="G29" s="43">
        <v>250</v>
      </c>
      <c r="H29" s="43">
        <v>65617</v>
      </c>
      <c r="I29" s="43">
        <v>66132</v>
      </c>
      <c r="J29" s="30" t="s">
        <v>436</v>
      </c>
      <c r="K29" s="43">
        <v>63995</v>
      </c>
      <c r="L29" s="139" t="s">
        <v>50</v>
      </c>
      <c r="M29" s="140">
        <f t="shared" si="0"/>
        <v>-1128.336</v>
      </c>
      <c r="N29" s="141" t="str">
        <f>VLOOKUP(C29,'Trips&amp;Operators'!$C$1:$G$99999,5,FALSE)</f>
        <v>STEWART MICHAEL</v>
      </c>
      <c r="O29" s="190" t="s">
        <v>184</v>
      </c>
      <c r="P29" s="142" t="s">
        <v>1041</v>
      </c>
      <c r="Q29" s="30"/>
      <c r="R29" s="89" t="str">
        <f>IF(VLOOKUP(C29,'Train Runs'!$A$13:$AE$9939,1,1)=C29,VLOOKUP(C29,'Train Runs'!$A$13:$AE$9939,31,1),NA())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S29" s="92" t="str">
        <f>VLOOKUP(C29,'Train Runs'!$A$13:$AE$9939,22,0)</f>
        <v>https://d0f6bd738d7f1b3e5a7ca70fe4ff75f0.us-east-1.aws.found.io/app/kibana#/discover/Steve-Slow-Train-Analysis-(2080s-and-2083s)?_g=(refreshInterval:(display:Off,pause:!f,section:0,value:0),time:(from:'2017-04-10T13:47:47-0600',mode:absolute,to:'2017-04-10T16:17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94" t="str">
        <f t="shared" si="1"/>
        <v>"C:\Program Files (x86)\AstroGrep\AstroGrep.exe" /e /r /s /spath="%USERPROFILE%\AppData\Local\Temp\OnboardLogs" /stypes="*4026*201704102*" /stext=" 20:.+((SYSTEM_STATE.+slice.+state.+changed )|(ment ac)|(multiple cpu faults)|(system.+state.+changed )|(\[timeout)|(PRM\|1\|D)|(kpr)|(kdp)|(\|lc)|(penalty))"</v>
      </c>
      <c r="U29" s="9" t="str">
        <f t="shared" si="2"/>
        <v>4026</v>
      </c>
      <c r="V29" s="32">
        <f t="shared" si="3"/>
        <v>42835.868321759262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Overspeed","project_id":79,"tracker_id":40,"status_id":1,"priority_id":2,"assigned_to_id":23,"start_date":"2017-04-10","description":"","custom_fields":[{"id":1,"name":"Subdivision","value":"EC"},{"id":4,"name":"Milepost","value":"6.3995"},{"id":17,"name":"Train ID","value":"187-10"},{"id":16,"name":"Locomotive ID","value":"4026"},{"id":130,"name":"Impact","value":""},{"id":150,"name":"Time of Event (Mountain Time)","value":"14:50:23"},{"id":151,"name":"Denver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ref="AC29:AC73" si="10"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"%USERPROFILE%\AppData\Local\Temp\OnboardLogs"\RTDC4026\*4026*201704102*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"%USERPROFILE%\AppData\Local\Temp\OnboardLogs"\RTDC4026\*4026*201704102* &gt;&gt; 2017-04-10-SliceDisagreementCheck.txt</v>
      </c>
      <c r="AE29" s="153" t="str">
        <f t="shared" si="9"/>
        <v>start /low /b %USERPROFILE%\Documents\GitHub\eaglep3\Utilities\DownloadLogsFromS3.py --loco 4026 --day 2017-04-10</v>
      </c>
      <c r="AF29" s="1"/>
    </row>
    <row r="30" spans="1:32" x14ac:dyDescent="0.25">
      <c r="A30" s="32">
        <v>42835.502199074072</v>
      </c>
      <c r="B30" s="30" t="s">
        <v>446</v>
      </c>
      <c r="C30" s="30" t="s">
        <v>620</v>
      </c>
      <c r="D30" s="30" t="s">
        <v>49</v>
      </c>
      <c r="E30" s="30" t="s">
        <v>435</v>
      </c>
      <c r="F30" s="43">
        <v>0</v>
      </c>
      <c r="G30" s="43">
        <v>128</v>
      </c>
      <c r="H30" s="43">
        <v>88369</v>
      </c>
      <c r="I30" s="43">
        <v>88213</v>
      </c>
      <c r="J30" s="30" t="s">
        <v>436</v>
      </c>
      <c r="K30" s="43">
        <v>87902</v>
      </c>
      <c r="L30" s="139" t="s">
        <v>51</v>
      </c>
      <c r="M30" s="140">
        <f t="shared" si="0"/>
        <v>164.208</v>
      </c>
      <c r="N30" s="141" t="str">
        <f>VLOOKUP(C30,'Trips&amp;Operators'!$C$1:$G$99999,5,FALSE)</f>
        <v>WILLIAMS DONTE</v>
      </c>
      <c r="O30" s="190" t="s">
        <v>437</v>
      </c>
      <c r="P30" s="142" t="s">
        <v>475</v>
      </c>
      <c r="Q30" s="30"/>
      <c r="R30" s="89" t="str">
        <f>IF(VLOOKUP(C30,'Train Runs'!$A$13:$AE$9939,1,1)=C30,VLOOKUP(C30,'Train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0" s="92" t="str">
        <f>VLOOKUP(C30,'Train Runs'!$A$13:$AE$9939,22,0)</f>
        <v>https://d0f6bd738d7f1b3e5a7ca70fe4ff75f0.us-east-1.aws.found.io/app/kibana#/discover/Steve-Slow-Train-Analysis-(2080s-and-2083s)?_g=(refreshInterval:(display:Off,pause:!f,section:0,value:0),time:(from:'2017-04-10T10:34:48-0600',mode:absolute,to:'2017-04-10T13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0" s="94" t="str">
        <f t="shared" si="1"/>
        <v>"C:\Program Files (x86)\AstroGrep\AstroGrep.exe" /e /r /s /spath="%USERPROFILE%\AppData\Local\Temp\OnboardLogs" /stypes="*4053*201704101*" /stext=" 18:.+((SYSTEM_STATE.+slice.+state.+changed )|(ment ac)|(multiple cpu faults)|(system.+state.+changed )|(\[timeout)|(PRM\|1\|D)|(kpr)|(kdp)|(\|lc)|(penalty))"</v>
      </c>
      <c r="U30" s="9" t="str">
        <f t="shared" si="2"/>
        <v>4053</v>
      </c>
      <c r="V30" s="32">
        <f t="shared" si="3"/>
        <v>42835.752199074072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{"issue":{"subject":"Wi-MAX data drop","project_id":79,"tracker_id":40,"status_id":1,"priority_id":2,"assigned_to_id":23,"start_date":"2017-04-10","description":"","custom_fields":[{"id":1,"name":"Subdivision","value":"EC"},{"id":4,"name":"Milepost","value":"8.7902"},{"id":17,"name":"Train ID","value":"158-10"},{"id":16,"name":"Locomotive ID","value":"4053"},{"id":130,"name":"Impact","value":""},{"id":150,"name":"Time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10"/>
        <v>grep -hSE -A400 "Enforcement Action" "%USERPROFILE%\AppData\Local\Temp\OnboardLogs"\RTDC4053\*4053*201704101*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0" s="153" t="str">
        <f t="shared" si="9"/>
        <v>start /low /b %USERPROFILE%\Documents\GitHub\eaglep3\Utilities\DownloadLogsFromS3.py --loco 4053 --day 2017-04-10</v>
      </c>
      <c r="AF30" s="1"/>
    </row>
    <row r="31" spans="1:32" x14ac:dyDescent="0.25">
      <c r="A31" s="32">
        <v>42835.575787037036</v>
      </c>
      <c r="B31" s="30" t="s">
        <v>446</v>
      </c>
      <c r="C31" s="30" t="s">
        <v>627</v>
      </c>
      <c r="D31" s="30" t="s">
        <v>98</v>
      </c>
      <c r="E31" s="30" t="s">
        <v>435</v>
      </c>
      <c r="F31" s="43">
        <v>200</v>
      </c>
      <c r="G31" s="43">
        <v>289</v>
      </c>
      <c r="H31" s="43">
        <v>126365</v>
      </c>
      <c r="I31" s="43">
        <v>125722</v>
      </c>
      <c r="J31" s="30" t="s">
        <v>436</v>
      </c>
      <c r="K31" s="43">
        <v>127587</v>
      </c>
      <c r="L31" s="139" t="s">
        <v>51</v>
      </c>
      <c r="M31" s="140">
        <f t="shared" si="0"/>
        <v>-984.72</v>
      </c>
      <c r="N31" s="141" t="str">
        <f>VLOOKUP(C31,'Trips&amp;Operators'!$C$1:$G$99999,5,FALSE)</f>
        <v>BRANDNER MELINDA</v>
      </c>
      <c r="O31" s="190" t="s">
        <v>184</v>
      </c>
      <c r="P31" s="142" t="s">
        <v>1041</v>
      </c>
      <c r="Q31" s="30"/>
      <c r="R31" s="89" t="str">
        <f>IF(VLOOKUP(C31,'Train Runs'!$A$13:$AE$9939,1,1)=C31,VLOOKUP(C31,'Train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1" s="92" t="str">
        <f>VLOOKUP(C31,'Train Runs'!$A$13:$AE$9939,22,0)</f>
        <v>https://d0f6bd738d7f1b3e5a7ca70fe4ff75f0.us-east-1.aws.found.io/app/kibana#/discover/Steve-Slow-Train-Analysis-(2080s-and-2083s)?_g=(refreshInterval:(display:Off,pause:!f,section:0,value:0),time:(from:'2017-04-10T12:46:27-0600',mode:absolute,to:'2017-04-10T15:16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1" s="94" t="str">
        <f t="shared" si="1"/>
        <v>"C:\Program Files (x86)\AstroGrep\AstroGrep.exe" /e /r /s /spath="%USERPROFILE%\AppData\Local\Temp\OnboardLogs" /stypes="*4053*201704101*" /stext=" 19:.+((SYSTEM_STATE.+slice.+state.+changed )|(ment ac)|(multiple cpu faults)|(system.+state.+changed )|(\[timeout)|(PRM\|1\|D)|(kpr)|(kdp)|(\|lc)|(penalty))"</v>
      </c>
      <c r="U31" s="9" t="str">
        <f t="shared" si="2"/>
        <v>4053</v>
      </c>
      <c r="V31" s="32">
        <f t="shared" si="3"/>
        <v>42835.825787037036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Overspeed","project_id":79,"tracker_id":40,"status_id":1,"priority_id":2,"assigned_to_id":23,"start_date":"2017-04-10","description":"","custom_fields":[{"id":1,"name":"Subdivision","value":"EC"},{"id":4,"name":"Milepost","value":"12.7587"},{"id":17,"name":"Train ID","value":"172-10"},{"id":16,"name":"Locomotive ID","value":"4053"},{"id":130,"name":"Impact","value":""},{"id":150,"name":"Time of Event (Mountain Time)","value":"13:49:08"},{"id":151,"name":"Denver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10"/>
        <v>grep -hSE -A400 "Enforcement Action" "%USERPROFILE%\AppData\Local\Temp\OnboardLogs"\RTDC4053\*4053*201704101*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1" s="153" t="str">
        <f t="shared" si="9"/>
        <v>start /low /b %USERPROFILE%\Documents\GitHub\eaglep3\Utilities\DownloadLogsFromS3.py --loco 4053 --day 2017-04-10</v>
      </c>
      <c r="AF31" s="1"/>
    </row>
    <row r="32" spans="1:32" x14ac:dyDescent="0.25">
      <c r="A32" s="32">
        <v>42835.674618055556</v>
      </c>
      <c r="B32" s="30" t="s">
        <v>401</v>
      </c>
      <c r="C32" s="30" t="s">
        <v>634</v>
      </c>
      <c r="D32" s="30" t="s">
        <v>49</v>
      </c>
      <c r="E32" s="30" t="s">
        <v>435</v>
      </c>
      <c r="F32" s="43">
        <v>0</v>
      </c>
      <c r="G32" s="43">
        <v>779</v>
      </c>
      <c r="H32" s="43">
        <v>146212</v>
      </c>
      <c r="I32" s="43">
        <v>149884</v>
      </c>
      <c r="J32" s="30" t="s">
        <v>436</v>
      </c>
      <c r="K32" s="43">
        <v>149694</v>
      </c>
      <c r="L32" s="139" t="s">
        <v>50</v>
      </c>
      <c r="M32" s="140">
        <f t="shared" si="0"/>
        <v>-100.32</v>
      </c>
      <c r="N32" s="141" t="str">
        <f>VLOOKUP(C32,'Trips&amp;Operators'!$C$1:$G$99999,5,FALSE)</f>
        <v>GUZMAN DANNY</v>
      </c>
      <c r="O32" s="190" t="s">
        <v>437</v>
      </c>
      <c r="P32" s="142" t="s">
        <v>475</v>
      </c>
      <c r="Q32" s="30"/>
      <c r="R32" s="89" t="str">
        <f>IF(VLOOKUP(C32,'Train Runs'!$A$13:$AE$9939,1,1)=C32,VLOOKUP(C32,'Train Runs'!$A$13:$AE$9939,31,1),NA())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S32" s="92" t="str">
        <f>VLOOKUP(C32,'Train Runs'!$A$13:$AE$9939,22,0)</f>
        <v>https://d0f6bd738d7f1b3e5a7ca70fe4ff75f0.us-east-1.aws.found.io/app/kibana#/discover/Steve-Slow-Train-Analysis-(2080s-and-2083s)?_g=(refreshInterval:(display:Off,pause:!f,section:0,value:0),time:(from:'2017-04-10T14:40:32-0600',mode:absolute,to:'2017-04-10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2" s="94" t="str">
        <f t="shared" si="1"/>
        <v>"C:\Program Files (x86)\AstroGrep\AstroGrep.exe" /e /r /s /spath="%USERPROFILE%\AppData\Local\Temp\OnboardLogs" /stypes="*4014*201704102*" /stext=" 22:.+((SYSTEM_STATE.+slice.+state.+changed )|(ment ac)|(multiple cpu faults)|(system.+state.+changed )|(\[timeout)|(PRM\|1\|D)|(kpr)|(kdp)|(\|lc)|(penalty))"</v>
      </c>
      <c r="U32" s="9" t="str">
        <f t="shared" si="2"/>
        <v>4014</v>
      </c>
      <c r="V32" s="32">
        <f t="shared" si="3"/>
        <v>42835.924618055556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{"issue":{"subject":"Wi-MAX data drop","project_id":79,"tracker_id":40,"status_id":1,"priority_id":2,"assigned_to_id":23,"start_date":"2017-04-10","description":"","custom_fields":[{"id":1,"name":"Subdivision","value":"EC"},{"id":4,"name":"Milepost","value":"14.9694"},{"id":17,"name":"Train ID","value":"197-10"},{"id":16,"name":"Locomotive ID","value":"4014"},{"id":130,"name":"Impact","value":""},{"id":150,"name":"Time of Event (Mountain Time)","value":"16:11:27"},{"id":151,"name":"Denver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10"/>
        <v>grep -hSE -A400 "Enforcement Action" "%USERPROFILE%\AppData\Local\Temp\OnboardLogs"\RTDC4014\*4014*201704102*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"%USERPROFILE%\AppData\Local\Temp\OnboardLogs"\RTDC4014\*4014*201704102* &gt;&gt; 2017-04-10-SliceDisagreementCheck.txt</v>
      </c>
      <c r="AE32" s="153" t="str">
        <f t="shared" si="9"/>
        <v>start /low /b %USERPROFILE%\Documents\GitHub\eaglep3\Utilities\DownloadLogsFromS3.py --loco 4014 --day 2017-04-10</v>
      </c>
      <c r="AF32" s="1"/>
    </row>
    <row r="33" spans="1:32" x14ac:dyDescent="0.25">
      <c r="A33" s="32">
        <v>42835.435486111113</v>
      </c>
      <c r="B33" s="30" t="s">
        <v>614</v>
      </c>
      <c r="C33" s="30" t="s">
        <v>615</v>
      </c>
      <c r="D33" s="30" t="s">
        <v>49</v>
      </c>
      <c r="E33" s="30" t="s">
        <v>435</v>
      </c>
      <c r="F33" s="43">
        <v>0</v>
      </c>
      <c r="G33" s="43">
        <v>134</v>
      </c>
      <c r="H33" s="43">
        <v>232137</v>
      </c>
      <c r="I33" s="43">
        <v>231914</v>
      </c>
      <c r="J33" s="30" t="s">
        <v>436</v>
      </c>
      <c r="K33" s="43">
        <v>231650</v>
      </c>
      <c r="L33" s="139" t="s">
        <v>51</v>
      </c>
      <c r="M33" s="140">
        <f t="shared" si="0"/>
        <v>139.392</v>
      </c>
      <c r="N33" s="141" t="str">
        <f>VLOOKUP(C33,'Trips&amp;Operators'!$C$1:$G$99999,5,FALSE)</f>
        <v>STARKS ANGELINA</v>
      </c>
      <c r="O33" s="190" t="s">
        <v>437</v>
      </c>
      <c r="P33" s="142" t="s">
        <v>475</v>
      </c>
      <c r="Q33" s="30"/>
      <c r="R33" s="89" t="str">
        <f>IF(VLOOKUP(C33,'Train Runs'!$A$13:$AE$9939,1,1)=C33,VLOOKUP(C33,'Train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33" s="92" t="str">
        <f>VLOOKUP(C33,'Train Runs'!$A$13:$AE$9939,22,0)</f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94" t="str">
        <f t="shared" si="1"/>
        <v>"C:\Program Files (x86)\AstroGrep\AstroGrep.exe" /e /r /s /spath="%USERPROFILE%\AppData\Local\Temp\OnboardLogs" /stypes="*4005*201704101*" /stext=" 16:.+((SYSTEM_STATE.+slice.+state.+changed )|(ment ac)|(multiple cpu faults)|(system.+state.+changed )|(\[timeout)|(PRM\|1\|D)|(kpr)|(kdp)|(\|lc)|(penalty))"</v>
      </c>
      <c r="U33" s="9" t="str">
        <f t="shared" si="2"/>
        <v>4005</v>
      </c>
      <c r="V33" s="32">
        <f t="shared" si="3"/>
        <v>42835.685486111113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{"issue":{"subject":"Wi-MAX data drop","project_id":79,"tracker_id":40,"status_id":1,"priority_id":2,"assigned_to_id":23,"start_date":"2017-04-10","description":"","custom_fields":[{"id":1,"name":"Subdivision","value":"EC"},{"id":4,"name":"Milepost","value":"23.165"},{"id":17,"name":"Train ID","value":"148-10"},{"id":16,"name":"Locomotive ID","value":"4005"},{"id":130,"name":"Impact","value":""},{"id":150,"name":"Time of Event (Mountain Time)","value":"10:27:06"},{"id":151,"name":"Denver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10"/>
        <v>grep -hSE -A400 "Enforcement Action" "%USERPROFILE%\AppData\Local\Temp\OnboardLogs"\RTDC4005\*4005*201704101*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"%USERPROFILE%\AppData\Local\Temp\OnboardLogs"\RTDC4005\*4005*201704101* &gt;&gt; 2017-04-10-SliceDisagreementCheck.txt</v>
      </c>
      <c r="AE33" s="153" t="str">
        <f t="shared" si="9"/>
        <v>start /low /b %USERPROFILE%\Documents\GitHub\eaglep3\Utilities\DownloadLogsFromS3.py --loco 4005 --day 2017-04-10</v>
      </c>
      <c r="AF33" s="1"/>
    </row>
    <row r="34" spans="1:32" x14ac:dyDescent="0.25">
      <c r="A34" s="32">
        <v>42835.500740740739</v>
      </c>
      <c r="B34" s="30" t="s">
        <v>446</v>
      </c>
      <c r="C34" s="30" t="s">
        <v>620</v>
      </c>
      <c r="D34" s="30" t="s">
        <v>49</v>
      </c>
      <c r="E34" s="30" t="s">
        <v>621</v>
      </c>
      <c r="F34" s="43">
        <v>0</v>
      </c>
      <c r="G34" s="43">
        <v>801</v>
      </c>
      <c r="H34" s="43">
        <v>107673</v>
      </c>
      <c r="I34" s="43">
        <v>92468</v>
      </c>
      <c r="J34" s="30" t="s">
        <v>622</v>
      </c>
      <c r="K34" s="43">
        <v>104776</v>
      </c>
      <c r="L34" s="139" t="s">
        <v>51</v>
      </c>
      <c r="M34" s="140">
        <f t="shared" si="0"/>
        <v>-6498.6239999999998</v>
      </c>
      <c r="N34" s="141" t="str">
        <f>VLOOKUP(C34,'Trips&amp;Operators'!$C$1:$G$99999,5,FALSE)</f>
        <v>WILLIAMS DONTE</v>
      </c>
      <c r="O34" s="190" t="s">
        <v>437</v>
      </c>
      <c r="P34" s="142" t="s">
        <v>475</v>
      </c>
      <c r="Q34" s="30"/>
      <c r="R34" s="89" t="str">
        <f>IF(VLOOKUP(C34,'Train Runs'!$A$13:$AE$9939,1,1)=C34,VLOOKUP(C34,'Train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4" s="92" t="str">
        <f>VLOOKUP(C34,'Train Runs'!$A$13:$AE$9939,22,0)</f>
        <v>https://d0f6bd738d7f1b3e5a7ca70fe4ff75f0.us-east-1.aws.found.io/app/kibana#/discover/Steve-Slow-Train-Analysis-(2080s-and-2083s)?_g=(refreshInterval:(display:Off,pause:!f,section:0,value:0),time:(from:'2017-04-10T10:34:48-0600',mode:absolute,to:'2017-04-10T13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4" s="94" t="str">
        <f t="shared" si="1"/>
        <v>"C:\Program Files (x86)\AstroGrep\AstroGrep.exe" /e /r /s /spath="%USERPROFILE%\AppData\Local\Temp\OnboardLogs" /stypes="*4053*201704101*" /stext=" 18:.+((SYSTEM_STATE.+slice.+state.+changed )|(ment ac)|(multiple cpu faults)|(system.+state.+changed )|(\[timeout)|(PRM\|1\|D)|(kpr)|(kdp)|(\|lc)|(penalty))"</v>
      </c>
      <c r="U34" s="9" t="str">
        <f t="shared" si="2"/>
        <v>4053</v>
      </c>
      <c r="V34" s="32">
        <f t="shared" si="3"/>
        <v>42835.750740740739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{"issue":{"subject":"Wi-MAX data drop","project_id":79,"tracker_id":40,"status_id":1,"priority_id":2,"assigned_to_id":23,"start_date":"2017-04-10","description":"","custom_fields":[{"id":1,"name":"Subdivision","value":"EC"},{"id":4,"name":"Milepost","value":"10.4776"},{"id":17,"name":"Train ID","value":"158-10"},{"id":16,"name":"Locomotive ID","value":"4053"},{"id":130,"name":"Impact","value":""},{"id":150,"name":"Time of Event (Mountain Time)","value":"12:01:04"},{"id":151,"name":"Denver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10"/>
        <v>grep -hSE -A400 "Enforcement Action" "%USERPROFILE%\AppData\Local\Temp\OnboardLogs"\RTDC4053\*4053*201704101*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4" s="153" t="str">
        <f t="shared" si="9"/>
        <v>start /low /b %USERPROFILE%\Documents\GitHub\eaglep3\Utilities\DownloadLogsFromS3.py --loco 4053 --day 2017-04-10</v>
      </c>
      <c r="AF34" s="1"/>
    </row>
    <row r="35" spans="1:32" x14ac:dyDescent="0.25">
      <c r="A35" s="32">
        <v>42835.200416666667</v>
      </c>
      <c r="B35" s="30" t="s">
        <v>402</v>
      </c>
      <c r="C35" s="30" t="s">
        <v>595</v>
      </c>
      <c r="D35" s="30" t="s">
        <v>49</v>
      </c>
      <c r="E35" s="30" t="s">
        <v>185</v>
      </c>
      <c r="F35" s="43">
        <v>0</v>
      </c>
      <c r="G35" s="43">
        <v>46</v>
      </c>
      <c r="H35" s="43">
        <v>163</v>
      </c>
      <c r="I35" s="43">
        <v>123</v>
      </c>
      <c r="J35" s="30" t="s">
        <v>186</v>
      </c>
      <c r="K35" s="43">
        <v>1</v>
      </c>
      <c r="L35" s="139" t="s">
        <v>51</v>
      </c>
      <c r="M35" s="140">
        <f t="shared" si="0"/>
        <v>64.415999999999997</v>
      </c>
      <c r="N35" s="141" t="str">
        <f>VLOOKUP(C35,'Trips&amp;Operators'!$C$1:$G$99999,5,FALSE)</f>
        <v>SANTIZO D. EDY</v>
      </c>
      <c r="O35" s="190" t="s">
        <v>184</v>
      </c>
      <c r="P35" s="142"/>
      <c r="Q35" s="30"/>
      <c r="R35" s="89" t="str">
        <f>IF(VLOOKUP(C35,'Train Runs'!$A$13:$AE$9939,1,1)=C35,VLOOKUP(C35,'Train Runs'!$A$13:$AE$9939,31,1),NA())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S35" s="92" t="str">
        <f>VLOOKUP(C35,'Train Runs'!$A$13:$AE$9939,22,0)</f>
        <v>https://d0f6bd738d7f1b3e5a7ca70fe4ff75f0.us-east-1.aws.found.io/app/kibana#/discover/Steve-Slow-Train-Analysis-(2080s-and-2083s)?_g=(refreshInterval:(display:Off,pause:!f,section:0,value:0),time:(from:'2017-04-10T02:57:49-0600',mode:absolute,to:'2017-04-10T05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5" s="94" t="str">
        <f t="shared" si="1"/>
        <v>"C:\Program Files (x86)\AstroGrep\AstroGrep.exe" /e /r /s /spath="%USERPROFILE%\AppData\Local\Temp\OnboardLogs" /stypes="*4013*201704101*" /stext=" 10:.+((SYSTEM_STATE.+slice.+state.+changed )|(ment ac)|(multiple cpu faults)|(system.+state.+changed )|(\[timeout)|(PRM\|1\|D)|(kpr)|(kdp)|(\|lc)|(penalty))"</v>
      </c>
      <c r="U35" s="9" t="str">
        <f t="shared" si="2"/>
        <v>4013</v>
      </c>
      <c r="V35" s="32">
        <f t="shared" si="3"/>
        <v>42835.450416666667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ID","value":"102-10"},{"id":16,"name":"Locomotive ID","value":"4013"},{"id":130,"name":"Impact","value":""},{"id":150,"name":"Time of Event (Mountain Time)","value":"04:48:36"},{"id":151,"name":"Denver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10"/>
        <v>grep -hSE -A400 "Enforcement Action" "%USERPROFILE%\AppData\Local\Temp\OnboardLogs"\RTDC4013\*4013*201704101*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"%USERPROFILE%\AppData\Local\Temp\OnboardLogs"\RTDC4013\*4013*201704101* &gt;&gt; 2017-04-10-SliceDisagreementCheck.txt</v>
      </c>
      <c r="AE35" s="153" t="str">
        <f t="shared" si="9"/>
        <v>start /low /b %USERPROFILE%\Documents\GitHub\eaglep3\Utilities\DownloadLogsFromS3.py --loco 4013 --day 2017-04-10</v>
      </c>
      <c r="AF35" s="1"/>
    </row>
    <row r="36" spans="1:32" x14ac:dyDescent="0.25">
      <c r="A36" s="32">
        <v>42835.222534722219</v>
      </c>
      <c r="B36" s="30" t="s">
        <v>589</v>
      </c>
      <c r="C36" s="30" t="s">
        <v>598</v>
      </c>
      <c r="D36" s="30" t="s">
        <v>49</v>
      </c>
      <c r="E36" s="30" t="s">
        <v>185</v>
      </c>
      <c r="F36" s="43">
        <v>0</v>
      </c>
      <c r="G36" s="43">
        <v>54</v>
      </c>
      <c r="H36" s="43">
        <v>203</v>
      </c>
      <c r="I36" s="43">
        <v>158</v>
      </c>
      <c r="J36" s="30" t="s">
        <v>186</v>
      </c>
      <c r="K36" s="43">
        <v>1</v>
      </c>
      <c r="L36" s="139" t="s">
        <v>51</v>
      </c>
      <c r="M36" s="140">
        <f t="shared" si="0"/>
        <v>82.895999999999987</v>
      </c>
      <c r="N36" s="141" t="str">
        <f>VLOOKUP(C36,'Trips&amp;Operators'!$C$1:$G$99999,5,FALSE)</f>
        <v>ACKERMAN JARED</v>
      </c>
      <c r="O36" s="190" t="s">
        <v>184</v>
      </c>
      <c r="P36" s="142"/>
      <c r="Q36" s="30"/>
      <c r="R36" s="89" t="str">
        <f>IF(VLOOKUP(C36,'Train Runs'!$A$13:$AE$9939,1,1)=C36,VLOOKUP(C36,'Train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36" s="92" t="str">
        <f>VLOOKUP(C36,'Train Runs'!$A$13:$AE$9939,22,0)</f>
        <v>https://d0f6bd738d7f1b3e5a7ca70fe4ff75f0.us-east-1.aws.found.io/app/kibana#/discover/Steve-Slow-Train-Analysis-(2080s-and-2083s)?_g=(refreshInterval:(display:Off,pause:!f,section:0,value:0),time:(from:'2017-04-10T03:32:28-0600',mode:absolute,to:'2017-04-10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6" s="94" t="str">
        <f t="shared" si="1"/>
        <v>"C:\Program Files (x86)\AstroGrep\AstroGrep.exe" /e /r /s /spath="%USERPROFILE%\AppData\Local\Temp\OnboardLogs" /stypes="*4025*201704101*" /stext=" 11:.+((SYSTEM_STATE.+slice.+state.+changed )|(ment ac)|(multiple cpu faults)|(system.+state.+changed )|(\[timeout)|(PRM\|1\|D)|(kpr)|(kdp)|(\|lc)|(penalty))"</v>
      </c>
      <c r="U36" s="9" t="str">
        <f t="shared" si="2"/>
        <v>4025</v>
      </c>
      <c r="V36" s="32">
        <f t="shared" si="3"/>
        <v>42835.472534722219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ID","value":"104-10"},{"id":16,"name":"Locomotive ID","value":"4025"},{"id":130,"name":"Impact","value":""},{"id":150,"name":"Time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"%USERPROFILE%\AppData\Local\Temp\OnboardLogs"\RTDC4025\*4025*201704101*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"%USERPROFILE%\AppData\Local\Temp\OnboardLogs"\RTDC4025\*4025*201704101* &gt;&gt; 2017-04-10-SliceDisagreementCheck.txt</v>
      </c>
      <c r="AE36" s="153" t="str">
        <f t="shared" si="9"/>
        <v>start /low /b %USERPROFILE%\Documents\GitHub\eaglep3\Utilities\DownloadLogsFromS3.py --loco 4025 --day 2017-04-10</v>
      </c>
      <c r="AF36" s="1"/>
    </row>
    <row r="37" spans="1:32" x14ac:dyDescent="0.25">
      <c r="A37" s="32">
        <v>42835.273599537039</v>
      </c>
      <c r="B37" s="30" t="s">
        <v>432</v>
      </c>
      <c r="C37" s="30" t="s">
        <v>603</v>
      </c>
      <c r="D37" s="30" t="s">
        <v>49</v>
      </c>
      <c r="E37" s="30" t="s">
        <v>185</v>
      </c>
      <c r="F37" s="43">
        <v>0</v>
      </c>
      <c r="G37" s="43">
        <v>37</v>
      </c>
      <c r="H37" s="43">
        <v>143</v>
      </c>
      <c r="I37" s="43">
        <v>112</v>
      </c>
      <c r="J37" s="30" t="s">
        <v>186</v>
      </c>
      <c r="K37" s="43">
        <v>1</v>
      </c>
      <c r="L37" s="139" t="s">
        <v>51</v>
      </c>
      <c r="M37" s="140">
        <f t="shared" si="0"/>
        <v>58.607999999999997</v>
      </c>
      <c r="N37" s="141" t="str">
        <f>VLOOKUP(C37,'Trips&amp;Operators'!$C$1:$G$99999,5,FALSE)</f>
        <v>YORK EDGAR</v>
      </c>
      <c r="O37" s="190" t="s">
        <v>184</v>
      </c>
      <c r="P37" s="142"/>
      <c r="Q37" s="30"/>
      <c r="R37" s="89" t="str">
        <f>IF(VLOOKUP(C37,'Train Runs'!$A$13:$AE$9939,1,1)=C37,VLOOKUP(C37,'Train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37" s="92" t="str">
        <f>VLOOKUP(C37,'Train Runs'!$A$13:$AE$9939,22,0)</f>
        <v>https://d0f6bd738d7f1b3e5a7ca70fe4ff75f0.us-east-1.aws.found.io/app/kibana#/discover/Steve-Slow-Train-Analysis-(2080s-and-2083s)?_g=(refreshInterval:(display:Off,pause:!f,section:0,value:0),time:(from:'2017-04-10T04:36:51-0600',mode:absolute,to:'2017-04-10T07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94" t="str">
        <f t="shared" si="1"/>
        <v>"C:\Program Files (x86)\AstroGrep\AstroGrep.exe" /e /r /s /spath="%USERPROFILE%\AppData\Local\Temp\OnboardLogs" /stypes="*4041*201704101*" /stext=" 12:.+((SYSTEM_STATE.+slice.+state.+changed )|(ment ac)|(multiple cpu faults)|(system.+state.+changed )|(\[timeout)|(PRM\|1\|D)|(kpr)|(kdp)|(\|lc)|(penalty))"</v>
      </c>
      <c r="U37" s="9" t="str">
        <f t="shared" si="2"/>
        <v>4041</v>
      </c>
      <c r="V37" s="32">
        <f t="shared" si="3"/>
        <v>42835.523599537039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ID","value":"112-10"},{"id":16,"name":"Locomotive ID","value":"4041"},{"id":130,"name":"Impact","value":""},{"id":150,"name":"Time of Event (Mountain Time)","value":"06:33:59"},{"id":151,"name":"Denver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"%USERPROFILE%\AppData\Local\Temp\OnboardLogs"\RTDC4041\*4041*201704101*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"%USERPROFILE%\AppData\Local\Temp\OnboardLogs"\RTDC4041\*4041*201704101* &gt;&gt; 2017-04-10-SliceDisagreementCheck.txt</v>
      </c>
      <c r="AE37" s="153" t="str">
        <f t="shared" si="9"/>
        <v>start /low /b %USERPROFILE%\Documents\GitHub\eaglep3\Utilities\DownloadLogsFromS3.py --loco 4041 --day 2017-04-10</v>
      </c>
      <c r="AF37" s="1"/>
    </row>
    <row r="38" spans="1:32" x14ac:dyDescent="0.25">
      <c r="A38" s="32">
        <v>42835.295763888891</v>
      </c>
      <c r="B38" s="30" t="s">
        <v>446</v>
      </c>
      <c r="C38" s="30" t="s">
        <v>604</v>
      </c>
      <c r="D38" s="30" t="s">
        <v>49</v>
      </c>
      <c r="E38" s="30" t="s">
        <v>185</v>
      </c>
      <c r="F38" s="43">
        <v>0</v>
      </c>
      <c r="G38" s="43">
        <v>138</v>
      </c>
      <c r="H38" s="43">
        <v>526</v>
      </c>
      <c r="I38" s="43">
        <v>351</v>
      </c>
      <c r="J38" s="30" t="s">
        <v>186</v>
      </c>
      <c r="K38" s="43">
        <v>1</v>
      </c>
      <c r="L38" s="139" t="s">
        <v>51</v>
      </c>
      <c r="M38" s="140">
        <f t="shared" si="0"/>
        <v>184.8</v>
      </c>
      <c r="N38" s="141" t="str">
        <f>VLOOKUP(C38,'Trips&amp;Operators'!$C$1:$G$99999,5,FALSE)</f>
        <v>WILLIAMS DONTE</v>
      </c>
      <c r="O38" s="190" t="s">
        <v>184</v>
      </c>
      <c r="P38" s="142"/>
      <c r="Q38" s="30"/>
      <c r="R38" s="89" t="str">
        <f>IF(VLOOKUP(C38,'Train Runs'!$A$13:$AE$9939,1,1)=C38,VLOOKUP(C38,'Train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8" s="92" t="str">
        <f>VLOOKUP(C38,'Train Runs'!$A$13:$AE$9939,22,0)</f>
        <v>https://d0f6bd738d7f1b3e5a7ca70fe4ff75f0.us-east-1.aws.found.io/app/kibana#/discover/Steve-Slow-Train-Analysis-(2080s-and-2083s)?_g=(refreshInterval:(display:Off,pause:!f,section:0,value:0),time:(from:'2017-04-10T05:15:32-0600',mode:absolute,to:'2017-04-10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8" s="94" t="str">
        <f t="shared" si="1"/>
        <v>"C:\Program Files (x86)\AstroGrep\AstroGrep.exe" /e /r /s /spath="%USERPROFILE%\AppData\Local\Temp\OnboardLogs" /stypes="*4053*201704101*" /stext=" 13:.+((SYSTEM_STATE.+slice.+state.+changed )|(ment ac)|(multiple cpu faults)|(system.+state.+changed )|(\[timeout)|(PRM\|1\|D)|(kpr)|(kdp)|(\|lc)|(penalty))"</v>
      </c>
      <c r="U38" s="9" t="str">
        <f t="shared" si="2"/>
        <v>4053</v>
      </c>
      <c r="V38" s="32">
        <f t="shared" si="3"/>
        <v>42835.545763888891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ID","value":"116-10"},{"id":16,"name":"Locomotive ID","value":"4053"},{"id":130,"name":"Impact","value":""},{"id":150,"name":"Time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"%USERPROFILE%\AppData\Local\Temp\OnboardLogs"\RTDC4053\*4053*201704101*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8" s="153" t="str">
        <f t="shared" si="9"/>
        <v>start /low /b %USERPROFILE%\Documents\GitHub\eaglep3\Utilities\DownloadLogsFromS3.py --loco 4053 --day 2017-04-10</v>
      </c>
      <c r="AF38" s="1"/>
    </row>
    <row r="39" spans="1:32" x14ac:dyDescent="0.25">
      <c r="A39" s="32">
        <v>42835.305914351855</v>
      </c>
      <c r="B39" s="30" t="s">
        <v>589</v>
      </c>
      <c r="C39" s="30" t="s">
        <v>607</v>
      </c>
      <c r="D39" s="30" t="s">
        <v>49</v>
      </c>
      <c r="E39" s="30" t="s">
        <v>185</v>
      </c>
      <c r="F39" s="43">
        <v>0</v>
      </c>
      <c r="G39" s="43">
        <v>50</v>
      </c>
      <c r="H39" s="43">
        <v>163</v>
      </c>
      <c r="I39" s="43">
        <v>138</v>
      </c>
      <c r="J39" s="30" t="s">
        <v>186</v>
      </c>
      <c r="K39" s="43">
        <v>1</v>
      </c>
      <c r="L39" s="139" t="s">
        <v>51</v>
      </c>
      <c r="M39" s="140">
        <f t="shared" ref="M39:M70" si="11">CONVERT((I39-K39)/10000,"mi","ft")*IF(L39="Increasing Mileposts (1)",-1,1)</f>
        <v>72.335999999999999</v>
      </c>
      <c r="N39" s="141" t="str">
        <f>VLOOKUP(C39,'Trips&amp;Operators'!$C$1:$G$99999,5,FALSE)</f>
        <v>ACKERMAN JARED</v>
      </c>
      <c r="O39" s="190" t="s">
        <v>184</v>
      </c>
      <c r="P39" s="142"/>
      <c r="Q39" s="30"/>
      <c r="R39" s="89" t="str">
        <f>IF(VLOOKUP(C39,'Train Runs'!$A$13:$AE$9939,1,1)=C39,VLOOKUP(C39,'Train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39" s="92" t="str">
        <f>VLOOKUP(C39,'Train Runs'!$A$13:$AE$9939,22,0)</f>
        <v>https://d0f6bd738d7f1b3e5a7ca70fe4ff75f0.us-east-1.aws.found.io/app/kibana#/discover/Steve-Slow-Train-Analysis-(2080s-and-2083s)?_g=(refreshInterval:(display:Off,pause:!f,section:0,value:0),time:(from:'2017-04-10T05:31:26-0600',mode:absolute,to:'2017-04-10T08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9" s="94" t="str">
        <f t="shared" ref="T39:T70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/stypes="*4025*201704101*" /stext=" 13:.+((SYSTEM_STATE.+slice.+state.+changed )|(ment ac)|(multiple cpu faults)|(system.+state.+changed )|(\[timeout)|(PRM\|1\|D)|(kpr)|(kdp)|(\|lc)|(penalty))"</v>
      </c>
      <c r="U39" s="9" t="str">
        <f t="shared" ref="U39:U73" si="13">MID(B39,13,4)</f>
        <v>4025</v>
      </c>
      <c r="V39" s="32">
        <f t="shared" ref="V39:V73" si="14">A39-utc_offset/24</f>
        <v>42835.555914351855</v>
      </c>
      <c r="W39" s="46" t="str">
        <f t="shared" ref="W39:W73" si="15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73" si="16">IF(AND(E39="TRACK WARRANT AUTHORITY",G39&lt;10),"OMIT","KEEP")</f>
        <v>KEEP</v>
      </c>
      <c r="Y39" s="104" t="str">
        <f t="shared" ref="Y39:Y70" si="17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ID","value":"118-10"},{"id":16,"name":"Locomotive ID","value":"4025"},{"id":130,"name":"Impact","value":""},{"id":150,"name":"Time of Event (Mountain Time)","value":"07:20:31"},{"id":151,"name":"Denver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"%USERPROFILE%\AppData\Local\Temp\OnboardLogs"\RTDC4025\*4025*201704101*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"%USERPROFILE%\AppData\Local\Temp\OnboardLogs"\RTDC4025\*4025*201704101* &gt;&gt; 2017-04-10-SliceDisagreementCheck.txt</v>
      </c>
      <c r="AE39" s="153" t="str">
        <f t="shared" si="9"/>
        <v>start /low /b %USERPROFILE%\Documents\GitHub\eaglep3\Utilities\DownloadLogsFromS3.py --loco 4025 --day 2017-04-10</v>
      </c>
      <c r="AF39" s="1"/>
    </row>
    <row r="40" spans="1:32" x14ac:dyDescent="0.25">
      <c r="A40" s="32">
        <v>42835.36917824074</v>
      </c>
      <c r="B40" s="30" t="s">
        <v>446</v>
      </c>
      <c r="C40" s="30" t="s">
        <v>612</v>
      </c>
      <c r="D40" s="30" t="s">
        <v>49</v>
      </c>
      <c r="E40" s="30" t="s">
        <v>185</v>
      </c>
      <c r="F40" s="43">
        <v>0</v>
      </c>
      <c r="G40" s="43">
        <v>157</v>
      </c>
      <c r="H40" s="43">
        <v>723</v>
      </c>
      <c r="I40" s="43">
        <v>553</v>
      </c>
      <c r="J40" s="30" t="s">
        <v>186</v>
      </c>
      <c r="K40" s="43">
        <v>1</v>
      </c>
      <c r="L40" s="139" t="s">
        <v>51</v>
      </c>
      <c r="M40" s="140">
        <f t="shared" si="11"/>
        <v>291.45600000000002</v>
      </c>
      <c r="N40" s="141" t="str">
        <f>VLOOKUP(C40,'Trips&amp;Operators'!$C$1:$G$99999,5,FALSE)</f>
        <v>WILLIAMS DONTE</v>
      </c>
      <c r="O40" s="190" t="s">
        <v>184</v>
      </c>
      <c r="P40" s="142"/>
      <c r="Q40" s="30"/>
      <c r="R40" s="89" t="str">
        <f>IF(VLOOKUP(C40,'Train Runs'!$A$13:$AE$9939,1,1)=C40,VLOOKUP(C40,'Train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40" s="92" t="str">
        <f>VLOOKUP(C40,'Train Runs'!$A$13:$AE$9939,22,0)</f>
        <v>https://d0f6bd738d7f1b3e5a7ca70fe4ff75f0.us-east-1.aws.found.io/app/kibana#/discover/Steve-Slow-Train-Analysis-(2080s-and-2083s)?_g=(refreshInterval:(display:Off,pause:!f,section:0,value:0),time:(from:'2017-04-10T07:02:45-0600',mode:absolute,to:'2017-04-10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0" s="94" t="str">
        <f t="shared" si="12"/>
        <v>"C:\Program Files (x86)\AstroGrep\AstroGrep.exe" /e /r /s /spath="%USERPROFILE%\AppData\Local\Temp\OnboardLogs" /stypes="*4053*201704101*" /stext=" 14:.+((SYSTEM_STATE.+slice.+state.+changed )|(ment ac)|(multiple cpu faults)|(system.+state.+changed )|(\[timeout)|(PRM\|1\|D)|(kpr)|(kdp)|(\|lc)|(penalty))"</v>
      </c>
      <c r="U40" s="9" t="str">
        <f t="shared" si="13"/>
        <v>4053</v>
      </c>
      <c r="V40" s="32">
        <f t="shared" si="14"/>
        <v>42835.61917824074</v>
      </c>
      <c r="W40" s="46" t="str">
        <f t="shared" si="15"/>
        <v>EC</v>
      </c>
      <c r="X40" s="46" t="str">
        <f t="shared" si="16"/>
        <v>KEEP</v>
      </c>
      <c r="Y40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ID","value":"130-10"},{"id":16,"name":"Locomotive ID","value":"4053"},{"id":130,"name":"Impact","value":""},{"id":150,"name":"Time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"%USERPROFILE%\AppData\Local\Temp\OnboardLogs"\RTDC4053\*4053*201704101*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40" s="153" t="str">
        <f t="shared" si="9"/>
        <v>start /low /b %USERPROFILE%\Documents\GitHub\eaglep3\Utilities\DownloadLogsFromS3.py --loco 4053 --day 2017-04-10</v>
      </c>
      <c r="AF40" s="1"/>
    </row>
    <row r="41" spans="1:32" x14ac:dyDescent="0.25">
      <c r="A41" s="32">
        <v>42835.53638888889</v>
      </c>
      <c r="B41" s="30" t="s">
        <v>614</v>
      </c>
      <c r="C41" s="30" t="s">
        <v>625</v>
      </c>
      <c r="D41" s="30" t="s">
        <v>49</v>
      </c>
      <c r="E41" s="30" t="s">
        <v>185</v>
      </c>
      <c r="F41" s="43">
        <v>0</v>
      </c>
      <c r="G41" s="43">
        <v>155</v>
      </c>
      <c r="H41" s="43">
        <v>872</v>
      </c>
      <c r="I41" s="43">
        <v>690</v>
      </c>
      <c r="J41" s="30" t="s">
        <v>186</v>
      </c>
      <c r="K41" s="43">
        <v>1</v>
      </c>
      <c r="L41" s="139" t="s">
        <v>51</v>
      </c>
      <c r="M41" s="140">
        <f t="shared" si="11"/>
        <v>363.79199999999997</v>
      </c>
      <c r="N41" s="141" t="str">
        <f>VLOOKUP(C41,'Trips&amp;Operators'!$C$1:$G$99999,5,FALSE)</f>
        <v>DAVIS MICHAEL</v>
      </c>
      <c r="O41" s="190" t="s">
        <v>184</v>
      </c>
      <c r="P41" s="142"/>
      <c r="Q41" s="30"/>
      <c r="R41" s="89" t="str">
        <f>IF(VLOOKUP(C41,'Train Runs'!$A$13:$AE$9939,1,1)=C41,VLOOKUP(C41,'Train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41" s="92" t="str">
        <f>VLOOKUP(C41,'Train Runs'!$A$13:$AE$9939,22,0)</f>
        <v>https://d0f6bd738d7f1b3e5a7ca70fe4ff75f0.us-east-1.aws.found.io/app/kibana#/discover/Steve-Slow-Train-Analysis-(2080s-and-2083s)?_g=(refreshInterval:(display:Off,pause:!f,section:0,value:0),time:(from:'2017-04-10T11:06:37-0600',mode:absolute,to:'2017-04-10T13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94" t="str">
        <f t="shared" si="12"/>
        <v>"C:\Program Files (x86)\AstroGrep\AstroGrep.exe" /e /r /s /spath="%USERPROFILE%\AppData\Local\Temp\OnboardLogs" /stypes="*4005*201704101*" /stext=" 18:.+((SYSTEM_STATE.+slice.+state.+changed )|(ment ac)|(multiple cpu faults)|(system.+state.+changed )|(\[timeout)|(PRM\|1\|D)|(kpr)|(kdp)|(\|lc)|(penalty))"</v>
      </c>
      <c r="U41" s="9" t="str">
        <f t="shared" si="13"/>
        <v>4005</v>
      </c>
      <c r="V41" s="32">
        <f t="shared" si="14"/>
        <v>42835.78638888889</v>
      </c>
      <c r="W41" s="46" t="str">
        <f t="shared" si="15"/>
        <v>EC</v>
      </c>
      <c r="X41" s="46" t="str">
        <f t="shared" si="16"/>
        <v>KEEP</v>
      </c>
      <c r="Y41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ID","value":"162-10"},{"id":16,"name":"Locomotive ID","value":"4005"},{"id":130,"name":"Impact","value":""},{"id":150,"name":"Time of Event (Mountain Time)","value":"12:52:24"},{"id":151,"name":"Denver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"%USERPROFILE%\AppData\Local\Temp\OnboardLogs"\RTDC4005\*4005*201704101*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"%USERPROFILE%\AppData\Local\Temp\OnboardLogs"\RTDC4005\*4005*201704101* &gt;&gt; 2017-04-10-SliceDisagreementCheck.txt</v>
      </c>
      <c r="AE41" s="153" t="str">
        <f t="shared" si="9"/>
        <v>start /low /b %USERPROFILE%\Documents\GitHub\eaglep3\Utilities\DownloadLogsFromS3.py --loco 4005 --day 2017-04-10</v>
      </c>
      <c r="AF41" s="1"/>
    </row>
    <row r="42" spans="1:32" x14ac:dyDescent="0.25">
      <c r="A42" s="32">
        <v>42835.712766203702</v>
      </c>
      <c r="B42" s="30" t="s">
        <v>432</v>
      </c>
      <c r="C42" s="30" t="s">
        <v>638</v>
      </c>
      <c r="D42" s="30" t="s">
        <v>49</v>
      </c>
      <c r="E42" s="30" t="s">
        <v>185</v>
      </c>
      <c r="F42" s="43">
        <v>0</v>
      </c>
      <c r="G42" s="43">
        <v>48</v>
      </c>
      <c r="H42" s="43">
        <v>236</v>
      </c>
      <c r="I42" s="43">
        <v>154</v>
      </c>
      <c r="J42" s="30" t="s">
        <v>186</v>
      </c>
      <c r="K42" s="43">
        <v>1</v>
      </c>
      <c r="L42" s="139" t="s">
        <v>51</v>
      </c>
      <c r="M42" s="140">
        <f t="shared" si="11"/>
        <v>80.784000000000006</v>
      </c>
      <c r="N42" s="141" t="str">
        <f>VLOOKUP(C42,'Trips&amp;Operators'!$C$1:$G$99999,5,FALSE)</f>
        <v>LOCKLEAR TRAVIS</v>
      </c>
      <c r="O42" s="190" t="s">
        <v>184</v>
      </c>
      <c r="P42" s="142"/>
      <c r="Q42" s="30"/>
      <c r="R42" s="89" t="str">
        <f>IF(VLOOKUP(C42,'Train Runs'!$A$13:$AE$9939,1,1)=C42,VLOOKUP(C42,'Train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42" s="92" t="str">
        <f>VLOOKUP(C42,'Train Runs'!$A$13:$AE$9939,22,0)</f>
        <v>https://d0f6bd738d7f1b3e5a7ca70fe4ff75f0.us-east-1.aws.found.io/app/kibana#/discover/Steve-Slow-Train-Analysis-(2080s-and-2083s)?_g=(refreshInterval:(display:Off,pause:!f,section:0,value:0),time:(from:'2017-04-10T15:21:56-0600',mode:absolute,to:'2017-04-10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2" s="94" t="str">
        <f t="shared" si="12"/>
        <v>"C:\Program Files (x86)\AstroGrep\AstroGrep.exe" /e /r /s /spath="%USERPROFILE%\AppData\Local\Temp\OnboardLogs" /stypes="*4041*201704102*" /stext=" 23:.+((SYSTEM_STATE.+slice.+state.+changed )|(ment ac)|(multiple cpu faults)|(system.+state.+changed )|(\[timeout)|(PRM\|1\|D)|(kpr)|(kdp)|(\|lc)|(penalty))"</v>
      </c>
      <c r="U42" s="9" t="str">
        <f t="shared" si="13"/>
        <v>4041</v>
      </c>
      <c r="V42" s="32">
        <f t="shared" si="14"/>
        <v>42835.962766203702</v>
      </c>
      <c r="W42" s="46" t="str">
        <f t="shared" si="15"/>
        <v>EC</v>
      </c>
      <c r="X42" s="46" t="str">
        <f t="shared" si="16"/>
        <v>KEEP</v>
      </c>
      <c r="Y42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ID","value":"196-10"},{"id":16,"name":"Locomotive ID","value":"4041"},{"id":130,"name":"Impact","value":""},{"id":150,"name":"Time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"%USERPROFILE%\AppData\Local\Temp\OnboardLogs"\RTDC4041\*4041*201704102*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"%USERPROFILE%\AppData\Local\Temp\OnboardLogs"\RTDC4041\*4041*201704102* &gt;&gt; 2017-04-10-SliceDisagreementCheck.txt</v>
      </c>
      <c r="AE42" s="153" t="str">
        <f t="shared" si="9"/>
        <v>start /low /b %USERPROFILE%\Documents\GitHub\eaglep3\Utilities\DownloadLogsFromS3.py --loco 4041 --day 2017-04-10</v>
      </c>
      <c r="AF42" s="1"/>
    </row>
    <row r="43" spans="1:32" x14ac:dyDescent="0.25">
      <c r="A43" s="32">
        <v>42835.747094907405</v>
      </c>
      <c r="B43" s="30" t="s">
        <v>589</v>
      </c>
      <c r="C43" s="30" t="s">
        <v>641</v>
      </c>
      <c r="D43" s="30" t="s">
        <v>49</v>
      </c>
      <c r="E43" s="30" t="s">
        <v>185</v>
      </c>
      <c r="F43" s="43">
        <v>0</v>
      </c>
      <c r="G43" s="43">
        <v>24</v>
      </c>
      <c r="H43" s="43">
        <v>143</v>
      </c>
      <c r="I43" s="43">
        <v>134</v>
      </c>
      <c r="J43" s="30" t="s">
        <v>186</v>
      </c>
      <c r="K43" s="43">
        <v>1</v>
      </c>
      <c r="L43" s="139" t="s">
        <v>51</v>
      </c>
      <c r="M43" s="140">
        <f t="shared" si="11"/>
        <v>70.224000000000004</v>
      </c>
      <c r="N43" s="141" t="str">
        <f>VLOOKUP(C43,'Trips&amp;Operators'!$C$1:$G$99999,5,FALSE)</f>
        <v>STEWART MICHAEL</v>
      </c>
      <c r="O43" s="190" t="s">
        <v>184</v>
      </c>
      <c r="P43" s="142"/>
      <c r="Q43" s="30"/>
      <c r="R43" s="89" t="str">
        <f>IF(VLOOKUP(C43,'Train Runs'!$A$13:$AE$9939,1,1)=C43,VLOOKUP(C43,'Train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43" s="92" t="str">
        <f>VLOOKUP(C43,'Train Runs'!$A$13:$AE$9939,22,0)</f>
        <v>https://d0f6bd738d7f1b3e5a7ca70fe4ff75f0.us-east-1.aws.found.io/app/kibana#/discover/Steve-Slow-Train-Analysis-(2080s-and-2083s)?_g=(refreshInterval:(display:Off,pause:!f,section:0,value:0),time:(from:'2017-04-10T16:06:39-0600',mode:absolute,to:'2017-04-10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94" t="str">
        <f t="shared" si="12"/>
        <v>"C:\Program Files (x86)\AstroGrep\AstroGrep.exe" /e /r /s /spath="%USERPROFILE%\AppData\Local\Temp\OnboardLogs" /stypes="*4025*201704102*" /stext=" 23:.+((SYSTEM_STATE.+slice.+state.+changed )|(ment ac)|(multiple cpu faults)|(system.+state.+changed )|(\[timeout)|(PRM\|1\|D)|(kpr)|(kdp)|(\|lc)|(penalty))"</v>
      </c>
      <c r="U43" s="9" t="str">
        <f t="shared" si="13"/>
        <v>4025</v>
      </c>
      <c r="V43" s="32">
        <f t="shared" si="14"/>
        <v>42835.997094907405</v>
      </c>
      <c r="W43" s="46" t="str">
        <f t="shared" si="15"/>
        <v>EC</v>
      </c>
      <c r="X43" s="46" t="str">
        <f t="shared" si="16"/>
        <v>KEEP</v>
      </c>
      <c r="Y43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ID","value":"202-10"},{"id":16,"name":"Locomotive ID","value":"4025"},{"id":130,"name":"Impact","value":""},{"id":150,"name":"Time of Event (Mountain Time)","value":"17:55:49"},{"id":151,"name":"Denver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"%USERPROFILE%\AppData\Local\Temp\OnboardLogs"\RTDC4025\*4025*201704102*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"%USERPROFILE%\AppData\Local\Temp\OnboardLogs"\RTDC4025\*4025*201704102* &gt;&gt; 2017-04-10-SliceDisagreementCheck.txt</v>
      </c>
      <c r="AE43" s="153" t="str">
        <f t="shared" si="9"/>
        <v>start /low /b %USERPROFILE%\Documents\GitHub\eaglep3\Utilities\DownloadLogsFromS3.py --loco 4025 --day 2017-04-10</v>
      </c>
      <c r="AF43" s="1"/>
    </row>
    <row r="44" spans="1:32" x14ac:dyDescent="0.25">
      <c r="A44" s="32">
        <v>42835.817141203705</v>
      </c>
      <c r="B44" s="30" t="s">
        <v>589</v>
      </c>
      <c r="C44" s="30" t="s">
        <v>646</v>
      </c>
      <c r="D44" s="30" t="s">
        <v>49</v>
      </c>
      <c r="E44" s="30" t="s">
        <v>185</v>
      </c>
      <c r="F44" s="43">
        <v>0</v>
      </c>
      <c r="G44" s="43">
        <v>39</v>
      </c>
      <c r="H44" s="43">
        <v>134</v>
      </c>
      <c r="I44" s="43">
        <v>109</v>
      </c>
      <c r="J44" s="30" t="s">
        <v>186</v>
      </c>
      <c r="K44" s="43">
        <v>1</v>
      </c>
      <c r="L44" s="139" t="s">
        <v>51</v>
      </c>
      <c r="M44" s="140">
        <f t="shared" si="11"/>
        <v>57.024000000000001</v>
      </c>
      <c r="N44" s="141" t="str">
        <f>VLOOKUP(C44,'Trips&amp;Operators'!$C$1:$G$99999,5,FALSE)</f>
        <v>BRANDNER MELINDA</v>
      </c>
      <c r="O44" s="190" t="s">
        <v>184</v>
      </c>
      <c r="P44" s="142"/>
      <c r="Q44" s="30"/>
      <c r="R44" s="89" t="str">
        <f>IF(VLOOKUP(C44,'Train Runs'!$A$13:$AE$9939,1,1)=C44,VLOOKUP(C44,'Train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44" s="92" t="str">
        <f>VLOOKUP(C44,'Train Runs'!$A$13:$AE$9939,22,0)</f>
        <v>https://d0f6bd738d7f1b3e5a7ca70fe4ff75f0.us-east-1.aws.found.io/app/kibana#/discover/Steve-Slow-Train-Analysis-(2080s-and-2083s)?_g=(refreshInterval:(display:Off,pause:!f,section:0,value:0),time:(from:'2017-04-10T17:49:10-0600',mode:absolute,to:'2017-04-10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4" s="94" t="str">
        <f t="shared" si="12"/>
        <v>"C:\Program Files (x86)\AstroGrep\AstroGrep.exe" /e /r /s /spath="%USERPROFILE%\AppData\Local\Temp\OnboardLogs" /stypes="*4025*201704110*" /stext=" 01:.+((SYSTEM_STATE.+slice.+state.+changed )|(ment ac)|(multiple cpu faults)|(system.+state.+changed )|(\[timeout)|(PRM\|1\|D)|(kpr)|(kdp)|(\|lc)|(penalty))"</v>
      </c>
      <c r="U44" s="9" t="str">
        <f t="shared" si="13"/>
        <v>4025</v>
      </c>
      <c r="V44" s="32">
        <f t="shared" si="14"/>
        <v>42836.067141203705</v>
      </c>
      <c r="W44" s="46" t="str">
        <f t="shared" si="15"/>
        <v>EC</v>
      </c>
      <c r="X44" s="46" t="str">
        <f t="shared" si="16"/>
        <v>KEEP</v>
      </c>
      <c r="Y44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ID","value":"216-10"},{"id":16,"name":"Locomotive ID","value":"4025"},{"id":130,"name":"Impact","value":""},{"id":150,"name":"Time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"%USERPROFILE%\AppData\Local\Temp\OnboardLogs"\RTDC4025\*4025*201704110*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"%USERPROFILE%\AppData\Local\Temp\OnboardLogs"\RTDC4025\*4025*201704110* &gt;&gt; 2017-04-10-SliceDisagreementCheck.txt</v>
      </c>
      <c r="AE44" s="153" t="str">
        <f t="shared" si="9"/>
        <v>start /low /b %USERPROFILE%\Documents\GitHub\eaglep3\Utilities\DownloadLogsFromS3.py --loco 4025 --day 2017-04-11</v>
      </c>
      <c r="AF44" s="1"/>
    </row>
    <row r="45" spans="1:32" x14ac:dyDescent="0.25">
      <c r="A45" s="32">
        <v>42835.839328703703</v>
      </c>
      <c r="B45" s="30" t="s">
        <v>447</v>
      </c>
      <c r="C45" s="30" t="s">
        <v>649</v>
      </c>
      <c r="D45" s="30" t="s">
        <v>49</v>
      </c>
      <c r="E45" s="30" t="s">
        <v>185</v>
      </c>
      <c r="F45" s="43">
        <v>0</v>
      </c>
      <c r="G45" s="43">
        <v>45</v>
      </c>
      <c r="H45" s="43">
        <v>160</v>
      </c>
      <c r="I45" s="43">
        <v>127</v>
      </c>
      <c r="J45" s="30" t="s">
        <v>186</v>
      </c>
      <c r="K45" s="43">
        <v>1</v>
      </c>
      <c r="L45" s="139" t="s">
        <v>51</v>
      </c>
      <c r="M45" s="140">
        <f t="shared" si="11"/>
        <v>66.528000000000006</v>
      </c>
      <c r="N45" s="141" t="str">
        <f>VLOOKUP(C45,'Trips&amp;Operators'!$C$1:$G$99999,5,FALSE)</f>
        <v>FORTUNATO FRANK</v>
      </c>
      <c r="O45" s="190" t="s">
        <v>184</v>
      </c>
      <c r="P45" s="142"/>
      <c r="Q45" s="30"/>
      <c r="R45" s="89" t="str">
        <f>IF(VLOOKUP(C45,'Train Runs'!$A$13:$AE$9939,1,1)=C45,VLOOKUP(C45,'Train Runs'!$A$13:$AE$9939,31,1),NA())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S45" s="92" t="str">
        <f>VLOOKUP(C45,'Train Runs'!$A$13:$AE$9939,22,0)</f>
        <v>https://d0f6bd738d7f1b3e5a7ca70fe4ff75f0.us-east-1.aws.found.io/app/kibana#/discover/Steve-Slow-Train-Analysis-(2080s-and-2083s)?_g=(refreshInterval:(display:Off,pause:!f,section:0,value:0),time:(from:'2017-04-10T18:15:56-0600',mode:absolute,to:'2017-04-10T21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5" s="94" t="str">
        <f t="shared" si="12"/>
        <v>"C:\Program Files (x86)\AstroGrep\AstroGrep.exe" /e /r /s /spath="%USERPROFILE%\AppData\Local\Temp\OnboardLogs" /stypes="*4019*201704110*" /stext=" 02:.+((SYSTEM_STATE.+slice.+state.+changed )|(ment ac)|(multiple cpu faults)|(system.+state.+changed )|(\[timeout)|(PRM\|1\|D)|(kpr)|(kdp)|(\|lc)|(penalty))"</v>
      </c>
      <c r="U45" s="9" t="str">
        <f t="shared" si="13"/>
        <v>4019</v>
      </c>
      <c r="V45" s="32">
        <f t="shared" si="14"/>
        <v>42836.089328703703</v>
      </c>
      <c r="W45" s="46" t="str">
        <f t="shared" si="15"/>
        <v>EC</v>
      </c>
      <c r="X45" s="46" t="str">
        <f t="shared" si="16"/>
        <v>KEEP</v>
      </c>
      <c r="Y45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ID","value":"220-10"},{"id":16,"name":"Locomotive ID","value":"4019"},{"id":130,"name":"Impact","value":""},{"id":150,"name":"Time of Event (Mountain Time)","value":"20:08:38"},{"id":151,"name":"Denver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"%USERPROFILE%\AppData\Local\Temp\OnboardLogs"\RTDC4019\*4019*201704110*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"%USERPROFILE%\AppData\Local\Temp\OnboardLogs"\RTDC4019\*4019*201704110* &gt;&gt; 2017-04-10-SliceDisagreementCheck.txt</v>
      </c>
      <c r="AE45" s="153" t="str">
        <f t="shared" si="9"/>
        <v>start /low /b %USERPROFILE%\Documents\GitHub\eaglep3\Utilities\DownloadLogsFromS3.py --loco 4019 --day 2017-04-11</v>
      </c>
      <c r="AF45" s="1"/>
    </row>
    <row r="46" spans="1:32" x14ac:dyDescent="0.25">
      <c r="A46" s="32">
        <v>42835.526296296295</v>
      </c>
      <c r="B46" s="30" t="s">
        <v>438</v>
      </c>
      <c r="C46" s="30" t="s">
        <v>624</v>
      </c>
      <c r="D46" s="30" t="s">
        <v>49</v>
      </c>
      <c r="E46" s="30" t="s">
        <v>185</v>
      </c>
      <c r="F46" s="43">
        <v>0</v>
      </c>
      <c r="G46" s="43">
        <v>32</v>
      </c>
      <c r="H46" s="43">
        <v>233391</v>
      </c>
      <c r="I46" s="43">
        <v>233406</v>
      </c>
      <c r="J46" s="30" t="s">
        <v>186</v>
      </c>
      <c r="K46" s="43">
        <v>233491</v>
      </c>
      <c r="L46" s="139" t="s">
        <v>50</v>
      </c>
      <c r="M46" s="140">
        <f t="shared" si="11"/>
        <v>44.88</v>
      </c>
      <c r="N46" s="141" t="str">
        <f>VLOOKUP(C46,'Trips&amp;Operators'!$C$1:$G$99999,5,FALSE)</f>
        <v>LOCKLEAR TRAVIS</v>
      </c>
      <c r="O46" s="190" t="s">
        <v>184</v>
      </c>
      <c r="P46" s="142"/>
      <c r="Q46" s="30"/>
      <c r="R46" s="89" t="str">
        <f>IF(VLOOKUP(C46,'Train Runs'!$A$13:$AE$9939,1,1)=C46,VLOOKUP(C46,'Train Runs'!$A$13:$AE$9939,31,1),NA())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S46" s="92" t="str">
        <f>VLOOKUP(C46,'Train Runs'!$A$13:$AE$9939,22,0)</f>
        <v>https://d0f6bd738d7f1b3e5a7ca70fe4ff75f0.us-east-1.aws.found.io/app/kibana#/discover/Steve-Slow-Train-Analysis-(2080s-and-2083s)?_g=(refreshInterval:(display:Off,pause:!f,section:0,value:0),time:(from:'2017-04-10T10:52:37-0600',mode:absolute,to:'2017-04-10T13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6" s="94" t="str">
        <f t="shared" si="12"/>
        <v>"C:\Program Files (x86)\AstroGrep\AstroGrep.exe" /e /r /s /spath="%USERPROFILE%\AppData\Local\Temp\OnboardLogs" /stypes="*4042*201704101*" /stext=" 18:.+((SYSTEM_STATE.+slice.+state.+changed )|(ment ac)|(multiple cpu faults)|(system.+state.+changed )|(\[timeout)|(PRM\|1\|D)|(kpr)|(kdp)|(\|lc)|(penalty))"</v>
      </c>
      <c r="U46" s="9" t="str">
        <f t="shared" si="13"/>
        <v>4042</v>
      </c>
      <c r="V46" s="32">
        <f t="shared" si="14"/>
        <v>42835.776296296295</v>
      </c>
      <c r="W46" s="46" t="str">
        <f t="shared" si="15"/>
        <v>EC</v>
      </c>
      <c r="X46" s="46" t="str">
        <f t="shared" si="16"/>
        <v>KEEP</v>
      </c>
      <c r="Y46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ID","value":"167-10"},{"id":16,"name":"Locomotive ID","value":"4042"},{"id":130,"name":"Impact","value":""},{"id":150,"name":"Time of Event (Mountain Time)","value":"12:37:52"},{"id":151,"name":"Denver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0"/>
        <v>grep -hSE -A400 "Enforcement Action" "%USERPROFILE%\AppData\Local\Temp\OnboardLogs"\RTDC4042\*4042*201704101*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"%USERPROFILE%\AppData\Local\Temp\OnboardLogs"\RTDC4042\*4042*201704101* &gt;&gt; 2017-04-10-SliceDisagreementCheck.txt</v>
      </c>
      <c r="AE46" s="153" t="str">
        <f t="shared" si="9"/>
        <v>start /low /b %USERPROFILE%\Documents\GitHub\eaglep3\Utilities\DownloadLogsFromS3.py --loco 4042 --day 2017-04-10</v>
      </c>
      <c r="AF46" s="1"/>
    </row>
    <row r="47" spans="1:32" x14ac:dyDescent="0.25">
      <c r="A47" s="32">
        <v>42835.652499999997</v>
      </c>
      <c r="B47" s="30" t="s">
        <v>450</v>
      </c>
      <c r="C47" s="30" t="s">
        <v>632</v>
      </c>
      <c r="D47" s="30" t="s">
        <v>49</v>
      </c>
      <c r="E47" s="30" t="s">
        <v>185</v>
      </c>
      <c r="F47" s="43">
        <v>0</v>
      </c>
      <c r="G47" s="43">
        <v>100</v>
      </c>
      <c r="H47" s="43">
        <v>233072</v>
      </c>
      <c r="I47" s="43">
        <v>233184</v>
      </c>
      <c r="J47" s="30" t="s">
        <v>186</v>
      </c>
      <c r="K47" s="43">
        <v>233491</v>
      </c>
      <c r="L47" s="139" t="s">
        <v>50</v>
      </c>
      <c r="M47" s="140">
        <f t="shared" si="11"/>
        <v>162.096</v>
      </c>
      <c r="N47" s="141" t="str">
        <f>VLOOKUP(C47,'Trips&amp;Operators'!$C$1:$G$99999,5,FALSE)</f>
        <v>CLARK KATHLEEN</v>
      </c>
      <c r="O47" s="190" t="s">
        <v>184</v>
      </c>
      <c r="P47" s="142"/>
      <c r="Q47" s="30"/>
      <c r="R47" s="89" t="str">
        <f>IF(VLOOKUP(C47,'Train Runs'!$A$13:$AE$9939,1,1)=C47,VLOOKUP(C47,'Train Runs'!$A$13:$AE$9939,31,1),NA())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S47" s="92" t="str">
        <f>VLOOKUP(C47,'Train Runs'!$A$13:$AE$9939,22,0)</f>
        <v>https://d0f6bd738d7f1b3e5a7ca70fe4ff75f0.us-east-1.aws.found.io/app/kibana#/discover/Steve-Slow-Train-Analysis-(2080s-and-2083s)?_g=(refreshInterval:(display:Off,pause:!f,section:0,value:0),time:(from:'2017-04-10T13:56:02-0600',mode:absolute,to:'2017-04-10T16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7" s="94" t="str">
        <f t="shared" si="12"/>
        <v>"C:\Program Files (x86)\AstroGrep\AstroGrep.exe" /e /r /s /spath="%USERPROFILE%\AppData\Local\Temp\OnboardLogs" /stypes="*4020*201704102*" /stext=" 21:.+((SYSTEM_STATE.+slice.+state.+changed )|(ment ac)|(multiple cpu faults)|(system.+state.+changed )|(\[timeout)|(PRM\|1\|D)|(kpr)|(kdp)|(\|lc)|(penalty))"</v>
      </c>
      <c r="U47" s="9" t="str">
        <f t="shared" si="13"/>
        <v>4020</v>
      </c>
      <c r="V47" s="32">
        <f t="shared" si="14"/>
        <v>42835.902499999997</v>
      </c>
      <c r="W47" s="46" t="str">
        <f t="shared" si="15"/>
        <v>EC</v>
      </c>
      <c r="X47" s="46" t="str">
        <f t="shared" si="16"/>
        <v>KEEP</v>
      </c>
      <c r="Y47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ID","value":"191-10"},{"id":16,"name":"Locomotive ID","value":"4020"},{"id":130,"name":"Impact","value":""},{"id":150,"name":"Time of Event (Mountain Time)","value":"15:39:36"},{"id":151,"name":"Denver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"%USERPROFILE%\AppData\Local\Temp\OnboardLogs"\RTDC4020\*4020*201704102*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"%USERPROFILE%\AppData\Local\Temp\OnboardLogs"\RTDC4020\*4020*201704102* &gt;&gt; 2017-04-10-SliceDisagreementCheck.txt</v>
      </c>
      <c r="AE47" s="153" t="str">
        <f t="shared" si="9"/>
        <v>start /low /b %USERPROFILE%\Documents\GitHub\eaglep3\Utilities\DownloadLogsFromS3.py --loco 4020 --day 2017-04-10</v>
      </c>
      <c r="AF47" s="1"/>
    </row>
    <row r="48" spans="1:32" x14ac:dyDescent="0.25">
      <c r="A48" s="32">
        <v>42835.786539351851</v>
      </c>
      <c r="B48" s="30" t="s">
        <v>593</v>
      </c>
      <c r="C48" s="30" t="s">
        <v>645</v>
      </c>
      <c r="D48" s="30" t="s">
        <v>49</v>
      </c>
      <c r="E48" s="30" t="s">
        <v>185</v>
      </c>
      <c r="F48" s="43">
        <v>0</v>
      </c>
      <c r="G48" s="43">
        <v>34</v>
      </c>
      <c r="H48" s="43">
        <v>233380</v>
      </c>
      <c r="I48" s="43">
        <v>233406</v>
      </c>
      <c r="J48" s="30" t="s">
        <v>186</v>
      </c>
      <c r="K48" s="43">
        <v>233491</v>
      </c>
      <c r="L48" s="139" t="s">
        <v>50</v>
      </c>
      <c r="M48" s="140">
        <f t="shared" si="11"/>
        <v>44.88</v>
      </c>
      <c r="N48" s="141" t="str">
        <f>VLOOKUP(C48,'Trips&amp;Operators'!$C$1:$G$99999,5,FALSE)</f>
        <v>STAMBAUGH JAMES</v>
      </c>
      <c r="O48" s="190" t="s">
        <v>184</v>
      </c>
      <c r="P48" s="142"/>
      <c r="Q48" s="30"/>
      <c r="R48" s="89" t="str">
        <f>IF(VLOOKUP(C48,'Train Runs'!$A$13:$AE$9939,1,1)=C48,VLOOKUP(C48,'Train Runs'!$A$13:$AE$9939,31,1),NA())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S48" s="92" t="str">
        <f>VLOOKUP(C48,'Train Runs'!$A$13:$AE$9939,22,0)</f>
        <v>https://d0f6bd738d7f1b3e5a7ca70fe4ff75f0.us-east-1.aws.found.io/app/kibana#/discover/Steve-Slow-Train-Analysis-(2080s-and-2083s)?_g=(refreshInterval:(display:Off,pause:!f,section:0,value:0),time:(from:'2017-04-10T17:12:58-0600',mode:absolute,to:'2017-04-10T19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8" s="94" t="str">
        <f t="shared" si="12"/>
        <v>"C:\Program Files (x86)\AstroGrep\AstroGrep.exe" /e /r /s /spath="%USERPROFILE%\AppData\Local\Temp\OnboardLogs" /stypes="*4006*201704110*" /stext=" 00:.+((SYSTEM_STATE.+slice.+state.+changed )|(ment ac)|(multiple cpu faults)|(system.+state.+changed )|(\[timeout)|(PRM\|1\|D)|(kpr)|(kdp)|(\|lc)|(penalty))"</v>
      </c>
      <c r="U48" s="9" t="str">
        <f t="shared" si="13"/>
        <v>4006</v>
      </c>
      <c r="V48" s="32">
        <f t="shared" si="14"/>
        <v>42836.036539351851</v>
      </c>
      <c r="W48" s="46" t="str">
        <f t="shared" si="15"/>
        <v>EC</v>
      </c>
      <c r="X48" s="46" t="str">
        <f t="shared" si="16"/>
        <v>KEEP</v>
      </c>
      <c r="Y48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ID","value":"217-10"},{"id":16,"name":"Locomotive ID","value":"4006"},{"id":130,"name":"Impact","value":""},{"id":150,"name":"Time of Event (Mountain Time)","value":"18:52:37"},{"id":151,"name":"Denver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"%USERPROFILE%\AppData\Local\Temp\OnboardLogs"\RTDC4006\*4006*201704110*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"%USERPROFILE%\AppData\Local\Temp\OnboardLogs"\RTDC4006\*4006*201704110* &gt;&gt; 2017-04-10-SliceDisagreementCheck.txt</v>
      </c>
      <c r="AE48" s="153" t="str">
        <f t="shared" si="9"/>
        <v>start /low /b %USERPROFILE%\Documents\GitHub\eaglep3\Utilities\DownloadLogsFromS3.py --loco 4006 --day 2017-04-11</v>
      </c>
      <c r="AF48" s="1"/>
    </row>
    <row r="49" spans="1:32" x14ac:dyDescent="0.25">
      <c r="A49" s="32">
        <v>42835.983703703707</v>
      </c>
      <c r="B49" s="30" t="s">
        <v>438</v>
      </c>
      <c r="C49" s="30" t="s">
        <v>650</v>
      </c>
      <c r="D49" s="30" t="s">
        <v>49</v>
      </c>
      <c r="E49" s="30" t="s">
        <v>185</v>
      </c>
      <c r="F49" s="43">
        <v>0</v>
      </c>
      <c r="G49" s="43">
        <v>75</v>
      </c>
      <c r="H49" s="43">
        <v>233219</v>
      </c>
      <c r="I49" s="43">
        <v>233289</v>
      </c>
      <c r="J49" s="30" t="s">
        <v>186</v>
      </c>
      <c r="K49" s="43">
        <v>233491</v>
      </c>
      <c r="L49" s="139" t="s">
        <v>50</v>
      </c>
      <c r="M49" s="140">
        <f t="shared" si="11"/>
        <v>106.65600000000001</v>
      </c>
      <c r="N49" s="141" t="str">
        <f>VLOOKUP(C49,'Trips&amp;Operators'!$C$1:$G$99999,5,FALSE)</f>
        <v>CHANDLER KELVIN</v>
      </c>
      <c r="O49" s="190" t="s">
        <v>184</v>
      </c>
      <c r="P49" s="142"/>
      <c r="Q49" s="30"/>
      <c r="R49" s="89" t="str">
        <f>IF(VLOOKUP(C49,'Train Runs'!$A$13:$AE$9939,1,1)=C49,VLOOKUP(C49,'Train Runs'!$A$13:$AE$9939,31,1),NA())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S49" s="92" t="str">
        <f>VLOOKUP(C49,'Train Runs'!$A$13:$AE$9939,22,0)</f>
        <v>https://d0f6bd738d7f1b3e5a7ca70fe4ff75f0.us-east-1.aws.found.io/app/kibana#/discover/Steve-Slow-Train-Analysis-(2080s-and-2083s)?_g=(refreshInterval:(display:Off,pause:!f,section:0,value:0),time:(from:'2017-04-10T21:55:29-0600',mode:absolute,to:'2017-04-11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9" s="94" t="str">
        <f t="shared" si="12"/>
        <v>"C:\Program Files (x86)\AstroGrep\AstroGrep.exe" /e /r /s /spath="%USERPROFILE%\AppData\Local\Temp\OnboardLogs" /stypes="*4042*201704110*" /stext=" 05:.+((SYSTEM_STATE.+slice.+state.+changed )|(ment ac)|(multiple cpu faults)|(system.+state.+changed )|(\[timeout)|(PRM\|1\|D)|(kpr)|(kdp)|(\|lc)|(penalty))"</v>
      </c>
      <c r="U49" s="9" t="str">
        <f t="shared" si="13"/>
        <v>4042</v>
      </c>
      <c r="V49" s="32">
        <f t="shared" si="14"/>
        <v>42836.233703703707</v>
      </c>
      <c r="W49" s="46" t="str">
        <f t="shared" si="15"/>
        <v>EC</v>
      </c>
      <c r="X49" s="46" t="str">
        <f t="shared" si="16"/>
        <v>KEEP</v>
      </c>
      <c r="Y49" s="104" t="str">
        <f t="shared" si="17"/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ID","value":"237-10"},{"id":16,"name":"Locomotive ID","value":"4042"},{"id":130,"name":"Impact","value":""},{"id":150,"name":"Time of Event (Mountain Time)","value":"23:36:32"},{"id":151,"name":"Denver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"%USERPROFILE%\AppData\Local\Temp\OnboardLogs"\RTDC4042\*4042*201704110*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"%USERPROFILE%\AppData\Local\Temp\OnboardLogs"\RTDC4042\*4042*201704110* &gt;&gt; 2017-04-10-SliceDisagreementCheck.txt</v>
      </c>
      <c r="AE49" s="153" t="str">
        <f t="shared" si="9"/>
        <v>start /low /b %USERPROFILE%\Documents\GitHub\eaglep3\Utilities\DownloadLogsFromS3.py --loco 4042 --day 2017-04-11</v>
      </c>
      <c r="AF49" s="1"/>
    </row>
    <row r="50" spans="1:32" x14ac:dyDescent="0.25">
      <c r="A50" s="32">
        <v>42835.701898148145</v>
      </c>
      <c r="B50" s="30" t="s">
        <v>379</v>
      </c>
      <c r="C50" s="30" t="s">
        <v>637</v>
      </c>
      <c r="D50" s="30" t="s">
        <v>49</v>
      </c>
      <c r="E50" s="30" t="s">
        <v>191</v>
      </c>
      <c r="F50" s="43">
        <v>0</v>
      </c>
      <c r="G50" s="43">
        <v>281</v>
      </c>
      <c r="H50" s="43">
        <v>11318</v>
      </c>
      <c r="I50" s="43">
        <v>10791</v>
      </c>
      <c r="J50" s="30" t="s">
        <v>192</v>
      </c>
      <c r="K50" s="43">
        <v>10988</v>
      </c>
      <c r="L50" s="139" t="s">
        <v>51</v>
      </c>
      <c r="M50" s="140">
        <f t="shared" si="11"/>
        <v>-104.01600000000001</v>
      </c>
      <c r="N50" s="141" t="str">
        <f>VLOOKUP(C50,'Trips&amp;Operators'!$C$1:$G$99999,5,FALSE)</f>
        <v>LEVIN SCOTT</v>
      </c>
      <c r="O50" s="190" t="s">
        <v>184</v>
      </c>
      <c r="P50" s="142" t="s">
        <v>445</v>
      </c>
      <c r="Q50" s="30"/>
      <c r="R50" s="89" t="e">
        <f>IF(VLOOKUP(C50,'Train Runs'!$A$13:$AE$9939,1,1)=C50,VLOOKUP(C50,'Train Runs'!$A$13:$AE$9939,31,1),NA())</f>
        <v>#N/A</v>
      </c>
      <c r="S50" s="92" t="str">
        <f>VLOOKUP(C50,'Train Runs'!$A$13:$AE$9939,22,0)</f>
        <v>https://d0f6bd738d7f1b3e5a7ca70fe4ff75f0.us-east-1.aws.found.io/app/kibana#/discover/Steve-Slow-Train-Analysis-(2080s-and-2083s)?_g=(refreshInterval:(display:Off,pause:!f,section:0,value:0),time:(from:'2017-04-10T15:36:10-0600',mode:absolute,to:'2017-04-10T17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0" s="94" t="str">
        <f t="shared" si="12"/>
        <v>"C:\Program Files (x86)\AstroGrep\AstroGrep.exe" /e /r /s /spath="%USERPROFILE%\AppData\Local\Temp\OnboardLogs" /stypes="*4021*201704102*" /stext=" 22:.+((SYSTEM_STATE.+slice.+state.+changed )|(ment ac)|(multiple cpu faults)|(system.+state.+changed )|(\[timeout)|(PRM\|1\|D)|(kpr)|(kdp)|(\|lc)|(penalty))"</v>
      </c>
      <c r="U50" s="9" t="str">
        <f t="shared" si="13"/>
        <v>4021</v>
      </c>
      <c r="V50" s="32">
        <f t="shared" si="14"/>
        <v>42835.951898148145</v>
      </c>
      <c r="W50" s="46" t="str">
        <f t="shared" si="15"/>
        <v>NW</v>
      </c>
      <c r="X50" s="46" t="str">
        <f t="shared" si="16"/>
        <v>KEEP</v>
      </c>
      <c r="Y50" s="104" t="str">
        <f t="shared" si="17"/>
        <v>echo {"issue":{"subject":"Early arrival","project_id":79,"tracker_id":40,"status_id":1,"priority_id":2,"assigned_to_id":23,"start_date":"2017-04-10","description":"","custom_fields":[{"id":1,"name":"Subdivision","value":"NW"},{"id":4,"name":"Milepost","value":"1.0988"},{"id":17,"name":"Train ID","value":"830-10"},{"id":16,"name":"Locomotive ID","value":"4021"},{"id":130,"name":"Impact","value":""},{"id":150,"name":"Time of Event (Mountain Time)","value":"16:50:44"},{"id":151,"name":"Denver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0"/>
        <v>grep -hSE -A400 "Enforcement Action" "%USERPROFILE%\AppData\Local\Temp\OnboardLogs"\RTDC4021\*4021*201704102*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"%USERPROFILE%\AppData\Local\Temp\OnboardLogs"\RTDC4021\*4021*201704102* &gt;&gt; 2017-04-10-SliceDisagreementCheck.txt</v>
      </c>
      <c r="AE50" s="153" t="str">
        <f t="shared" si="9"/>
        <v>start /low /b %USERPROFILE%\Documents\GitHub\eaglep3\Utilities\DownloadLogsFromS3.py --loco 4021 --day 2017-04-10</v>
      </c>
      <c r="AF50" s="1"/>
    </row>
    <row r="51" spans="1:32" x14ac:dyDescent="0.25">
      <c r="A51" s="32">
        <v>42835.829351851855</v>
      </c>
      <c r="B51" s="30" t="s">
        <v>379</v>
      </c>
      <c r="C51" s="30" t="s">
        <v>648</v>
      </c>
      <c r="D51" s="30" t="s">
        <v>49</v>
      </c>
      <c r="E51" s="30" t="s">
        <v>191</v>
      </c>
      <c r="F51" s="43">
        <v>240</v>
      </c>
      <c r="G51" s="43">
        <v>304</v>
      </c>
      <c r="H51" s="43">
        <v>12491</v>
      </c>
      <c r="I51" s="43">
        <v>11601</v>
      </c>
      <c r="J51" s="30" t="s">
        <v>192</v>
      </c>
      <c r="K51" s="43">
        <v>10988</v>
      </c>
      <c r="L51" s="139" t="s">
        <v>51</v>
      </c>
      <c r="M51" s="140">
        <f t="shared" si="11"/>
        <v>323.66399999999999</v>
      </c>
      <c r="N51" s="141" t="str">
        <f>VLOOKUP(C51,'Trips&amp;Operators'!$C$1:$G$99999,5,FALSE)</f>
        <v>LEVIN SCOTT</v>
      </c>
      <c r="O51" s="190" t="s">
        <v>184</v>
      </c>
      <c r="P51" s="142" t="s">
        <v>445</v>
      </c>
      <c r="Q51" s="30"/>
      <c r="R51" s="89" t="e">
        <f>IF(VLOOKUP(C51,'Train Runs'!$A$13:$AE$9939,1,1)=C51,VLOOKUP(C51,'Train Runs'!$A$13:$AE$9939,31,1),NA())</f>
        <v>#N/A</v>
      </c>
      <c r="S51" s="92" t="str">
        <f>VLOOKUP(C51,'Train Runs'!$A$13:$AE$9939,22,0)</f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1" s="94" t="str">
        <f t="shared" si="12"/>
        <v>"C:\Program Files (x86)\AstroGrep\AstroGrep.exe" /e /r /s /spath="%USERPROFILE%\AppData\Local\Temp\OnboardLogs" /stypes="*4021*201704110*" /stext=" 01:.+((SYSTEM_STATE.+slice.+state.+changed )|(ment ac)|(multiple cpu faults)|(system.+state.+changed )|(\[timeout)|(PRM\|1\|D)|(kpr)|(kdp)|(\|lc)|(penalty))"</v>
      </c>
      <c r="U51" s="9" t="str">
        <f t="shared" si="13"/>
        <v>4021</v>
      </c>
      <c r="V51" s="32">
        <f t="shared" si="14"/>
        <v>42836.079351851855</v>
      </c>
      <c r="W51" s="46" t="str">
        <f t="shared" si="15"/>
        <v>NW</v>
      </c>
      <c r="X51" s="46" t="str">
        <f t="shared" si="16"/>
        <v>KEEP</v>
      </c>
      <c r="Y51" s="104" t="str">
        <f t="shared" si="17"/>
        <v>echo {"issue":{"subject":"Early arrival","project_id":79,"tracker_id":40,"status_id":1,"priority_id":2,"assigned_to_id":23,"start_date":"2017-04-10","description":"","custom_fields":[{"id":1,"name":"Subdivision","value":"NW"},{"id":4,"name":"Milepost","value":"1.0988"},{"id":17,"name":"Train ID","value":"840-10"},{"id":16,"name":"Locomotive ID","value":"4021"},{"id":130,"name":"Impact","value":""},{"id":150,"name":"Time of Event (Mountain Time)","value":"19:54:16"},{"id":151,"name":"Denver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0"/>
        <v>grep -hSE -A400 "Enforcement Action" "%USERPROFILE%\AppData\Local\Temp\OnboardLogs"\RTDC4021\*4021*201704110*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1" s="153" t="str">
        <f t="shared" si="9"/>
        <v>start /low /b %USERPROFILE%\Documents\GitHub\eaglep3\Utilities\DownloadLogsFromS3.py --loco 4021 --day 2017-04-11</v>
      </c>
      <c r="AF51" s="1"/>
    </row>
    <row r="52" spans="1:32" x14ac:dyDescent="0.25">
      <c r="A52" s="32">
        <v>42835.303414351853</v>
      </c>
      <c r="B52" s="30" t="s">
        <v>599</v>
      </c>
      <c r="C52" s="30" t="s">
        <v>606</v>
      </c>
      <c r="D52" s="30" t="s">
        <v>98</v>
      </c>
      <c r="E52" s="30" t="s">
        <v>213</v>
      </c>
      <c r="F52" s="43">
        <v>400</v>
      </c>
      <c r="G52" s="43">
        <v>457</v>
      </c>
      <c r="H52" s="43">
        <v>38670</v>
      </c>
      <c r="I52" s="43">
        <v>37488</v>
      </c>
      <c r="J52" s="30" t="s">
        <v>214</v>
      </c>
      <c r="K52" s="43">
        <v>40977</v>
      </c>
      <c r="L52" s="139" t="s">
        <v>51</v>
      </c>
      <c r="M52" s="140">
        <f t="shared" si="11"/>
        <v>-1842.192</v>
      </c>
      <c r="N52" s="141" t="str">
        <f>VLOOKUP(C52,'Trips&amp;Operators'!$C$1:$G$99999,5,FALSE)</f>
        <v>DAVIS WENDY</v>
      </c>
      <c r="O52" s="190" t="s">
        <v>184</v>
      </c>
      <c r="P52" s="142"/>
      <c r="Q52" s="30"/>
      <c r="R52" s="89" t="str">
        <f>IF(VLOOKUP(C52,'Train Runs'!$A$13:$AE$9939,1,1)=C52,VLOOKUP(C52,'Train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52" s="92" t="str">
        <f>VLOOKUP(C52,'Train Runs'!$A$13:$AE$9939,22,0)</f>
        <v>https://d0f6bd738d7f1b3e5a7ca70fe4ff75f0.us-east-1.aws.found.io/app/kibana#/discover/Steve-Slow-Train-Analysis-(2080s-and-2083s)?_g=(refreshInterval:(display:Off,pause:!f,section:0,value:0),time:(from:'2017-04-10T06:06:16-0600',mode:absolute,to:'2017-04-10T08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2" s="94" t="str">
        <f t="shared" si="12"/>
        <v>"C:\Program Files (x86)\AstroGrep\AstroGrep.exe" /e /r /s /spath="%USERPROFILE%\AppData\Local\Temp\OnboardLogs" /stypes="*4017*201704101*" /stext=" 13:.+((SYSTEM_STATE.+slice.+state.+changed )|(ment ac)|(multiple cpu faults)|(system.+state.+changed )|(\[timeout)|(PRM\|1\|D)|(kpr)|(kdp)|(\|lc)|(penalty))"</v>
      </c>
      <c r="U52" s="9" t="str">
        <f t="shared" si="13"/>
        <v>4017</v>
      </c>
      <c r="V52" s="32">
        <f t="shared" si="14"/>
        <v>42835.553414351853</v>
      </c>
      <c r="W52" s="46" t="str">
        <f t="shared" si="15"/>
        <v>NW</v>
      </c>
      <c r="X52" s="46" t="str">
        <f t="shared" si="16"/>
        <v>KEEP</v>
      </c>
      <c r="Y52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{"issue":{"subject":"","project_id":79,"tracker_id":40,"status_id":1,"priority_id":2,"assigned_to_id":23,"start_date":"2017-04-10","description":"","custom_fields":[{"id":1,"name":"Subdivision","value":"NW"},{"id":4,"name":"Milepost","value":"4.0977"},{"id":17,"name":"Train ID","value":"806-10"},{"id":16,"name":"Locomotive ID","value":"4017"},{"id":130,"name":"Impact","value":""},{"id":150,"name":"Time of Event (Mountain Time)","value":"07:16:55"},{"id":151,"name":"Denver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0"/>
        <v>grep -hSE -A400 "Enforcement Action" "%USERPROFILE%\AppData\Local\Temp\OnboardLogs"\RTDC4017\*4017*201704101*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52" s="153" t="str">
        <f t="shared" si="9"/>
        <v>start /low /b %USERPROFILE%\Documents\GitHub\eaglep3\Utilities\DownloadLogsFromS3.py --loco 4017 --day 2017-04-10</v>
      </c>
      <c r="AF52" s="1"/>
    </row>
    <row r="53" spans="1:32" x14ac:dyDescent="0.25">
      <c r="A53" s="32">
        <v>42835.667361111111</v>
      </c>
      <c r="B53" s="30" t="s">
        <v>596</v>
      </c>
      <c r="C53" s="30" t="s">
        <v>633</v>
      </c>
      <c r="D53" s="30" t="s">
        <v>49</v>
      </c>
      <c r="E53" s="30" t="s">
        <v>213</v>
      </c>
      <c r="F53" s="43">
        <v>150</v>
      </c>
      <c r="G53" s="43">
        <v>310</v>
      </c>
      <c r="H53" s="43">
        <v>55752</v>
      </c>
      <c r="I53" s="43">
        <v>56306</v>
      </c>
      <c r="J53" s="30" t="s">
        <v>214</v>
      </c>
      <c r="K53" s="43">
        <v>57008</v>
      </c>
      <c r="L53" s="139" t="s">
        <v>50</v>
      </c>
      <c r="M53" s="140">
        <f t="shared" si="11"/>
        <v>370.65600000000001</v>
      </c>
      <c r="N53" s="141" t="str">
        <f>VLOOKUP(C53,'Trips&amp;Operators'!$C$1:$G$99999,5,FALSE)</f>
        <v>NEWELL JAMES</v>
      </c>
      <c r="O53" s="190" t="s">
        <v>184</v>
      </c>
      <c r="P53" s="142"/>
      <c r="Q53" s="30"/>
      <c r="R53" s="89" t="e">
        <f>IF(VLOOKUP(C53,'Train Runs'!$A$13:$AE$9939,1,1)=C53,VLOOKUP(C53,'Train Runs'!$A$13:$AE$9939,31,1),NA())</f>
        <v>#N/A</v>
      </c>
      <c r="S53" s="92" t="str">
        <f>VLOOKUP(C53,'Train Runs'!$A$13:$AE$9939,22,0)</f>
        <v>https://d0f6bd738d7f1b3e5a7ca70fe4ff75f0.us-east-1.aws.found.io/app/kibana#/discover/Steve-Slow-Train-Analysis-(2080s-and-2083s)?_g=(refreshInterval:(display:Off,pause:!f,section:0,value:0),time:(from:'2017-04-10T14:31:42-0600',mode:absolute,to:'2017-04-10T17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3" s="94" t="str">
        <f t="shared" si="12"/>
        <v>"C:\Program Files (x86)\AstroGrep\AstroGrep.exe" /e /r /s /spath="%USERPROFILE%\AppData\Local\Temp\OnboardLogs" /stypes="*4018*201704102*" /stext=" 22:.+((SYSTEM_STATE.+slice.+state.+changed )|(ment ac)|(multiple cpu faults)|(system.+state.+changed )|(\[timeout)|(PRM\|1\|D)|(kpr)|(kdp)|(\|lc)|(penalty))"</v>
      </c>
      <c r="U53" s="9" t="str">
        <f t="shared" si="13"/>
        <v>4018</v>
      </c>
      <c r="V53" s="32">
        <f t="shared" si="14"/>
        <v>42835.917361111111</v>
      </c>
      <c r="W53" s="46" t="str">
        <f t="shared" si="15"/>
        <v>NW</v>
      </c>
      <c r="X53" s="46" t="str">
        <f t="shared" si="16"/>
        <v>KEEP</v>
      </c>
      <c r="Y53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{"issue":{"subject":"","project_id":79,"tracker_id":40,"status_id":1,"priority_id":2,"assigned_to_id":23,"start_date":"2017-04-10","description":"","custom_fields":[{"id":1,"name":"Subdivision","value":"NW"},{"id":4,"name":"Milepost","value":"5.7008"},{"id":17,"name":"Train ID","value":"827-10"},{"id":16,"name":"Locomotive ID","value":"4018"},{"id":130,"name":"Impact","value":""},{"id":150,"name":"Time of Event (Mountain Time)","value":"16:01:00"},{"id":151,"name":"Denver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0"/>
        <v>grep -hSE -A400 "Enforcement Action" "%USERPROFILE%\AppData\Local\Temp\OnboardLogs"\RTDC4018\*4018*201704102*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"%USERPROFILE%\AppData\Local\Temp\OnboardLogs"\RTDC4018\*4018*201704102* &gt;&gt; 2017-04-10-SliceDisagreementCheck.txt</v>
      </c>
      <c r="AE53" s="153" t="str">
        <f t="shared" si="9"/>
        <v>start /low /b %USERPROFILE%\Documents\GitHub\eaglep3\Utilities\DownloadLogsFromS3.py --loco 4018 --day 2017-04-10</v>
      </c>
      <c r="AF53" s="1"/>
    </row>
    <row r="54" spans="1:32" x14ac:dyDescent="0.25">
      <c r="A54" s="32">
        <v>42835.495879629627</v>
      </c>
      <c r="B54" s="30" t="s">
        <v>379</v>
      </c>
      <c r="C54" s="30" t="s">
        <v>619</v>
      </c>
      <c r="D54" s="30" t="s">
        <v>49</v>
      </c>
      <c r="E54" s="30" t="s">
        <v>435</v>
      </c>
      <c r="F54" s="43">
        <v>0</v>
      </c>
      <c r="G54" s="43">
        <v>10</v>
      </c>
      <c r="H54" s="43">
        <v>4874</v>
      </c>
      <c r="I54" s="43">
        <v>4868</v>
      </c>
      <c r="J54" s="30" t="s">
        <v>436</v>
      </c>
      <c r="K54" s="43">
        <v>4790</v>
      </c>
      <c r="L54" s="139" t="s">
        <v>51</v>
      </c>
      <c r="M54" s="140">
        <f t="shared" si="11"/>
        <v>41.183999999999997</v>
      </c>
      <c r="N54" s="141" t="str">
        <f>VLOOKUP(C54,'Trips&amp;Operators'!$C$1:$G$99999,5,FALSE)</f>
        <v>LALONDE GREGORY</v>
      </c>
      <c r="O54" s="190" t="s">
        <v>184</v>
      </c>
      <c r="P54" s="142" t="s">
        <v>1040</v>
      </c>
      <c r="Q54" s="30"/>
      <c r="R54" s="89" t="e">
        <f>IF(VLOOKUP(C54,'Train Runs'!$A$13:$AE$9939,1,1)=C54,VLOOKUP(C54,'Train Runs'!$A$13:$AE$9939,31,1),NA())</f>
        <v>#N/A</v>
      </c>
      <c r="S54" s="92" t="str">
        <f>VLOOKUP(C54,'Train Runs'!$A$13:$AE$9939,22,0)</f>
        <v>https://d0f6bd738d7f1b3e5a7ca70fe4ff75f0.us-east-1.aws.found.io/app/kibana#/discover/Steve-Slow-Train-Analysis-(2080s-and-2083s)?_g=(refreshInterval:(display:Off,pause:!f,section:0,value:0),time:(from:'2017-04-10T10:35:21-0600',mode:absolute,to:'2017-04-10T12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4" s="94" t="str">
        <f t="shared" si="12"/>
        <v>"C:\Program Files (x86)\AstroGrep\AstroGrep.exe" /e /r /s /spath="%USERPROFILE%\AppData\Local\Temp\OnboardLogs" /stypes="*4021*201704101*" /stext=" 17:.+((SYSTEM_STATE.+slice.+state.+changed )|(ment ac)|(multiple cpu faults)|(system.+state.+changed )|(\[timeout)|(PRM\|1\|D)|(kpr)|(kdp)|(\|lc)|(penalty))"</v>
      </c>
      <c r="U54" s="9" t="str">
        <f t="shared" si="13"/>
        <v>4021</v>
      </c>
      <c r="V54" s="32">
        <f t="shared" si="14"/>
        <v>42835.745879629627</v>
      </c>
      <c r="W54" s="46" t="str">
        <f t="shared" si="15"/>
        <v>NW</v>
      </c>
      <c r="X54" s="46" t="str">
        <f t="shared" si="16"/>
        <v>KEEP</v>
      </c>
      <c r="Y54" s="104" t="str">
        <f t="shared" si="17"/>
        <v>echo {"issue":{"subject":"DUS 28S STOP","project_id":79,"tracker_id":40,"status_id":1,"priority_id":2,"assigned_to_id":23,"start_date":"2017-04-10","description":"","custom_fields":[{"id":1,"name":"Subdivision","value":"NW"},{"id":4,"name":"Milepost","value":"0.479"},{"id":17,"name":"Train ID","value":"818-10"},{"id":16,"name":"Locomotive ID","value":"4021"},{"id":130,"name":"Impact","value":""},{"id":150,"name":"Time of Event (Mountain Time)","value":"11:54:04"},{"id":151,"name":"Denver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18"/>
      <c r="AA54" s="48"/>
      <c r="AB54" s="48"/>
      <c r="AC54" s="123" t="str">
        <f t="shared" si="10"/>
        <v>grep -hSE -A400 "Enforcement Action" "%USERPROFILE%\AppData\Local\Temp\OnboardLogs"\RTDC4021\*4021*201704101*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"%USERPROFILE%\AppData\Local\Temp\OnboardLogs"\RTDC4021\*4021*201704101* &gt;&gt; 2017-04-10-SliceDisagreementCheck.txt</v>
      </c>
      <c r="AE54" s="153" t="str">
        <f t="shared" si="9"/>
        <v>start /low /b %USERPROFILE%\Documents\GitHub\eaglep3\Utilities\DownloadLogsFromS3.py --loco 4021 --day 2017-04-10</v>
      </c>
      <c r="AF54" s="1"/>
    </row>
    <row r="55" spans="1:32" x14ac:dyDescent="0.25">
      <c r="A55" s="32">
        <v>42835.682268518518</v>
      </c>
      <c r="B55" s="30" t="s">
        <v>599</v>
      </c>
      <c r="C55" s="30" t="s">
        <v>635</v>
      </c>
      <c r="D55" s="30" t="s">
        <v>49</v>
      </c>
      <c r="E55" s="30" t="s">
        <v>435</v>
      </c>
      <c r="F55" s="43">
        <v>0</v>
      </c>
      <c r="G55" s="43">
        <v>147</v>
      </c>
      <c r="H55" s="43">
        <v>5240</v>
      </c>
      <c r="I55" s="43">
        <v>5109</v>
      </c>
      <c r="J55" s="30" t="s">
        <v>436</v>
      </c>
      <c r="K55" s="43">
        <v>4790</v>
      </c>
      <c r="L55" s="139" t="s">
        <v>51</v>
      </c>
      <c r="M55" s="140">
        <f t="shared" si="11"/>
        <v>168.43199999999999</v>
      </c>
      <c r="N55" s="141" t="str">
        <f>VLOOKUP(C55,'Trips&amp;Operators'!$C$1:$G$99999,5,FALSE)</f>
        <v>NEWELL JAMES</v>
      </c>
      <c r="O55" s="190" t="s">
        <v>184</v>
      </c>
      <c r="P55" s="142" t="s">
        <v>1040</v>
      </c>
      <c r="Q55" s="30"/>
      <c r="R55" s="89" t="e">
        <f>IF(VLOOKUP(C55,'Train Runs'!$A$13:$AE$9939,1,1)=C55,VLOOKUP(C55,'Train Runs'!$A$13:$AE$9939,31,1),NA())</f>
        <v>#N/A</v>
      </c>
      <c r="S55" s="92" t="str">
        <f>VLOOKUP(C55,'Train Runs'!$A$13:$AE$9939,22,0)</f>
        <v>https://d0f6bd738d7f1b3e5a7ca70fe4ff75f0.us-east-1.aws.found.io/app/kibana#/discover/Steve-Slow-Train-Analysis-(2080s-and-2083s)?_g=(refreshInterval:(display:Off,pause:!f,section:0,value:0),time:(from:'2017-04-10T15:05:34-0600',mode:absolute,to:'2017-04-10T17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5" s="94" t="str">
        <f t="shared" si="12"/>
        <v>"C:\Program Files (x86)\AstroGrep\AstroGrep.exe" /e /r /s /spath="%USERPROFILE%\AppData\Local\Temp\OnboardLogs" /stypes="*4017*201704102*" /stext=" 22:.+((SYSTEM_STATE.+slice.+state.+changed )|(ment ac)|(multiple cpu faults)|(system.+state.+changed )|(\[timeout)|(PRM\|1\|D)|(kpr)|(kdp)|(\|lc)|(penalty))"</v>
      </c>
      <c r="U55" s="9" t="str">
        <f t="shared" si="13"/>
        <v>4017</v>
      </c>
      <c r="V55" s="32">
        <f t="shared" si="14"/>
        <v>42835.932268518518</v>
      </c>
      <c r="W55" s="46" t="str">
        <f t="shared" si="15"/>
        <v>NW</v>
      </c>
      <c r="X55" s="46" t="str">
        <f t="shared" si="16"/>
        <v>KEEP</v>
      </c>
      <c r="Y55" s="104" t="str">
        <f t="shared" si="17"/>
        <v>echo {"issue":{"subject":"DUS 28S STOP","project_id":79,"tracker_id":40,"status_id":1,"priority_id":2,"assigned_to_id":23,"start_date":"2017-04-10","description":"","custom_fields":[{"id":1,"name":"Subdivision","value":"NW"},{"id":4,"name":"Milepost","value":"0.479"},{"id":17,"name":"Train ID","value":"828-10"},{"id":16,"name":"Locomotive ID","value":"4017"},{"id":130,"name":"Impact","value":""},{"id":150,"name":"Time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18"/>
      <c r="AA55" s="48"/>
      <c r="AB55" s="48"/>
      <c r="AC55" s="123" t="str">
        <f t="shared" si="10"/>
        <v>grep -hSE -A400 "Enforcement Action" "%USERPROFILE%\AppData\Local\Temp\OnboardLogs"\RTDC4017\*4017*201704102*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"%USERPROFILE%\AppData\Local\Temp\OnboardLogs"\RTDC4017\*4017*201704102* &gt;&gt; 2017-04-10-SliceDisagreementCheck.txt</v>
      </c>
      <c r="AE55" s="153" t="str">
        <f t="shared" si="9"/>
        <v>start /low /b %USERPROFILE%\Documents\GitHub\eaglep3\Utilities\DownloadLogsFromS3.py --loco 4017 --day 2017-04-10</v>
      </c>
      <c r="AF55" s="1"/>
    </row>
    <row r="56" spans="1:32" x14ac:dyDescent="0.25">
      <c r="A56" s="32">
        <v>42835.784953703704</v>
      </c>
      <c r="B56" s="30" t="s">
        <v>379</v>
      </c>
      <c r="C56" s="30" t="s">
        <v>644</v>
      </c>
      <c r="D56" s="30" t="s">
        <v>98</v>
      </c>
      <c r="E56" s="30" t="s">
        <v>435</v>
      </c>
      <c r="F56" s="43">
        <v>0</v>
      </c>
      <c r="G56" s="43">
        <v>11</v>
      </c>
      <c r="H56" s="43">
        <v>26719</v>
      </c>
      <c r="I56" s="43">
        <v>26635</v>
      </c>
      <c r="J56" s="30" t="s">
        <v>436</v>
      </c>
      <c r="K56" s="43">
        <v>27253</v>
      </c>
      <c r="L56" s="139" t="s">
        <v>51</v>
      </c>
      <c r="M56" s="140">
        <f t="shared" si="11"/>
        <v>-326.30399999999997</v>
      </c>
      <c r="N56" s="141" t="str">
        <f>VLOOKUP(C56,'Trips&amp;Operators'!$C$1:$G$99999,5,FALSE)</f>
        <v>LEVIN SCOTT</v>
      </c>
      <c r="O56" s="190" t="s">
        <v>437</v>
      </c>
      <c r="P56" s="142" t="s">
        <v>475</v>
      </c>
      <c r="Q56" s="30"/>
      <c r="R56" s="89" t="e">
        <f>IF(VLOOKUP(C56,'Train Runs'!$A$13:$AE$9939,1,1)=C56,VLOOKUP(C56,'Train Runs'!$A$13:$AE$9939,31,1),NA())</f>
        <v>#N/A</v>
      </c>
      <c r="S56" s="92" t="str">
        <f>VLOOKUP(C56,'Train Runs'!$A$13:$AE$9939,22,0)</f>
        <v>https://d0f6bd738d7f1b3e5a7ca70fe4ff75f0.us-east-1.aws.found.io/app/kibana#/discover/Steve-Slow-Train-Analysis-(2080s-and-2083s)?_g=(refreshInterval:(display:Off,pause:!f,section:0,value:0),time:(from:'2017-04-10T17:35:45-0600',mode:absolute,to:'2017-04-10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 t="shared" si="12"/>
        <v>"C:\Program Files (x86)\AstroGrep\AstroGrep.exe" /e /r /s /spath="%USERPROFILE%\AppData\Local\Temp\OnboardLogs" /stypes="*4021*201704110*" /stext=" 00:.+((SYSTEM_STATE.+slice.+state.+changed )|(ment ac)|(multiple cpu faults)|(system.+state.+changed )|(\[timeout)|(PRM\|1\|D)|(kpr)|(kdp)|(\|lc)|(penalty))"</v>
      </c>
      <c r="U56" s="9" t="str">
        <f t="shared" si="13"/>
        <v>4021</v>
      </c>
      <c r="V56" s="32">
        <f t="shared" si="14"/>
        <v>42836.034953703704</v>
      </c>
      <c r="W56" s="46" t="str">
        <f t="shared" si="15"/>
        <v>NW</v>
      </c>
      <c r="X56" s="46" t="str">
        <f t="shared" si="16"/>
        <v>KEEP</v>
      </c>
      <c r="Y56" s="104" t="str">
        <f t="shared" si="17"/>
        <v>echo {"issue":{"subject":"Wi-MAX data drop","project_id":79,"tracker_id":40,"status_id":1,"priority_id":2,"assigned_to_id":23,"start_date":"2017-04-10","description":"","custom_fields":[{"id":1,"name":"Subdivision","value":"NW"},{"id":4,"name":"Milepost","value":"2.7253"},{"id":17,"name":"Train ID","value":"838-10"},{"id":16,"name":"Locomotive ID","value":"4021"},{"id":130,"name":"Impact","value":""},{"id":150,"name":"Time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18"/>
      <c r="AA56" s="48"/>
      <c r="AB56" s="48"/>
      <c r="AC56" s="123" t="str">
        <f t="shared" si="10"/>
        <v>grep -hSE -A400 "Enforcement Action" "%USERPROFILE%\AppData\Local\Temp\OnboardLogs"\RTDC4021\*4021*201704110*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6" s="153" t="str">
        <f t="shared" si="9"/>
        <v>start /low /b %USERPROFILE%\Documents\GitHub\eaglep3\Utilities\DownloadLogsFromS3.py --loco 4021 --day 2017-04-11</v>
      </c>
      <c r="AF56" s="1"/>
    </row>
    <row r="57" spans="1:32" x14ac:dyDescent="0.25">
      <c r="A57" s="32">
        <v>42835.825601851851</v>
      </c>
      <c r="B57" s="30" t="s">
        <v>379</v>
      </c>
      <c r="C57" s="30" t="s">
        <v>648</v>
      </c>
      <c r="D57" s="30" t="s">
        <v>49</v>
      </c>
      <c r="E57" s="30" t="s">
        <v>621</v>
      </c>
      <c r="F57" s="43">
        <v>0</v>
      </c>
      <c r="G57" s="43">
        <v>299</v>
      </c>
      <c r="H57" s="43">
        <v>25052</v>
      </c>
      <c r="I57" s="43">
        <v>24286</v>
      </c>
      <c r="J57" s="30" t="s">
        <v>622</v>
      </c>
      <c r="K57" s="43">
        <v>24235</v>
      </c>
      <c r="L57" s="139" t="s">
        <v>51</v>
      </c>
      <c r="M57" s="140">
        <f t="shared" si="11"/>
        <v>26.928000000000001</v>
      </c>
      <c r="N57" s="141" t="str">
        <f>VLOOKUP(C57,'Trips&amp;Operators'!$C$1:$G$99999,5,FALSE)</f>
        <v>LEVIN SCOTT</v>
      </c>
      <c r="O57" s="190" t="s">
        <v>437</v>
      </c>
      <c r="P57" s="142" t="s">
        <v>475</v>
      </c>
      <c r="Q57" s="30"/>
      <c r="R57" s="89" t="e">
        <f>IF(VLOOKUP(C57,'Train Runs'!$A$13:$AE$9939,1,1)=C57,VLOOKUP(C57,'Train Runs'!$A$13:$AE$9939,31,1),NA())</f>
        <v>#N/A</v>
      </c>
      <c r="S57" s="92" t="str">
        <f>VLOOKUP(C57,'Train Runs'!$A$13:$AE$9939,22,0)</f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7" s="94" t="str">
        <f t="shared" si="12"/>
        <v>"C:\Program Files (x86)\AstroGrep\AstroGrep.exe" /e /r /s /spath="%USERPROFILE%\AppData\Local\Temp\OnboardLogs" /stypes="*4021*201704110*" /stext=" 01:.+((SYSTEM_STATE.+slice.+state.+changed )|(ment ac)|(multiple cpu faults)|(system.+state.+changed )|(\[timeout)|(PRM\|1\|D)|(kpr)|(kdp)|(\|lc)|(penalty))"</v>
      </c>
      <c r="U57" s="9" t="str">
        <f t="shared" si="13"/>
        <v>4021</v>
      </c>
      <c r="V57" s="32">
        <f t="shared" si="14"/>
        <v>42836.075601851851</v>
      </c>
      <c r="W57" s="46" t="str">
        <f t="shared" si="15"/>
        <v>NW</v>
      </c>
      <c r="X57" s="46" t="str">
        <f t="shared" si="16"/>
        <v>KEEP</v>
      </c>
      <c r="Y57" s="104" t="str">
        <f t="shared" si="17"/>
        <v>echo {"issue":{"subject":"Wi-MAX data drop","project_id":79,"tracker_id":40,"status_id":1,"priority_id":2,"assigned_to_id":23,"start_date":"2017-04-10","description":"","custom_fields":[{"id":1,"name":"Subdivision","value":"NW"},{"id":4,"name":"Milepost","value":"2.4235"},{"id":17,"name":"Train ID","value":"840-10"},{"id":16,"name":"Locomotive ID","value":"4021"},{"id":130,"name":"Impact","value":""},{"id":150,"name":"Time of Event (Mountain Time)","value":"19:48:52"},{"id":151,"name":"Denver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18"/>
      <c r="AA57" s="48"/>
      <c r="AB57" s="48"/>
      <c r="AC57" s="123" t="str">
        <f t="shared" si="10"/>
        <v>grep -hSE -A400 "Enforcement Action" "%USERPROFILE%\AppData\Local\Temp\OnboardLogs"\RTDC4021\*4021*201704110*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7" s="153" t="str">
        <f t="shared" si="9"/>
        <v>start /low /b %USERPROFILE%\Documents\GitHub\eaglep3\Utilities\DownloadLogsFromS3.py --loco 4021 --day 2017-04-11</v>
      </c>
      <c r="AF57" s="1"/>
    </row>
    <row r="58" spans="1:32" x14ac:dyDescent="0.25">
      <c r="A58" s="32">
        <v>42835.783599537041</v>
      </c>
      <c r="B58" s="30" t="s">
        <v>379</v>
      </c>
      <c r="C58" s="30" t="s">
        <v>644</v>
      </c>
      <c r="D58" s="30" t="s">
        <v>49</v>
      </c>
      <c r="E58" s="30" t="s">
        <v>621</v>
      </c>
      <c r="F58" s="43">
        <v>0</v>
      </c>
      <c r="G58" s="43">
        <v>342</v>
      </c>
      <c r="H58" s="43">
        <v>27433</v>
      </c>
      <c r="I58" s="43">
        <v>26734</v>
      </c>
      <c r="J58" s="30" t="s">
        <v>622</v>
      </c>
      <c r="K58" s="43">
        <v>27253</v>
      </c>
      <c r="L58" s="139" t="s">
        <v>51</v>
      </c>
      <c r="M58" s="140">
        <f t="shared" si="11"/>
        <v>-274.03199999999998</v>
      </c>
      <c r="N58" s="141" t="str">
        <f>VLOOKUP(C58,'Trips&amp;Operators'!$C$1:$G$99999,5,FALSE)</f>
        <v>LEVIN SCOTT</v>
      </c>
      <c r="O58" s="190" t="s">
        <v>437</v>
      </c>
      <c r="P58" s="142" t="s">
        <v>475</v>
      </c>
      <c r="Q58" s="30"/>
      <c r="R58" s="89" t="e">
        <f>IF(VLOOKUP(C58,'Train Runs'!$A$13:$AE$9939,1,1)=C58,VLOOKUP(C58,'Train Runs'!$A$13:$AE$9939,31,1),NA())</f>
        <v>#N/A</v>
      </c>
      <c r="S58" s="92" t="str">
        <f>VLOOKUP(C58,'Train Runs'!$A$13:$AE$9939,22,0)</f>
        <v>https://d0f6bd738d7f1b3e5a7ca70fe4ff75f0.us-east-1.aws.found.io/app/kibana#/discover/Steve-Slow-Train-Analysis-(2080s-and-2083s)?_g=(refreshInterval:(display:Off,pause:!f,section:0,value:0),time:(from:'2017-04-10T17:35:45-0600',mode:absolute,to:'2017-04-10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8" s="94" t="str">
        <f t="shared" si="12"/>
        <v>"C:\Program Files (x86)\AstroGrep\AstroGrep.exe" /e /r /s /spath="%USERPROFILE%\AppData\Local\Temp\OnboardLogs" /stypes="*4021*201704110*" /stext=" 00:.+((SYSTEM_STATE.+slice.+state.+changed )|(ment ac)|(multiple cpu faults)|(system.+state.+changed )|(\[timeout)|(PRM\|1\|D)|(kpr)|(kdp)|(\|lc)|(penalty))"</v>
      </c>
      <c r="U58" s="9" t="str">
        <f t="shared" si="13"/>
        <v>4021</v>
      </c>
      <c r="V58" s="32">
        <f t="shared" si="14"/>
        <v>42836.033599537041</v>
      </c>
      <c r="W58" s="46" t="str">
        <f t="shared" si="15"/>
        <v>NW</v>
      </c>
      <c r="X58" s="46" t="str">
        <f t="shared" si="16"/>
        <v>KEEP</v>
      </c>
      <c r="Y58" s="104" t="str">
        <f t="shared" si="17"/>
        <v>echo {"issue":{"subject":"Wi-MAX data drop","project_id":79,"tracker_id":40,"status_id":1,"priority_id":2,"assigned_to_id":23,"start_date":"2017-04-10","description":"http://stevetu21.github.io/eaglep3/load_kml.html?kml=http://rtdc.gmaps-snips.s3.amazonaws.com/34ff0867-474d-4d54-830c-6a6659f34f26.kml","custom_fields":[{"id":1,"name":"Subdivision","value":"NW"},{"id":4,"name":"Milepost","value":"2.7253"},{"id":17,"name":"Train ID","value":"838-10"},{"id":16,"name":"Locomotive ID","value":"4021"},{"id":130,"name":"Impact","value":"Enforcement"},{"id":150,"name":"Time of Event (Mountain Time)","value":"18:48:23"},{"id":151,"name":"Denver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58" t="s">
        <v>1039</v>
      </c>
      <c r="AA58" s="48" t="s">
        <v>124</v>
      </c>
      <c r="AB58" s="48" t="s">
        <v>137</v>
      </c>
      <c r="AC58" s="123" t="str">
        <f t="shared" si="10"/>
        <v>grep -hSE -A400 "Enforcement Action" "%USERPROFILE%\AppData\Local\Temp\OnboardLogs"\RTDC4021\*4021*201704110*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8" s="153" t="str">
        <f t="shared" si="9"/>
        <v>start /low /b %USERPROFILE%\Documents\GitHub\eaglep3\Utilities\DownloadLogsFromS3.py --loco 4021 --day 2017-04-11</v>
      </c>
      <c r="AF58" s="1"/>
    </row>
    <row r="59" spans="1:32" x14ac:dyDescent="0.25">
      <c r="A59" s="32">
        <v>42835.227418981478</v>
      </c>
      <c r="B59" s="30" t="s">
        <v>599</v>
      </c>
      <c r="C59" s="30" t="s">
        <v>600</v>
      </c>
      <c r="D59" s="30" t="s">
        <v>49</v>
      </c>
      <c r="E59" s="30" t="s">
        <v>185</v>
      </c>
      <c r="F59" s="43">
        <v>0</v>
      </c>
      <c r="G59" s="43">
        <v>42</v>
      </c>
      <c r="H59" s="43">
        <v>703</v>
      </c>
      <c r="I59" s="43">
        <v>675</v>
      </c>
      <c r="J59" s="30" t="s">
        <v>186</v>
      </c>
      <c r="K59" s="43">
        <v>575</v>
      </c>
      <c r="L59" s="139" t="s">
        <v>51</v>
      </c>
      <c r="M59" s="140">
        <f t="shared" si="11"/>
        <v>52.8</v>
      </c>
      <c r="N59" s="141" t="str">
        <f>VLOOKUP(C59,'Trips&amp;Operators'!$C$1:$G$99999,5,FALSE)</f>
        <v>DAVIS WENDY</v>
      </c>
      <c r="O59" s="190" t="s">
        <v>184</v>
      </c>
      <c r="P59" s="142"/>
      <c r="Q59" s="30"/>
      <c r="R59" s="89" t="str">
        <f>IF(VLOOKUP(C59,'Train Runs'!$A$13:$AE$9939,1,1)=C59,VLOOKUP(C59,'Train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59" s="92" t="str">
        <f>VLOOKUP(C59,'Train Runs'!$A$13:$AE$9939,22,0)</f>
        <v>https://d0f6bd738d7f1b3e5a7ca70fe4ff75f0.us-east-1.aws.found.io/app/kibana#/discover/Steve-Slow-Train-Analysis-(2080s-and-2083s)?_g=(refreshInterval:(display:Off,pause:!f,section:0,value:0),time:(from:'2017-04-10T04:12:36-0600',mode:absolute,to:'2017-04-10T06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9" s="94" t="str">
        <f t="shared" si="12"/>
        <v>"C:\Program Files (x86)\AstroGrep\AstroGrep.exe" /e /r /s /spath="%USERPROFILE%\AppData\Local\Temp\OnboardLogs" /stypes="*4017*201704101*" /stext=" 11:.+((SYSTEM_STATE.+slice.+state.+changed )|(ment ac)|(multiple cpu faults)|(system.+state.+changed )|(\[timeout)|(PRM\|1\|D)|(kpr)|(kdp)|(\|lc)|(penalty))"</v>
      </c>
      <c r="U59" s="9" t="str">
        <f t="shared" si="13"/>
        <v>4017</v>
      </c>
      <c r="V59" s="32">
        <f t="shared" si="14"/>
        <v>42835.477418981478</v>
      </c>
      <c r="W59" s="46" t="str">
        <f t="shared" si="15"/>
        <v>NW</v>
      </c>
      <c r="X59" s="46" t="str">
        <f t="shared" si="16"/>
        <v>KEEP</v>
      </c>
      <c r="Y59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ID","value":"800-10"},{"id":16,"name":"Locomotive ID","value":"4017"},{"id":130,"name":"Impact","value":""},{"id":150,"name":"Time of Event (Mountain Time)","value":"05:27:29"},{"id":151,"name":"Denver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18"/>
      <c r="AA59" s="48"/>
      <c r="AB59" s="48"/>
      <c r="AC59" s="123" t="str">
        <f t="shared" si="10"/>
        <v>grep -hSE -A400 "Enforcement Action" "%USERPROFILE%\AppData\Local\Temp\OnboardLogs"\RTDC4017\*4017*201704101*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59" s="153" t="str">
        <f t="shared" si="9"/>
        <v>start /low /b %USERPROFILE%\Documents\GitHub\eaglep3\Utilities\DownloadLogsFromS3.py --loco 4017 --day 2017-04-10</v>
      </c>
      <c r="AF59" s="1"/>
    </row>
    <row r="60" spans="1:32" x14ac:dyDescent="0.25">
      <c r="A60" s="32">
        <v>42835.267534722225</v>
      </c>
      <c r="B60" s="30" t="s">
        <v>599</v>
      </c>
      <c r="C60" s="30" t="s">
        <v>602</v>
      </c>
      <c r="D60" s="30" t="s">
        <v>49</v>
      </c>
      <c r="E60" s="30" t="s">
        <v>185</v>
      </c>
      <c r="F60" s="43">
        <v>0</v>
      </c>
      <c r="G60" s="43">
        <v>37</v>
      </c>
      <c r="H60" s="43">
        <v>694</v>
      </c>
      <c r="I60" s="43">
        <v>661</v>
      </c>
      <c r="J60" s="30" t="s">
        <v>186</v>
      </c>
      <c r="K60" s="43">
        <v>575</v>
      </c>
      <c r="L60" s="139" t="s">
        <v>51</v>
      </c>
      <c r="M60" s="140">
        <f t="shared" si="11"/>
        <v>45.408000000000001</v>
      </c>
      <c r="N60" s="141" t="str">
        <f>VLOOKUP(C60,'Trips&amp;Operators'!$C$1:$G$99999,5,FALSE)</f>
        <v>DAVIS WENDY</v>
      </c>
      <c r="O60" s="190" t="s">
        <v>184</v>
      </c>
      <c r="P60" s="142"/>
      <c r="Q60" s="30"/>
      <c r="R60" s="89" t="str">
        <f>IF(VLOOKUP(C60,'Train Runs'!$A$13:$AE$9939,1,1)=C60,VLOOKUP(C60,'Train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60" s="92" t="str">
        <f>VLOOKUP(C60,'Train Runs'!$A$13:$AE$9939,22,0)</f>
        <v>https://d0f6bd738d7f1b3e5a7ca70fe4ff75f0.us-east-1.aws.found.io/app/kibana#/discover/Steve-Slow-Train-Analysis-(2080s-and-2083s)?_g=(refreshInterval:(display:Off,pause:!f,section:0,value:0),time:(from:'2017-04-10T05:07:13-0600',mode:absolute,to:'2017-04-10T07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0" s="94" t="str">
        <f t="shared" si="12"/>
        <v>"C:\Program Files (x86)\AstroGrep\AstroGrep.exe" /e /r /s /spath="%USERPROFILE%\AppData\Local\Temp\OnboardLogs" /stypes="*4017*201704101*" /stext=" 12:.+((SYSTEM_STATE.+slice.+state.+changed )|(ment ac)|(multiple cpu faults)|(system.+state.+changed )|(\[timeout)|(PRM\|1\|D)|(kpr)|(kdp)|(\|lc)|(penalty))"</v>
      </c>
      <c r="U60" s="9" t="str">
        <f t="shared" si="13"/>
        <v>4017</v>
      </c>
      <c r="V60" s="32">
        <f t="shared" si="14"/>
        <v>42835.517534722225</v>
      </c>
      <c r="W60" s="46" t="str">
        <f t="shared" si="15"/>
        <v>NW</v>
      </c>
      <c r="X60" s="46" t="str">
        <f t="shared" si="16"/>
        <v>KEEP</v>
      </c>
      <c r="Y60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ID","value":"802-10"},{"id":16,"name":"Locomotive ID","value":"4017"},{"id":130,"name":"Impact","value":""},{"id":150,"name":"Time of Event (Mountain Time)","value":"06:25:15"},{"id":151,"name":"Denver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218"/>
      <c r="AA60" s="48"/>
      <c r="AB60" s="48"/>
      <c r="AC60" s="123" t="str">
        <f t="shared" si="10"/>
        <v>grep -hSE -A400 "Enforcement Action" "%USERPROFILE%\AppData\Local\Temp\OnboardLogs"\RTDC4017\*4017*201704101*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60" s="153" t="str">
        <f t="shared" si="9"/>
        <v>start /low /b %USERPROFILE%\Documents\GitHub\eaglep3\Utilities\DownloadLogsFromS3.py --loco 4017 --day 2017-04-10</v>
      </c>
      <c r="AF60" s="1"/>
    </row>
    <row r="61" spans="1:32" x14ac:dyDescent="0.25">
      <c r="A61" s="32">
        <v>42835.287951388891</v>
      </c>
      <c r="B61" s="30" t="s">
        <v>379</v>
      </c>
      <c r="C61" s="30" t="s">
        <v>605</v>
      </c>
      <c r="D61" s="30" t="s">
        <v>49</v>
      </c>
      <c r="E61" s="30" t="s">
        <v>185</v>
      </c>
      <c r="F61" s="43">
        <v>0</v>
      </c>
      <c r="G61" s="43">
        <v>138</v>
      </c>
      <c r="H61" s="43">
        <v>1392</v>
      </c>
      <c r="I61" s="43">
        <v>1193</v>
      </c>
      <c r="J61" s="30" t="s">
        <v>186</v>
      </c>
      <c r="K61" s="43">
        <v>575</v>
      </c>
      <c r="L61" s="139" t="s">
        <v>51</v>
      </c>
      <c r="M61" s="140">
        <f t="shared" si="11"/>
        <v>326.30399999999997</v>
      </c>
      <c r="N61" s="141" t="str">
        <f>VLOOKUP(C61,'Trips&amp;Operators'!$C$1:$G$99999,5,FALSE)</f>
        <v>LALONDE GREGORY</v>
      </c>
      <c r="O61" s="190" t="s">
        <v>184</v>
      </c>
      <c r="P61" s="142"/>
      <c r="Q61" s="30"/>
      <c r="R61" s="89" t="str">
        <f>IF(VLOOKUP(C61,'Train Runs'!$A$13:$AE$9939,1,1)=C61,VLOOKUP(C61,'Train Runs'!$A$13:$AE$9939,31,1),NA())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S61" s="92" t="str">
        <f>VLOOKUP(C61,'Train Runs'!$A$13:$AE$9939,22,0)</f>
        <v>https://d0f6bd738d7f1b3e5a7ca70fe4ff75f0.us-east-1.aws.found.io/app/kibana#/discover/Steve-Slow-Train-Analysis-(2080s-and-2083s)?_g=(refreshInterval:(display:Off,pause:!f,section:0,value:0),time:(from:'2017-04-10T05:35:58-0600',mode:absolute,to:'2017-04-10T07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1" s="94" t="str">
        <f t="shared" si="12"/>
        <v>"C:\Program Files (x86)\AstroGrep\AstroGrep.exe" /e /r /s /spath="%USERPROFILE%\AppData\Local\Temp\OnboardLogs" /stypes="*4021*201704101*" /stext=" 12:.+((SYSTEM_STATE.+slice.+state.+changed )|(ment ac)|(multiple cpu faults)|(system.+state.+changed )|(\[timeout)|(PRM\|1\|D)|(kpr)|(kdp)|(\|lc)|(penalty))"</v>
      </c>
      <c r="U61" s="9" t="str">
        <f t="shared" si="13"/>
        <v>4021</v>
      </c>
      <c r="V61" s="32">
        <f t="shared" si="14"/>
        <v>42835.537951388891</v>
      </c>
      <c r="W61" s="46" t="str">
        <f t="shared" si="15"/>
        <v>NW</v>
      </c>
      <c r="X61" s="46" t="str">
        <f t="shared" si="16"/>
        <v>KEEP</v>
      </c>
      <c r="Y61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ID","value":"804-10"},{"id":16,"name":"Locomotive ID","value":"4021"},{"id":130,"name":"Impact","value":""},{"id":150,"name":"Time of Event (Mountain Time)","value":"06:54:39"},{"id":151,"name":"Denver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218"/>
      <c r="AA61" s="48"/>
      <c r="AB61" s="48"/>
      <c r="AC61" s="123" t="str">
        <f t="shared" si="10"/>
        <v>grep -hSE -A400 "Enforcement Action" "%USERPROFILE%\AppData\Local\Temp\OnboardLogs"\RTDC4021\*4021*201704101*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"%USERPROFILE%\AppData\Local\Temp\OnboardLogs"\RTDC4021\*4021*201704101* &gt;&gt; 2017-04-10-SliceDisagreementCheck.txt</v>
      </c>
      <c r="AE61" s="153" t="str">
        <f t="shared" si="9"/>
        <v>start /low /b %USERPROFILE%\Documents\GitHub\eaglep3\Utilities\DownloadLogsFromS3.py --loco 4021 --day 2017-04-10</v>
      </c>
      <c r="AF61" s="1"/>
    </row>
    <row r="62" spans="1:32" x14ac:dyDescent="0.25">
      <c r="A62" s="32">
        <v>42835.309953703705</v>
      </c>
      <c r="B62" s="30" t="s">
        <v>599</v>
      </c>
      <c r="C62" s="30" t="s">
        <v>606</v>
      </c>
      <c r="D62" s="30" t="s">
        <v>49</v>
      </c>
      <c r="E62" s="30" t="s">
        <v>185</v>
      </c>
      <c r="F62" s="43">
        <v>0</v>
      </c>
      <c r="G62" s="43">
        <v>41</v>
      </c>
      <c r="H62" s="43">
        <v>696</v>
      </c>
      <c r="I62" s="43">
        <v>664</v>
      </c>
      <c r="J62" s="30" t="s">
        <v>186</v>
      </c>
      <c r="K62" s="43">
        <v>575</v>
      </c>
      <c r="L62" s="139" t="s">
        <v>51</v>
      </c>
      <c r="M62" s="140">
        <f t="shared" si="11"/>
        <v>46.991999999999997</v>
      </c>
      <c r="N62" s="141" t="str">
        <f>VLOOKUP(C62,'Trips&amp;Operators'!$C$1:$G$99999,5,FALSE)</f>
        <v>DAVIS WENDY</v>
      </c>
      <c r="O62" s="190" t="s">
        <v>184</v>
      </c>
      <c r="P62" s="142"/>
      <c r="Q62" s="30"/>
      <c r="R62" s="89" t="str">
        <f>IF(VLOOKUP(C62,'Train Runs'!$A$13:$AE$9939,1,1)=C62,VLOOKUP(C62,'Train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62" s="92" t="str">
        <f>VLOOKUP(C62,'Train Runs'!$A$13:$AE$9939,22,0)</f>
        <v>https://d0f6bd738d7f1b3e5a7ca70fe4ff75f0.us-east-1.aws.found.io/app/kibana#/discover/Steve-Slow-Train-Analysis-(2080s-and-2083s)?_g=(refreshInterval:(display:Off,pause:!f,section:0,value:0),time:(from:'2017-04-10T06:06:16-0600',mode:absolute,to:'2017-04-10T08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2" s="94" t="str">
        <f t="shared" si="12"/>
        <v>"C:\Program Files (x86)\AstroGrep\AstroGrep.exe" /e /r /s /spath="%USERPROFILE%\AppData\Local\Temp\OnboardLogs" /stypes="*4017*201704101*" /stext=" 13:.+((SYSTEM_STATE.+slice.+state.+changed )|(ment ac)|(multiple cpu faults)|(system.+state.+changed )|(\[timeout)|(PRM\|1\|D)|(kpr)|(kdp)|(\|lc)|(penalty))"</v>
      </c>
      <c r="U62" s="9" t="str">
        <f t="shared" si="13"/>
        <v>4017</v>
      </c>
      <c r="V62" s="32">
        <f t="shared" si="14"/>
        <v>42835.559953703705</v>
      </c>
      <c r="W62" s="46" t="str">
        <f t="shared" si="15"/>
        <v>NW</v>
      </c>
      <c r="X62" s="46" t="str">
        <f t="shared" si="16"/>
        <v>KEEP</v>
      </c>
      <c r="Y62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ID","value":"806-10"},{"id":16,"name":"Locomotive ID","value":"4017"},{"id":130,"name":"Impact","value":""},{"id":150,"name":"Time of Event (Mountain Time)","value":"07:26:20"},{"id":151,"name":"Denver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218"/>
      <c r="AA62" s="48"/>
      <c r="AB62" s="48"/>
      <c r="AC62" s="123" t="str">
        <f t="shared" si="10"/>
        <v>grep -hSE -A400 "Enforcement Action" "%USERPROFILE%\AppData\Local\Temp\OnboardLogs"\RTDC4017\*4017*201704101*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62" s="153" t="str">
        <f t="shared" si="9"/>
        <v>start /low /b %USERPROFILE%\Documents\GitHub\eaglep3\Utilities\DownloadLogsFromS3.py --loco 4017 --day 2017-04-10</v>
      </c>
      <c r="AF62" s="1"/>
    </row>
    <row r="63" spans="1:32" x14ac:dyDescent="0.25">
      <c r="A63" s="32">
        <v>42835.350844907407</v>
      </c>
      <c r="B63" s="30" t="s">
        <v>599</v>
      </c>
      <c r="C63" s="30" t="s">
        <v>610</v>
      </c>
      <c r="D63" s="30" t="s">
        <v>49</v>
      </c>
      <c r="E63" s="30" t="s">
        <v>185</v>
      </c>
      <c r="F63" s="43">
        <v>0</v>
      </c>
      <c r="G63" s="43">
        <v>60</v>
      </c>
      <c r="H63" s="43">
        <v>782</v>
      </c>
      <c r="I63" s="43">
        <v>738</v>
      </c>
      <c r="J63" s="30" t="s">
        <v>186</v>
      </c>
      <c r="K63" s="43">
        <v>575</v>
      </c>
      <c r="L63" s="139" t="s">
        <v>51</v>
      </c>
      <c r="M63" s="140">
        <f t="shared" si="11"/>
        <v>86.063999999999993</v>
      </c>
      <c r="N63" s="141" t="str">
        <f>VLOOKUP(C63,'Trips&amp;Operators'!$C$1:$G$99999,5,FALSE)</f>
        <v>DAVIS WENDY</v>
      </c>
      <c r="O63" s="190" t="s">
        <v>184</v>
      </c>
      <c r="P63" s="142"/>
      <c r="Q63" s="30"/>
      <c r="R63" s="89" t="str">
        <f>IF(VLOOKUP(C63,'Train Runs'!$A$13:$AE$9939,1,1)=C63,VLOOKUP(C63,'Train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63" s="92" t="str">
        <f>VLOOKUP(C63,'Train Runs'!$A$13:$AE$9939,22,0)</f>
        <v>https://d0f6bd738d7f1b3e5a7ca70fe4ff75f0.us-east-1.aws.found.io/app/kibana#/discover/Steve-Slow-Train-Analysis-(2080s-and-2083s)?_g=(refreshInterval:(display:Off,pause:!f,section:0,value:0),time:(from:'2017-04-10T07:06:43-0600',mode:absolute,to:'2017-04-10T09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3" s="94" t="str">
        <f t="shared" si="12"/>
        <v>"C:\Program Files (x86)\AstroGrep\AstroGrep.exe" /e /r /s /spath="%USERPROFILE%\AppData\Local\Temp\OnboardLogs" /stypes="*4017*201704101*" /stext=" 14:.+((SYSTEM_STATE.+slice.+state.+changed )|(ment ac)|(multiple cpu faults)|(system.+state.+changed )|(\[timeout)|(PRM\|1\|D)|(kpr)|(kdp)|(\|lc)|(penalty))"</v>
      </c>
      <c r="U63" s="9" t="str">
        <f t="shared" si="13"/>
        <v>4017</v>
      </c>
      <c r="V63" s="32">
        <f t="shared" si="14"/>
        <v>42835.600844907407</v>
      </c>
      <c r="W63" s="46" t="str">
        <f t="shared" si="15"/>
        <v>NW</v>
      </c>
      <c r="X63" s="46" t="str">
        <f t="shared" si="16"/>
        <v>KEEP</v>
      </c>
      <c r="Y63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ID","value":"810-10"},{"id":16,"name":"Locomotive ID","value":"4017"},{"id":130,"name":"Impact","value":""},{"id":150,"name":"Time of Event (Mountain Time)","value":"08:25:13"},{"id":151,"name":"Denver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218"/>
      <c r="AA63" s="48"/>
      <c r="AB63" s="48"/>
      <c r="AC63" s="123" t="str">
        <f t="shared" si="10"/>
        <v>grep -hSE -A400 "Enforcement Action" "%USERPROFILE%\AppData\Local\Temp\OnboardLogs"\RTDC4017\*4017*201704101*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63" s="153" t="str">
        <f t="shared" si="9"/>
        <v>start /low /b %USERPROFILE%\Documents\GitHub\eaglep3\Utilities\DownloadLogsFromS3.py --loco 4017 --day 2017-04-10</v>
      </c>
      <c r="AF63" s="1"/>
    </row>
    <row r="64" spans="1:32" x14ac:dyDescent="0.25">
      <c r="A64" s="32">
        <v>42835.746701388889</v>
      </c>
      <c r="B64" s="30" t="s">
        <v>379</v>
      </c>
      <c r="C64" s="30" t="s">
        <v>640</v>
      </c>
      <c r="D64" s="30" t="s">
        <v>49</v>
      </c>
      <c r="E64" s="30" t="s">
        <v>185</v>
      </c>
      <c r="F64" s="43">
        <v>0</v>
      </c>
      <c r="G64" s="43">
        <v>36</v>
      </c>
      <c r="H64" s="43">
        <v>671</v>
      </c>
      <c r="I64" s="43">
        <v>654</v>
      </c>
      <c r="J64" s="30" t="s">
        <v>186</v>
      </c>
      <c r="K64" s="43">
        <v>575</v>
      </c>
      <c r="L64" s="139" t="s">
        <v>51</v>
      </c>
      <c r="M64" s="140">
        <f t="shared" si="11"/>
        <v>41.712000000000003</v>
      </c>
      <c r="N64" s="141" t="str">
        <f>VLOOKUP(C64,'Trips&amp;Operators'!$C$1:$G$99999,5,FALSE)</f>
        <v>LEVIN SCOTT</v>
      </c>
      <c r="O64" s="190" t="s">
        <v>184</v>
      </c>
      <c r="P64" s="142"/>
      <c r="Q64" s="30"/>
      <c r="R64" s="89" t="e">
        <f>IF(VLOOKUP(C64,'Train Runs'!$A$13:$AE$9939,1,1)=C64,VLOOKUP(C64,'Train Runs'!$A$13:$AE$9939,31,1),NA())</f>
        <v>#N/A</v>
      </c>
      <c r="S64" s="92" t="str">
        <f>VLOOKUP(C64,'Train Runs'!$A$13:$AE$9939,22,0)</f>
        <v>https://d0f6bd738d7f1b3e5a7ca70fe4ff75f0.us-east-1.aws.found.io/app/kibana#/discover/Steve-Slow-Train-Analysis-(2080s-and-2083s)?_g=(refreshInterval:(display:Off,pause:!f,section:0,value:0),time:(from:'2017-04-10T16:36:57-0600',mode:absolute,to:'2017-04-10T18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4" s="94" t="str">
        <f t="shared" si="12"/>
        <v>"C:\Program Files (x86)\AstroGrep\AstroGrep.exe" /e /r /s /spath="%USERPROFILE%\AppData\Local\Temp\OnboardLogs" /stypes="*4021*201704102*" /stext=" 23:.+((SYSTEM_STATE.+slice.+state.+changed )|(ment ac)|(multiple cpu faults)|(system.+state.+changed )|(\[timeout)|(PRM\|1\|D)|(kpr)|(kdp)|(\|lc)|(penalty))"</v>
      </c>
      <c r="U64" s="9" t="str">
        <f t="shared" si="13"/>
        <v>4021</v>
      </c>
      <c r="V64" s="32">
        <f t="shared" si="14"/>
        <v>42835.996701388889</v>
      </c>
      <c r="W64" s="46" t="str">
        <f t="shared" si="15"/>
        <v>NW</v>
      </c>
      <c r="X64" s="46" t="str">
        <f t="shared" si="16"/>
        <v>KEEP</v>
      </c>
      <c r="Y64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ID","value":"834-10"},{"id":16,"name":"Locomotive ID","value":"4021"},{"id":130,"name":"Impact","value":""},{"id":150,"name":"Time of Event (Mountain Time)","value":"17:55:15"},{"id":151,"name":"Denver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218"/>
      <c r="AA64" s="48"/>
      <c r="AB64" s="48"/>
      <c r="AC64" s="123" t="str">
        <f t="shared" si="10"/>
        <v>grep -hSE -A400 "Enforcement Action" "%USERPROFILE%\AppData\Local\Temp\OnboardLogs"\RTDC4021\*4021*201704102*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"%USERPROFILE%\AppData\Local\Temp\OnboardLogs"\RTDC4021\*4021*201704102* &gt;&gt; 2017-04-10-SliceDisagreementCheck.txt</v>
      </c>
      <c r="AE64" s="153" t="str">
        <f t="shared" si="9"/>
        <v>start /low /b %USERPROFILE%\Documents\GitHub\eaglep3\Utilities\DownloadLogsFromS3.py --loco 4021 --day 2017-04-10</v>
      </c>
      <c r="AF64" s="1"/>
    </row>
    <row r="65" spans="1:32" x14ac:dyDescent="0.25">
      <c r="A65" s="32">
        <v>42835.832743055558</v>
      </c>
      <c r="B65" s="30" t="s">
        <v>379</v>
      </c>
      <c r="C65" s="30" t="s">
        <v>648</v>
      </c>
      <c r="D65" s="30" t="s">
        <v>49</v>
      </c>
      <c r="E65" s="30" t="s">
        <v>185</v>
      </c>
      <c r="F65" s="43">
        <v>0</v>
      </c>
      <c r="G65" s="43">
        <v>30</v>
      </c>
      <c r="H65" s="43">
        <v>661</v>
      </c>
      <c r="I65" s="43">
        <v>642</v>
      </c>
      <c r="J65" s="30" t="s">
        <v>186</v>
      </c>
      <c r="K65" s="43">
        <v>575</v>
      </c>
      <c r="L65" s="139" t="s">
        <v>51</v>
      </c>
      <c r="M65" s="140">
        <f t="shared" si="11"/>
        <v>35.375999999999998</v>
      </c>
      <c r="N65" s="141" t="str">
        <f>VLOOKUP(C65,'Trips&amp;Operators'!$C$1:$G$99999,5,FALSE)</f>
        <v>LEVIN SCOTT</v>
      </c>
      <c r="O65" s="190" t="s">
        <v>184</v>
      </c>
      <c r="P65" s="142"/>
      <c r="Q65" s="30"/>
      <c r="R65" s="89" t="e">
        <f>IF(VLOOKUP(C65,'Train Runs'!$A$13:$AE$9939,1,1)=C65,VLOOKUP(C65,'Train Runs'!$A$13:$AE$9939,31,1),NA())</f>
        <v>#N/A</v>
      </c>
      <c r="S65" s="92" t="str">
        <f>VLOOKUP(C65,'Train Runs'!$A$13:$AE$9939,22,0)</f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5" s="94" t="str">
        <f t="shared" si="12"/>
        <v>"C:\Program Files (x86)\AstroGrep\AstroGrep.exe" /e /r /s /spath="%USERPROFILE%\AppData\Local\Temp\OnboardLogs" /stypes="*4021*201704110*" /stext=" 01:.+((SYSTEM_STATE.+slice.+state.+changed )|(ment ac)|(multiple cpu faults)|(system.+state.+changed )|(\[timeout)|(PRM\|1\|D)|(kpr)|(kdp)|(\|lc)|(penalty))"</v>
      </c>
      <c r="U65" s="9" t="str">
        <f t="shared" si="13"/>
        <v>4021</v>
      </c>
      <c r="V65" s="32">
        <f t="shared" si="14"/>
        <v>42836.082743055558</v>
      </c>
      <c r="W65" s="46" t="str">
        <f t="shared" si="15"/>
        <v>NW</v>
      </c>
      <c r="X65" s="46" t="str">
        <f t="shared" si="16"/>
        <v>KEEP</v>
      </c>
      <c r="Y65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ID","value":"840-10"},{"id":16,"name":"Locomotive ID","value":"4021"},{"id":130,"name":"Impact","value":""},{"id":150,"name":"Time of Event (Mountain Time)","value":"19:59:09"},{"id":151,"name":"Denver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218"/>
      <c r="AA65" s="48"/>
      <c r="AB65" s="48"/>
      <c r="AC65" s="123" t="str">
        <f t="shared" si="10"/>
        <v>grep -hSE -A400 "Enforcement Action" "%USERPROFILE%\AppData\Local\Temp\OnboardLogs"\RTDC4021\*4021*201704110*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65" s="153" t="str">
        <f t="shared" si="9"/>
        <v>start /low /b %USERPROFILE%\Documents\GitHub\eaglep3\Utilities\DownloadLogsFromS3.py --loco 4021 --day 2017-04-11</v>
      </c>
      <c r="AF65" s="1"/>
    </row>
    <row r="66" spans="1:32" x14ac:dyDescent="0.25">
      <c r="A66" s="32">
        <v>42835.337141203701</v>
      </c>
      <c r="B66" s="30" t="s">
        <v>596</v>
      </c>
      <c r="C66" s="30" t="s">
        <v>608</v>
      </c>
      <c r="D66" s="30" t="s">
        <v>98</v>
      </c>
      <c r="E66" s="30" t="s">
        <v>185</v>
      </c>
      <c r="F66" s="43">
        <v>0</v>
      </c>
      <c r="G66" s="43">
        <v>7</v>
      </c>
      <c r="H66" s="43">
        <v>59048</v>
      </c>
      <c r="I66" s="43">
        <v>0</v>
      </c>
      <c r="J66" s="30" t="s">
        <v>186</v>
      </c>
      <c r="K66" s="43">
        <v>59048</v>
      </c>
      <c r="L66" s="139" t="s">
        <v>50</v>
      </c>
      <c r="M66" s="140">
        <f t="shared" si="11"/>
        <v>31177.344000000001</v>
      </c>
      <c r="N66" s="141" t="str">
        <f>VLOOKUP(C66,'Trips&amp;Operators'!$C$1:$G$99999,5,FALSE)</f>
        <v>DAVIS WENDY</v>
      </c>
      <c r="O66" s="190" t="s">
        <v>184</v>
      </c>
      <c r="P66" s="142"/>
      <c r="Q66" s="30"/>
      <c r="R66" s="89" t="str">
        <f>IF(VLOOKUP(C66,'Train Runs'!$A$13:$AE$9939,1,1)=C66,VLOOKUP(C66,'Train Runs'!$A$13:$AE$9939,31,1),NA())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S66" s="92" t="str">
        <f>VLOOKUP(C66,'Train Runs'!$A$13:$AE$9939,22,0)</f>
        <v>https://d0f6bd738d7f1b3e5a7ca70fe4ff75f0.us-east-1.aws.found.io/app/kibana#/discover/Steve-Slow-Train-Analysis-(2080s-and-2083s)?_g=(refreshInterval:(display:Off,pause:!f,section:0,value:0),time:(from:'2017-04-10T06:47:21-0600',mode:absolute,to:'2017-04-10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6" s="94" t="str">
        <f t="shared" si="12"/>
        <v>"C:\Program Files (x86)\AstroGrep\AstroGrep.exe" /e /r /s /spath="%USERPROFILE%\AppData\Local\Temp\OnboardLogs" /stypes="*4018*201704101*" /stext=" 14:.+((SYSTEM_STATE.+slice.+state.+changed )|(ment ac)|(multiple cpu faults)|(system.+state.+changed )|(\[timeout)|(PRM\|1\|D)|(kpr)|(kdp)|(\|lc)|(penalty))"</v>
      </c>
      <c r="U66" s="9" t="str">
        <f t="shared" si="13"/>
        <v>4018</v>
      </c>
      <c r="V66" s="32">
        <f t="shared" si="14"/>
        <v>42835.587141203701</v>
      </c>
      <c r="W66" s="46" t="str">
        <f t="shared" si="15"/>
        <v>NW</v>
      </c>
      <c r="X66" s="46" t="str">
        <f t="shared" si="16"/>
        <v>OMIT</v>
      </c>
      <c r="Y66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{"issue":{"subject":"","project_id":79,"tracker_id":40,"status_id":1,"priority_id":2,"assigned_to_id":23,"start_date":"2017-04-10","description":"","custom_fields":[{"id":1,"name":"Subdivision","value":"NW"},{"id":4,"name":"Milepost","value":"5.9048"},{"id":17,"name":"Train ID","value":"809-10"},{"id":16,"name":"Locomotive ID","value":"4018"},{"id":130,"name":"Impact","value":""},{"id":150,"name":"Time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218"/>
      <c r="AA66" s="48"/>
      <c r="AB66" s="48"/>
      <c r="AC66" s="123" t="str">
        <f t="shared" si="10"/>
        <v>grep -hSE -A400 "Enforcement Action" "%USERPROFILE%\AppData\Local\Temp\OnboardLogs"\RTDC4018\*4018*201704101*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"%USERPROFILE%\AppData\Local\Temp\OnboardLogs"\RTDC4018\*4018*201704101* &gt;&gt; 2017-04-10-SliceDisagreementCheck.txt</v>
      </c>
      <c r="AE66" s="153" t="str">
        <f t="shared" si="9"/>
        <v>start /low /b %USERPROFILE%\Documents\GitHub\eaglep3\Utilities\DownloadLogsFromS3.py --loco 4018 --day 2017-04-10</v>
      </c>
      <c r="AF66" s="1"/>
    </row>
    <row r="67" spans="1:32" x14ac:dyDescent="0.25">
      <c r="A67" s="32">
        <v>42835.524247685185</v>
      </c>
      <c r="B67" s="30" t="s">
        <v>380</v>
      </c>
      <c r="C67" s="30" t="s">
        <v>623</v>
      </c>
      <c r="D67" s="30" t="s">
        <v>49</v>
      </c>
      <c r="E67" s="30" t="s">
        <v>185</v>
      </c>
      <c r="F67" s="43">
        <v>0</v>
      </c>
      <c r="G67" s="43">
        <v>19</v>
      </c>
      <c r="H67" s="43">
        <v>58999</v>
      </c>
      <c r="I67" s="43">
        <v>59010</v>
      </c>
      <c r="J67" s="30" t="s">
        <v>186</v>
      </c>
      <c r="K67" s="43">
        <v>59048</v>
      </c>
      <c r="L67" s="139" t="s">
        <v>50</v>
      </c>
      <c r="M67" s="140">
        <f t="shared" si="11"/>
        <v>20.064</v>
      </c>
      <c r="N67" s="141" t="str">
        <f>VLOOKUP(C67,'Trips&amp;Operators'!$C$1:$G$99999,5,FALSE)</f>
        <v>LALONDE GREGORY</v>
      </c>
      <c r="O67" s="190" t="s">
        <v>184</v>
      </c>
      <c r="P67" s="142"/>
      <c r="Q67" s="30"/>
      <c r="R67" s="89" t="e">
        <f>IF(VLOOKUP(C67,'Train Runs'!$A$13:$AE$9939,1,1)=C67,VLOOKUP(C67,'Train Runs'!$A$13:$AE$9939,31,1),NA())</f>
        <v>#N/A</v>
      </c>
      <c r="S67" s="92" t="str">
        <f>VLOOKUP(C67,'Train Runs'!$A$13:$AE$9939,22,0)</f>
        <v>https://d0f6bd738d7f1b3e5a7ca70fe4ff75f0.us-east-1.aws.found.io/app/kibana#/discover/Steve-Slow-Train-Analysis-(2080s-and-2083s)?_g=(refreshInterval:(display:Off,pause:!f,section:0,value:0),time:(from:'2017-04-10T11:08:29-0600',mode:absolute,to:'2017-04-10T13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67" s="94" t="str">
        <f t="shared" si="12"/>
        <v>"C:\Program Files (x86)\AstroGrep\AstroGrep.exe" /e /r /s /spath="%USERPROFILE%\AppData\Local\Temp\OnboardLogs" /stypes="*4022*201704101*" /stext=" 18:.+((SYSTEM_STATE.+slice.+state.+changed )|(ment ac)|(multiple cpu faults)|(system.+state.+changed )|(\[timeout)|(PRM\|1\|D)|(kpr)|(kdp)|(\|lc)|(penalty))"</v>
      </c>
      <c r="U67" s="9" t="str">
        <f t="shared" si="13"/>
        <v>4022</v>
      </c>
      <c r="V67" s="32">
        <f t="shared" si="14"/>
        <v>42835.774247685185</v>
      </c>
      <c r="W67" s="46" t="str">
        <f t="shared" si="15"/>
        <v>NW</v>
      </c>
      <c r="X67" s="46" t="str">
        <f t="shared" si="16"/>
        <v>KEEP</v>
      </c>
      <c r="Y67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{"issue":{"subject":"","project_id":79,"tracker_id":40,"status_id":1,"priority_id":2,"assigned_to_id":23,"start_date":"2017-04-10","description":"","custom_fields":[{"id":1,"name":"Subdivision","value":"NW"},{"id":4,"name":"Milepost","value":"5.9048"},{"id":17,"name":"Train ID","value":"819-10"},{"id":16,"name":"Locomotive ID","value":"4022"},{"id":130,"name":"Impact","value":""},{"id":150,"name":"Time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218"/>
      <c r="AA67" s="48"/>
      <c r="AB67" s="48"/>
      <c r="AC67" s="123" t="str">
        <f t="shared" si="10"/>
        <v>grep -hSE -A400 "Enforcement Action" "%USERPROFILE%\AppData\Local\Temp\OnboardLogs"\RTDC4022\*4022*201704101*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"%USERPROFILE%\AppData\Local\Temp\OnboardLogs"\RTDC4022\*4022*201704101* &gt;&gt; 2017-04-10-SliceDisagreementCheck.txt</v>
      </c>
      <c r="AE67" s="153" t="str">
        <f t="shared" si="9"/>
        <v>start /low /b %USERPROFILE%\Documents\GitHub\eaglep3\Utilities\DownloadLogsFromS3.py --loco 4022 --day 2017-04-10</v>
      </c>
      <c r="AF67" s="1"/>
    </row>
    <row r="68" spans="1:32" x14ac:dyDescent="0.25">
      <c r="A68" s="32">
        <v>42835.753657407404</v>
      </c>
      <c r="B68" s="30" t="s">
        <v>596</v>
      </c>
      <c r="C68" s="30" t="s">
        <v>643</v>
      </c>
      <c r="D68" s="30" t="s">
        <v>49</v>
      </c>
      <c r="E68" s="30" t="s">
        <v>185</v>
      </c>
      <c r="F68" s="43">
        <v>0</v>
      </c>
      <c r="G68" s="43">
        <v>46</v>
      </c>
      <c r="H68" s="43">
        <v>58937</v>
      </c>
      <c r="I68" s="43">
        <v>58958</v>
      </c>
      <c r="J68" s="30" t="s">
        <v>186</v>
      </c>
      <c r="K68" s="43">
        <v>59048</v>
      </c>
      <c r="L68" s="139" t="s">
        <v>50</v>
      </c>
      <c r="M68" s="140">
        <f t="shared" si="11"/>
        <v>47.52</v>
      </c>
      <c r="N68" s="141" t="str">
        <f>VLOOKUP(C68,'Trips&amp;Operators'!$C$1:$G$99999,5,FALSE)</f>
        <v>NEWELL JAMES</v>
      </c>
      <c r="O68" s="190" t="s">
        <v>184</v>
      </c>
      <c r="P68" s="142"/>
      <c r="Q68" s="30"/>
      <c r="R68" s="89" t="e">
        <f>IF(VLOOKUP(C68,'Train Runs'!$A$13:$AE$9939,1,1)=C68,VLOOKUP(C68,'Train Runs'!$A$13:$AE$9939,31,1),NA())</f>
        <v>#N/A</v>
      </c>
      <c r="S68" s="92" t="str">
        <f>VLOOKUP(C68,'Train Runs'!$A$13:$AE$9939,22,0)</f>
        <v>https://d0f6bd738d7f1b3e5a7ca70fe4ff75f0.us-east-1.aws.found.io/app/kibana#/discover/Steve-Slow-Train-Analysis-(2080s-and-2083s)?_g=(refreshInterval:(display:Off,pause:!f,section:0,value:0),time:(from:'2017-04-10T16:45:11-0600',mode:absolute,to:'2017-04-10T19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8" s="94" t="str">
        <f t="shared" si="12"/>
        <v>"C:\Program Files (x86)\AstroGrep\AstroGrep.exe" /e /r /s /spath="%USERPROFILE%\AppData\Local\Temp\OnboardLogs" /stypes="*4018*201704110*" /stext=" 00:.+((SYSTEM_STATE.+slice.+state.+changed )|(ment ac)|(multiple cpu faults)|(system.+state.+changed )|(\[timeout)|(PRM\|1\|D)|(kpr)|(kdp)|(\|lc)|(penalty))"</v>
      </c>
      <c r="U68" s="9" t="str">
        <f t="shared" si="13"/>
        <v>4018</v>
      </c>
      <c r="V68" s="32">
        <f t="shared" si="14"/>
        <v>42836.003657407404</v>
      </c>
      <c r="W68" s="46" t="str">
        <f t="shared" si="15"/>
        <v>NW</v>
      </c>
      <c r="X68" s="46" t="str">
        <f t="shared" si="16"/>
        <v>KEEP</v>
      </c>
      <c r="Y68" s="104" t="str">
        <f t="shared" si="17"/>
        <v>echo {"issue":{"subject":"","project_id":79,"tracker_id":40,"status_id":1,"priority_id":2,"assigned_to_id":23,"start_date":"2017-04-10","description":"","custom_fields":[{"id":1,"name":"Subdivision","value":"NW"},{"id":4,"name":"Milepost","value":"5.9048"},{"id":17,"name":"Train ID","value":"835-10"},{"id":16,"name":"Locomotive ID","value":"4018"},{"id":130,"name":"Impact","value":""},{"id":150,"name":"Time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218"/>
      <c r="AA68" s="48"/>
      <c r="AB68" s="48"/>
      <c r="AC68" s="123" t="str">
        <f t="shared" si="10"/>
        <v>grep -hSE -A400 "Enforcement Action" "%USERPROFILE%\AppData\Local\Temp\OnboardLogs"\RTDC4018\*4018*201704110*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"%USERPROFILE%\AppData\Local\Temp\OnboardLogs"\RTDC4018\*4018*201704110* &gt;&gt; 2017-04-10-SliceDisagreementCheck.txt</v>
      </c>
      <c r="AE68" s="153" t="str">
        <f t="shared" si="9"/>
        <v>start /low /b %USERPROFILE%\Documents\GitHub\eaglep3\Utilities\DownloadLogsFromS3.py --loco 4018 --day 2017-04-11</v>
      </c>
      <c r="AF68" s="1"/>
    </row>
    <row r="69" spans="1:32" x14ac:dyDescent="0.25">
      <c r="A69" s="32">
        <v>42835.125717592593</v>
      </c>
      <c r="B69" s="30" t="s">
        <v>402</v>
      </c>
      <c r="C69" s="30" t="s">
        <v>588</v>
      </c>
      <c r="D69" s="30" t="s">
        <v>49</v>
      </c>
      <c r="E69" s="30" t="s">
        <v>213</v>
      </c>
      <c r="F69" s="43">
        <v>450</v>
      </c>
      <c r="G69" s="43">
        <v>517</v>
      </c>
      <c r="H69" s="43">
        <v>16696</v>
      </c>
      <c r="I69" s="43">
        <v>14959</v>
      </c>
      <c r="J69" s="30" t="s">
        <v>214</v>
      </c>
      <c r="K69" s="43">
        <v>14402</v>
      </c>
      <c r="L69" s="139" t="s">
        <v>51</v>
      </c>
      <c r="M69" s="140">
        <f t="shared" si="11"/>
        <v>294.096</v>
      </c>
      <c r="N69" s="141" t="str">
        <f>VLOOKUP(C69,'Trips&amp;Operators'!$C$1:$G$99999,5,FALSE)</f>
        <v>SANTIZO D. EDY</v>
      </c>
      <c r="O69" s="190" t="s">
        <v>184</v>
      </c>
      <c r="P69" s="142"/>
      <c r="Q69" s="30"/>
      <c r="R69" s="89" t="e">
        <f>IF(VLOOKUP(C69,'Train Runs'!$A$13:$AE$9939,1,1)=C69,VLOOKUP(C69,'Train Runs'!$A$13:$AE$9939,31,1),NA())</f>
        <v>#N/A</v>
      </c>
      <c r="S69" s="92" t="str">
        <f>VLOOKUP(C69,'Train Runs'!$A$13:$AE$9939,22,0)</f>
        <v>https://d0f6bd738d7f1b3e5a7ca70fe4ff75f0.us-east-1.aws.found.io/app/kibana#/discover/Steve-Slow-Train-Analysis-(2080s-and-2083s)?_g=(refreshInterval:(display:Off,pause:!f,section:0,value:0),time:(from:'2017-04-10T01:53:32-0600',mode:absolute,to:'2017-04-10T04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9" s="94" t="str">
        <f t="shared" si="12"/>
        <v>"C:\Program Files (x86)\AstroGrep\AstroGrep.exe" /e /r /s /spath="%USERPROFILE%\AppData\Local\Temp\OnboardLogs" /stypes="*4013*201704100*" /stext=" 09:.+((SYSTEM_STATE.+slice.+state.+changed )|(ment ac)|(multiple cpu faults)|(system.+state.+changed )|(\[timeout)|(PRM\|1\|D)|(kpr)|(kdp)|(\|lc)|(penalty))"</v>
      </c>
      <c r="U69" s="9" t="str">
        <f t="shared" si="13"/>
        <v>4013</v>
      </c>
      <c r="V69" s="32">
        <f t="shared" si="14"/>
        <v>42835.375717592593</v>
      </c>
      <c r="W69" s="46" t="str">
        <f t="shared" si="15"/>
        <v>Other</v>
      </c>
      <c r="X69" s="46" t="str">
        <f t="shared" si="16"/>
        <v>KEEP</v>
      </c>
      <c r="Y69" s="104" t="str">
        <f t="shared" si="17"/>
        <v>echo {"issue":{"subject":"","project_id":79,"tracker_id":40,"status_id":1,"priority_id":2,"assigned_to_id":23,"start_date":"2017-04-10","description":"","custom_fields":[{"id":1,"name":"Subdivision","value":"Other"},{"id":4,"name":"Milepost","value":"1.4402"},{"id":17,"name":"Train ID","value":"302-10"},{"id":16,"name":"Locomotive ID","value":"4013"},{"id":130,"name":"Impact","value":""},{"id":150,"name":"Time of Event (Mountain Time)","value":"03:01:02"},{"id":151,"name":"Denver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218"/>
      <c r="AA69" s="48"/>
      <c r="AB69" s="48"/>
      <c r="AC69" s="123" t="str">
        <f t="shared" si="10"/>
        <v>grep -hSE -A400 "Enforcement Action" "%USERPROFILE%\AppData\Local\Temp\OnboardLogs"\RTDC4013\*4013*201704100* | grep -SE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"%USERPROFILE%\AppData\Local\Temp\OnboardLogs"\RTDC4013\*4013*201704100* &gt;&gt; 2017-04-10-SliceDisagreementCheck.txt</v>
      </c>
      <c r="AE69" s="153" t="str">
        <f t="shared" si="9"/>
        <v>start /low /b %USERPROFILE%\Documents\GitHub\eaglep3\Utilities\DownloadLogsFromS3.py --loco 4013 --day 2017-04-10</v>
      </c>
      <c r="AF69" s="1"/>
    </row>
    <row r="70" spans="1:32" x14ac:dyDescent="0.25">
      <c r="A70" s="32">
        <v>42835.167037037034</v>
      </c>
      <c r="B70" s="30" t="s">
        <v>476</v>
      </c>
      <c r="C70" s="30" t="s">
        <v>591</v>
      </c>
      <c r="D70" s="30" t="s">
        <v>49</v>
      </c>
      <c r="E70" s="30" t="s">
        <v>435</v>
      </c>
      <c r="F70" s="43">
        <v>0</v>
      </c>
      <c r="G70" s="43">
        <v>93</v>
      </c>
      <c r="H70" s="43">
        <v>4894</v>
      </c>
      <c r="I70" s="43">
        <v>4759</v>
      </c>
      <c r="J70" s="30" t="s">
        <v>436</v>
      </c>
      <c r="K70" s="43">
        <v>4798</v>
      </c>
      <c r="L70" s="139" t="s">
        <v>51</v>
      </c>
      <c r="M70" s="140">
        <f t="shared" si="11"/>
        <v>-20.591999999999999</v>
      </c>
      <c r="N70" s="141" t="str">
        <f>VLOOKUP(C70,'Trips&amp;Operators'!$C$1:$G$99999,5,FALSE)</f>
        <v>STARKS ANGELINA</v>
      </c>
      <c r="O70" s="190" t="s">
        <v>184</v>
      </c>
      <c r="P70" s="142"/>
      <c r="Q70" s="30"/>
      <c r="R70" s="89" t="e">
        <f>IF(VLOOKUP(C70,'Train Runs'!$A$13:$AE$9939,1,1)=C70,VLOOKUP(C70,'Train Runs'!$A$13:$AE$9939,31,1),NA())</f>
        <v>#N/A</v>
      </c>
      <c r="S70" s="92" t="str">
        <f>VLOOKUP(C70,'Train Runs'!$A$13:$AE$9939,22,0)</f>
        <v>https://d0f6bd738d7f1b3e5a7ca70fe4ff75f0.us-east-1.aws.found.io/app/kibana#/discover/Steve-Slow-Train-Analysis-(2080s-and-2083s)?_g=(refreshInterval:(display:Off,pause:!f,section:0,value:0),time:(from:'2017-04-10T02:47:48-0600',mode:absolute,to:'2017-04-10T04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0" s="94" t="str">
        <f t="shared" si="12"/>
        <v>"C:\Program Files (x86)\AstroGrep\AstroGrep.exe" /e /r /s /spath="%USERPROFILE%\AppData\Local\Temp\OnboardLogs" /stypes="*4001*201704101*" /stext=" 10:.+((SYSTEM_STATE.+slice.+state.+changed )|(ment ac)|(multiple cpu faults)|(system.+state.+changed )|(\[timeout)|(PRM\|1\|D)|(kpr)|(kdp)|(\|lc)|(penalty))"</v>
      </c>
      <c r="U70" s="9" t="str">
        <f t="shared" si="13"/>
        <v>4001</v>
      </c>
      <c r="V70" s="32">
        <f t="shared" si="14"/>
        <v>42835.417037037034</v>
      </c>
      <c r="W70" s="46" t="str">
        <f t="shared" si="15"/>
        <v>Other</v>
      </c>
      <c r="X70" s="46" t="str">
        <f t="shared" si="16"/>
        <v>KEEP</v>
      </c>
      <c r="Y70" s="104" t="str">
        <f t="shared" si="17"/>
        <v>echo {"issue":{"subject":"","project_id":79,"tracker_id":40,"status_id":1,"priority_id":2,"assigned_to_id":23,"start_date":"2017-04-10","description":"","custom_fields":[{"id":1,"name":"Subdivision","value":"Other"},{"id":4,"name":"Milepost","value":"0.4798"},{"id":17,"name":"Train ID","value":"306-10"},{"id":16,"name":"Locomotive ID","value":"4001"},{"id":130,"name":"Impact","value":""},{"id":150,"name":"Time of Event (Mountain Time)","value":"04:00:32"},{"id":151,"name":"Denver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218"/>
      <c r="AA70" s="48"/>
      <c r="AB70" s="48"/>
      <c r="AC70" s="123" t="str">
        <f t="shared" si="10"/>
        <v>grep -hSE -A400 "Enforcement Action" "%USERPROFILE%\AppData\Local\Temp\OnboardLogs"\RTDC4001\*4001*201704101* | grep -SE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"%USERPROFILE%\AppData\Local\Temp\OnboardLogs"\RTDC4001\*4001*201704101* &gt;&gt; 2017-04-10-SliceDisagreementCheck.txt</v>
      </c>
      <c r="AE70" s="153" t="str">
        <f t="shared" si="9"/>
        <v>start /low /b %USERPROFILE%\Documents\GitHub\eaglep3\Utilities\DownloadLogsFromS3.py --loco 4001 --day 2017-04-10</v>
      </c>
      <c r="AF70" s="1"/>
    </row>
    <row r="71" spans="1:32" x14ac:dyDescent="0.25">
      <c r="A71" s="32">
        <v>42835.149027777778</v>
      </c>
      <c r="B71" s="30" t="s">
        <v>589</v>
      </c>
      <c r="C71" s="30" t="s">
        <v>590</v>
      </c>
      <c r="D71" s="30" t="s">
        <v>49</v>
      </c>
      <c r="E71" s="30" t="s">
        <v>185</v>
      </c>
      <c r="F71" s="43">
        <v>0</v>
      </c>
      <c r="G71" s="43">
        <v>36</v>
      </c>
      <c r="H71" s="43">
        <v>125</v>
      </c>
      <c r="I71" s="43">
        <v>92</v>
      </c>
      <c r="J71" s="30" t="s">
        <v>186</v>
      </c>
      <c r="K71" s="43">
        <v>1</v>
      </c>
      <c r="L71" s="139" t="s">
        <v>51</v>
      </c>
      <c r="M71" s="140">
        <f t="shared" ref="M71:M102" si="18">CONVERT((I71-K71)/10000,"mi","ft")*IF(L71="Increasing Mileposts (1)",-1,1)</f>
        <v>48.048000000000002</v>
      </c>
      <c r="N71" s="141" t="str">
        <f>VLOOKUP(C71,'Trips&amp;Operators'!$C$1:$G$99999,5,FALSE)</f>
        <v>ACKERMAN JARED</v>
      </c>
      <c r="O71" s="190" t="s">
        <v>184</v>
      </c>
      <c r="P71" s="142"/>
      <c r="Q71" s="30"/>
      <c r="R71" s="89" t="e">
        <f>IF(VLOOKUP(C71,'Train Runs'!$A$13:$AE$9939,1,1)=C71,VLOOKUP(C71,'Train Runs'!$A$13:$AE$9939,31,1),NA())</f>
        <v>#N/A</v>
      </c>
      <c r="S71" s="92" t="str">
        <f>VLOOKUP(C71,'Train Runs'!$A$13:$AE$9939,22,0)</f>
        <v>https://d0f6bd738d7f1b3e5a7ca70fe4ff75f0.us-east-1.aws.found.io/app/kibana#/discover/Steve-Slow-Train-Analysis-(2080s-and-2083s)?_g=(refreshInterval:(display:Off,pause:!f,section:0,value:0),time:(from:'2017-04-10T02:22:58-0600',mode:absolute,to:'2017-04-10T04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1" s="94" t="str">
        <f t="shared" ref="T71:T102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/stypes="*4025*201704100*" /stext=" 09:.+((SYSTEM_STATE.+slice.+state.+changed )|(ment ac)|(multiple cpu faults)|(system.+state.+changed )|(\[timeout)|(PRM\|1\|D)|(kpr)|(kdp)|(\|lc)|(penalty))"</v>
      </c>
      <c r="U71" s="9" t="str">
        <f t="shared" si="13"/>
        <v>4025</v>
      </c>
      <c r="V71" s="32">
        <f t="shared" si="14"/>
        <v>42835.399027777778</v>
      </c>
      <c r="W71" s="46" t="str">
        <f t="shared" si="15"/>
        <v>Other</v>
      </c>
      <c r="X71" s="46" t="str">
        <f t="shared" si="16"/>
        <v>KEEP</v>
      </c>
      <c r="Y71" s="104" t="str">
        <f t="shared" ref="Y71:Y102" si="20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{"issue":{"subject":"","project_id":79,"tracker_id":40,"status_id":1,"priority_id":2,"assigned_to_id":23,"start_date":"2017-04-10","description":"","custom_fields":[{"id":1,"name":"Subdivision","value":"Other"},{"id":4,"name":"Milepost","value":"0.0001"},{"id":17,"name":"Train ID","value":"304-10"},{"id":16,"name":"Locomotive ID","value":"4025"},{"id":130,"name":"Impact","value":""},{"id":150,"name":"Time of Event (Mountain Time)","value":"03:34:36"},{"id":151,"name":"Denver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218"/>
      <c r="AA71" s="48"/>
      <c r="AB71" s="48"/>
      <c r="AC71" s="123" t="str">
        <f t="shared" si="10"/>
        <v>grep -hSE -A400 "Enforcement Action" "%USERPROFILE%\AppData\Local\Temp\OnboardLogs"\RTDC4025\*4025*201704100* | grep -SE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"%USERPROFILE%\AppData\Local\Temp\OnboardLogs"\RTDC4025\*4025*201704100* &gt;&gt; 2017-04-10-SliceDisagreementCheck.txt</v>
      </c>
      <c r="AE71" s="153" t="str">
        <f t="shared" si="9"/>
        <v>start /low /b %USERPROFILE%\Documents\GitHub\eaglep3\Utilities\DownloadLogsFromS3.py --loco 4025 --day 2017-04-10</v>
      </c>
      <c r="AF71" s="1"/>
    </row>
    <row r="72" spans="1:32" x14ac:dyDescent="0.25">
      <c r="A72" s="32">
        <v>42835.166666666664</v>
      </c>
      <c r="B72" s="30" t="s">
        <v>476</v>
      </c>
      <c r="C72" s="30" t="s">
        <v>591</v>
      </c>
      <c r="D72" s="30" t="s">
        <v>49</v>
      </c>
      <c r="E72" s="30" t="s">
        <v>185</v>
      </c>
      <c r="F72" s="43">
        <v>0</v>
      </c>
      <c r="G72" s="43">
        <v>6</v>
      </c>
      <c r="H72" s="43">
        <v>5212</v>
      </c>
      <c r="I72" s="43">
        <v>5176</v>
      </c>
      <c r="J72" s="30" t="s">
        <v>186</v>
      </c>
      <c r="K72" s="43">
        <v>575</v>
      </c>
      <c r="L72" s="139" t="s">
        <v>592</v>
      </c>
      <c r="M72" s="140">
        <f t="shared" si="18"/>
        <v>2429.328</v>
      </c>
      <c r="N72" s="141" t="str">
        <f>VLOOKUP(C72,'Trips&amp;Operators'!$C$1:$G$99999,5,FALSE)</f>
        <v>STARKS ANGELINA</v>
      </c>
      <c r="O72" s="190" t="s">
        <v>184</v>
      </c>
      <c r="P72" s="142"/>
      <c r="Q72" s="30"/>
      <c r="R72" s="89" t="e">
        <f>IF(VLOOKUP(C72,'Train Runs'!$A$13:$AE$9939,1,1)=C72,VLOOKUP(C72,'Train Runs'!$A$13:$AE$9939,31,1),NA())</f>
        <v>#N/A</v>
      </c>
      <c r="S72" s="92" t="str">
        <f>VLOOKUP(C72,'Train Runs'!$A$13:$AE$9939,22,0)</f>
        <v>https://d0f6bd738d7f1b3e5a7ca70fe4ff75f0.us-east-1.aws.found.io/app/kibana#/discover/Steve-Slow-Train-Analysis-(2080s-and-2083s)?_g=(refreshInterval:(display:Off,pause:!f,section:0,value:0),time:(from:'2017-04-10T02:47:48-0600',mode:absolute,to:'2017-04-10T04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2" s="94" t="str">
        <f t="shared" si="19"/>
        <v>"C:\Program Files (x86)\AstroGrep\AstroGrep.exe" /e /r /s /spath="%USERPROFILE%\AppData\Local\Temp\OnboardLogs" /stypes="*4001*201704101*" /stext=" 10:.+((SYSTEM_STATE.+slice.+state.+changed )|(ment ac)|(multiple cpu faults)|(system.+state.+changed )|(\[timeout)|(PRM\|1\|D)|(kpr)|(kdp)|(\|lc)|(penalty))"</v>
      </c>
      <c r="U72" s="9" t="str">
        <f t="shared" si="13"/>
        <v>4001</v>
      </c>
      <c r="V72" s="32">
        <f t="shared" si="14"/>
        <v>42835.416666666664</v>
      </c>
      <c r="W72" s="46" t="str">
        <f t="shared" si="15"/>
        <v>Other</v>
      </c>
      <c r="X72" s="46" t="str">
        <f t="shared" si="16"/>
        <v>OMIT</v>
      </c>
      <c r="Y72" s="104" t="str">
        <f t="shared" si="20"/>
        <v>echo {"issue":{"subject":"","project_id":79,"tracker_id":40,"status_id":1,"priority_id":2,"assigned_to_id":23,"start_date":"2017-04-10","description":"","custom_fields":[{"id":1,"name":"Subdivision","value":"Other"},{"id":4,"name":"Milepost","value":"0.0575"},{"id":17,"name":"Train ID","value":"306-10"},{"id":16,"name":"Locomotive ID","value":"4001"},{"id":130,"name":"Impact","value":""},{"id":150,"name":"Time of Event (Mountain Time)","value":"04:00:00"},{"id":151,"name":"Denver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218"/>
      <c r="AA72" s="48"/>
      <c r="AB72" s="48"/>
      <c r="AC72" s="123" t="str">
        <f t="shared" si="10"/>
        <v>grep -hSE -A400 "Enforcement Action" "%USERPROFILE%\AppData\Local\Temp\OnboardLogs"\RTDC4001\*4001*201704101* | grep -SE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"%USERPROFILE%\AppData\Local\Temp\OnboardLogs"\RTDC4001\*4001*201704101* &gt;&gt; 2017-04-10-SliceDisagreementCheck.txt</v>
      </c>
      <c r="AE72" s="153" t="str">
        <f t="shared" ref="AE72:AE73" si="21">"start /low /b "&amp;dls3logs&amp;" --loco "&amp;U72&amp;" --day "&amp;TEXT(V72,"YYYY-MM-DD")</f>
        <v>start /low /b %USERPROFILE%\Documents\GitHub\eaglep3\Utilities\DownloadLogsFromS3.py --loco 4001 --day 2017-04-10</v>
      </c>
      <c r="AF72" s="1"/>
    </row>
    <row r="73" spans="1:32" x14ac:dyDescent="0.25">
      <c r="A73" s="32">
        <v>42835.216087962966</v>
      </c>
      <c r="B73" s="30" t="s">
        <v>596</v>
      </c>
      <c r="C73" s="30" t="s">
        <v>597</v>
      </c>
      <c r="D73" s="30" t="s">
        <v>98</v>
      </c>
      <c r="E73" s="30" t="s">
        <v>185</v>
      </c>
      <c r="F73" s="43">
        <v>0</v>
      </c>
      <c r="G73" s="43">
        <v>5</v>
      </c>
      <c r="H73" s="43">
        <v>59048</v>
      </c>
      <c r="I73" s="43">
        <v>59048</v>
      </c>
      <c r="J73" s="30" t="s">
        <v>186</v>
      </c>
      <c r="K73" s="43">
        <v>59048</v>
      </c>
      <c r="L73" s="139" t="s">
        <v>50</v>
      </c>
      <c r="M73" s="140">
        <f t="shared" si="18"/>
        <v>0</v>
      </c>
      <c r="N73" s="141" t="str">
        <f>VLOOKUP(C73,'Trips&amp;Operators'!$C$1:$G$99999,5,FALSE)</f>
        <v>DAVIS WENDY</v>
      </c>
      <c r="O73" s="190" t="s">
        <v>184</v>
      </c>
      <c r="P73" s="142"/>
      <c r="Q73" s="30"/>
      <c r="R73" s="89" t="e">
        <f>IF(VLOOKUP(C73,'Train Runs'!$A$13:$AE$9939,1,1)=C73,VLOOKUP(C73,'Train Runs'!$A$13:$AE$9939,31,1),NA())</f>
        <v>#N/A</v>
      </c>
      <c r="S73" s="92" t="str">
        <f>VLOOKUP(C73,'Train Runs'!$A$13:$AE$9939,22,0)</f>
        <v>https://d0f6bd738d7f1b3e5a7ca70fe4ff75f0.us-east-1.aws.found.io/app/kibana#/discover/Steve-Slow-Train-Analysis-(2080s-and-2083s)?_g=(refreshInterval:(display:Off,pause:!f,section:0,value:0),time:(from:'2017-04-10T03:55:29-0600',mode:absolute,to:'2017-04-10T06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3" s="94" t="str">
        <f t="shared" si="19"/>
        <v>"C:\Program Files (x86)\AstroGrep\AstroGrep.exe" /e /r /s /spath="%USERPROFILE%\AppData\Local\Temp\OnboardLogs" /stypes="*4018*201704101*" /stext=" 11:.+((SYSTEM_STATE.+slice.+state.+changed )|(ment ac)|(multiple cpu faults)|(system.+state.+changed )|(\[timeout)|(PRM\|1\|D)|(kpr)|(kdp)|(\|lc)|(penalty))"</v>
      </c>
      <c r="U73" s="9" t="str">
        <f t="shared" si="13"/>
        <v>4018</v>
      </c>
      <c r="V73" s="32">
        <f t="shared" si="14"/>
        <v>42835.466087962966</v>
      </c>
      <c r="W73" s="46" t="str">
        <f t="shared" si="15"/>
        <v>Other</v>
      </c>
      <c r="X73" s="46" t="str">
        <f t="shared" si="16"/>
        <v>OMIT</v>
      </c>
      <c r="Y73" s="104" t="str">
        <f t="shared" si="20"/>
        <v>echo {"issue":{"subject":"","project_id":79,"tracker_id":40,"status_id":1,"priority_id":2,"assigned_to_id":23,"start_date":"2017-04-10","description":"","custom_fields":[{"id":1,"name":"Subdivision","value":"Other"},{"id":4,"name":"Milepost","value":"5.9048"},{"id":17,"name":"Train ID","value":"901-10"},{"id":16,"name":"Locomotive ID","value":"4018"},{"id":130,"name":"Impact","value":""},{"id":150,"name":"Time of Event (Mountain Time)","value":"05:11:10"},{"id":151,"name":"Denver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218"/>
      <c r="AA73" s="48"/>
      <c r="AB73" s="48"/>
      <c r="AC73" s="123" t="str">
        <f t="shared" si="10"/>
        <v>grep -hSE -A400 "Enforcement Action" "%USERPROFILE%\AppData\Local\Temp\OnboardLogs"\RTDC4018\*4018*201704101* | grep -SE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"%USERPROFILE%\AppData\Local\Temp\OnboardLogs"\RTDC4018\*4018*201704101* &gt;&gt; 2017-04-10-SliceDisagreementCheck.txt</v>
      </c>
      <c r="AE73" s="153" t="str">
        <f t="shared" si="21"/>
        <v>start /low /b %USERPROFILE%\Documents\GitHub\eaglep3\Utilities\DownloadLogsFromS3.py --loco 4018 --day 2017-04-10</v>
      </c>
      <c r="AF73" s="1"/>
    </row>
  </sheetData>
  <autoFilter ref="A6:AC73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AA7:AA73</xm:sqref>
        </x14:dataValidation>
        <x14:dataValidation type="list" allowBlank="1" showInputMessage="1" showErrorMessage="1">
          <x14:formula1>
            <xm:f>'Redmine List Values'!$C$2:$C$15</xm:f>
          </x14:formula1>
          <xm:sqref>AB7:AB73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I4" sqref="I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2017-04-10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221</v>
      </c>
      <c r="B3" s="43" t="str">
        <f>A3&amp;"-"&amp;IF(DAY(Variables!$A$2)&lt;10,0,"")&amp;DAY(Variables!$A$2)</f>
        <v>221-10</v>
      </c>
      <c r="C3" s="143"/>
      <c r="D3" s="161"/>
      <c r="E3" s="30"/>
      <c r="F3" s="21" t="str">
        <f>VLOOKUP(B3,'Trips&amp;Operators'!$C$2:$E$10000,3,FALSE)</f>
        <v>CHANDLER</v>
      </c>
      <c r="G3" s="21" t="str">
        <f>VLOOKUP(B3,'Trips&amp;Operators'!$C$1:$F$10000,4,FALSE)</f>
        <v>KELVIN</v>
      </c>
      <c r="H3" s="29" t="str">
        <f>VLOOKUP(B3,'Trips&amp;Operators'!$C$1:$H$10000,5,FALSE)</f>
        <v>CHANDLER KELVIN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22221-10%22)),sort:!(Time.ISO8601,asc))</v>
      </c>
      <c r="J3" s="30" t="str">
        <f>VLOOKUP(B3,'Train Runs'!$A$13:$A$99936,1,FALSE)</f>
        <v>221-10</v>
      </c>
    </row>
    <row r="4" spans="1:10" x14ac:dyDescent="0.25">
      <c r="A4" s="181">
        <v>241</v>
      </c>
      <c r="B4" s="43" t="str">
        <f>A4&amp;"-"&amp;IF(DAY(Variables!$A$2)&lt;10,0,"")&amp;DAY(Variables!$A$2)</f>
        <v>241-10</v>
      </c>
      <c r="C4" s="143"/>
      <c r="D4" s="161"/>
      <c r="E4" s="30"/>
      <c r="F4" s="21" t="str">
        <f>VLOOKUP(B4,'Trips&amp;Operators'!$C$2:$E$10000,3,FALSE)</f>
        <v>SULLIVAN</v>
      </c>
      <c r="G4" s="21" t="str">
        <f>VLOOKUP(B4,'Trips&amp;Operators'!$C$1:$F$10000,4,FALSE)</f>
        <v>BRANDON</v>
      </c>
      <c r="H4" s="29" t="str">
        <f>VLOOKUP(B4,'Trips&amp;Operators'!$C$1:$H$10000,5,FALSE)</f>
        <v>SULLIVAN BRANDON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22241-10%22)),sort:!(Time.ISO8601,asc))</v>
      </c>
      <c r="J4" s="30" t="str">
        <f>VLOOKUP(B4,'Train Runs'!$A$13:$A$99936,1,FALSE)</f>
        <v>241-10</v>
      </c>
    </row>
    <row r="5" spans="1:10" x14ac:dyDescent="0.25">
      <c r="A5" s="181"/>
      <c r="B5" s="43" t="str">
        <f>A5&amp;"-"&amp;IF(DAY(Variables!$A$2)&lt;10,0,"")&amp;DAY(Variables!$A$2)</f>
        <v>-10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Runs'!$A$13:$A$99936,1,FALSE)</f>
        <v>#N/A</v>
      </c>
    </row>
    <row r="6" spans="1:10" x14ac:dyDescent="0.25">
      <c r="A6" s="181"/>
      <c r="B6" s="43" t="str">
        <f>A6&amp;"-"&amp;IF(DAY(Variables!$A$2)&lt;10,0,"")&amp;DAY(Variables!$A$2)</f>
        <v>-10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Runs'!$A$13:$A$99936,1,FALSE)</f>
        <v>#N/A</v>
      </c>
    </row>
    <row r="7" spans="1:10" x14ac:dyDescent="0.25">
      <c r="A7" s="181"/>
      <c r="B7" s="43" t="str">
        <f>A7&amp;"-"&amp;IF(DAY(Variables!$A$2)&lt;10,0,"")&amp;DAY(Variables!$A$2)</f>
        <v>-10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Runs'!$A$13:$A$99936,1,FALSE)</f>
        <v>#N/A</v>
      </c>
    </row>
    <row r="8" spans="1:10" x14ac:dyDescent="0.25">
      <c r="A8" s="181"/>
      <c r="B8" s="43" t="str">
        <f>A8&amp;"-"&amp;IF(DAY(Variables!$A$2)&lt;10,0,"")&amp;DAY(Variables!$A$2)</f>
        <v>-10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Runs'!$A$13:$A$99936,1,FALSE)</f>
        <v>#N/A</v>
      </c>
    </row>
    <row r="9" spans="1:10" x14ac:dyDescent="0.25">
      <c r="A9" s="181"/>
      <c r="B9" s="43" t="str">
        <f>A9&amp;"-"&amp;IF(DAY(Variables!$A$2)&lt;10,0,"")&amp;DAY(Variables!$A$2)</f>
        <v>-10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Runs'!$A$13:$A$99936,1,FALSE)</f>
        <v>#N/A</v>
      </c>
    </row>
    <row r="10" spans="1:10" x14ac:dyDescent="0.25">
      <c r="A10" s="181"/>
      <c r="B10" s="43" t="str">
        <f>A10&amp;"-"&amp;IF(DAY(Variables!$A$2)&lt;10,0,"")&amp;DAY(Variables!$A$2)</f>
        <v>-10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Runs'!$A$13:$A$99936,1,FALSE)</f>
        <v>#N/A</v>
      </c>
    </row>
    <row r="11" spans="1:10" x14ac:dyDescent="0.25">
      <c r="A11" s="181"/>
      <c r="B11" s="43" t="str">
        <f>A11&amp;"-"&amp;IF(DAY(Variables!$A$2)&lt;10,0,"")&amp;DAY(Variables!$A$2)</f>
        <v>-10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Runs'!$A$13:$A$99936,1,FALSE)</f>
        <v>#N/A</v>
      </c>
    </row>
    <row r="12" spans="1:10" x14ac:dyDescent="0.25">
      <c r="A12" s="181"/>
      <c r="B12" s="43" t="str">
        <f>A12&amp;"-"&amp;IF(DAY(Variables!$A$2)&lt;10,0,"")&amp;DAY(Variables!$A$2)</f>
        <v>-10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Runs'!$A$13:$A$99936,1,FALSE)</f>
        <v>#N/A</v>
      </c>
    </row>
    <row r="13" spans="1:10" x14ac:dyDescent="0.25">
      <c r="A13" s="181"/>
      <c r="B13" s="43" t="str">
        <f>A13&amp;"-"&amp;IF(DAY(Variables!$A$2)&lt;10,0,"")&amp;DAY(Variables!$A$2)</f>
        <v>-10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Runs'!$A$13:$A$99936,1,FALSE)</f>
        <v>#N/A</v>
      </c>
    </row>
    <row r="14" spans="1:10" x14ac:dyDescent="0.25">
      <c r="A14" s="181"/>
      <c r="B14" s="43" t="str">
        <f>A14&amp;"-"&amp;IF(DAY(Variables!$A$2)&lt;10,0,"")&amp;DAY(Variables!$A$2)</f>
        <v>-10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Runs'!$A$13:$A$99936,1,FALSE)</f>
        <v>#N/A</v>
      </c>
    </row>
    <row r="15" spans="1:10" x14ac:dyDescent="0.25">
      <c r="A15" s="181"/>
      <c r="B15" s="43" t="str">
        <f>A15&amp;"-"&amp;IF(DAY(Variables!$A$2)&lt;10,0,"")&amp;DAY(Variables!$A$2)</f>
        <v>-10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Runs'!$A$13:$A$99936,1,FALSE)</f>
        <v>#N/A</v>
      </c>
    </row>
    <row r="16" spans="1:10" x14ac:dyDescent="0.25">
      <c r="A16" s="181"/>
      <c r="B16" s="43" t="str">
        <f>A16&amp;"-"&amp;IF(DAY(Variables!$A$2)&lt;10,0,"")&amp;DAY(Variables!$A$2)</f>
        <v>-10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Runs'!$A$13:$A$99936,1,FALSE)</f>
        <v>#N/A</v>
      </c>
    </row>
    <row r="17" spans="1:10" x14ac:dyDescent="0.25">
      <c r="A17" s="181"/>
      <c r="B17" s="43" t="str">
        <f>A17&amp;"-"&amp;IF(DAY(Variables!$A$2)&lt;10,0,"")&amp;DAY(Variables!$A$2)</f>
        <v>-10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Runs'!$A$13:$A$99936,1,FALSE)</f>
        <v>#N/A</v>
      </c>
    </row>
    <row r="18" spans="1:10" x14ac:dyDescent="0.25">
      <c r="A18" s="181"/>
      <c r="B18" s="43" t="str">
        <f>A18&amp;"-"&amp;IF(DAY(Variables!$A$2)&lt;10,0,"")&amp;DAY(Variables!$A$2)</f>
        <v>-10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Runs'!$A$13:$A$99936,1,FALSE)</f>
        <v>#N/A</v>
      </c>
    </row>
    <row r="19" spans="1:10" x14ac:dyDescent="0.25">
      <c r="A19" s="181"/>
      <c r="B19" s="43" t="str">
        <f>A19&amp;"-"&amp;IF(DAY(Variables!$A$2)&lt;10,0,"")&amp;DAY(Variables!$A$2)</f>
        <v>-10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Runs'!$A$13:$A$99936,1,FALSE)</f>
        <v>#N/A</v>
      </c>
    </row>
    <row r="20" spans="1:10" x14ac:dyDescent="0.25">
      <c r="A20" s="181"/>
      <c r="B20" s="43" t="str">
        <f>A20&amp;"-"&amp;IF(DAY(Variables!$A$2)&lt;10,0,"")&amp;DAY(Variables!$A$2)</f>
        <v>-10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Runs'!$A$13:$A$99936,1,FALSE)</f>
        <v>#N/A</v>
      </c>
    </row>
    <row r="21" spans="1:10" x14ac:dyDescent="0.25">
      <c r="A21" s="181"/>
      <c r="B21" s="43" t="str">
        <f>A21&amp;"-"&amp;IF(DAY(Variables!$A$2)&lt;10,0,"")&amp;DAY(Variables!$A$2)</f>
        <v>-10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Runs'!$A$13:$A$99936,1,FALSE)</f>
        <v>#N/A</v>
      </c>
    </row>
    <row r="22" spans="1:10" x14ac:dyDescent="0.25">
      <c r="A22" s="181"/>
      <c r="B22" s="43" t="str">
        <f>A22&amp;"-"&amp;IF(DAY(Variables!$A$2)&lt;10,0,"")&amp;DAY(Variables!$A$2)</f>
        <v>-10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Runs'!$A$13:$A$99936,1,FALSE)</f>
        <v>#N/A</v>
      </c>
    </row>
    <row r="23" spans="1:10" x14ac:dyDescent="0.25">
      <c r="A23" s="181"/>
      <c r="B23" s="43" t="str">
        <f>A23&amp;"-"&amp;IF(DAY(Variables!$A$2)&lt;10,0,"")&amp;DAY(Variables!$A$2)</f>
        <v>-10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Runs'!$A$13:$A$99936,1,FALSE)</f>
        <v>#N/A</v>
      </c>
    </row>
    <row r="24" spans="1:10" x14ac:dyDescent="0.25">
      <c r="A24" s="181"/>
      <c r="B24" s="43" t="str">
        <f>A24&amp;"-"&amp;IF(DAY(Variables!$A$2)&lt;10,0,"")&amp;DAY(Variables!$A$2)</f>
        <v>-10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Runs'!$A$13:$A$99936,1,FALSE)</f>
        <v>#N/A</v>
      </c>
    </row>
    <row r="25" spans="1:10" x14ac:dyDescent="0.25">
      <c r="A25" s="181"/>
      <c r="B25" s="43" t="str">
        <f>A25&amp;"-"&amp;IF(DAY(Variables!$A$2)&lt;10,0,"")&amp;DAY(Variables!$A$2)</f>
        <v>-10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Runs'!$A$13:$A$99936,1,FALSE)</f>
        <v>#N/A</v>
      </c>
    </row>
    <row r="26" spans="1:10" x14ac:dyDescent="0.25">
      <c r="A26" s="181"/>
      <c r="B26" s="43" t="str">
        <f>A26&amp;"-"&amp;IF(DAY(Variables!$A$2)&lt;10,0,"")&amp;DAY(Variables!$A$2)</f>
        <v>-10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Runs'!$A$13:$A$99936,1,FALSE)</f>
        <v>#N/A</v>
      </c>
    </row>
    <row r="27" spans="1:10" x14ac:dyDescent="0.25">
      <c r="A27" s="181"/>
      <c r="B27" s="43" t="str">
        <f>A27&amp;"-"&amp;IF(DAY(Variables!$A$2)&lt;10,0,"")&amp;DAY(Variables!$A$2)</f>
        <v>-10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Runs'!$A$13:$A$99936,1,FALSE)</f>
        <v>#N/A</v>
      </c>
    </row>
    <row r="28" spans="1:10" x14ac:dyDescent="0.25">
      <c r="A28" s="181"/>
      <c r="B28" s="43" t="str">
        <f>A28&amp;"-"&amp;IF(DAY(Variables!$A$2)&lt;10,0,"")&amp;DAY(Variables!$A$2)</f>
        <v>-10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8" s="30" t="e">
        <f>VLOOKUP(B28,'Train Runs'!$A$13:$A$99936,1,FALSE)</f>
        <v>#N/A</v>
      </c>
    </row>
    <row r="29" spans="1:10" x14ac:dyDescent="0.25">
      <c r="A29" s="181"/>
      <c r="B29" s="43" t="str">
        <f>A29&amp;"-"&amp;IF(DAY(Variables!$A$2)&lt;10,0,"")&amp;DAY(Variables!$A$2)</f>
        <v>-10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9" s="30" t="e">
        <f>VLOOKUP(B29,'Train Runs'!$A$13:$A$99936,1,FALSE)</f>
        <v>#N/A</v>
      </c>
    </row>
    <row r="30" spans="1:10" x14ac:dyDescent="0.25">
      <c r="A30" s="181"/>
      <c r="B30" s="43" t="str">
        <f>A30&amp;"-"&amp;IF(DAY(Variables!$A$2)&lt;10,0,"")&amp;DAY(Variables!$A$2)</f>
        <v>-10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0" s="30" t="e">
        <f>VLOOKUP(B30,'Train Runs'!$A$13:$A$99936,1,FALSE)</f>
        <v>#N/A</v>
      </c>
    </row>
    <row r="31" spans="1:10" x14ac:dyDescent="0.25">
      <c r="A31" s="181"/>
      <c r="B31" s="43" t="str">
        <f>A31&amp;"-"&amp;IF(DAY(Variables!$A$2)&lt;10,0,"")&amp;DAY(Variables!$A$2)</f>
        <v>-10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1" s="30" t="e">
        <f>VLOOKUP(B31,'Train Runs'!$A$13:$A$99936,1,FALSE)</f>
        <v>#N/A</v>
      </c>
    </row>
    <row r="32" spans="1:10" x14ac:dyDescent="0.25">
      <c r="A32" s="181"/>
      <c r="B32" s="43" t="str">
        <f>A32&amp;"-"&amp;IF(DAY(Variables!$A$2)&lt;10,0,"")&amp;DAY(Variables!$A$2)</f>
        <v>-10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2" s="30" t="e">
        <f>VLOOKUP(B32,'Train Runs'!$A$13:$A$99936,1,FALSE)</f>
        <v>#N/A</v>
      </c>
    </row>
    <row r="33" spans="1:10" x14ac:dyDescent="0.25">
      <c r="A33" s="181"/>
      <c r="B33" s="43" t="str">
        <f>A33&amp;"-"&amp;IF(DAY(Variables!$A$2)&lt;10,0,"")&amp;DAY(Variables!$A$2)</f>
        <v>-10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3" s="30" t="e">
        <f>VLOOKUP(B33,'Train Runs'!$A$13:$A$99936,1,FALSE)</f>
        <v>#N/A</v>
      </c>
    </row>
    <row r="34" spans="1:10" x14ac:dyDescent="0.25">
      <c r="A34" s="181"/>
      <c r="B34" s="43" t="str">
        <f>A34&amp;"-"&amp;IF(DAY(Variables!$A$2)&lt;10,0,"")&amp;DAY(Variables!$A$2)</f>
        <v>-10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4" s="30" t="e">
        <f>VLOOKUP(B34,'Train Runs'!$A$13:$A$99936,1,FALSE)</f>
        <v>#N/A</v>
      </c>
    </row>
    <row r="35" spans="1:10" x14ac:dyDescent="0.25">
      <c r="A35" s="181"/>
      <c r="B35" s="43" t="str">
        <f>A35&amp;"-"&amp;IF(DAY(Variables!$A$2)&lt;10,0,"")&amp;DAY(Variables!$A$2)</f>
        <v>-10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5" s="30" t="e">
        <f>VLOOKUP(B35,'Train Runs'!$A$13:$A$99936,1,FALSE)</f>
        <v>#N/A</v>
      </c>
    </row>
    <row r="36" spans="1:10" x14ac:dyDescent="0.25">
      <c r="A36" s="181"/>
      <c r="B36" s="43" t="str">
        <f>A36&amp;"-"&amp;IF(DAY(Variables!$A$2)&lt;10,0,"")&amp;DAY(Variables!$A$2)</f>
        <v>-10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6" s="30" t="e">
        <f>VLOOKUP(B36,'Train Runs'!$A$13:$A$99936,1,FALSE)</f>
        <v>#N/A</v>
      </c>
    </row>
    <row r="37" spans="1:10" x14ac:dyDescent="0.25">
      <c r="A37" s="181"/>
      <c r="B37" s="43" t="str">
        <f>A37&amp;"-"&amp;IF(DAY(Variables!$A$2)&lt;10,0,"")&amp;DAY(Variables!$A$2)</f>
        <v>-10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7" s="30" t="e">
        <f>VLOOKUP(B37,'Train Runs'!$A$13:$A$99936,1,FALSE)</f>
        <v>#N/A</v>
      </c>
    </row>
    <row r="38" spans="1:10" x14ac:dyDescent="0.25">
      <c r="A38" s="181"/>
      <c r="B38" s="43" t="str">
        <f>A38&amp;"-"&amp;IF(DAY(Variables!$A$2)&lt;10,0,"")&amp;DAY(Variables!$A$2)</f>
        <v>-10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8" s="30" t="e">
        <f>VLOOKUP(B38,'Train Runs'!$A$13:$A$99936,1,FALSE)</f>
        <v>#N/A</v>
      </c>
    </row>
    <row r="39" spans="1:10" x14ac:dyDescent="0.25">
      <c r="A39" s="181"/>
      <c r="B39" s="43" t="str">
        <f>A39&amp;"-"&amp;IF(DAY(Variables!$A$2)&lt;10,0,"")&amp;DAY(Variables!$A$2)</f>
        <v>-10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9" s="30" t="e">
        <f>VLOOKUP(B39,'Train Runs'!$A$13:$A$99936,1,FALSE)</f>
        <v>#N/A</v>
      </c>
    </row>
    <row r="40" spans="1:10" x14ac:dyDescent="0.25">
      <c r="A40" s="181"/>
      <c r="B40" s="43" t="str">
        <f>A40&amp;"-"&amp;IF(DAY(Variables!$A$2)&lt;10,0,"")&amp;DAY(Variables!$A$2)</f>
        <v>-10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0" s="30" t="e">
        <f>VLOOKUP(B40,'Train Runs'!$A$13:$A$99936,1,FALSE)</f>
        <v>#N/A</v>
      </c>
    </row>
    <row r="41" spans="1:10" x14ac:dyDescent="0.25">
      <c r="A41" s="181"/>
      <c r="B41" s="43" t="str">
        <f>A41&amp;"-"&amp;IF(DAY(Variables!$A$2)&lt;10,0,"")&amp;DAY(Variables!$A$2)</f>
        <v>-10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1" s="30" t="e">
        <f>VLOOKUP(B41,'Train Runs'!$A$13:$A$99936,1,FALSE)</f>
        <v>#N/A</v>
      </c>
    </row>
    <row r="42" spans="1:10" x14ac:dyDescent="0.25">
      <c r="A42" s="181"/>
      <c r="B42" s="43" t="str">
        <f>A42&amp;"-"&amp;IF(DAY(Variables!$A$2)&lt;10,0,"")&amp;DAY(Variables!$A$2)</f>
        <v>-10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2" s="30" t="e">
        <f>VLOOKUP(B42,'Train Runs'!$A$13:$A$99936,1,FALSE)</f>
        <v>#N/A</v>
      </c>
    </row>
    <row r="43" spans="1:10" x14ac:dyDescent="0.25">
      <c r="A43" s="181"/>
      <c r="B43" s="43" t="str">
        <f>A43&amp;"-"&amp;IF(DAY(Variables!$A$2)&lt;10,0,"")&amp;DAY(Variables!$A$2)</f>
        <v>-10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3" s="30" t="e">
        <f>VLOOKUP(B43,'Train Runs'!$A$13:$A$99936,1,FALSE)</f>
        <v>#N/A</v>
      </c>
    </row>
    <row r="44" spans="1:10" x14ac:dyDescent="0.25">
      <c r="A44" s="181"/>
      <c r="B44" s="43" t="str">
        <f>A44&amp;"-"&amp;IF(DAY(Variables!$A$2)&lt;10,0,"")&amp;DAY(Variables!$A$2)</f>
        <v>-10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4" s="30" t="e">
        <f>VLOOKUP(B44,'Train Runs'!$A$13:$A$99936,1,FALSE)</f>
        <v>#N/A</v>
      </c>
    </row>
    <row r="45" spans="1:10" x14ac:dyDescent="0.25">
      <c r="A45" s="181"/>
      <c r="B45" s="43" t="str">
        <f>A45&amp;"-"&amp;IF(DAY(Variables!$A$2)&lt;10,0,"")&amp;DAY(Variables!$A$2)</f>
        <v>-10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5" s="30" t="e">
        <f>VLOOKUP(B45,'Train Runs'!$A$13:$A$99936,1,FALSE)</f>
        <v>#N/A</v>
      </c>
    </row>
    <row r="46" spans="1:10" x14ac:dyDescent="0.25">
      <c r="A46" s="181"/>
      <c r="B46" s="43" t="str">
        <f>A46&amp;"-"&amp;IF(DAY(Variables!$A$2)&lt;10,0,"")&amp;DAY(Variables!$A$2)</f>
        <v>-10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6" s="30" t="e">
        <f>VLOOKUP(B46,'Train Runs'!$A$13:$A$99936,1,FALSE)</f>
        <v>#N/A</v>
      </c>
    </row>
    <row r="47" spans="1:10" x14ac:dyDescent="0.25">
      <c r="A47" s="181"/>
      <c r="B47" s="43" t="str">
        <f>A47&amp;"-"&amp;IF(DAY(Variables!$A$2)&lt;10,0,"")&amp;DAY(Variables!$A$2)</f>
        <v>-10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7" s="30" t="e">
        <f>VLOOKUP(B47,'Train Runs'!$A$13:$A$99936,1,FALSE)</f>
        <v>#N/A</v>
      </c>
    </row>
    <row r="48" spans="1:10" x14ac:dyDescent="0.25">
      <c r="A48" s="181"/>
      <c r="B48" s="43" t="str">
        <f>A48&amp;"-"&amp;IF(DAY(Variables!$A$2)&lt;10,0,"")&amp;DAY(Variables!$A$2)</f>
        <v>-10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8" s="30" t="e">
        <f>VLOOKUP(B48,'Train Runs'!$A$13:$A$99936,1,FALSE)</f>
        <v>#N/A</v>
      </c>
    </row>
    <row r="49" spans="1:10" x14ac:dyDescent="0.25">
      <c r="A49" s="181"/>
      <c r="B49" s="43" t="str">
        <f>A49&amp;"-"&amp;IF(DAY(Variables!$A$2)&lt;10,0,"")&amp;DAY(Variables!$A$2)</f>
        <v>-10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9" s="30" t="e">
        <f>VLOOKUP(B49,'Train Runs'!$A$13:$A$99936,1,FALSE)</f>
        <v>#N/A</v>
      </c>
    </row>
    <row r="50" spans="1:10" x14ac:dyDescent="0.25">
      <c r="A50" s="181"/>
      <c r="B50" s="43" t="str">
        <f>A50&amp;"-"&amp;IF(DAY(Variables!$A$2)&lt;10,0,"")&amp;DAY(Variables!$A$2)</f>
        <v>-10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0" s="30" t="e">
        <f>VLOOKUP(B50,'Train Runs'!$A$13:$A$99936,1,FALSE)</f>
        <v>#N/A</v>
      </c>
    </row>
    <row r="51" spans="1:10" x14ac:dyDescent="0.25">
      <c r="A51" s="181"/>
      <c r="B51" s="43" t="str">
        <f>A51&amp;"-"&amp;IF(DAY(Variables!$A$2)&lt;10,0,"")&amp;DAY(Variables!$A$2)</f>
        <v>-10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1" s="30" t="e">
        <f>VLOOKUP(B51,'Train Runs'!$A$13:$A$99936,1,FALSE)</f>
        <v>#N/A</v>
      </c>
    </row>
    <row r="52" spans="1:10" x14ac:dyDescent="0.25">
      <c r="A52" s="181"/>
      <c r="B52" s="43" t="str">
        <f>A52&amp;"-"&amp;IF(DAY(Variables!$A$2)&lt;10,0,"")&amp;DAY(Variables!$A$2)</f>
        <v>-10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2" s="30" t="e">
        <f>VLOOKUP(B52,'Train Runs'!$A$13:$A$99936,1,FALSE)</f>
        <v>#N/A</v>
      </c>
    </row>
    <row r="53" spans="1:10" x14ac:dyDescent="0.25">
      <c r="A53" s="181"/>
      <c r="B53" s="43" t="str">
        <f>A53&amp;"-"&amp;IF(DAY(Variables!$A$2)&lt;10,0,"")&amp;DAY(Variables!$A$2)</f>
        <v>-10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3" s="30" t="e">
        <f>VLOOKUP(B53,'Train Runs'!$A$13:$A$99936,1,FALSE)</f>
        <v>#N/A</v>
      </c>
    </row>
    <row r="54" spans="1:10" x14ac:dyDescent="0.25">
      <c r="A54" s="181"/>
      <c r="B54" s="43" t="str">
        <f>A54&amp;"-"&amp;IF(DAY(Variables!$A$2)&lt;10,0,"")&amp;DAY(Variables!$A$2)</f>
        <v>-10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4" s="30" t="e">
        <f>VLOOKUP(B54,'Train Runs'!$A$13:$A$99936,1,FALSE)</f>
        <v>#N/A</v>
      </c>
    </row>
    <row r="55" spans="1:10" x14ac:dyDescent="0.25">
      <c r="A55" s="181"/>
      <c r="B55" s="43" t="str">
        <f>A55&amp;"-"&amp;IF(DAY(Variables!$A$2)&lt;10,0,"")&amp;DAY(Variables!$A$2)</f>
        <v>-10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5" s="30" t="e">
        <f>VLOOKUP(B55,'Train Runs'!$A$13:$A$99936,1,FALSE)</f>
        <v>#N/A</v>
      </c>
    </row>
    <row r="56" spans="1:10" x14ac:dyDescent="0.25">
      <c r="A56" s="181"/>
      <c r="B56" s="43" t="str">
        <f>A56&amp;"-"&amp;IF(DAY(Variables!$A$2)&lt;10,0,"")&amp;DAY(Variables!$A$2)</f>
        <v>-10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6" s="30" t="e">
        <f>VLOOKUP(B56,'Train Runs'!$A$13:$A$99936,1,FALSE)</f>
        <v>#N/A</v>
      </c>
    </row>
    <row r="57" spans="1:10" x14ac:dyDescent="0.25">
      <c r="A57" s="181"/>
      <c r="B57" s="43" t="str">
        <f>A57&amp;"-"&amp;IF(DAY(Variables!$A$2)&lt;10,0,"")&amp;DAY(Variables!$A$2)</f>
        <v>-10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7" s="30" t="e">
        <f>VLOOKUP(B57,'Train Runs'!$A$13:$A$99936,1,FALSE)</f>
        <v>#N/A</v>
      </c>
    </row>
    <row r="58" spans="1:10" x14ac:dyDescent="0.25">
      <c r="A58" s="181"/>
      <c r="B58" s="43" t="str">
        <f>A58&amp;"-"&amp;IF(DAY(Variables!$A$2)&lt;10,0,"")&amp;DAY(Variables!$A$2)</f>
        <v>-10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8" s="30" t="e">
        <f>VLOOKUP(B58,'Train Runs'!$A$13:$A$99936,1,FALSE)</f>
        <v>#N/A</v>
      </c>
    </row>
    <row r="59" spans="1:10" x14ac:dyDescent="0.25">
      <c r="A59" s="181"/>
      <c r="B59" s="43" t="str">
        <f>A59&amp;"-"&amp;IF(DAY(Variables!$A$2)&lt;10,0,"")&amp;DAY(Variables!$A$2)</f>
        <v>-10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9" s="30" t="e">
        <f>VLOOKUP(B59,'Train Runs'!$A$13:$A$99936,1,FALSE)</f>
        <v>#N/A</v>
      </c>
    </row>
    <row r="60" spans="1:10" x14ac:dyDescent="0.25">
      <c r="A60" s="181"/>
      <c r="B60" s="43" t="str">
        <f>A60&amp;"-"&amp;IF(DAY(Variables!$A$2)&lt;10,0,"")&amp;DAY(Variables!$A$2)</f>
        <v>-10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0" s="30" t="e">
        <f>VLOOKUP(B60,'Train Runs'!$A$13:$A$99936,1,FALSE)</f>
        <v>#N/A</v>
      </c>
    </row>
    <row r="61" spans="1:10" x14ac:dyDescent="0.25">
      <c r="A61" s="181"/>
      <c r="B61" s="43" t="str">
        <f>A61&amp;"-"&amp;IF(DAY(Variables!$A$2)&lt;10,0,"")&amp;DAY(Variables!$A$2)</f>
        <v>-10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1" s="30" t="e">
        <f>VLOOKUP(B61,'Train Runs'!$A$13:$A$99936,1,FALSE)</f>
        <v>#N/A</v>
      </c>
    </row>
    <row r="62" spans="1:10" x14ac:dyDescent="0.25">
      <c r="A62" s="181"/>
      <c r="B62" s="43" t="str">
        <f>A62&amp;"-"&amp;IF(DAY(Variables!$A$2)&lt;10,0,"")&amp;DAY(Variables!$A$2)</f>
        <v>-10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2" s="30" t="e">
        <f>VLOOKUP(B62,'Train Runs'!$A$13:$A$99936,1,FALSE)</f>
        <v>#N/A</v>
      </c>
    </row>
    <row r="63" spans="1:10" x14ac:dyDescent="0.25">
      <c r="A63" s="181"/>
      <c r="B63" s="43" t="str">
        <f>A63&amp;"-"&amp;IF(DAY(Variables!$A$2)&lt;10,0,"")&amp;DAY(Variables!$A$2)</f>
        <v>-10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3" s="30" t="e">
        <f>VLOOKUP(B63,'Train Runs'!$A$13:$A$99936,1,FALSE)</f>
        <v>#N/A</v>
      </c>
    </row>
    <row r="64" spans="1:10" x14ac:dyDescent="0.25">
      <c r="A64" s="181"/>
      <c r="B64" s="43" t="str">
        <f>A64&amp;"-"&amp;IF(DAY(Variables!$A$2)&lt;10,0,"")&amp;DAY(Variables!$A$2)</f>
        <v>-10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4" s="30" t="e">
        <f>VLOOKUP(B64,'Train Runs'!$A$13:$A$99936,1,FALSE)</f>
        <v>#N/A</v>
      </c>
    </row>
    <row r="65" spans="1:10" x14ac:dyDescent="0.25">
      <c r="A65" s="181"/>
      <c r="B65" s="43" t="str">
        <f>A65&amp;"-"&amp;IF(DAY(Variables!$A$2)&lt;10,0,"")&amp;DAY(Variables!$A$2)</f>
        <v>-10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5" s="30" t="e">
        <f>VLOOKUP(B65,'Train Runs'!$A$13:$A$99936,1,FALSE)</f>
        <v>#N/A</v>
      </c>
    </row>
    <row r="66" spans="1:10" x14ac:dyDescent="0.25">
      <c r="A66" s="181"/>
      <c r="B66" s="43" t="str">
        <f>A66&amp;"-"&amp;IF(DAY(Variables!$A$2)&lt;10,0,"")&amp;DAY(Variables!$A$2)</f>
        <v>-10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6" s="30" t="e">
        <f>VLOOKUP(B66,'Train Runs'!$A$13:$A$99936,1,FALSE)</f>
        <v>#N/A</v>
      </c>
    </row>
    <row r="67" spans="1:10" x14ac:dyDescent="0.25">
      <c r="A67" s="181"/>
      <c r="B67" s="43" t="str">
        <f>A67&amp;"-"&amp;IF(DAY(Variables!$A$2)&lt;10,0,"")&amp;DAY(Variables!$A$2)</f>
        <v>-10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7" s="30" t="e">
        <f>VLOOKUP(B67,'Train Runs'!$A$13:$A$99936,1,FALSE)</f>
        <v>#N/A</v>
      </c>
    </row>
    <row r="68" spans="1:10" x14ac:dyDescent="0.25">
      <c r="A68" s="181"/>
      <c r="B68" s="43" t="str">
        <f>A68&amp;"-"&amp;IF(DAY(Variables!$A$2)&lt;10,0,"")&amp;DAY(Variables!$A$2)</f>
        <v>-10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8" s="30" t="e">
        <f>VLOOKUP(B68,'Train Runs'!$A$13:$A$99936,1,FALSE)</f>
        <v>#N/A</v>
      </c>
    </row>
    <row r="69" spans="1:10" x14ac:dyDescent="0.25">
      <c r="A69" s="181"/>
      <c r="B69" s="43" t="str">
        <f>A69&amp;"-"&amp;IF(DAY(Variables!$A$2)&lt;10,0,"")&amp;DAY(Variables!$A$2)</f>
        <v>-10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9" s="30" t="e">
        <f>VLOOKUP(B69,'Train Runs'!$A$13:$A$99936,1,FALSE)</f>
        <v>#N/A</v>
      </c>
    </row>
    <row r="70" spans="1:10" x14ac:dyDescent="0.25">
      <c r="A70" s="181"/>
      <c r="B70" s="43" t="str">
        <f>A70&amp;"-"&amp;IF(DAY(Variables!$A$2)&lt;10,0,"")&amp;DAY(Variables!$A$2)</f>
        <v>-10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0" s="30" t="e">
        <f>VLOOKUP(B70,'Train Runs'!$A$13:$A$99936,1,FALSE)</f>
        <v>#N/A</v>
      </c>
    </row>
    <row r="71" spans="1:10" x14ac:dyDescent="0.25">
      <c r="A71" s="181"/>
      <c r="B71" s="43" t="str">
        <f>A71&amp;"-"&amp;IF(DAY(Variables!$A$2)&lt;10,0,"")&amp;DAY(Variables!$A$2)</f>
        <v>-10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1" s="30" t="e">
        <f>VLOOKUP(B71,'Train Runs'!$A$13:$A$99936,1,FALSE)</f>
        <v>#N/A</v>
      </c>
    </row>
    <row r="72" spans="1:10" x14ac:dyDescent="0.25">
      <c r="A72" s="181"/>
      <c r="B72" s="43" t="str">
        <f>A72&amp;"-"&amp;IF(DAY(Variables!$A$2)&lt;10,0,"")&amp;DAY(Variables!$A$2)</f>
        <v>-10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2" s="30" t="e">
        <f>VLOOKUP(B72,'Train Runs'!$A$13:$A$99936,1,FALSE)</f>
        <v>#N/A</v>
      </c>
    </row>
    <row r="73" spans="1:10" x14ac:dyDescent="0.25">
      <c r="A73" s="181"/>
      <c r="B73" s="43" t="str">
        <f>A73&amp;"-"&amp;IF(DAY(Variables!$A$2)&lt;10,0,"")&amp;DAY(Variables!$A$2)</f>
        <v>-10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3" s="30" t="e">
        <f>VLOOKUP(B73,'Train Runs'!$A$13:$A$99936,1,FALSE)</f>
        <v>#N/A</v>
      </c>
    </row>
    <row r="74" spans="1:10" x14ac:dyDescent="0.25">
      <c r="A74" s="181"/>
      <c r="B74" s="43" t="str">
        <f>A74&amp;"-"&amp;IF(DAY(Variables!$A$2)&lt;10,0,"")&amp;DAY(Variables!$A$2)</f>
        <v>-10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4" s="30" t="e">
        <f>VLOOKUP(B74,'Train Runs'!$A$13:$A$99936,1,FALSE)</f>
        <v>#N/A</v>
      </c>
    </row>
    <row r="75" spans="1:10" x14ac:dyDescent="0.25">
      <c r="A75" s="181"/>
      <c r="B75" s="43" t="str">
        <f>A75&amp;"-"&amp;IF(DAY(Variables!$A$2)&lt;10,0,"")&amp;DAY(Variables!$A$2)</f>
        <v>-10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5" s="30" t="e">
        <f>VLOOKUP(B75,'Train Runs'!$A$13:$A$99936,1,FALSE)</f>
        <v>#N/A</v>
      </c>
    </row>
    <row r="76" spans="1:10" x14ac:dyDescent="0.25">
      <c r="A76" s="181"/>
      <c r="B76" s="43" t="str">
        <f>A76&amp;"-"&amp;IF(DAY(Variables!$A$2)&lt;10,0,"")&amp;DAY(Variables!$A$2)</f>
        <v>-10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6" s="30" t="e">
        <f>VLOOKUP(B76,'Train Runs'!$A$13:$A$99936,1,FALSE)</f>
        <v>#N/A</v>
      </c>
    </row>
    <row r="77" spans="1:10" x14ac:dyDescent="0.25">
      <c r="A77" s="181"/>
      <c r="B77" s="43" t="str">
        <f>A77&amp;"-"&amp;IF(DAY(Variables!$A$2)&lt;10,0,"")&amp;DAY(Variables!$A$2)</f>
        <v>-10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7" s="30" t="e">
        <f>VLOOKUP(B77,'Train Runs'!$A$13:$A$99936,1,FALSE)</f>
        <v>#N/A</v>
      </c>
    </row>
    <row r="78" spans="1:10" x14ac:dyDescent="0.25">
      <c r="A78" s="181"/>
      <c r="B78" s="43" t="str">
        <f>A78&amp;"-"&amp;IF(DAY(Variables!$A$2)&lt;10,0,"")&amp;DAY(Variables!$A$2)</f>
        <v>-10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8" s="30" t="e">
        <f>VLOOKUP(B78,'Train Runs'!$A$13:$A$99936,1,FALSE)</f>
        <v>#N/A</v>
      </c>
    </row>
    <row r="79" spans="1:10" x14ac:dyDescent="0.25">
      <c r="A79" s="181"/>
      <c r="B79" s="43" t="str">
        <f>A79&amp;"-"&amp;IF(DAY(Variables!$A$2)&lt;10,0,"")&amp;DAY(Variables!$A$2)</f>
        <v>-10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9" s="30" t="e">
        <f>VLOOKUP(B79,'Train Runs'!$A$13:$A$99936,1,FALSE)</f>
        <v>#N/A</v>
      </c>
    </row>
    <row r="80" spans="1:10" x14ac:dyDescent="0.25">
      <c r="A80" s="181"/>
      <c r="B80" s="43" t="str">
        <f>A80&amp;"-"&amp;IF(DAY(Variables!$A$2)&lt;10,0,"")&amp;DAY(Variables!$A$2)</f>
        <v>-10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0" s="30" t="e">
        <f>VLOOKUP(B80,'Train Runs'!$A$13:$A$99936,1,FALSE)</f>
        <v>#N/A</v>
      </c>
    </row>
    <row r="81" spans="1:10" x14ac:dyDescent="0.25">
      <c r="A81" s="181"/>
      <c r="B81" s="43" t="str">
        <f>A81&amp;"-"&amp;IF(DAY(Variables!$A$2)&lt;10,0,"")&amp;DAY(Variables!$A$2)</f>
        <v>-10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1" s="30" t="e">
        <f>VLOOKUP(B81,'Train Runs'!$A$13:$A$99936,1,FALSE)</f>
        <v>#N/A</v>
      </c>
    </row>
    <row r="82" spans="1:10" x14ac:dyDescent="0.25">
      <c r="A82" s="181"/>
      <c r="B82" s="43" t="str">
        <f>A82&amp;"-"&amp;IF(DAY(Variables!$A$2)&lt;10,0,"")&amp;DAY(Variables!$A$2)</f>
        <v>-10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2" s="30" t="e">
        <f>VLOOKUP(B82,'Train Runs'!$A$13:$A$99936,1,FALSE)</f>
        <v>#N/A</v>
      </c>
    </row>
    <row r="83" spans="1:10" x14ac:dyDescent="0.25">
      <c r="A83" s="181"/>
      <c r="B83" s="43" t="str">
        <f>A83&amp;"-"&amp;IF(DAY(Variables!$A$2)&lt;10,0,"")&amp;DAY(Variables!$A$2)</f>
        <v>-10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3" s="30" t="e">
        <f>VLOOKUP(B83,'Train Runs'!$A$13:$A$99936,1,FALSE)</f>
        <v>#N/A</v>
      </c>
    </row>
    <row r="84" spans="1:10" x14ac:dyDescent="0.25">
      <c r="A84" s="181"/>
      <c r="B84" s="43" t="str">
        <f>A84&amp;"-"&amp;IF(DAY(Variables!$A$2)&lt;10,0,"")&amp;DAY(Variables!$A$2)</f>
        <v>-10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4" s="30" t="e">
        <f>VLOOKUP(B84,'Train Runs'!$A$13:$A$99936,1,FALSE)</f>
        <v>#N/A</v>
      </c>
    </row>
    <row r="85" spans="1:10" x14ac:dyDescent="0.25">
      <c r="A85" s="181"/>
      <c r="B85" s="43" t="str">
        <f>A85&amp;"-"&amp;IF(DAY(Variables!$A$2)&lt;10,0,"")&amp;DAY(Variables!$A$2)</f>
        <v>-10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5" s="30" t="e">
        <f>VLOOKUP(B85,'Train Runs'!$A$13:$A$99936,1,FALSE)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349</v>
      </c>
      <c r="B1" s="203" t="s">
        <v>350</v>
      </c>
      <c r="C1" s="195" t="s">
        <v>358</v>
      </c>
      <c r="D1" s="207" t="s">
        <v>58</v>
      </c>
      <c r="E1" s="192" t="s">
        <v>24</v>
      </c>
      <c r="F1" s="207" t="s">
        <v>364</v>
      </c>
      <c r="G1" s="211" t="s">
        <v>94</v>
      </c>
      <c r="H1" s="213" t="s">
        <v>368</v>
      </c>
      <c r="I1" s="209" t="s">
        <v>367</v>
      </c>
      <c r="J1" s="205" t="s">
        <v>84</v>
      </c>
      <c r="K1" s="205" t="s">
        <v>363</v>
      </c>
      <c r="L1" s="200" t="s">
        <v>360</v>
      </c>
      <c r="M1" s="200" t="s">
        <v>351</v>
      </c>
      <c r="N1" s="200" t="s">
        <v>353</v>
      </c>
      <c r="O1" s="200" t="s">
        <v>354</v>
      </c>
      <c r="P1" s="200" t="s">
        <v>355</v>
      </c>
      <c r="Q1" s="199" t="s">
        <v>352</v>
      </c>
    </row>
    <row r="2" spans="1:17" x14ac:dyDescent="0.25">
      <c r="A2" s="197">
        <v>42800.21875</v>
      </c>
      <c r="B2" s="204" t="s">
        <v>357</v>
      </c>
      <c r="C2" s="194" t="s">
        <v>359</v>
      </c>
      <c r="D2" s="208">
        <v>104</v>
      </c>
      <c r="E2" s="30" t="s">
        <v>362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/stypes="*4025*201703061*"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"%USERPROFILE%\AppData\Local\Temp\OnboardLogs"\RTDC4025\*4025*201703061*</v>
      </c>
      <c r="I2" s="210" t="str">
        <f>IF(VLOOKUP(K2,'Train Runs'!$A$13:$V$992,1,TRUE)=K2,VLOOKUP(K2,'Train Runs'!$A$13:$V$992,22,TRUE),NA())</f>
        <v>https://d0f6bd738d7f1b3e5a7ca70fe4ff75f0.us-east-1.aws.found.io/app/kibana#/discover/Steve-Slow-Train-Analysis-(2080s-and-2083s)?_g=(refreshInterval:(display:Off,pause:!f,section:0,value:0),time:(from:'2017-04-10T03:32:28-0600',mode:absolute,to:'2017-04-10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104-10</v>
      </c>
      <c r="L2" s="202">
        <f>IF(VLOOKUP(K2,'Train Runs'!$A$12:$B$992,1,TRUE)=K2,VLOOKUP(K2,'Train Runs'!$A$12:$B$992,2,TRUE),NA())</f>
        <v>4025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357</v>
      </c>
      <c r="C3" s="194" t="s">
        <v>359</v>
      </c>
      <c r="D3" s="208">
        <v>126</v>
      </c>
      <c r="E3" s="30" t="s">
        <v>361</v>
      </c>
      <c r="F3" s="208" t="b">
        <v>1</v>
      </c>
      <c r="G3" s="212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"%USERPROFILE%\AppData\Local\Temp\OnboardLogs"\RTDC4041\*4041*201703061*</v>
      </c>
      <c r="I3" s="210" t="str">
        <f>IF(VLOOKUP(K3,'Train Runs'!$A$13:$V$992,1,TRUE)=K3,VLOOKUP(K3,'Train Runs'!$A$13:$V$992,22,TRUE),NA())</f>
        <v>https://d0f6bd738d7f1b3e5a7ca70fe4ff75f0.us-east-1.aws.found.io/app/kibana#/discover/Steve-Slow-Train-Analysis-(2080s-and-2083s)?_g=(refreshInterval:(display:Off,pause:!f,section:0,value:0),time:(from:'2017-04-10T06:22:20-0600',mode:absolute,to:'2017-04-10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126-10</v>
      </c>
      <c r="L3" s="202">
        <f>IF(VLOOKUP(K3,'Train Runs'!$A$12:$B$992,1,TRUE)=K3,VLOOKUP(K3,'Train Runs'!$A$12:$B$992,2,TRUE),NA())</f>
        <v>4041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357</v>
      </c>
      <c r="C4" s="194" t="s">
        <v>359</v>
      </c>
      <c r="D4" s="208">
        <v>128</v>
      </c>
      <c r="E4" s="30" t="s">
        <v>361</v>
      </c>
      <c r="F4" s="208" t="b">
        <v>1</v>
      </c>
      <c r="G4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"%USERPROFILE%\AppData\Local\Temp\OnboardLogs"\RTDC4013\*4013*201703061*</v>
      </c>
      <c r="I4" s="210" t="str">
        <f>IF(VLOOKUP(K4,'Train Runs'!$A$13:$V$992,1,TRUE)=K4,VLOOKUP(K4,'Train Runs'!$A$13:$V$992,22,TRUE),NA())</f>
        <v>https://d0f6bd738d7f1b3e5a7ca70fe4ff75f0.us-east-1.aws.found.io/app/kibana#/discover/Steve-Slow-Train-Analysis-(2080s-and-2083s)?_g=(refreshInterval:(display:Off,pause:!f,section:0,value:0),time:(from:'2017-04-10T06:40:34-0600',mode:absolute,to:'2017-04-10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128-10</v>
      </c>
      <c r="L4" s="202">
        <f>IF(VLOOKUP(K4,'Train Runs'!$A$12:$B$992,1,TRUE)=K4,VLOOKUP(K4,'Train Runs'!$A$12:$B$992,2,TRUE),NA())</f>
        <v>4013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357</v>
      </c>
      <c r="C5" s="194" t="s">
        <v>359</v>
      </c>
      <c r="D5" s="208">
        <f>D4+2</f>
        <v>130</v>
      </c>
      <c r="E5" s="30" t="s">
        <v>361</v>
      </c>
      <c r="F5" s="208" t="b">
        <v>1</v>
      </c>
      <c r="G5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"%USERPROFILE%\AppData\Local\Temp\OnboardLogs"\RTDC4053\*4053*201703061*</v>
      </c>
      <c r="I5" s="210" t="str">
        <f>IF(VLOOKUP(K5,'Train Runs'!$A$13:$V$992,1,TRUE)=K5,VLOOKUP(K5,'Train Runs'!$A$13:$V$992,22,TRUE),NA())</f>
        <v>https://d0f6bd738d7f1b3e5a7ca70fe4ff75f0.us-east-1.aws.found.io/app/kibana#/discover/Steve-Slow-Train-Analysis-(2080s-and-2083s)?_g=(refreshInterval:(display:Off,pause:!f,section:0,value:0),time:(from:'2017-04-10T07:02:45-0600',mode:absolute,to:'2017-04-10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130-10</v>
      </c>
      <c r="L5" s="202">
        <f>IF(VLOOKUP(K5,'Train Runs'!$A$12:$B$992,1,TRUE)=K5,VLOOKUP(K5,'Train Runs'!$A$12:$B$992,2,TRUE),NA())</f>
        <v>4053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357</v>
      </c>
      <c r="C6" s="194" t="s">
        <v>359</v>
      </c>
      <c r="D6" s="208">
        <f>D5+2</f>
        <v>132</v>
      </c>
      <c r="E6" s="30" t="s">
        <v>361</v>
      </c>
      <c r="F6" s="208" t="b">
        <v>1</v>
      </c>
      <c r="G6" s="212" t="str">
        <f t="shared" si="0"/>
        <v>"C:\Program Files (x86)\AstroGrep\AstroGrep.exe" /e /r /s /spath="%USERPROFILE%\AppData\Local\Temp\OnboardLogs" /stypes="*4025*201703061*"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"%USERPROFILE%\AppData\Local\Temp\OnboardLogs"\RTDC4025\*4025*201703061*</v>
      </c>
      <c r="I6" s="210" t="str">
        <f>IF(VLOOKUP(K6,'Train Runs'!$A$13:$V$992,1,TRUE)=K6,VLOOKUP(K6,'Train Runs'!$A$13:$V$992,22,TRUE),NA())</f>
        <v>https://d0f6bd738d7f1b3e5a7ca70fe4ff75f0.us-east-1.aws.found.io/app/kibana#/discover/Steve-Slow-Train-Analysis-(2080s-and-2083s)?_g=(refreshInterval:(display:Off,pause:!f,section:0,value:0),time:(from:'2017-04-10T07:14:14-0600',mode:absolute,to:'2017-04-10T10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6" s="206">
        <f t="shared" si="2"/>
        <v>42800.625</v>
      </c>
      <c r="K6" s="206" t="str">
        <f>D6&amp;"-"&amp;IF(DAY(Variables!$A$2)&lt;10,0,"")&amp;DAY(Variables!$A$2)</f>
        <v>132-10</v>
      </c>
      <c r="L6" s="202">
        <f>IF(VLOOKUP(K6,'Train Runs'!$A$12:$B$992,1,TRUE)=K6,VLOOKUP(K6,'Train Runs'!$A$12:$B$992,2,TRUE),NA())</f>
        <v>4025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357</v>
      </c>
      <c r="C7" s="194" t="s">
        <v>359</v>
      </c>
      <c r="D7" s="208">
        <f t="shared" ref="D7:D11" si="4">D6+2</f>
        <v>134</v>
      </c>
      <c r="E7" s="30" t="s">
        <v>361</v>
      </c>
      <c r="F7" s="208" t="b">
        <v>1</v>
      </c>
      <c r="G7" s="212" t="str">
        <f t="shared" si="0"/>
        <v>"C:\Program Files (x86)\AstroGrep\AstroGrep.exe" /e /r /s /spath="%USERPROFILE%\AppData\Local\Temp\OnboardLogs" /stypes="*4005*201703061*"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"%USERPROFILE%\AppData\Local\Temp\OnboardLogs"\RTDC4005\*4005*201703061*</v>
      </c>
      <c r="I7" s="210" t="str">
        <f>IF(VLOOKUP(K7,'Train Runs'!$A$13:$V$992,1,TRUE)=K7,VLOOKUP(K7,'Train Runs'!$A$13:$V$992,22,TRUE),NA())</f>
        <v>https://d0f6bd738d7f1b3e5a7ca70fe4ff75f0.us-east-1.aws.found.io/app/kibana#/discover/Steve-Slow-Train-Analysis-(2080s-and-2083s)?_g=(refreshInterval:(display:Off,pause:!f,section:0,value:0),time:(from:'2017-04-10T07:38:42-0600',mode:absolute,to:'2017-04-10T10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134-10</v>
      </c>
      <c r="L7" s="202">
        <f>IF(VLOOKUP(K7,'Train Runs'!$A$12:$B$992,1,TRUE)=K7,VLOOKUP(K7,'Train Runs'!$A$12:$B$992,2,TRUE),NA())</f>
        <v>4005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357</v>
      </c>
      <c r="C8" s="194" t="s">
        <v>359</v>
      </c>
      <c r="D8" s="208">
        <f t="shared" si="4"/>
        <v>136</v>
      </c>
      <c r="E8" s="30" t="s">
        <v>361</v>
      </c>
      <c r="F8" s="208" t="b">
        <v>1</v>
      </c>
      <c r="G8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"%USERPROFILE%\AppData\Local\Temp\OnboardLogs"\RTDC4019\*4019*201703061*</v>
      </c>
      <c r="I8" s="210" t="str">
        <f>IF(VLOOKUP(K8,'Train Runs'!$A$13:$V$992,1,TRUE)=K8,VLOOKUP(K8,'Train Runs'!$A$13:$V$992,22,TRUE),NA())</f>
        <v>https://d0f6bd738d7f1b3e5a7ca70fe4ff75f0.us-east-1.aws.found.io/app/kibana#/discover/Steve-Slow-Train-Analysis-(2080s-and-2083s)?_g=(refreshInterval:(display:Off,pause:!f,section:0,value:0),time:(from:'2017-04-10T07:53:24-0600',mode:absolute,to:'2017-04-10T10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136-10</v>
      </c>
      <c r="L8" s="202">
        <f>IF(VLOOKUP(K8,'Train Runs'!$A$12:$B$992,1,TRUE)=K8,VLOOKUP(K8,'Train Runs'!$A$12:$B$992,2,TRUE),NA())</f>
        <v>4019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357</v>
      </c>
      <c r="C9" s="194" t="s">
        <v>359</v>
      </c>
      <c r="D9" s="208">
        <f t="shared" si="4"/>
        <v>138</v>
      </c>
      <c r="E9" s="30" t="s">
        <v>361</v>
      </c>
      <c r="F9" s="208" t="b">
        <v>1</v>
      </c>
      <c r="G9" s="212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"%USERPROFILE%\AppData\Local\Temp\OnboardLogs"\RTDC4015\*4015*201703061*</v>
      </c>
      <c r="I9" s="210" t="str">
        <f>IF(VLOOKUP(K9,'Train Runs'!$A$13:$V$992,1,TRUE)=K9,VLOOKUP(K9,'Train Runs'!$A$13:$V$992,22,TRUE),NA())</f>
        <v>https://d0f6bd738d7f1b3e5a7ca70fe4ff75f0.us-east-1.aws.found.io/app/kibana#/discover/Steve-Slow-Train-Analysis-(2080s-and-2083s)?_g=(refreshInterval:(display:Off,pause:!f,section:0,value:0),time:(from:'2017-04-10T07:53:33-0600',mode:absolute,to:'2017-04-10T10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138-10</v>
      </c>
      <c r="L9" s="202">
        <f>IF(VLOOKUP(K9,'Train Runs'!$A$12:$B$992,1,TRUE)=K9,VLOOKUP(K9,'Train Runs'!$A$12:$B$992,2,TRUE),NA())</f>
        <v>4015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357</v>
      </c>
      <c r="C10" s="194" t="s">
        <v>359</v>
      </c>
      <c r="D10" s="208">
        <f t="shared" si="4"/>
        <v>140</v>
      </c>
      <c r="E10" s="30" t="s">
        <v>361</v>
      </c>
      <c r="F10" s="208" t="b">
        <v>1</v>
      </c>
      <c r="G10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"%USERPROFILE%\AppData\Local\Temp\OnboardLogs"\RTDC4041\*4041*201703061*</v>
      </c>
      <c r="I10" s="210" t="str">
        <f>IF(VLOOKUP(K10,'Train Runs'!$A$13:$V$992,1,TRUE)=K10,VLOOKUP(K10,'Train Runs'!$A$13:$V$992,22,TRUE),NA())</f>
        <v>https://d0f6bd738d7f1b3e5a7ca70fe4ff75f0.us-east-1.aws.found.io/app/kibana#/discover/Steve-Slow-Train-Analysis-(2080s-and-2083s)?_g=(refreshInterval:(display:Off,pause:!f,section:0,value:0),time:(from:'2017-04-10T08:07:35-0600',mode:absolute,to:'2017-04-10T11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140-10</v>
      </c>
      <c r="L10" s="202">
        <f>IF(VLOOKUP(K10,'Train Runs'!$A$12:$B$992,1,TRUE)=K10,VLOOKUP(K10,'Train Runs'!$A$12:$B$992,2,TRUE),NA())</f>
        <v>4041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357</v>
      </c>
      <c r="C11" s="194" t="s">
        <v>359</v>
      </c>
      <c r="D11" s="208">
        <f t="shared" si="4"/>
        <v>142</v>
      </c>
      <c r="E11" s="30" t="s">
        <v>361</v>
      </c>
      <c r="F11" s="208" t="b">
        <v>1</v>
      </c>
      <c r="G11" s="212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"%USERPROFILE%\AppData\Local\Temp\OnboardLogs"\RTDC4013\*4013*201703061*</v>
      </c>
      <c r="I11" s="210" t="str">
        <f>IF(VLOOKUP(K11,'Train Runs'!$A$13:$V$992,1,TRUE)=K11,VLOOKUP(K11,'Train Runs'!$A$13:$V$992,22,TRUE),NA())</f>
        <v>https://d0f6bd738d7f1b3e5a7ca70fe4ff75f0.us-east-1.aws.found.io/app/kibana#/discover/Steve-Slow-Train-Analysis-(2080s-and-2083s)?_g=(refreshInterval:(display:Off,pause:!f,section:0,value:0),time:(from:'2017-04-10T08:30:51-0600',mode:absolute,to:'2017-04-10T11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142-10</v>
      </c>
      <c r="L11" s="202">
        <f>IF(VLOOKUP(K11,'Train Runs'!$A$12:$B$992,1,TRUE)=K11,VLOOKUP(K11,'Train Runs'!$A$12:$B$992,2,TRUE),NA())</f>
        <v>4013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357</v>
      </c>
      <c r="C12" s="194" t="s">
        <v>359</v>
      </c>
      <c r="D12" s="208">
        <v>144</v>
      </c>
      <c r="E12" s="30" t="s">
        <v>361</v>
      </c>
      <c r="F12" s="208" t="b">
        <v>1</v>
      </c>
      <c r="G12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"%USERPROFILE%\AppData\Local\Temp\OnboardLogs"\RTDC4053\*4053*201703061*</v>
      </c>
      <c r="I12" s="210" t="str">
        <f>IF(VLOOKUP(K12,'Train Runs'!$A$13:$V$992,1,TRUE)=K12,VLOOKUP(K12,'Train Runs'!$A$13:$V$992,22,TRUE),NA())</f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144-10</v>
      </c>
      <c r="L12" s="202">
        <f>IF(VLOOKUP(K12,'Train Runs'!$A$12:$B$992,1,TRUE)=K12,VLOOKUP(K12,'Train Runs'!$A$12:$B$992,2,TRUE),NA())</f>
        <v>4053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357</v>
      </c>
      <c r="C13" s="194" t="s">
        <v>359</v>
      </c>
      <c r="D13" s="208">
        <v>146</v>
      </c>
      <c r="E13" s="30" t="s">
        <v>361</v>
      </c>
      <c r="F13" s="208" t="b">
        <v>1</v>
      </c>
      <c r="G13" s="212" t="str">
        <f t="shared" si="0"/>
        <v>"C:\Program Files (x86)\AstroGrep\AstroGrep.exe" /e /r /s /spath="%USERPROFILE%\AppData\Local\Temp\OnboardLogs" /stypes="*4025*201703061*"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"%USERPROFILE%\AppData\Local\Temp\OnboardLogs"\RTDC4025\*4025*201703061*</v>
      </c>
      <c r="I13" s="210" t="str">
        <f>IF(VLOOKUP(K13,'Train Runs'!$A$13:$V$992,1,TRUE)=K13,VLOOKUP(K13,'Train Runs'!$A$13:$V$992,22,TRUE),NA())</f>
        <v>https://d0f6bd738d7f1b3e5a7ca70fe4ff75f0.us-east-1.aws.found.io/app/kibana#/discover/Steve-Slow-Train-Analysis-(2080s-and-2083s)?_g=(refreshInterval:(display:Off,pause:!f,section:0,value:0),time:(from:'2017-04-10T09:04:50-0600',mode:absolute,to:'2017-04-10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146-10</v>
      </c>
      <c r="L13" s="202">
        <f>IF(VLOOKUP(K13,'Train Runs'!$A$12:$B$992,1,TRUE)=K13,VLOOKUP(K13,'Train Runs'!$A$12:$B$992,2,TRUE),NA())</f>
        <v>4025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357</v>
      </c>
      <c r="C14" s="194" t="s">
        <v>359</v>
      </c>
      <c r="D14" s="208">
        <v>148</v>
      </c>
      <c r="E14" s="30" t="s">
        <v>365</v>
      </c>
      <c r="F14" s="208" t="b">
        <v>1</v>
      </c>
      <c r="G14" s="212" t="str">
        <f t="shared" si="0"/>
        <v>"C:\Program Files (x86)\AstroGrep\AstroGrep.exe" /e /r /s /spath="%USERPROFILE%\AppData\Local\Temp\OnboardLogs" /stypes="*4005*201703061*"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"%USERPROFILE%\AppData\Local\Temp\OnboardLogs"\RTDC4005\*4005*201703061*</v>
      </c>
      <c r="I14" s="210" t="str">
        <f>IF(VLOOKUP(K14,'Train Runs'!$A$13:$V$992,1,TRUE)=K14,VLOOKUP(K14,'Train Runs'!$A$13:$V$992,22,TRUE),NA())</f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148-10</v>
      </c>
      <c r="L14" s="202">
        <f>IF(VLOOKUP(K14,'Train Runs'!$A$12:$B$992,1,TRUE)=K14,VLOOKUP(K14,'Train Runs'!$A$12:$B$992,2,TRUE),NA())</f>
        <v>4005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357</v>
      </c>
      <c r="C15" s="194" t="s">
        <v>359</v>
      </c>
      <c r="D15" s="208">
        <v>178</v>
      </c>
      <c r="E15" s="30" t="s">
        <v>366</v>
      </c>
      <c r="F15" s="208" t="b">
        <v>1</v>
      </c>
      <c r="G15" s="212" t="str">
        <f t="shared" si="0"/>
        <v>"C:\Program Files (x86)\AstroGrep\AstroGrep.exe" /e /r /s /spath="%USERPROFILE%\AppData\Local\Temp\OnboardLogs" /stypes="*4019*201703062*"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"%USERPROFILE%\AppData\Local\Temp\OnboardLogs"\RTDC4019\*4019*201703062*</v>
      </c>
      <c r="I15" s="210" t="str">
        <f>IF(VLOOKUP(K15,'Train Runs'!$A$13:$V$992,1,TRUE)=K15,VLOOKUP(K15,'Train Runs'!$A$13:$V$992,22,TRUE),NA())</f>
        <v>https://d0f6bd738d7f1b3e5a7ca70fe4ff75f0.us-east-1.aws.found.io/app/kibana#/discover/Steve-Slow-Train-Analysis-(2080s-and-2083s)?_g=(refreshInterval:(display:Off,pause:!f,section:0,value:0),time:(from:'2017-04-10T13:05:11-0600',mode:absolute,to:'2017-04-10T15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178-10</v>
      </c>
      <c r="L15" s="202">
        <f>IF(VLOOKUP(K15,'Train Runs'!$A$12:$B$992,1,TRUE)=K15,VLOOKUP(K15,'Train Runs'!$A$12:$B$992,2,TRUE),NA())</f>
        <v>4019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357</v>
      </c>
      <c r="C16" s="194" t="s">
        <v>359</v>
      </c>
      <c r="D16" s="208">
        <v>194</v>
      </c>
      <c r="E16" s="30" t="s">
        <v>366</v>
      </c>
      <c r="F16" s="208" t="b">
        <v>1</v>
      </c>
      <c r="G16" s="212" t="str">
        <f t="shared" si="0"/>
        <v>"C:\Program Files (x86)\AstroGrep\AstroGrep.exe" /e /r /s /spath="%USERPROFILE%\AppData\Local\Temp\OnboardLogs" /stypes="*4015*201703062*"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"%USERPROFILE%\AppData\Local\Temp\OnboardLogs"\RTDC4015\*4015*201703062*</v>
      </c>
      <c r="I16" s="210" t="str">
        <f>IF(VLOOKUP(K16,'Train Runs'!$A$13:$V$992,1,TRUE)=K16,VLOOKUP(K16,'Train Runs'!$A$13:$V$992,22,TRUE),NA())</f>
        <v>https://d0f6bd738d7f1b3e5a7ca70fe4ff75f0.us-east-1.aws.found.io/app/kibana#/discover/Steve-Slow-Train-Analysis-(2080s-and-2083s)?_g=(refreshInterval:(display:Off,pause:!f,section:0,value:0),time:(from:'2017-04-10T15:06:20-0600',mode:absolute,to:'2017-04-10T17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194-10</v>
      </c>
      <c r="L16" s="202">
        <f>IF(VLOOKUP(K16,'Train Runs'!$A$12:$B$992,1,TRUE)=K16,VLOOKUP(K16,'Train Runs'!$A$12:$B$992,2,TRUE),NA())</f>
        <v>4015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357</v>
      </c>
      <c r="C17" s="194" t="s">
        <v>359</v>
      </c>
      <c r="D17" s="208">
        <v>206</v>
      </c>
      <c r="E17" s="30" t="s">
        <v>361</v>
      </c>
      <c r="F17" s="208" t="b">
        <v>1</v>
      </c>
      <c r="G17" s="212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"%USERPROFILE%\AppData\Local\Temp\OnboardLogs"\RTDC4019\*4019*201703070*</v>
      </c>
      <c r="I17" s="210" t="str">
        <f>IF(VLOOKUP(K17,'Train Runs'!$A$13:$V$992,1,TRUE)=K17,VLOOKUP(K17,'Train Runs'!$A$13:$V$992,22,TRUE),NA())</f>
        <v>https://d0f6bd738d7f1b3e5a7ca70fe4ff75f0.us-east-1.aws.found.io/app/kibana#/discover/Steve-Slow-Train-Analysis-(2080s-and-2083s)?_g=(refreshInterval:(display:Off,pause:!f,section:0,value:0),time:(from:'2017-04-10T16:36:54-0600',mode:absolute,to:'2017-04-10T19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206-10</v>
      </c>
      <c r="L17" s="202">
        <f>IF(VLOOKUP(K17,'Train Runs'!$A$12:$B$992,1,TRUE)=K17,VLOOKUP(K17,'Train Runs'!$A$12:$B$992,2,TRUE),NA())</f>
        <v>4019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357</v>
      </c>
      <c r="C18" s="194" t="s">
        <v>359</v>
      </c>
      <c r="D18" s="208">
        <v>210</v>
      </c>
      <c r="E18" s="30" t="s">
        <v>361</v>
      </c>
      <c r="F18" s="208" t="b">
        <v>1</v>
      </c>
      <c r="G18" s="212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"%USERPROFILE%\AppData\Local\Temp\OnboardLogs"\RTDC4041\*4041*201703070*</v>
      </c>
      <c r="I18" s="210" t="str">
        <f>IF(VLOOKUP(K18,'Train Runs'!$A$13:$V$992,1,TRUE)=K18,VLOOKUP(K18,'Train Runs'!$A$13:$V$992,22,TRUE),NA())</f>
        <v>https://d0f6bd738d7f1b3e5a7ca70fe4ff75f0.us-east-1.aws.found.io/app/kibana#/discover/Steve-Slow-Train-Analysis-(2080s-and-2083s)?_g=(refreshInterval:(display:Off,pause:!f,section:0,value:0),time:(from:'2017-04-10T17:07:31-0600',mode:absolute,to:'2017-04-10T19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210-10</v>
      </c>
      <c r="L18" s="202">
        <f>IF(VLOOKUP(K18,'Train Runs'!$A$12:$B$992,1,TRUE)=K18,VLOOKUP(K18,'Train Runs'!$A$12:$B$992,2,TRUE),NA())</f>
        <v>4041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357</v>
      </c>
      <c r="C19" s="194" t="s">
        <v>359</v>
      </c>
      <c r="D19" s="208">
        <f>D18+2</f>
        <v>212</v>
      </c>
      <c r="E19" s="30" t="s">
        <v>361</v>
      </c>
      <c r="F19" s="208" t="b">
        <v>1</v>
      </c>
      <c r="G19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"%USERPROFILE%\AppData\Local\Temp\OnboardLogs"\RTDC4013\*4013*201703070*</v>
      </c>
      <c r="I19" s="210" t="str">
        <f>IF(VLOOKUP(K19,'Train Runs'!$A$13:$V$992,1,TRUE)=K19,VLOOKUP(K19,'Train Runs'!$A$13:$V$992,22,TRUE),NA())</f>
        <v>https://d0f6bd738d7f1b3e5a7ca70fe4ff75f0.us-east-1.aws.found.io/app/kibana#/discover/Steve-Slow-Train-Analysis-(2080s-and-2083s)?_g=(refreshInterval:(display:Off,pause:!f,section:0,value:0),time:(from:'2017-04-10T17:24:22-0600',mode:absolute,to:'2017-04-10T20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212-10</v>
      </c>
      <c r="L19" s="202">
        <f>IF(VLOOKUP(K19,'Train Runs'!$A$12:$B$992,1,TRUE)=K19,VLOOKUP(K19,'Train Runs'!$A$12:$B$992,2,TRUE),NA())</f>
        <v>4013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357</v>
      </c>
      <c r="C20" s="194" t="s">
        <v>359</v>
      </c>
      <c r="D20" s="208">
        <v>214</v>
      </c>
      <c r="E20" s="30" t="s">
        <v>361</v>
      </c>
      <c r="F20" s="208" t="b">
        <v>1</v>
      </c>
      <c r="G20" s="212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"%USERPROFILE%\AppData\Local\Temp\OnboardLogs"\RTDC4001\*4001*201703070*</v>
      </c>
      <c r="I20" s="210" t="str">
        <f>IF(VLOOKUP(K20,'Train Runs'!$A$13:$V$992,1,TRUE)=K20,VLOOKUP(K20,'Train Runs'!$A$13:$V$992,22,TRUE),NA())</f>
        <v>https://d0f6bd738d7f1b3e5a7ca70fe4ff75f0.us-east-1.aws.found.io/app/kibana#/discover/Steve-Slow-Train-Analysis-(2080s-and-2083s)?_g=(refreshInterval:(display:Off,pause:!f,section:0,value:0),time:(from:'2017-04-10T17:31:03-0600',mode:absolute,to:'2017-04-10T20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214-10</v>
      </c>
      <c r="L20" s="202">
        <f>IF(VLOOKUP(K20,'Train Runs'!$A$12:$B$992,1,TRUE)=K20,VLOOKUP(K20,'Train Runs'!$A$12:$B$992,2,TRUE),NA())</f>
        <v>4001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357</v>
      </c>
      <c r="C21" s="194" t="s">
        <v>359</v>
      </c>
      <c r="D21" s="208">
        <v>216</v>
      </c>
      <c r="E21" s="30" t="s">
        <v>361</v>
      </c>
      <c r="F21" s="208" t="b">
        <v>1</v>
      </c>
      <c r="G21" s="212" t="str">
        <f t="shared" si="0"/>
        <v>"C:\Program Files (x86)\AstroGrep\AstroGrep.exe" /e /r /s /spath="%USERPROFILE%\AppData\Local\Temp\OnboardLogs" /stypes="*4025*201703070*"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"%USERPROFILE%\AppData\Local\Temp\OnboardLogs"\RTDC4025\*4025*201703070*</v>
      </c>
      <c r="I21" s="210" t="str">
        <f>IF(VLOOKUP(K21,'Train Runs'!$A$13:$V$992,1,TRUE)=K21,VLOOKUP(K21,'Train Runs'!$A$13:$V$992,22,TRUE),NA())</f>
        <v>https://d0f6bd738d7f1b3e5a7ca70fe4ff75f0.us-east-1.aws.found.io/app/kibana#/discover/Steve-Slow-Train-Analysis-(2080s-and-2083s)?_g=(refreshInterval:(display:Off,pause:!f,section:0,value:0),time:(from:'2017-04-10T17:49:10-0600',mode:absolute,to:'2017-04-10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216-10</v>
      </c>
      <c r="L21" s="202">
        <f>IF(VLOOKUP(K21,'Train Runs'!$A$12:$B$992,1,TRUE)=K21,VLOOKUP(K21,'Train Runs'!$A$12:$B$992,2,TRUE),NA())</f>
        <v>4025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357</v>
      </c>
      <c r="C22" s="194" t="s">
        <v>359</v>
      </c>
      <c r="D22" s="208">
        <f>D21+2</f>
        <v>218</v>
      </c>
      <c r="E22" s="30" t="s">
        <v>361</v>
      </c>
      <c r="F22" s="208" t="b">
        <v>1</v>
      </c>
      <c r="G22" s="212" t="str">
        <f t="shared" si="0"/>
        <v>"C:\Program Files (x86)\AstroGrep\AstroGrep.exe" /e /r /s /spath="%USERPROFILE%\AppData\Local\Temp\OnboardLogs" /stypes="*4005*201703070*"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"%USERPROFILE%\AppData\Local\Temp\OnboardLogs"\RTDC4005\*4005*201703070*</v>
      </c>
      <c r="I22" s="210" t="str">
        <f>IF(VLOOKUP(K22,'Train Runs'!$A$13:$V$992,1,TRUE)=K22,VLOOKUP(K22,'Train Runs'!$A$13:$V$992,22,TRUE),NA())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218-10</v>
      </c>
      <c r="L22" s="202">
        <f>IF(VLOOKUP(K22,'Train Runs'!$A$12:$B$992,1,TRUE)=K22,VLOOKUP(K22,'Train Runs'!$A$12:$B$992,2,TRUE),NA())</f>
        <v>4005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357</v>
      </c>
      <c r="C23" s="194" t="s">
        <v>359</v>
      </c>
      <c r="D23" s="208">
        <f>D22+2</f>
        <v>220</v>
      </c>
      <c r="E23" s="30" t="s">
        <v>361</v>
      </c>
      <c r="F23" s="208" t="b">
        <v>1</v>
      </c>
      <c r="G23" s="212" t="str">
        <f t="shared" si="0"/>
        <v>"C:\Program Files (x86)\AstroGrep\AstroGrep.exe" /e /r /s /spath="%USERPROFILE%\AppData\Local\Temp\OnboardLogs" /stypes="*4019*201703070*"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"%USERPROFILE%\AppData\Local\Temp\OnboardLogs"\RTDC4019\*4019*201703070*</v>
      </c>
      <c r="I23" s="210" t="str">
        <f>IF(VLOOKUP(K23,'Train Runs'!$A$13:$V$992,1,TRUE)=K23,VLOOKUP(K23,'Train Runs'!$A$13:$V$992,22,TRUE),NA())</f>
        <v>https://d0f6bd738d7f1b3e5a7ca70fe4ff75f0.us-east-1.aws.found.io/app/kibana#/discover/Steve-Slow-Train-Analysis-(2080s-and-2083s)?_g=(refreshInterval:(display:Off,pause:!f,section:0,value:0),time:(from:'2017-04-10T18:15:56-0600',mode:absolute,to:'2017-04-10T21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220-10</v>
      </c>
      <c r="L23" s="202">
        <f>IF(VLOOKUP(K23,'Train Runs'!$A$12:$B$992,1,TRUE)=K23,VLOOKUP(K23,'Train Runs'!$A$12:$B$992,2,TRUE),NA())</f>
        <v>4019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357</v>
      </c>
      <c r="C24" s="194" t="s">
        <v>359</v>
      </c>
      <c r="D24" s="208">
        <f>D23+2</f>
        <v>222</v>
      </c>
      <c r="E24" s="30" t="s">
        <v>361</v>
      </c>
      <c r="F24" s="208" t="b">
        <v>1</v>
      </c>
      <c r="G24" s="212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"%USERPROFILE%\AppData\Local\Temp\OnboardLogs"\RTDC4041\*4041*201703070*</v>
      </c>
      <c r="I24" s="210" t="str">
        <f>IF(VLOOKUP(K24,'Train Runs'!$A$13:$V$992,1,TRUE)=K24,VLOOKUP(K24,'Train Runs'!$A$13:$V$992,22,TRUE),NA())</f>
        <v>https://d0f6bd738d7f1b3e5a7ca70fe4ff75f0.us-east-1.aws.found.io/app/kibana#/discover/Steve-Slow-Train-Analysis-(2080s-and-2083s)?_g=(refreshInterval:(display:Off,pause:!f,section:0,value:0),time:(from:'2017-04-10T18:51:32-0600',mode:absolute,to:'2017-04-10T21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222-10</v>
      </c>
      <c r="L24" s="202">
        <f>IF(VLOOKUP(K24,'Train Runs'!$A$12:$B$992,1,TRUE)=K24,VLOOKUP(K24,'Train Runs'!$A$12:$B$992,2,TRUE),NA())</f>
        <v>4041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357</v>
      </c>
      <c r="C25" s="194" t="s">
        <v>359</v>
      </c>
      <c r="D25" s="208">
        <f>D24+2</f>
        <v>224</v>
      </c>
      <c r="E25" s="30" t="s">
        <v>361</v>
      </c>
      <c r="F25" s="208" t="b">
        <v>1</v>
      </c>
      <c r="G25" s="212" t="str">
        <f t="shared" si="0"/>
        <v>"C:\Program Files (x86)\AstroGrep\AstroGrep.exe" /e /r /s /spath="%USERPROFILE%\AppData\Local\Temp\OnboardLogs" /stypes="*4001*201703070*"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"%USERPROFILE%\AppData\Local\Temp\OnboardLogs"\RTDC4001\*4001*201703070*</v>
      </c>
      <c r="I25" s="210" t="str">
        <f>IF(VLOOKUP(K25,'Train Runs'!$A$13:$V$992,1,TRUE)=K25,VLOOKUP(K25,'Train Runs'!$A$13:$V$992,22,TRUE),NA())</f>
        <v>https://d0f6bd738d7f1b3e5a7ca70fe4ff75f0.us-east-1.aws.found.io/app/kibana#/discover/Steve-Slow-Train-Analysis-(2080s-and-2083s)?_g=(refreshInterval:(display:Off,pause:!f,section:0,value:0),time:(from:'2017-04-10T19:09:36-0600',mode:absolute,to:'2017-04-10T22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224-10</v>
      </c>
      <c r="L25" s="202">
        <f>IF(VLOOKUP(K25,'Train Runs'!$A$12:$B$992,1,TRUE)=K25,VLOOKUP(K25,'Train Runs'!$A$12:$B$992,2,TRUE),NA())</f>
        <v>4001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357</v>
      </c>
      <c r="C26" s="194" t="s">
        <v>359</v>
      </c>
      <c r="D26" s="208">
        <f>D25+2</f>
        <v>226</v>
      </c>
      <c r="E26" s="30" t="s">
        <v>361</v>
      </c>
      <c r="F26" s="208" t="b">
        <v>1</v>
      </c>
      <c r="G26" s="212" t="str">
        <f t="shared" si="0"/>
        <v>"C:\Program Files (x86)\AstroGrep\AstroGrep.exe" /e /r /s /spath="%USERPROFILE%\AppData\Local\Temp\OnboardLogs" /stypes="*4005*201703070*"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"%USERPROFILE%\AppData\Local\Temp\OnboardLogs"\RTDC4005\*4005*201703070*</v>
      </c>
      <c r="I26" s="210" t="str">
        <f>IF(VLOOKUP(K26,'Train Runs'!$A$13:$V$992,1,TRUE)=K26,VLOOKUP(K26,'Train Runs'!$A$13:$V$992,22,TRUE),NA())</f>
        <v>https://d0f6bd738d7f1b3e5a7ca70fe4ff75f0.us-east-1.aws.found.io/app/kibana#/discover/Steve-Slow-Train-Analysis-(2080s-and-2083s)?_g=(refreshInterval:(display:Off,pause:!f,section:0,value:0),time:(from:'2017-04-10T19:48:24-0600',mode:absolute,to:'2017-04-10T22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226-10</v>
      </c>
      <c r="L26" s="202">
        <f>IF(VLOOKUP(K26,'Train Runs'!$A$12:$B$992,1,TRUE)=K26,VLOOKUP(K26,'Train Runs'!$A$12:$B$992,2,TRUE),NA())</f>
        <v>4005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357</v>
      </c>
      <c r="C27" s="194" t="s">
        <v>359</v>
      </c>
      <c r="D27" s="208">
        <f t="shared" ref="D27:D33" si="5">D26+2</f>
        <v>228</v>
      </c>
      <c r="E27" s="30" t="s">
        <v>361</v>
      </c>
      <c r="F27" s="208" t="b">
        <v>1</v>
      </c>
      <c r="G27" s="212" t="str">
        <f t="shared" si="0"/>
        <v>"C:\Program Files (x86)\AstroGrep\AstroGrep.exe" /e /r /s /spath="%USERPROFILE%\AppData\Local\Temp\OnboardLogs" /stypes="*4019*201703070*"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"%USERPROFILE%\AppData\Local\Temp\OnboardLogs"\RTDC4019\*4019*201703070*</v>
      </c>
      <c r="I27" s="210" t="str">
        <f>IF(VLOOKUP(K27,'Train Runs'!$A$13:$V$992,1,TRUE)=K27,VLOOKUP(K27,'Train Runs'!$A$13:$V$992,22,TRUE),NA())</f>
        <v>https://d0f6bd738d7f1b3e5a7ca70fe4ff75f0.us-east-1.aws.found.io/app/kibana#/discover/Steve-Slow-Train-Analysis-(2080s-and-2083s)?_g=(refreshInterval:(display:Off,pause:!f,section:0,value:0),time:(from:'2017-04-10T20:16:34-0600',mode:absolute,to:'2017-04-10T23:12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228-10</v>
      </c>
      <c r="L27" s="202">
        <f>IF(VLOOKUP(K27,'Train Runs'!$A$12:$B$992,1,TRUE)=K27,VLOOKUP(K27,'Train Runs'!$A$12:$B$992,2,TRUE),NA())</f>
        <v>4019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357</v>
      </c>
      <c r="C28" s="194" t="s">
        <v>359</v>
      </c>
      <c r="D28" s="208">
        <f t="shared" si="5"/>
        <v>230</v>
      </c>
      <c r="E28" s="30" t="s">
        <v>361</v>
      </c>
      <c r="F28" s="208" t="b">
        <v>1</v>
      </c>
      <c r="G28" s="212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"%USERPROFILE%\AppData\Local\Temp\OnboardLogs"\RTDC4041\*4041*201703070*</v>
      </c>
      <c r="I28" s="210" t="str">
        <f>IF(VLOOKUP(K28,'Train Runs'!$A$13:$V$992,1,TRUE)=K28,VLOOKUP(K28,'Train Runs'!$A$13:$V$992,22,TRUE),NA())</f>
        <v>https://d0f6bd738d7f1b3e5a7ca70fe4ff75f0.us-east-1.aws.found.io/app/kibana#/discover/Steve-Slow-Train-Analysis-(2080s-and-2083s)?_g=(refreshInterval:(display:Off,pause:!f,section:0,value:0),time:(from:'2017-04-10T20:51:10-0600',mode:absolute,to:'2017-04-10T23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230-10</v>
      </c>
      <c r="L28" s="202">
        <f>IF(VLOOKUP(K28,'Train Runs'!$A$12:$B$992,1,TRUE)=K28,VLOOKUP(K28,'Train Runs'!$A$12:$B$992,2,TRUE),NA())</f>
        <v>4041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357</v>
      </c>
      <c r="C29" s="194" t="s">
        <v>359</v>
      </c>
      <c r="D29" s="208">
        <f t="shared" si="5"/>
        <v>232</v>
      </c>
      <c r="E29" s="30" t="s">
        <v>361</v>
      </c>
      <c r="F29" s="208" t="b">
        <v>1</v>
      </c>
      <c r="G29" s="212" t="str">
        <f t="shared" si="0"/>
        <v>"C:\Program Files (x86)\AstroGrep\AstroGrep.exe" /e /r /s /spath="%USERPROFILE%\AppData\Local\Temp\OnboardLogs" /stypes="*4001*201703070*"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"%USERPROFILE%\AppData\Local\Temp\OnboardLogs"\RTDC4001\*4001*201703070*</v>
      </c>
      <c r="I29" s="210" t="str">
        <f>IF(VLOOKUP(K29,'Train Runs'!$A$13:$V$992,1,TRUE)=K29,VLOOKUP(K29,'Train Runs'!$A$13:$V$992,22,TRUE),NA())</f>
        <v>https://d0f6bd738d7f1b3e5a7ca70fe4ff75f0.us-east-1.aws.found.io/app/kibana#/discover/Steve-Slow-Train-Analysis-(2080s-and-2083s)?_g=(refreshInterval:(display:Off,pause:!f,section:0,value:0),time:(from:'2017-04-10T21:18:11-0600',mode:absolute,to:'2017-04-11T00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232-10</v>
      </c>
      <c r="L29" s="202">
        <f>IF(VLOOKUP(K29,'Train Runs'!$A$12:$B$992,1,TRUE)=K29,VLOOKUP(K29,'Train Runs'!$A$12:$B$992,2,TRUE),NA())</f>
        <v>4001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357</v>
      </c>
      <c r="C30" s="194" t="s">
        <v>359</v>
      </c>
      <c r="D30" s="208">
        <f t="shared" si="5"/>
        <v>234</v>
      </c>
      <c r="E30" s="30" t="s">
        <v>361</v>
      </c>
      <c r="F30" s="208" t="b">
        <v>1</v>
      </c>
      <c r="G30" s="212" t="str">
        <f t="shared" si="0"/>
        <v>"C:\Program Files (x86)\AstroGrep\AstroGrep.exe" /e /r /s /spath="%USERPROFILE%\AppData\Local\Temp\OnboardLogs" /stypes="*4005*201703070*"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"%USERPROFILE%\AppData\Local\Temp\OnboardLogs"\RTDC4005\*4005*201703070*</v>
      </c>
      <c r="I30" s="210" t="str">
        <f>IF(VLOOKUP(K30,'Train Runs'!$A$13:$V$992,1,TRUE)=K30,VLOOKUP(K30,'Train Runs'!$A$13:$V$992,22,TRUE),NA())</f>
        <v>https://d0f6bd738d7f1b3e5a7ca70fe4ff75f0.us-east-1.aws.found.io/app/kibana#/discover/Steve-Slow-Train-Analysis-(2080s-and-2083s)?_g=(refreshInterval:(display:Off,pause:!f,section:0,value:0),time:(from:'2017-04-10T21:51:11-0600',mode:absolute,to:'2017-04-11T00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234-10</v>
      </c>
      <c r="L30" s="202">
        <f>IF(VLOOKUP(K30,'Train Runs'!$A$12:$B$992,1,TRUE)=K30,VLOOKUP(K30,'Train Runs'!$A$12:$B$992,2,TRUE),NA())</f>
        <v>4005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357</v>
      </c>
      <c r="C31" s="194" t="s">
        <v>359</v>
      </c>
      <c r="D31" s="208">
        <f t="shared" si="5"/>
        <v>236</v>
      </c>
      <c r="E31" s="30" t="s">
        <v>361</v>
      </c>
      <c r="F31" s="208" t="b">
        <v>1</v>
      </c>
      <c r="G31" s="212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"%USERPROFILE%\AppData\Local\Temp\OnboardLogs"\RTDC4019\*4019*201703070*</v>
      </c>
      <c r="I31" s="210" t="str">
        <f>IF(VLOOKUP(K31,'Train Runs'!$A$13:$V$992,1,TRUE)=K31,VLOOKUP(K31,'Train Runs'!$A$13:$V$992,22,TRUE),NA())</f>
        <v>https://d0f6bd738d7f1b3e5a7ca70fe4ff75f0.us-east-1.aws.found.io/app/kibana#/discover/Steve-Slow-Train-Analysis-(2080s-and-2083s)?_g=(refreshInterval:(display:Off,pause:!f,section:0,value:0),time:(from:'2017-04-10T22:17:00-0600',mode:absolute,to:'2017-04-11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236-10</v>
      </c>
      <c r="L31" s="202">
        <f>IF(VLOOKUP(K31,'Train Runs'!$A$12:$B$992,1,TRUE)=K31,VLOOKUP(K31,'Train Runs'!$A$12:$B$992,2,TRUE),NA())</f>
        <v>4019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357</v>
      </c>
      <c r="C32" s="194" t="s">
        <v>359</v>
      </c>
      <c r="D32" s="208">
        <f t="shared" si="5"/>
        <v>238</v>
      </c>
      <c r="E32" s="30" t="s">
        <v>361</v>
      </c>
      <c r="F32" s="208" t="b">
        <v>1</v>
      </c>
      <c r="G32" s="212" t="str">
        <f t="shared" si="0"/>
        <v>"C:\Program Files (x86)\AstroGrep\AstroGrep.exe" /e /r /s /spath="%USERPROFILE%\AppData\Local\Temp\OnboardLogs" /stypes="*4041*201703070*"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"%USERPROFILE%\AppData\Local\Temp\OnboardLogs"\RTDC4041\*4041*201703070*</v>
      </c>
      <c r="I32" s="210" t="str">
        <f>IF(VLOOKUP(K32,'Train Runs'!$A$13:$V$992,1,TRUE)=K32,VLOOKUP(K32,'Train Runs'!$A$13:$V$992,22,TRUE),NA())</f>
        <v>https://d0f6bd738d7f1b3e5a7ca70fe4ff75f0.us-east-1.aws.found.io/app/kibana#/discover/Steve-Slow-Train-Analysis-(2080s-and-2083s)?_g=(refreshInterval:(display:Off,pause:!f,section:0,value:0),time:(from:'2017-04-10T22:53:19-0600',mode:absolute,to:'2017-04-11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238-10</v>
      </c>
      <c r="L32" s="202">
        <f>IF(VLOOKUP(K32,'Train Runs'!$A$12:$B$992,1,TRUE)=K32,VLOOKUP(K32,'Train Runs'!$A$12:$B$992,2,TRUE),NA())</f>
        <v>4041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357</v>
      </c>
      <c r="C33" s="194" t="s">
        <v>359</v>
      </c>
      <c r="D33" s="208">
        <f t="shared" si="5"/>
        <v>240</v>
      </c>
      <c r="E33" s="30" t="s">
        <v>361</v>
      </c>
      <c r="F33" s="208" t="b">
        <v>1</v>
      </c>
      <c r="G33" s="212" t="str">
        <f t="shared" si="0"/>
        <v>"C:\Program Files (x86)\AstroGrep\AstroGrep.exe" /e /r /s /spath="%USERPROFILE%\AppData\Local\Temp\OnboardLogs" /stypes="*4001*201703070*"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"%USERPROFILE%\AppData\Local\Temp\OnboardLogs"\RTDC4001\*4001*201703070*</v>
      </c>
      <c r="I33" s="210" t="str">
        <f>IF(VLOOKUP(K33,'Train Runs'!$A$13:$V$992,1,TRUE)=K33,VLOOKUP(K33,'Train Runs'!$A$13:$V$992,22,TRUE),NA())</f>
        <v>https://d0f6bd738d7f1b3e5a7ca70fe4ff75f0.us-east-1.aws.found.io/app/kibana#/discover/Steve-Slow-Train-Analysis-(2080s-and-2083s)?_g=(refreshInterval:(display:Off,pause:!f,section:0,value:0),time:(from:'2017-04-10T23:17:24-0600',mode:absolute,to:'2017-04-11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240-10</v>
      </c>
      <c r="L33" s="202">
        <f>IF(VLOOKUP(K33,'Train Runs'!$A$12:$B$992,1,TRUE)=K33,VLOOKUP(K33,'Train Runs'!$A$12:$B$992,2,TRUE),NA())</f>
        <v>4001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357</v>
      </c>
      <c r="C34" s="194" t="s">
        <v>359</v>
      </c>
      <c r="D34" s="208">
        <v>240</v>
      </c>
      <c r="E34" s="30" t="s">
        <v>361</v>
      </c>
      <c r="F34" s="208" t="b">
        <v>1</v>
      </c>
      <c r="G34" s="212" t="str">
        <f t="shared" si="0"/>
        <v>"C:\Program Files (x86)\AstroGrep\AstroGrep.exe" /e /r /s /spath="%USERPROFILE%\AppData\Local\Temp\OnboardLogs" /stypes="*4001*201703070*"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"%USERPROFILE%\AppData\Local\Temp\OnboardLogs"\RTDC4001\*4001*201703070*</v>
      </c>
      <c r="I34" s="210" t="str">
        <f>IF(VLOOKUP(K34,'Train Runs'!$A$13:$V$992,1,TRUE)=K34,VLOOKUP(K34,'Train Runs'!$A$13:$V$992,22,TRUE),NA())</f>
        <v>https://d0f6bd738d7f1b3e5a7ca70fe4ff75f0.us-east-1.aws.found.io/app/kibana#/discover/Steve-Slow-Train-Analysis-(2080s-and-2083s)?_g=(refreshInterval:(display:Off,pause:!f,section:0,value:0),time:(from:'2017-04-10T23:17:24-0600',mode:absolute,to:'2017-04-11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240-10</v>
      </c>
      <c r="L34" s="202">
        <f>IF(VLOOKUP(K34,'Train Runs'!$A$12:$B$992,1,TRUE)=K34,VLOOKUP(K34,'Train Runs'!$A$12:$B$992,2,TRUE),NA())</f>
        <v>4001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357</v>
      </c>
      <c r="C35" s="194" t="s">
        <v>359</v>
      </c>
      <c r="D35" s="208">
        <v>242</v>
      </c>
      <c r="E35" s="30" t="s">
        <v>361</v>
      </c>
      <c r="F35" s="208" t="b">
        <v>1</v>
      </c>
      <c r="G35" s="212" t="str">
        <f t="shared" si="0"/>
        <v>"C:\Program Files (x86)\AstroGrep\AstroGrep.exe" /e /r /s /spath="%USERPROFILE%\AppData\Local\Temp\OnboardLogs" /stypes="*4005*201703070*"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"%USERPROFILE%\AppData\Local\Temp\OnboardLogs"\RTDC4005\*4005*201703070*</v>
      </c>
      <c r="I35" s="210" t="str">
        <f>IF(VLOOKUP(K35,'Train Runs'!$A$13:$V$992,1,TRUE)=K35,VLOOKUP(K35,'Train Runs'!$A$13:$V$992,22,TRUE),NA())</f>
        <v>https://d0f6bd738d7f1b3e5a7ca70fe4ff75f0.us-east-1.aws.found.io/app/kibana#/discover/Steve-Slow-Train-Analysis-(2080s-and-2083s)?_g=(refreshInterval:(display:Off,pause:!f,section:0,value:0),time:(from:'2017-04-10T23:47:44-0600',mode:absolute,to:'2017-04-11T02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242-10</v>
      </c>
      <c r="L35" s="202">
        <f>IF(VLOOKUP(K35,'Train Runs'!$A$12:$B$992,1,TRUE)=K35,VLOOKUP(K35,'Train Runs'!$A$12:$B$992,2,TRUE),NA())</f>
        <v>4005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42835.033113425925</v>
      </c>
      <c r="B2" s="20" t="s">
        <v>434</v>
      </c>
      <c r="C2" s="20" t="s">
        <v>547</v>
      </c>
      <c r="D2" s="146">
        <v>2230000</v>
      </c>
      <c r="E2" s="20" t="s">
        <v>381</v>
      </c>
      <c r="F2" s="20" t="s">
        <v>196</v>
      </c>
      <c r="G2" s="8" t="str">
        <f>E2&amp;" "&amp;F2</f>
        <v>SMITH MICHAEL</v>
      </c>
    </row>
    <row r="3" spans="1:7" x14ac:dyDescent="0.25">
      <c r="A3" s="8">
        <v>42835.050034722219</v>
      </c>
      <c r="B3" s="20" t="s">
        <v>384</v>
      </c>
      <c r="C3" s="20" t="s">
        <v>548</v>
      </c>
      <c r="D3" s="146">
        <v>2680000</v>
      </c>
      <c r="E3" s="20" t="s">
        <v>428</v>
      </c>
      <c r="F3" s="20" t="s">
        <v>429</v>
      </c>
      <c r="G3" s="8" t="str">
        <f t="shared" ref="G3:G66" si="0">E3&amp;" "&amp;F3</f>
        <v>DUNCAN SHEILA</v>
      </c>
    </row>
    <row r="4" spans="1:7" x14ac:dyDescent="0.25">
      <c r="A4" s="8">
        <v>42835.057905092595</v>
      </c>
      <c r="B4" s="20" t="s">
        <v>422</v>
      </c>
      <c r="C4" s="20" t="s">
        <v>549</v>
      </c>
      <c r="D4" s="146">
        <v>2000000</v>
      </c>
      <c r="E4" s="20" t="s">
        <v>376</v>
      </c>
      <c r="F4" s="20" t="s">
        <v>193</v>
      </c>
      <c r="G4" s="8" t="str">
        <f t="shared" si="0"/>
        <v>STAMBAUGH JAMES</v>
      </c>
    </row>
    <row r="5" spans="1:7" x14ac:dyDescent="0.25">
      <c r="A5" s="8">
        <v>42835.068877314814</v>
      </c>
      <c r="B5" s="20" t="s">
        <v>433</v>
      </c>
      <c r="C5" s="20" t="s">
        <v>550</v>
      </c>
      <c r="D5" s="146">
        <v>2230000</v>
      </c>
      <c r="E5" s="20" t="s">
        <v>381</v>
      </c>
      <c r="F5" s="20" t="s">
        <v>196</v>
      </c>
      <c r="G5" s="8" t="str">
        <f t="shared" si="0"/>
        <v>SMITH MICHAEL</v>
      </c>
    </row>
    <row r="6" spans="1:7" x14ac:dyDescent="0.25">
      <c r="A6" s="8">
        <v>42835.089571759258</v>
      </c>
      <c r="B6" s="20" t="s">
        <v>378</v>
      </c>
      <c r="C6" s="20" t="s">
        <v>551</v>
      </c>
      <c r="D6" s="146">
        <v>2000000</v>
      </c>
      <c r="E6" s="20" t="s">
        <v>376</v>
      </c>
      <c r="F6" s="20" t="s">
        <v>193</v>
      </c>
      <c r="G6" s="8" t="str">
        <f t="shared" si="0"/>
        <v>STAMBAUGH JAMES</v>
      </c>
    </row>
    <row r="7" spans="1:7" x14ac:dyDescent="0.25">
      <c r="A7" s="8">
        <v>42835.113796296297</v>
      </c>
      <c r="B7" s="20" t="s">
        <v>552</v>
      </c>
      <c r="C7" s="20" t="s">
        <v>553</v>
      </c>
      <c r="D7" s="146">
        <v>1230000</v>
      </c>
      <c r="E7" s="20" t="s">
        <v>478</v>
      </c>
      <c r="F7" s="20" t="s">
        <v>479</v>
      </c>
      <c r="G7" s="8" t="str">
        <f t="shared" si="0"/>
        <v>YANAI IAN</v>
      </c>
    </row>
    <row r="8" spans="1:7" x14ac:dyDescent="0.25">
      <c r="A8" s="8">
        <v>42835.121134259258</v>
      </c>
      <c r="B8" s="20" t="s">
        <v>402</v>
      </c>
      <c r="C8" s="20" t="s">
        <v>588</v>
      </c>
      <c r="D8" s="146">
        <v>1360000</v>
      </c>
      <c r="E8" s="20" t="s">
        <v>535</v>
      </c>
      <c r="F8" s="20" t="s">
        <v>536</v>
      </c>
      <c r="G8" s="8" t="str">
        <f t="shared" si="0"/>
        <v>SANTIZO D. EDY</v>
      </c>
    </row>
    <row r="9" spans="1:7" ht="15.75" thickBot="1" x14ac:dyDescent="0.3">
      <c r="A9" s="24">
        <v>42835.13349537037</v>
      </c>
      <c r="B9" s="20" t="s">
        <v>438</v>
      </c>
      <c r="C9" s="20" t="s">
        <v>651</v>
      </c>
      <c r="D9" s="146">
        <v>1360000</v>
      </c>
      <c r="E9" s="20" t="s">
        <v>535</v>
      </c>
      <c r="F9" s="20" t="s">
        <v>536</v>
      </c>
      <c r="G9" s="8" t="str">
        <f t="shared" si="0"/>
        <v>SANTIZO D. EDY</v>
      </c>
    </row>
    <row r="10" spans="1:7" x14ac:dyDescent="0.25">
      <c r="A10" s="8">
        <v>42835.137025462966</v>
      </c>
      <c r="B10" s="20" t="s">
        <v>544</v>
      </c>
      <c r="C10" s="20" t="s">
        <v>652</v>
      </c>
      <c r="D10" s="146">
        <v>1230000</v>
      </c>
      <c r="E10" s="20" t="s">
        <v>478</v>
      </c>
      <c r="F10" s="20" t="s">
        <v>479</v>
      </c>
      <c r="G10" s="8" t="str">
        <f t="shared" si="0"/>
        <v>YANAI IAN</v>
      </c>
    </row>
    <row r="11" spans="1:7" x14ac:dyDescent="0.25">
      <c r="A11" s="8">
        <v>42835.139351851853</v>
      </c>
      <c r="B11" s="20" t="s">
        <v>589</v>
      </c>
      <c r="C11" s="20" t="s">
        <v>590</v>
      </c>
      <c r="D11" s="146">
        <v>1260000</v>
      </c>
      <c r="E11" s="20" t="s">
        <v>653</v>
      </c>
      <c r="F11" s="20" t="s">
        <v>654</v>
      </c>
      <c r="G11" s="8" t="str">
        <f t="shared" si="0"/>
        <v>ACKERMAN JARED</v>
      </c>
    </row>
    <row r="12" spans="1:7" x14ac:dyDescent="0.25">
      <c r="A12" s="8">
        <v>42835.140057870369</v>
      </c>
      <c r="B12" s="20" t="s">
        <v>589</v>
      </c>
      <c r="C12" s="20" t="s">
        <v>590</v>
      </c>
      <c r="D12" s="146">
        <v>1260000</v>
      </c>
      <c r="E12" s="20" t="s">
        <v>653</v>
      </c>
      <c r="F12" s="20" t="s">
        <v>654</v>
      </c>
      <c r="G12" s="8" t="str">
        <f t="shared" si="0"/>
        <v>ACKERMAN JARED</v>
      </c>
    </row>
    <row r="13" spans="1:7" x14ac:dyDescent="0.25">
      <c r="A13" s="8">
        <v>42835.14130787037</v>
      </c>
      <c r="B13" s="20" t="s">
        <v>589</v>
      </c>
      <c r="C13" s="20" t="s">
        <v>590</v>
      </c>
      <c r="D13" s="146">
        <v>1260000</v>
      </c>
      <c r="E13" s="20" t="s">
        <v>653</v>
      </c>
      <c r="F13" s="20" t="s">
        <v>654</v>
      </c>
      <c r="G13" s="8" t="str">
        <f t="shared" si="0"/>
        <v>ACKERMAN JARED</v>
      </c>
    </row>
    <row r="14" spans="1:7" x14ac:dyDescent="0.25">
      <c r="A14" s="8">
        <v>42835.15320601852</v>
      </c>
      <c r="B14" s="20" t="s">
        <v>505</v>
      </c>
      <c r="C14" s="20" t="s">
        <v>655</v>
      </c>
      <c r="D14" s="146">
        <v>1260000</v>
      </c>
      <c r="E14" s="20" t="s">
        <v>653</v>
      </c>
      <c r="F14" s="20" t="s">
        <v>654</v>
      </c>
      <c r="G14" s="8" t="str">
        <f t="shared" si="0"/>
        <v>ACKERMAN JARED</v>
      </c>
    </row>
    <row r="15" spans="1:7" x14ac:dyDescent="0.25">
      <c r="A15" s="8">
        <v>42835.15892361111</v>
      </c>
      <c r="B15" s="20" t="s">
        <v>476</v>
      </c>
      <c r="C15" s="20" t="s">
        <v>591</v>
      </c>
      <c r="D15" s="146">
        <v>1110000</v>
      </c>
      <c r="E15" s="20" t="s">
        <v>656</v>
      </c>
      <c r="F15" s="20" t="s">
        <v>657</v>
      </c>
      <c r="G15" s="8" t="str">
        <f t="shared" si="0"/>
        <v>STARKS ANGELINA</v>
      </c>
    </row>
    <row r="16" spans="1:7" x14ac:dyDescent="0.25">
      <c r="A16" s="8">
        <v>42835.165532407409</v>
      </c>
      <c r="B16" s="20" t="s">
        <v>402</v>
      </c>
      <c r="C16" s="20" t="s">
        <v>595</v>
      </c>
      <c r="D16" s="146">
        <v>1360000</v>
      </c>
      <c r="E16" s="20" t="s">
        <v>535</v>
      </c>
      <c r="F16" s="20" t="s">
        <v>536</v>
      </c>
      <c r="G16" s="8" t="str">
        <f t="shared" si="0"/>
        <v>SANTIZO D. EDY</v>
      </c>
    </row>
    <row r="17" spans="1:7" x14ac:dyDescent="0.25">
      <c r="A17" s="8">
        <v>42835.170289351852</v>
      </c>
      <c r="B17" s="20" t="s">
        <v>447</v>
      </c>
      <c r="C17" s="20" t="s">
        <v>658</v>
      </c>
      <c r="D17" s="146">
        <v>940000</v>
      </c>
      <c r="E17" s="20" t="s">
        <v>659</v>
      </c>
      <c r="F17" s="20" t="s">
        <v>660</v>
      </c>
      <c r="G17" s="8" t="str">
        <f t="shared" si="0"/>
        <v>BONDS REYNALDO</v>
      </c>
    </row>
    <row r="18" spans="1:7" x14ac:dyDescent="0.25">
      <c r="A18" s="8">
        <v>42835.173078703701</v>
      </c>
      <c r="B18" s="20" t="s">
        <v>593</v>
      </c>
      <c r="C18" s="20" t="s">
        <v>594</v>
      </c>
      <c r="D18" s="146">
        <v>1110000</v>
      </c>
      <c r="E18" s="20" t="s">
        <v>656</v>
      </c>
      <c r="F18" s="20" t="s">
        <v>657</v>
      </c>
      <c r="G18" s="8" t="str">
        <f t="shared" si="0"/>
        <v>STARKS ANGELINA</v>
      </c>
    </row>
    <row r="19" spans="1:7" x14ac:dyDescent="0.25">
      <c r="A19" s="8">
        <v>42835.174398148149</v>
      </c>
      <c r="B19" s="20" t="s">
        <v>593</v>
      </c>
      <c r="C19" s="20" t="s">
        <v>594</v>
      </c>
      <c r="D19" s="146">
        <v>1110000</v>
      </c>
      <c r="E19" s="20" t="s">
        <v>656</v>
      </c>
      <c r="F19" s="20" t="s">
        <v>657</v>
      </c>
      <c r="G19" s="8" t="str">
        <f t="shared" si="0"/>
        <v>STARKS ANGELINA</v>
      </c>
    </row>
    <row r="20" spans="1:7" x14ac:dyDescent="0.25">
      <c r="A20" s="8">
        <v>42835.176030092596</v>
      </c>
      <c r="B20" s="20" t="s">
        <v>616</v>
      </c>
      <c r="C20" s="20" t="s">
        <v>661</v>
      </c>
      <c r="D20" s="146">
        <v>2020000</v>
      </c>
      <c r="E20" s="20" t="s">
        <v>508</v>
      </c>
      <c r="F20" s="20" t="s">
        <v>480</v>
      </c>
      <c r="G20" s="8" t="str">
        <f t="shared" si="0"/>
        <v>SHOOK JOHN</v>
      </c>
    </row>
    <row r="21" spans="1:7" x14ac:dyDescent="0.25">
      <c r="A21" s="8">
        <v>42835.181238425925</v>
      </c>
      <c r="B21" s="20" t="s">
        <v>450</v>
      </c>
      <c r="C21" s="20" t="s">
        <v>662</v>
      </c>
      <c r="D21" s="146">
        <v>940000</v>
      </c>
      <c r="E21" s="20" t="s">
        <v>659</v>
      </c>
      <c r="F21" s="20" t="s">
        <v>660</v>
      </c>
      <c r="G21" s="8" t="str">
        <f t="shared" si="0"/>
        <v>BONDS REYNALDO</v>
      </c>
    </row>
    <row r="22" spans="1:7" x14ac:dyDescent="0.25">
      <c r="A22" s="26">
        <v>42835.189780092594</v>
      </c>
      <c r="B22" s="20" t="s">
        <v>589</v>
      </c>
      <c r="C22" s="20" t="s">
        <v>598</v>
      </c>
      <c r="D22" s="146">
        <v>1260000</v>
      </c>
      <c r="E22" s="20" t="s">
        <v>653</v>
      </c>
      <c r="F22" s="20" t="s">
        <v>654</v>
      </c>
      <c r="G22" s="8" t="str">
        <f t="shared" si="0"/>
        <v>ACKERMAN JARED</v>
      </c>
    </row>
    <row r="23" spans="1:7" x14ac:dyDescent="0.25">
      <c r="A23" s="8">
        <v>42835.190763888888</v>
      </c>
      <c r="B23" s="20" t="s">
        <v>663</v>
      </c>
      <c r="C23" s="20" t="s">
        <v>664</v>
      </c>
      <c r="D23" s="146">
        <v>2020000</v>
      </c>
      <c r="E23" s="20" t="s">
        <v>508</v>
      </c>
      <c r="F23" s="20" t="s">
        <v>480</v>
      </c>
      <c r="G23" s="8" t="str">
        <f t="shared" si="0"/>
        <v>SHOOK JOHN</v>
      </c>
    </row>
    <row r="24" spans="1:7" x14ac:dyDescent="0.25">
      <c r="A24" s="8">
        <v>42835.203460648147</v>
      </c>
      <c r="B24" s="20" t="s">
        <v>438</v>
      </c>
      <c r="C24" s="20" t="s">
        <v>665</v>
      </c>
      <c r="D24" s="146">
        <v>1830000</v>
      </c>
      <c r="E24" s="20" t="s">
        <v>418</v>
      </c>
      <c r="F24" s="20" t="s">
        <v>419</v>
      </c>
      <c r="G24" s="8" t="str">
        <f t="shared" si="0"/>
        <v>YORK EDGAR</v>
      </c>
    </row>
    <row r="25" spans="1:7" x14ac:dyDescent="0.25">
      <c r="A25" s="8">
        <v>42835.20453703704</v>
      </c>
      <c r="B25" s="20" t="s">
        <v>596</v>
      </c>
      <c r="C25" s="20" t="s">
        <v>597</v>
      </c>
      <c r="D25" s="146">
        <v>1990000</v>
      </c>
      <c r="E25" s="20" t="s">
        <v>537</v>
      </c>
      <c r="F25" s="20" t="s">
        <v>538</v>
      </c>
      <c r="G25" s="8" t="str">
        <f t="shared" si="0"/>
        <v>DAVIS WENDY</v>
      </c>
    </row>
    <row r="26" spans="1:7" x14ac:dyDescent="0.25">
      <c r="A26" s="8">
        <v>42835.205543981479</v>
      </c>
      <c r="B26" s="20" t="s">
        <v>596</v>
      </c>
      <c r="C26" s="20" t="s">
        <v>597</v>
      </c>
      <c r="D26" s="146">
        <v>1990000</v>
      </c>
      <c r="E26" s="20" t="s">
        <v>537</v>
      </c>
      <c r="F26" s="20" t="s">
        <v>538</v>
      </c>
      <c r="G26" s="8" t="str">
        <f t="shared" si="0"/>
        <v>DAVIS WENDY</v>
      </c>
    </row>
    <row r="27" spans="1:7" x14ac:dyDescent="0.25">
      <c r="A27" s="8">
        <v>42835.207395833335</v>
      </c>
      <c r="B27" s="20" t="s">
        <v>596</v>
      </c>
      <c r="C27" s="20" t="s">
        <v>597</v>
      </c>
      <c r="D27" s="146">
        <v>1990000</v>
      </c>
      <c r="E27" s="20" t="s">
        <v>537</v>
      </c>
      <c r="F27" s="20" t="s">
        <v>538</v>
      </c>
      <c r="G27" s="8" t="str">
        <f t="shared" si="0"/>
        <v>DAVIS WENDY</v>
      </c>
    </row>
    <row r="28" spans="1:7" x14ac:dyDescent="0.25">
      <c r="A28" s="8">
        <v>42835.210798611108</v>
      </c>
      <c r="B28" s="20" t="s">
        <v>401</v>
      </c>
      <c r="C28" s="20" t="s">
        <v>666</v>
      </c>
      <c r="D28" s="146">
        <v>1360000</v>
      </c>
      <c r="E28" s="20" t="s">
        <v>535</v>
      </c>
      <c r="F28" s="20" t="s">
        <v>536</v>
      </c>
      <c r="G28" s="8" t="str">
        <f t="shared" si="0"/>
        <v>SANTIZO D. EDY</v>
      </c>
    </row>
    <row r="29" spans="1:7" x14ac:dyDescent="0.25">
      <c r="A29" s="8">
        <v>42835.215555555558</v>
      </c>
      <c r="B29" s="20" t="s">
        <v>476</v>
      </c>
      <c r="C29" s="20" t="s">
        <v>667</v>
      </c>
      <c r="D29" s="146">
        <v>1110000</v>
      </c>
      <c r="E29" s="20" t="s">
        <v>656</v>
      </c>
      <c r="F29" s="20" t="s">
        <v>657</v>
      </c>
      <c r="G29" s="8" t="str">
        <f t="shared" si="0"/>
        <v>STARKS ANGELINA</v>
      </c>
    </row>
    <row r="30" spans="1:7" x14ac:dyDescent="0.25">
      <c r="A30" s="8">
        <v>42835.217627314814</v>
      </c>
      <c r="B30" s="20" t="s">
        <v>599</v>
      </c>
      <c r="C30" s="20" t="s">
        <v>600</v>
      </c>
      <c r="D30" s="146">
        <v>1990000</v>
      </c>
      <c r="E30" s="20" t="s">
        <v>537</v>
      </c>
      <c r="F30" s="20" t="s">
        <v>538</v>
      </c>
      <c r="G30" s="8" t="str">
        <f t="shared" si="0"/>
        <v>DAVIS WENDY</v>
      </c>
    </row>
    <row r="31" spans="1:7" x14ac:dyDescent="0.25">
      <c r="A31" s="8">
        <v>42835.219618055555</v>
      </c>
      <c r="B31" s="20" t="s">
        <v>447</v>
      </c>
      <c r="C31" s="20" t="s">
        <v>668</v>
      </c>
      <c r="D31" s="146">
        <v>940000</v>
      </c>
      <c r="E31" s="20" t="s">
        <v>659</v>
      </c>
      <c r="F31" s="20" t="s">
        <v>660</v>
      </c>
      <c r="G31" s="8" t="str">
        <f t="shared" si="0"/>
        <v>BONDS REYNALDO</v>
      </c>
    </row>
    <row r="32" spans="1:7" x14ac:dyDescent="0.25">
      <c r="A32" s="8">
        <v>42835.225486111114</v>
      </c>
      <c r="B32" s="20" t="s">
        <v>505</v>
      </c>
      <c r="C32" s="20" t="s">
        <v>669</v>
      </c>
      <c r="D32" s="146">
        <v>2140000</v>
      </c>
      <c r="E32" s="20" t="s">
        <v>506</v>
      </c>
      <c r="F32" s="20" t="s">
        <v>507</v>
      </c>
      <c r="G32" s="8" t="str">
        <f t="shared" si="0"/>
        <v>ROBINSON KADDIBA</v>
      </c>
    </row>
    <row r="33" spans="1:7" x14ac:dyDescent="0.25">
      <c r="A33" s="8">
        <v>42835.226979166669</v>
      </c>
      <c r="B33" s="20" t="s">
        <v>616</v>
      </c>
      <c r="C33" s="20" t="s">
        <v>670</v>
      </c>
      <c r="D33" s="146">
        <v>2020000</v>
      </c>
      <c r="E33" s="20" t="s">
        <v>508</v>
      </c>
      <c r="F33" s="20" t="s">
        <v>480</v>
      </c>
      <c r="G33" s="8" t="str">
        <f t="shared" si="0"/>
        <v>SHOOK JOHN</v>
      </c>
    </row>
    <row r="34" spans="1:7" x14ac:dyDescent="0.25">
      <c r="A34" s="8">
        <v>42835.227037037039</v>
      </c>
      <c r="B34" s="20" t="s">
        <v>505</v>
      </c>
      <c r="C34" s="20" t="s">
        <v>669</v>
      </c>
      <c r="D34" s="146">
        <v>2140000</v>
      </c>
      <c r="E34" s="20" t="s">
        <v>506</v>
      </c>
      <c r="F34" s="20" t="s">
        <v>507</v>
      </c>
      <c r="G34" s="8" t="str">
        <f t="shared" si="0"/>
        <v>ROBINSON KADDIBA</v>
      </c>
    </row>
    <row r="35" spans="1:7" x14ac:dyDescent="0.25">
      <c r="A35" s="8">
        <v>42835.228472222225</v>
      </c>
      <c r="B35" s="20" t="s">
        <v>505</v>
      </c>
      <c r="C35" s="20" t="s">
        <v>669</v>
      </c>
      <c r="D35" s="146">
        <v>2140000</v>
      </c>
      <c r="E35" s="20" t="s">
        <v>506</v>
      </c>
      <c r="F35" s="20" t="s">
        <v>507</v>
      </c>
      <c r="G35" s="8" t="str">
        <f t="shared" si="0"/>
        <v>ROBINSON KADDIBA</v>
      </c>
    </row>
    <row r="36" spans="1:7" x14ac:dyDescent="0.25">
      <c r="A36" s="8">
        <v>42835.231990740744</v>
      </c>
      <c r="B36" s="20" t="s">
        <v>628</v>
      </c>
      <c r="C36" s="20" t="s">
        <v>671</v>
      </c>
      <c r="D36" s="146">
        <v>1260000</v>
      </c>
      <c r="E36" s="20" t="s">
        <v>653</v>
      </c>
      <c r="F36" s="20" t="s">
        <v>654</v>
      </c>
      <c r="G36" s="8" t="str">
        <f t="shared" si="0"/>
        <v>ACKERMAN JARED</v>
      </c>
    </row>
    <row r="37" spans="1:7" x14ac:dyDescent="0.25">
      <c r="A37" s="8">
        <v>42835.23269675926</v>
      </c>
      <c r="B37" s="20" t="s">
        <v>628</v>
      </c>
      <c r="C37" s="20" t="s">
        <v>671</v>
      </c>
      <c r="D37" s="146">
        <v>1260000</v>
      </c>
      <c r="E37" s="20" t="s">
        <v>653</v>
      </c>
      <c r="F37" s="20" t="s">
        <v>654</v>
      </c>
      <c r="G37" s="8" t="str">
        <f t="shared" si="0"/>
        <v>ACKERMAN JARED</v>
      </c>
    </row>
    <row r="38" spans="1:7" x14ac:dyDescent="0.25">
      <c r="A38" s="8">
        <v>42835.233831018515</v>
      </c>
      <c r="B38" s="20" t="s">
        <v>628</v>
      </c>
      <c r="C38" s="20" t="s">
        <v>671</v>
      </c>
      <c r="D38" s="146">
        <v>1260000</v>
      </c>
      <c r="E38" s="20" t="s">
        <v>653</v>
      </c>
      <c r="F38" s="20" t="s">
        <v>654</v>
      </c>
      <c r="G38" s="8" t="str">
        <f t="shared" si="0"/>
        <v>ACKERMAN JARED</v>
      </c>
    </row>
    <row r="39" spans="1:7" x14ac:dyDescent="0.25">
      <c r="A39" s="8">
        <v>42835.234236111108</v>
      </c>
      <c r="B39" s="20" t="s">
        <v>432</v>
      </c>
      <c r="C39" s="20" t="s">
        <v>603</v>
      </c>
      <c r="D39" s="146">
        <v>1830000</v>
      </c>
      <c r="E39" s="20" t="s">
        <v>418</v>
      </c>
      <c r="F39" s="20" t="s">
        <v>419</v>
      </c>
      <c r="G39" s="8" t="str">
        <f t="shared" si="0"/>
        <v>YORK EDGAR</v>
      </c>
    </row>
    <row r="40" spans="1:7" x14ac:dyDescent="0.25">
      <c r="A40" s="8">
        <v>42835.24</v>
      </c>
      <c r="B40" s="25" t="s">
        <v>596</v>
      </c>
      <c r="C40" s="20" t="s">
        <v>672</v>
      </c>
      <c r="D40" s="146">
        <v>1990000</v>
      </c>
      <c r="E40" s="20" t="s">
        <v>537</v>
      </c>
      <c r="F40" s="20" t="s">
        <v>538</v>
      </c>
      <c r="G40" s="8" t="str">
        <f t="shared" si="0"/>
        <v>DAVIS WENDY</v>
      </c>
    </row>
    <row r="41" spans="1:7" x14ac:dyDescent="0.25">
      <c r="A41" s="8">
        <v>42835.246249999997</v>
      </c>
      <c r="B41" s="20" t="s">
        <v>379</v>
      </c>
      <c r="C41" s="20" t="s">
        <v>673</v>
      </c>
      <c r="D41" s="146">
        <v>2530000</v>
      </c>
      <c r="E41" s="20" t="s">
        <v>542</v>
      </c>
      <c r="F41" s="20" t="s">
        <v>543</v>
      </c>
      <c r="G41" s="8" t="str">
        <f t="shared" si="0"/>
        <v>LALONDE GREGORY</v>
      </c>
    </row>
    <row r="42" spans="1:7" x14ac:dyDescent="0.25">
      <c r="A42" s="8">
        <v>42835.246539351851</v>
      </c>
      <c r="B42" s="20" t="s">
        <v>402</v>
      </c>
      <c r="C42" s="20" t="s">
        <v>674</v>
      </c>
      <c r="D42" s="146">
        <v>1360000</v>
      </c>
      <c r="E42" s="20" t="s">
        <v>535</v>
      </c>
      <c r="F42" s="20" t="s">
        <v>536</v>
      </c>
      <c r="G42" s="8" t="str">
        <f t="shared" si="0"/>
        <v>SANTIZO D. EDY</v>
      </c>
    </row>
    <row r="43" spans="1:7" x14ac:dyDescent="0.25">
      <c r="A43" s="8">
        <v>42835.248090277775</v>
      </c>
      <c r="B43" s="20" t="s">
        <v>593</v>
      </c>
      <c r="C43" s="20" t="s">
        <v>601</v>
      </c>
      <c r="D43" s="146">
        <v>1110000</v>
      </c>
      <c r="E43" s="20" t="s">
        <v>656</v>
      </c>
      <c r="F43" s="20" t="s">
        <v>657</v>
      </c>
      <c r="G43" s="8" t="str">
        <f t="shared" si="0"/>
        <v>STARKS ANGELINA</v>
      </c>
    </row>
    <row r="44" spans="1:7" x14ac:dyDescent="0.25">
      <c r="A44" s="8">
        <v>42835.248877314814</v>
      </c>
      <c r="B44" s="20" t="s">
        <v>593</v>
      </c>
      <c r="C44" s="20" t="s">
        <v>601</v>
      </c>
      <c r="D44" s="146">
        <v>1110000</v>
      </c>
      <c r="E44" s="20" t="s">
        <v>656</v>
      </c>
      <c r="F44" s="20" t="s">
        <v>657</v>
      </c>
      <c r="G44" s="8" t="str">
        <f t="shared" si="0"/>
        <v>STARKS ANGELINA</v>
      </c>
    </row>
    <row r="45" spans="1:7" x14ac:dyDescent="0.25">
      <c r="A45" s="8">
        <v>42835.249884259261</v>
      </c>
      <c r="B45" s="20" t="s">
        <v>593</v>
      </c>
      <c r="C45" s="20" t="s">
        <v>601</v>
      </c>
      <c r="D45" s="146">
        <v>1110000</v>
      </c>
      <c r="E45" s="20" t="s">
        <v>656</v>
      </c>
      <c r="F45" s="20" t="s">
        <v>657</v>
      </c>
      <c r="G45" s="8" t="str">
        <f t="shared" si="0"/>
        <v>STARKS ANGELINA</v>
      </c>
    </row>
    <row r="46" spans="1:7" x14ac:dyDescent="0.25">
      <c r="A46" s="8">
        <v>42835.255347222221</v>
      </c>
      <c r="B46" s="20" t="s">
        <v>599</v>
      </c>
      <c r="C46" s="20" t="s">
        <v>602</v>
      </c>
      <c r="D46" s="146">
        <v>1990000</v>
      </c>
      <c r="E46" s="20" t="s">
        <v>537</v>
      </c>
      <c r="F46" s="20" t="s">
        <v>538</v>
      </c>
      <c r="G46" s="8" t="str">
        <f t="shared" si="0"/>
        <v>DAVIS WENDY</v>
      </c>
    </row>
    <row r="47" spans="1:7" x14ac:dyDescent="0.25">
      <c r="A47" s="8">
        <v>42835.256493055553</v>
      </c>
      <c r="B47" s="20" t="s">
        <v>380</v>
      </c>
      <c r="C47" s="20" t="s">
        <v>675</v>
      </c>
      <c r="D47" s="146">
        <v>2530000</v>
      </c>
      <c r="E47" s="20" t="s">
        <v>542</v>
      </c>
      <c r="F47" s="20" t="s">
        <v>543</v>
      </c>
      <c r="G47" s="8" t="str">
        <f t="shared" si="0"/>
        <v>LALONDE GREGORY</v>
      </c>
    </row>
    <row r="48" spans="1:7" x14ac:dyDescent="0.25">
      <c r="A48" s="8">
        <v>42835.257604166669</v>
      </c>
      <c r="B48" s="20" t="s">
        <v>450</v>
      </c>
      <c r="C48" s="20" t="s">
        <v>676</v>
      </c>
      <c r="D48" s="146">
        <v>940000</v>
      </c>
      <c r="E48" s="20" t="s">
        <v>659</v>
      </c>
      <c r="F48" s="20" t="s">
        <v>660</v>
      </c>
      <c r="G48" s="8" t="str">
        <f t="shared" si="0"/>
        <v>BONDS REYNALDO</v>
      </c>
    </row>
    <row r="49" spans="1:7" x14ac:dyDescent="0.25">
      <c r="A49" s="8">
        <v>42835.261481481481</v>
      </c>
      <c r="B49" s="20" t="s">
        <v>446</v>
      </c>
      <c r="C49" s="20" t="s">
        <v>604</v>
      </c>
      <c r="D49" s="146">
        <v>3040000</v>
      </c>
      <c r="E49" s="20" t="s">
        <v>677</v>
      </c>
      <c r="F49" s="20" t="s">
        <v>678</v>
      </c>
      <c r="G49" s="8" t="str">
        <f t="shared" si="0"/>
        <v>WILLIAMS DONTE</v>
      </c>
    </row>
    <row r="50" spans="1:7" x14ac:dyDescent="0.25">
      <c r="A50" s="8">
        <v>42835.267002314817</v>
      </c>
      <c r="B50" s="20" t="s">
        <v>663</v>
      </c>
      <c r="C50" s="20" t="s">
        <v>679</v>
      </c>
      <c r="D50" s="146">
        <v>2020000</v>
      </c>
      <c r="E50" s="20" t="s">
        <v>508</v>
      </c>
      <c r="F50" s="20" t="s">
        <v>480</v>
      </c>
      <c r="G50" s="8" t="str">
        <f t="shared" si="0"/>
        <v>SHOOK JOHN</v>
      </c>
    </row>
    <row r="51" spans="1:7" x14ac:dyDescent="0.25">
      <c r="A51" s="8">
        <v>42835.272615740738</v>
      </c>
      <c r="B51" s="20" t="s">
        <v>589</v>
      </c>
      <c r="C51" s="20" t="s">
        <v>607</v>
      </c>
      <c r="D51" s="146">
        <v>1260000</v>
      </c>
      <c r="E51" s="20" t="s">
        <v>653</v>
      </c>
      <c r="F51" s="20" t="s">
        <v>654</v>
      </c>
      <c r="G51" s="8" t="str">
        <f t="shared" si="0"/>
        <v>ACKERMAN JARED</v>
      </c>
    </row>
    <row r="52" spans="1:7" x14ac:dyDescent="0.25">
      <c r="A52" s="8">
        <v>42835.275277777779</v>
      </c>
      <c r="B52" s="20" t="s">
        <v>379</v>
      </c>
      <c r="C52" s="20" t="s">
        <v>605</v>
      </c>
      <c r="D52" s="146">
        <v>2530000</v>
      </c>
      <c r="E52" s="20" t="s">
        <v>542</v>
      </c>
      <c r="F52" s="20" t="s">
        <v>543</v>
      </c>
      <c r="G52" s="8" t="str">
        <f t="shared" si="0"/>
        <v>LALONDE GREGORY</v>
      </c>
    </row>
    <row r="53" spans="1:7" x14ac:dyDescent="0.25">
      <c r="A53" s="8">
        <v>42835.27925925926</v>
      </c>
      <c r="B53" s="20" t="s">
        <v>614</v>
      </c>
      <c r="C53" s="20" t="s">
        <v>680</v>
      </c>
      <c r="D53" s="146">
        <v>1110000</v>
      </c>
      <c r="E53" s="20" t="s">
        <v>656</v>
      </c>
      <c r="F53" s="20" t="s">
        <v>657</v>
      </c>
      <c r="G53" s="8" t="str">
        <f t="shared" si="0"/>
        <v>STARKS ANGELINA</v>
      </c>
    </row>
    <row r="54" spans="1:7" x14ac:dyDescent="0.25">
      <c r="A54" s="8">
        <v>42835.280312499999</v>
      </c>
      <c r="B54" s="20" t="s">
        <v>438</v>
      </c>
      <c r="C54" s="20" t="s">
        <v>681</v>
      </c>
      <c r="D54" s="146">
        <v>1830000</v>
      </c>
      <c r="E54" s="20" t="s">
        <v>418</v>
      </c>
      <c r="F54" s="20" t="s">
        <v>419</v>
      </c>
      <c r="G54" s="8" t="str">
        <f t="shared" si="0"/>
        <v>YORK EDGAR</v>
      </c>
    </row>
    <row r="55" spans="1:7" x14ac:dyDescent="0.25">
      <c r="A55" s="8">
        <v>42835.284201388888</v>
      </c>
      <c r="B55" s="20" t="s">
        <v>596</v>
      </c>
      <c r="C55" s="20" t="s">
        <v>682</v>
      </c>
      <c r="D55" s="146">
        <v>1990000</v>
      </c>
      <c r="E55" s="20" t="s">
        <v>537</v>
      </c>
      <c r="F55" s="20" t="s">
        <v>538</v>
      </c>
      <c r="G55" s="8" t="str">
        <f t="shared" si="0"/>
        <v>DAVIS WENDY</v>
      </c>
    </row>
    <row r="56" spans="1:7" x14ac:dyDescent="0.25">
      <c r="A56" s="8">
        <v>42835.287916666668</v>
      </c>
      <c r="B56" s="20" t="s">
        <v>401</v>
      </c>
      <c r="C56" s="20" t="s">
        <v>683</v>
      </c>
      <c r="D56" s="146">
        <v>1520000</v>
      </c>
      <c r="E56" s="20" t="s">
        <v>684</v>
      </c>
      <c r="F56" s="20" t="s">
        <v>685</v>
      </c>
      <c r="G56" s="8" t="str">
        <f t="shared" si="0"/>
        <v>MAYBERRY BILL</v>
      </c>
    </row>
    <row r="57" spans="1:7" x14ac:dyDescent="0.25">
      <c r="A57" s="8">
        <v>42835.290937500002</v>
      </c>
      <c r="B57" s="20" t="s">
        <v>380</v>
      </c>
      <c r="C57" s="20" t="s">
        <v>686</v>
      </c>
      <c r="D57" s="146">
        <v>2530000</v>
      </c>
      <c r="E57" s="20" t="s">
        <v>542</v>
      </c>
      <c r="F57" s="20" t="s">
        <v>543</v>
      </c>
      <c r="G57" s="8" t="str">
        <f t="shared" si="0"/>
        <v>LALONDE GREGORY</v>
      </c>
    </row>
    <row r="58" spans="1:7" x14ac:dyDescent="0.25">
      <c r="A58" s="8">
        <v>42835.296342592592</v>
      </c>
      <c r="B58" s="20" t="s">
        <v>599</v>
      </c>
      <c r="C58" s="20" t="s">
        <v>606</v>
      </c>
      <c r="D58" s="146">
        <v>1990000</v>
      </c>
      <c r="E58" s="20" t="s">
        <v>537</v>
      </c>
      <c r="F58" s="20" t="s">
        <v>538</v>
      </c>
      <c r="G58" s="8" t="str">
        <f t="shared" si="0"/>
        <v>DAVIS WENDY</v>
      </c>
    </row>
    <row r="59" spans="1:7" x14ac:dyDescent="0.25">
      <c r="A59" s="8">
        <v>42835.29724537037</v>
      </c>
      <c r="B59" s="20" t="s">
        <v>447</v>
      </c>
      <c r="C59" s="20" t="s">
        <v>687</v>
      </c>
      <c r="D59" s="146">
        <v>940000</v>
      </c>
      <c r="E59" s="20" t="s">
        <v>659</v>
      </c>
      <c r="F59" s="20" t="s">
        <v>660</v>
      </c>
      <c r="G59" s="8" t="str">
        <f t="shared" si="0"/>
        <v>BONDS REYNALDO</v>
      </c>
    </row>
    <row r="60" spans="1:7" x14ac:dyDescent="0.25">
      <c r="A60" s="8">
        <v>42835.298472222225</v>
      </c>
      <c r="B60" s="20" t="s">
        <v>616</v>
      </c>
      <c r="C60" s="20" t="s">
        <v>688</v>
      </c>
      <c r="D60" s="146">
        <v>2020000</v>
      </c>
      <c r="E60" s="20" t="s">
        <v>508</v>
      </c>
      <c r="F60" s="20" t="s">
        <v>480</v>
      </c>
      <c r="G60" s="8" t="str">
        <f t="shared" si="0"/>
        <v>SHOOK JOHN</v>
      </c>
    </row>
    <row r="61" spans="1:7" x14ac:dyDescent="0.25">
      <c r="A61" s="8">
        <v>42835.299398148149</v>
      </c>
      <c r="B61" s="20" t="s">
        <v>505</v>
      </c>
      <c r="C61" s="20" t="s">
        <v>689</v>
      </c>
      <c r="D61" s="146">
        <v>3040000</v>
      </c>
      <c r="E61" s="20" t="s">
        <v>677</v>
      </c>
      <c r="F61" s="20" t="s">
        <v>678</v>
      </c>
      <c r="G61" s="8" t="str">
        <f t="shared" si="0"/>
        <v>WILLIAMS DONTE</v>
      </c>
    </row>
    <row r="62" spans="1:7" x14ac:dyDescent="0.25">
      <c r="A62" s="8">
        <v>42835.30741898148</v>
      </c>
      <c r="B62" s="20" t="s">
        <v>432</v>
      </c>
      <c r="C62" s="20" t="s">
        <v>609</v>
      </c>
      <c r="D62" s="146">
        <v>1830000</v>
      </c>
      <c r="E62" s="20" t="s">
        <v>418</v>
      </c>
      <c r="F62" s="20" t="s">
        <v>419</v>
      </c>
      <c r="G62" s="8" t="str">
        <f t="shared" si="0"/>
        <v>YORK EDGAR</v>
      </c>
    </row>
    <row r="63" spans="1:7" x14ac:dyDescent="0.25">
      <c r="A63" s="8">
        <v>42835.307835648149</v>
      </c>
      <c r="B63" s="20" t="s">
        <v>628</v>
      </c>
      <c r="C63" s="20" t="s">
        <v>690</v>
      </c>
      <c r="D63" s="146">
        <v>1260000</v>
      </c>
      <c r="E63" s="20" t="s">
        <v>653</v>
      </c>
      <c r="F63" s="20" t="s">
        <v>654</v>
      </c>
      <c r="G63" s="8" t="str">
        <f t="shared" si="0"/>
        <v>ACKERMAN JARED</v>
      </c>
    </row>
    <row r="64" spans="1:7" x14ac:dyDescent="0.25">
      <c r="A64" s="26">
        <v>42835.316678240742</v>
      </c>
      <c r="B64" s="20" t="s">
        <v>379</v>
      </c>
      <c r="C64" s="20" t="s">
        <v>691</v>
      </c>
      <c r="D64" s="146">
        <v>2530000</v>
      </c>
      <c r="E64" s="20" t="s">
        <v>542</v>
      </c>
      <c r="F64" s="20" t="s">
        <v>543</v>
      </c>
      <c r="G64" s="8" t="str">
        <f t="shared" si="0"/>
        <v>LALONDE GREGORY</v>
      </c>
    </row>
    <row r="65" spans="1:7" x14ac:dyDescent="0.25">
      <c r="A65" s="8">
        <v>42835.320520833331</v>
      </c>
      <c r="B65" s="20" t="s">
        <v>402</v>
      </c>
      <c r="C65" s="20" t="s">
        <v>692</v>
      </c>
      <c r="D65" s="146">
        <v>1520000</v>
      </c>
      <c r="E65" s="20" t="s">
        <v>684</v>
      </c>
      <c r="F65" s="20" t="s">
        <v>685</v>
      </c>
      <c r="G65" s="8" t="str">
        <f t="shared" si="0"/>
        <v>MAYBERRY BILL</v>
      </c>
    </row>
    <row r="66" spans="1:7" x14ac:dyDescent="0.25">
      <c r="A66" s="8">
        <v>42835.323831018519</v>
      </c>
      <c r="B66" s="20" t="s">
        <v>593</v>
      </c>
      <c r="C66" s="20" t="s">
        <v>693</v>
      </c>
      <c r="D66" s="146">
        <v>1110000</v>
      </c>
      <c r="E66" s="20" t="s">
        <v>656</v>
      </c>
      <c r="F66" s="20" t="s">
        <v>657</v>
      </c>
      <c r="G66" s="8" t="str">
        <f t="shared" si="0"/>
        <v>STARKS ANGELINA</v>
      </c>
    </row>
    <row r="67" spans="1:7" x14ac:dyDescent="0.25">
      <c r="A67" s="8">
        <v>42835.324918981481</v>
      </c>
      <c r="B67" s="20" t="s">
        <v>596</v>
      </c>
      <c r="C67" s="20" t="s">
        <v>608</v>
      </c>
      <c r="D67" s="146">
        <v>1990000</v>
      </c>
      <c r="E67" s="20" t="s">
        <v>537</v>
      </c>
      <c r="F67" s="20" t="s">
        <v>538</v>
      </c>
      <c r="G67" s="8" t="str">
        <f t="shared" ref="G67:G130" si="1">E67&amp;" "&amp;F67</f>
        <v>DAVIS WENDY</v>
      </c>
    </row>
    <row r="68" spans="1:7" x14ac:dyDescent="0.25">
      <c r="A68" s="8">
        <v>42835.329513888886</v>
      </c>
      <c r="B68" s="20" t="s">
        <v>450</v>
      </c>
      <c r="C68" s="20" t="s">
        <v>694</v>
      </c>
      <c r="D68" s="146">
        <v>940000</v>
      </c>
      <c r="E68" s="20" t="s">
        <v>659</v>
      </c>
      <c r="F68" s="20" t="s">
        <v>660</v>
      </c>
      <c r="G68" s="8" t="str">
        <f t="shared" si="1"/>
        <v>BONDS REYNALDO</v>
      </c>
    </row>
    <row r="69" spans="1:7" x14ac:dyDescent="0.25">
      <c r="A69" s="8">
        <v>42835.331712962965</v>
      </c>
      <c r="B69" s="20" t="s">
        <v>380</v>
      </c>
      <c r="C69" s="20" t="s">
        <v>695</v>
      </c>
      <c r="D69" s="146">
        <v>2530000</v>
      </c>
      <c r="E69" s="20" t="s">
        <v>542</v>
      </c>
      <c r="F69" s="20" t="s">
        <v>543</v>
      </c>
      <c r="G69" s="8" t="str">
        <f t="shared" si="1"/>
        <v>LALONDE GREGORY</v>
      </c>
    </row>
    <row r="70" spans="1:7" x14ac:dyDescent="0.25">
      <c r="A70" s="8">
        <v>42835.335856481484</v>
      </c>
      <c r="B70" s="20" t="s">
        <v>446</v>
      </c>
      <c r="C70" s="20" t="s">
        <v>612</v>
      </c>
      <c r="D70" s="146">
        <v>3040000</v>
      </c>
      <c r="E70" s="20" t="s">
        <v>677</v>
      </c>
      <c r="F70" s="20" t="s">
        <v>678</v>
      </c>
      <c r="G70" s="8" t="str">
        <f t="shared" si="1"/>
        <v>WILLIAMS DONTE</v>
      </c>
    </row>
    <row r="71" spans="1:7" x14ac:dyDescent="0.25">
      <c r="A71" s="8">
        <v>42835.338333333333</v>
      </c>
      <c r="B71" s="20" t="s">
        <v>599</v>
      </c>
      <c r="C71" s="20" t="s">
        <v>610</v>
      </c>
      <c r="D71" s="146">
        <v>1990000</v>
      </c>
      <c r="E71" s="20" t="s">
        <v>537</v>
      </c>
      <c r="F71" s="20" t="s">
        <v>538</v>
      </c>
      <c r="G71" s="8" t="str">
        <f t="shared" si="1"/>
        <v>DAVIS WENDY</v>
      </c>
    </row>
    <row r="72" spans="1:7" x14ac:dyDescent="0.25">
      <c r="A72" s="8">
        <v>42835.34065972222</v>
      </c>
      <c r="B72" s="20" t="s">
        <v>663</v>
      </c>
      <c r="C72" s="20" t="s">
        <v>696</v>
      </c>
      <c r="D72" s="146">
        <v>2020000</v>
      </c>
      <c r="E72" s="20" t="s">
        <v>508</v>
      </c>
      <c r="F72" s="20" t="s">
        <v>480</v>
      </c>
      <c r="G72" s="8" t="str">
        <f t="shared" si="1"/>
        <v>SHOOK JOHN</v>
      </c>
    </row>
    <row r="73" spans="1:7" x14ac:dyDescent="0.25">
      <c r="A73" s="8">
        <v>42835.343761574077</v>
      </c>
      <c r="B73" s="20" t="s">
        <v>589</v>
      </c>
      <c r="C73" s="20" t="s">
        <v>697</v>
      </c>
      <c r="D73" s="146">
        <v>1260000</v>
      </c>
      <c r="E73" s="20" t="s">
        <v>653</v>
      </c>
      <c r="F73" s="20" t="s">
        <v>654</v>
      </c>
      <c r="G73" s="8" t="str">
        <f t="shared" si="1"/>
        <v>ACKERMAN JARED</v>
      </c>
    </row>
    <row r="74" spans="1:7" x14ac:dyDescent="0.25">
      <c r="A74" s="8">
        <v>42835.348379629628</v>
      </c>
      <c r="B74" s="20" t="s">
        <v>438</v>
      </c>
      <c r="C74" s="20" t="s">
        <v>698</v>
      </c>
      <c r="D74" s="146">
        <v>1830000</v>
      </c>
      <c r="E74" s="20" t="s">
        <v>418</v>
      </c>
      <c r="F74" s="20" t="s">
        <v>419</v>
      </c>
      <c r="G74" s="8" t="str">
        <f t="shared" si="1"/>
        <v>YORK EDGAR</v>
      </c>
    </row>
    <row r="75" spans="1:7" x14ac:dyDescent="0.25">
      <c r="A75" s="8">
        <v>42835.353101851855</v>
      </c>
      <c r="B75" s="20" t="s">
        <v>596</v>
      </c>
      <c r="C75" s="20" t="s">
        <v>699</v>
      </c>
      <c r="D75" s="146">
        <v>1990000</v>
      </c>
      <c r="E75" s="20" t="s">
        <v>537</v>
      </c>
      <c r="F75" s="20" t="s">
        <v>538</v>
      </c>
      <c r="G75" s="8" t="str">
        <f t="shared" si="1"/>
        <v>DAVIS WENDY</v>
      </c>
    </row>
    <row r="76" spans="1:7" x14ac:dyDescent="0.25">
      <c r="A76" s="8">
        <v>42835.35832175926</v>
      </c>
      <c r="B76" s="20" t="s">
        <v>379</v>
      </c>
      <c r="C76" s="20" t="s">
        <v>700</v>
      </c>
      <c r="D76" s="146">
        <v>2530000</v>
      </c>
      <c r="E76" s="20" t="s">
        <v>542</v>
      </c>
      <c r="F76" s="20" t="s">
        <v>543</v>
      </c>
      <c r="G76" s="8" t="str">
        <f t="shared" si="1"/>
        <v>LALONDE GREGORY</v>
      </c>
    </row>
    <row r="77" spans="1:7" x14ac:dyDescent="0.25">
      <c r="A77" s="8">
        <v>42835.360520833332</v>
      </c>
      <c r="B77" s="20" t="s">
        <v>614</v>
      </c>
      <c r="C77" s="20" t="s">
        <v>701</v>
      </c>
      <c r="D77" s="146">
        <v>1110000</v>
      </c>
      <c r="E77" s="20" t="s">
        <v>656</v>
      </c>
      <c r="F77" s="20" t="s">
        <v>657</v>
      </c>
      <c r="G77" s="8" t="str">
        <f t="shared" si="1"/>
        <v>STARKS ANGELINA</v>
      </c>
    </row>
    <row r="78" spans="1:7" x14ac:dyDescent="0.25">
      <c r="A78" s="8">
        <v>42835.361643518518</v>
      </c>
      <c r="B78" s="20" t="s">
        <v>401</v>
      </c>
      <c r="C78" s="20" t="s">
        <v>611</v>
      </c>
      <c r="D78" s="146">
        <v>1520000</v>
      </c>
      <c r="E78" s="20" t="s">
        <v>684</v>
      </c>
      <c r="F78" s="20" t="s">
        <v>685</v>
      </c>
      <c r="G78" s="8" t="str">
        <f t="shared" si="1"/>
        <v>MAYBERRY BILL</v>
      </c>
    </row>
    <row r="79" spans="1:7" x14ac:dyDescent="0.25">
      <c r="A79" s="8">
        <v>42835.370694444442</v>
      </c>
      <c r="B79" s="20" t="s">
        <v>447</v>
      </c>
      <c r="C79" s="20" t="s">
        <v>702</v>
      </c>
      <c r="D79" s="146">
        <v>940000</v>
      </c>
      <c r="E79" s="20" t="s">
        <v>659</v>
      </c>
      <c r="F79" s="20" t="s">
        <v>660</v>
      </c>
      <c r="G79" s="8" t="str">
        <f t="shared" si="1"/>
        <v>BONDS REYNALDO</v>
      </c>
    </row>
    <row r="80" spans="1:7" x14ac:dyDescent="0.25">
      <c r="A80" s="8">
        <v>42835.370810185188</v>
      </c>
      <c r="B80" s="20" t="s">
        <v>616</v>
      </c>
      <c r="C80" s="20" t="s">
        <v>703</v>
      </c>
      <c r="D80" s="146">
        <v>2020000</v>
      </c>
      <c r="E80" s="20" t="s">
        <v>508</v>
      </c>
      <c r="F80" s="20" t="s">
        <v>480</v>
      </c>
      <c r="G80" s="8" t="str">
        <f t="shared" si="1"/>
        <v>SHOOK JOHN</v>
      </c>
    </row>
    <row r="81" spans="1:7" x14ac:dyDescent="0.25">
      <c r="A81" s="8">
        <v>42835.373148148145</v>
      </c>
      <c r="B81" s="20" t="s">
        <v>380</v>
      </c>
      <c r="C81" s="20" t="s">
        <v>704</v>
      </c>
      <c r="D81" s="146">
        <v>2530000</v>
      </c>
      <c r="E81" s="20" t="s">
        <v>542</v>
      </c>
      <c r="F81" s="20" t="s">
        <v>543</v>
      </c>
      <c r="G81" s="8" t="str">
        <f t="shared" si="1"/>
        <v>LALONDE GREGORY</v>
      </c>
    </row>
    <row r="82" spans="1:7" x14ac:dyDescent="0.25">
      <c r="A82" s="8">
        <v>42835.373206018521</v>
      </c>
      <c r="B82" s="20" t="s">
        <v>505</v>
      </c>
      <c r="C82" s="20" t="s">
        <v>705</v>
      </c>
      <c r="D82" s="146">
        <v>3040000</v>
      </c>
      <c r="E82" s="20" t="s">
        <v>677</v>
      </c>
      <c r="F82" s="20" t="s">
        <v>678</v>
      </c>
      <c r="G82" s="8" t="str">
        <f t="shared" si="1"/>
        <v>WILLIAMS DONTE</v>
      </c>
    </row>
    <row r="83" spans="1:7" x14ac:dyDescent="0.25">
      <c r="A83" s="8">
        <v>42835.380543981482</v>
      </c>
      <c r="B83" s="20" t="s">
        <v>432</v>
      </c>
      <c r="C83" s="20" t="s">
        <v>706</v>
      </c>
      <c r="D83" s="146">
        <v>1830000</v>
      </c>
      <c r="E83" s="20" t="s">
        <v>418</v>
      </c>
      <c r="F83" s="20" t="s">
        <v>419</v>
      </c>
      <c r="G83" s="8" t="str">
        <f t="shared" si="1"/>
        <v>YORK EDGAR</v>
      </c>
    </row>
    <row r="84" spans="1:7" x14ac:dyDescent="0.25">
      <c r="A84" s="8">
        <v>42835.382824074077</v>
      </c>
      <c r="B84" s="20" t="s">
        <v>628</v>
      </c>
      <c r="C84" s="20" t="s">
        <v>707</v>
      </c>
      <c r="D84" s="146">
        <v>2730000</v>
      </c>
      <c r="E84" s="20" t="s">
        <v>708</v>
      </c>
      <c r="F84" s="20" t="s">
        <v>709</v>
      </c>
      <c r="G84" s="8" t="str">
        <f t="shared" si="1"/>
        <v>YANG JAN</v>
      </c>
    </row>
    <row r="85" spans="1:7" x14ac:dyDescent="0.25">
      <c r="A85" s="8">
        <v>42835.39403935185</v>
      </c>
      <c r="B85" s="20" t="s">
        <v>593</v>
      </c>
      <c r="C85" s="20" t="s">
        <v>710</v>
      </c>
      <c r="D85" s="146">
        <v>1110000</v>
      </c>
      <c r="E85" s="20" t="s">
        <v>656</v>
      </c>
      <c r="F85" s="20" t="s">
        <v>657</v>
      </c>
      <c r="G85" s="8" t="str">
        <f t="shared" si="1"/>
        <v>STARKS ANGELINA</v>
      </c>
    </row>
    <row r="86" spans="1:7" x14ac:dyDescent="0.25">
      <c r="A86" s="8">
        <v>42835.396747685183</v>
      </c>
      <c r="B86" s="20" t="s">
        <v>402</v>
      </c>
      <c r="C86" s="20" t="s">
        <v>711</v>
      </c>
      <c r="D86" s="146">
        <v>1520000</v>
      </c>
      <c r="E86" s="20" t="s">
        <v>684</v>
      </c>
      <c r="F86" s="20" t="s">
        <v>685</v>
      </c>
      <c r="G86" s="8" t="str">
        <f t="shared" si="1"/>
        <v>MAYBERRY BILL</v>
      </c>
    </row>
    <row r="87" spans="1:7" x14ac:dyDescent="0.25">
      <c r="A87" s="8">
        <v>42835.400104166663</v>
      </c>
      <c r="B87" s="20" t="s">
        <v>379</v>
      </c>
      <c r="C87" s="20" t="s">
        <v>712</v>
      </c>
      <c r="D87" s="146">
        <v>2530000</v>
      </c>
      <c r="E87" s="20" t="s">
        <v>542</v>
      </c>
      <c r="F87" s="20" t="s">
        <v>543</v>
      </c>
      <c r="G87" s="8" t="str">
        <f t="shared" si="1"/>
        <v>LALONDE GREGORY</v>
      </c>
    </row>
    <row r="88" spans="1:7" x14ac:dyDescent="0.25">
      <c r="A88" s="8">
        <v>42835.403425925928</v>
      </c>
      <c r="B88" s="20" t="s">
        <v>450</v>
      </c>
      <c r="C88" s="20" t="s">
        <v>713</v>
      </c>
      <c r="D88" s="146">
        <v>940000</v>
      </c>
      <c r="E88" s="20" t="s">
        <v>659</v>
      </c>
      <c r="F88" s="20" t="s">
        <v>660</v>
      </c>
      <c r="G88" s="8" t="str">
        <f t="shared" si="1"/>
        <v>BONDS REYNALDO</v>
      </c>
    </row>
    <row r="89" spans="1:7" x14ac:dyDescent="0.25">
      <c r="A89" s="8">
        <v>42835.411516203705</v>
      </c>
      <c r="B89" s="20" t="s">
        <v>446</v>
      </c>
      <c r="C89" s="20" t="s">
        <v>613</v>
      </c>
      <c r="D89" s="146">
        <v>3040000</v>
      </c>
      <c r="E89" s="20" t="s">
        <v>677</v>
      </c>
      <c r="F89" s="20" t="s">
        <v>678</v>
      </c>
      <c r="G89" s="8" t="str">
        <f t="shared" si="1"/>
        <v>WILLIAMS DONTE</v>
      </c>
    </row>
    <row r="90" spans="1:7" x14ac:dyDescent="0.25">
      <c r="A90" s="8">
        <v>42835.414930555555</v>
      </c>
      <c r="B90" s="20" t="s">
        <v>663</v>
      </c>
      <c r="C90" s="20" t="s">
        <v>714</v>
      </c>
      <c r="D90" s="146">
        <v>2020000</v>
      </c>
      <c r="E90" s="20" t="s">
        <v>508</v>
      </c>
      <c r="F90" s="20" t="s">
        <v>480</v>
      </c>
      <c r="G90" s="8" t="str">
        <f t="shared" si="1"/>
        <v>SHOOK JOHN</v>
      </c>
    </row>
    <row r="91" spans="1:7" x14ac:dyDescent="0.25">
      <c r="A91" s="8">
        <v>42835.414953703701</v>
      </c>
      <c r="B91" s="20" t="s">
        <v>380</v>
      </c>
      <c r="C91" s="20" t="s">
        <v>715</v>
      </c>
      <c r="D91" s="146">
        <v>2530000</v>
      </c>
      <c r="E91" s="20" t="s">
        <v>542</v>
      </c>
      <c r="F91" s="20" t="s">
        <v>543</v>
      </c>
      <c r="G91" s="8" t="str">
        <f t="shared" si="1"/>
        <v>LALONDE GREGORY</v>
      </c>
    </row>
    <row r="92" spans="1:7" x14ac:dyDescent="0.25">
      <c r="A92" s="8">
        <v>42835.420729166668</v>
      </c>
      <c r="B92" s="20" t="s">
        <v>589</v>
      </c>
      <c r="C92" s="20" t="s">
        <v>716</v>
      </c>
      <c r="D92" s="146">
        <v>2730000</v>
      </c>
      <c r="E92" s="20" t="s">
        <v>708</v>
      </c>
      <c r="F92" s="20" t="s">
        <v>709</v>
      </c>
      <c r="G92" s="8" t="str">
        <f t="shared" si="1"/>
        <v>YANG JAN</v>
      </c>
    </row>
    <row r="93" spans="1:7" x14ac:dyDescent="0.25">
      <c r="A93" s="8">
        <v>42835.421284722222</v>
      </c>
      <c r="B93" s="20" t="s">
        <v>438</v>
      </c>
      <c r="C93" s="20" t="s">
        <v>717</v>
      </c>
      <c r="D93" s="146">
        <v>1830000</v>
      </c>
      <c r="E93" s="20" t="s">
        <v>418</v>
      </c>
      <c r="F93" s="20" t="s">
        <v>419</v>
      </c>
      <c r="G93" s="8" t="str">
        <f t="shared" si="1"/>
        <v>YORK EDGAR</v>
      </c>
    </row>
    <row r="94" spans="1:7" x14ac:dyDescent="0.25">
      <c r="A94" s="8">
        <v>42835.43409722222</v>
      </c>
      <c r="B94" s="20" t="s">
        <v>614</v>
      </c>
      <c r="C94" s="20" t="s">
        <v>615</v>
      </c>
      <c r="D94" s="146">
        <v>1110000</v>
      </c>
      <c r="E94" s="20" t="s">
        <v>656</v>
      </c>
      <c r="F94" s="20" t="s">
        <v>657</v>
      </c>
      <c r="G94" s="8" t="str">
        <f t="shared" si="1"/>
        <v>STARKS ANGELINA</v>
      </c>
    </row>
    <row r="95" spans="1:7" x14ac:dyDescent="0.25">
      <c r="A95" s="8">
        <v>42835.435127314813</v>
      </c>
      <c r="B95" s="20" t="s">
        <v>718</v>
      </c>
      <c r="C95" s="20" t="s">
        <v>719</v>
      </c>
      <c r="D95" s="146">
        <v>2560000</v>
      </c>
      <c r="E95" s="20" t="s">
        <v>511</v>
      </c>
      <c r="F95" s="20" t="s">
        <v>512</v>
      </c>
      <c r="G95" s="8" t="str">
        <f t="shared" si="1"/>
        <v>MACDONALD THOMAS</v>
      </c>
    </row>
    <row r="96" spans="1:7" x14ac:dyDescent="0.25">
      <c r="A96" s="8">
        <v>42835.436018518521</v>
      </c>
      <c r="B96" s="20" t="s">
        <v>401</v>
      </c>
      <c r="C96" s="20" t="s">
        <v>720</v>
      </c>
      <c r="D96" s="146">
        <v>1990000</v>
      </c>
      <c r="E96" s="20" t="s">
        <v>537</v>
      </c>
      <c r="F96" s="20" t="s">
        <v>538</v>
      </c>
      <c r="G96" s="8" t="str">
        <f t="shared" si="1"/>
        <v>DAVIS WENDY</v>
      </c>
    </row>
    <row r="97" spans="1:7" x14ac:dyDescent="0.25">
      <c r="A97" s="8">
        <v>42835.441701388889</v>
      </c>
      <c r="B97" s="20" t="s">
        <v>379</v>
      </c>
      <c r="C97" s="20" t="s">
        <v>721</v>
      </c>
      <c r="D97" s="146">
        <v>2530000</v>
      </c>
      <c r="E97" s="20" t="s">
        <v>542</v>
      </c>
      <c r="F97" s="20" t="s">
        <v>543</v>
      </c>
      <c r="G97" s="8" t="str">
        <f t="shared" si="1"/>
        <v>LALONDE GREGORY</v>
      </c>
    </row>
    <row r="98" spans="1:7" x14ac:dyDescent="0.25">
      <c r="A98" s="8">
        <v>42835.443113425928</v>
      </c>
      <c r="B98" s="20" t="s">
        <v>447</v>
      </c>
      <c r="C98" s="20" t="s">
        <v>722</v>
      </c>
      <c r="D98" s="146">
        <v>940000</v>
      </c>
      <c r="E98" s="20" t="s">
        <v>659</v>
      </c>
      <c r="F98" s="20" t="s">
        <v>660</v>
      </c>
      <c r="G98" s="8" t="str">
        <f t="shared" si="1"/>
        <v>BONDS REYNALDO</v>
      </c>
    </row>
    <row r="99" spans="1:7" x14ac:dyDescent="0.25">
      <c r="A99" s="8">
        <v>42835.444085648145</v>
      </c>
      <c r="B99" s="20" t="s">
        <v>616</v>
      </c>
      <c r="C99" s="20" t="s">
        <v>617</v>
      </c>
      <c r="D99" s="146">
        <v>2020000</v>
      </c>
      <c r="E99" s="20" t="s">
        <v>508</v>
      </c>
      <c r="F99" s="20" t="s">
        <v>480</v>
      </c>
      <c r="G99" s="8" t="str">
        <f t="shared" si="1"/>
        <v>SHOOK JOHN</v>
      </c>
    </row>
    <row r="100" spans="1:7" x14ac:dyDescent="0.25">
      <c r="A100" s="8">
        <v>42835.444849537038</v>
      </c>
      <c r="B100" s="20" t="s">
        <v>505</v>
      </c>
      <c r="C100" s="20" t="s">
        <v>618</v>
      </c>
      <c r="D100" s="146">
        <v>3040000</v>
      </c>
      <c r="E100" s="20" t="s">
        <v>677</v>
      </c>
      <c r="F100" s="20" t="s">
        <v>678</v>
      </c>
      <c r="G100" s="8" t="str">
        <f t="shared" si="1"/>
        <v>WILLIAMS DONTE</v>
      </c>
    </row>
    <row r="101" spans="1:7" x14ac:dyDescent="0.25">
      <c r="A101" s="8">
        <v>42835.452268518522</v>
      </c>
      <c r="B101" s="20" t="s">
        <v>723</v>
      </c>
      <c r="C101" s="20" t="s">
        <v>724</v>
      </c>
      <c r="D101" s="146">
        <v>1090000</v>
      </c>
      <c r="E101" s="20" t="s">
        <v>725</v>
      </c>
      <c r="F101" s="20" t="s">
        <v>196</v>
      </c>
      <c r="G101" s="8" t="str">
        <f t="shared" si="1"/>
        <v>SPECTOR MICHAEL</v>
      </c>
    </row>
    <row r="102" spans="1:7" x14ac:dyDescent="0.25">
      <c r="A102" s="8">
        <v>42835.452638888892</v>
      </c>
      <c r="B102" s="20" t="s">
        <v>432</v>
      </c>
      <c r="C102" s="20" t="s">
        <v>726</v>
      </c>
      <c r="D102" s="146">
        <v>1830000</v>
      </c>
      <c r="E102" s="20" t="s">
        <v>418</v>
      </c>
      <c r="F102" s="20" t="s">
        <v>419</v>
      </c>
      <c r="G102" s="8" t="str">
        <f t="shared" si="1"/>
        <v>YORK EDGAR</v>
      </c>
    </row>
    <row r="103" spans="1:7" x14ac:dyDescent="0.25">
      <c r="A103" s="8">
        <v>42835.455763888887</v>
      </c>
      <c r="B103" s="20" t="s">
        <v>628</v>
      </c>
      <c r="C103" s="20" t="s">
        <v>727</v>
      </c>
      <c r="D103" s="146">
        <v>880000</v>
      </c>
      <c r="E103" s="20" t="s">
        <v>539</v>
      </c>
      <c r="F103" s="20" t="s">
        <v>196</v>
      </c>
      <c r="G103" s="8" t="str">
        <f t="shared" si="1"/>
        <v>STEWART MICHAEL</v>
      </c>
    </row>
    <row r="104" spans="1:7" x14ac:dyDescent="0.25">
      <c r="A104" s="8">
        <v>42835.456388888888</v>
      </c>
      <c r="B104" s="20" t="s">
        <v>380</v>
      </c>
      <c r="C104" s="20" t="s">
        <v>728</v>
      </c>
      <c r="D104" s="146">
        <v>2530000</v>
      </c>
      <c r="E104" s="20" t="s">
        <v>542</v>
      </c>
      <c r="F104" s="20" t="s">
        <v>543</v>
      </c>
      <c r="G104" s="8" t="str">
        <f t="shared" si="1"/>
        <v>LALONDE GREGORY</v>
      </c>
    </row>
    <row r="105" spans="1:7" x14ac:dyDescent="0.25">
      <c r="A105" s="8">
        <v>42835.46670138889</v>
      </c>
      <c r="B105" s="20" t="s">
        <v>593</v>
      </c>
      <c r="C105" s="20" t="s">
        <v>729</v>
      </c>
      <c r="D105" s="146">
        <v>920000</v>
      </c>
      <c r="E105" s="20" t="s">
        <v>537</v>
      </c>
      <c r="F105" s="20" t="s">
        <v>196</v>
      </c>
      <c r="G105" s="8" t="str">
        <f t="shared" si="1"/>
        <v>DAVIS MICHAEL</v>
      </c>
    </row>
    <row r="106" spans="1:7" x14ac:dyDescent="0.25">
      <c r="A106" s="8">
        <v>42835.474421296298</v>
      </c>
      <c r="B106" s="20" t="s">
        <v>402</v>
      </c>
      <c r="C106" s="20" t="s">
        <v>730</v>
      </c>
      <c r="D106" s="146">
        <v>1990000</v>
      </c>
      <c r="E106" s="20" t="s">
        <v>537</v>
      </c>
      <c r="F106" s="20" t="s">
        <v>538</v>
      </c>
      <c r="G106" s="8" t="str">
        <f t="shared" si="1"/>
        <v>DAVIS WENDY</v>
      </c>
    </row>
    <row r="107" spans="1:7" x14ac:dyDescent="0.25">
      <c r="A107" s="8">
        <v>42835.476736111108</v>
      </c>
      <c r="B107" s="20" t="s">
        <v>450</v>
      </c>
      <c r="C107" s="20" t="s">
        <v>731</v>
      </c>
      <c r="D107" s="146">
        <v>930000</v>
      </c>
      <c r="E107" s="20" t="s">
        <v>732</v>
      </c>
      <c r="F107" s="20" t="s">
        <v>733</v>
      </c>
      <c r="G107" s="8" t="str">
        <f t="shared" si="1"/>
        <v>CLARK KATHLEEN</v>
      </c>
    </row>
    <row r="108" spans="1:7" x14ac:dyDescent="0.25">
      <c r="A108" s="8">
        <v>42835.483171296299</v>
      </c>
      <c r="B108" s="20" t="s">
        <v>379</v>
      </c>
      <c r="C108" s="20" t="s">
        <v>619</v>
      </c>
      <c r="D108" s="146">
        <v>2530000</v>
      </c>
      <c r="E108" s="20" t="s">
        <v>542</v>
      </c>
      <c r="F108" s="20" t="s">
        <v>543</v>
      </c>
      <c r="G108" s="8" t="str">
        <f t="shared" si="1"/>
        <v>LALONDE GREGORY</v>
      </c>
    </row>
    <row r="109" spans="1:7" x14ac:dyDescent="0.25">
      <c r="A109" s="8">
        <v>42835.483344907407</v>
      </c>
      <c r="B109" s="20" t="s">
        <v>446</v>
      </c>
      <c r="C109" s="20" t="s">
        <v>620</v>
      </c>
      <c r="D109" s="146">
        <v>3040000</v>
      </c>
      <c r="E109" s="20" t="s">
        <v>677</v>
      </c>
      <c r="F109" s="20" t="s">
        <v>678</v>
      </c>
      <c r="G109" s="8" t="str">
        <f t="shared" si="1"/>
        <v>WILLIAMS DONTE</v>
      </c>
    </row>
    <row r="110" spans="1:7" x14ac:dyDescent="0.25">
      <c r="A110" s="8">
        <v>42835.489004629628</v>
      </c>
      <c r="B110" s="20" t="s">
        <v>663</v>
      </c>
      <c r="C110" s="20" t="s">
        <v>734</v>
      </c>
      <c r="D110" s="146">
        <v>2470000</v>
      </c>
      <c r="E110" s="20" t="s">
        <v>735</v>
      </c>
      <c r="F110" s="20" t="s">
        <v>736</v>
      </c>
      <c r="G110" s="8" t="str">
        <f t="shared" si="1"/>
        <v>ROMERO CHAD</v>
      </c>
    </row>
    <row r="111" spans="1:7" x14ac:dyDescent="0.25">
      <c r="A111" s="8">
        <v>42835.493564814817</v>
      </c>
      <c r="B111" s="20" t="s">
        <v>589</v>
      </c>
      <c r="C111" s="20" t="s">
        <v>737</v>
      </c>
      <c r="D111" s="146">
        <v>880000</v>
      </c>
      <c r="E111" s="20" t="s">
        <v>539</v>
      </c>
      <c r="F111" s="20" t="s">
        <v>196</v>
      </c>
      <c r="G111" s="8" t="str">
        <f t="shared" si="1"/>
        <v>STEWART MICHAEL</v>
      </c>
    </row>
    <row r="112" spans="1:7" x14ac:dyDescent="0.25">
      <c r="A112" s="8">
        <v>42835.495335648149</v>
      </c>
      <c r="B112" s="20" t="s">
        <v>438</v>
      </c>
      <c r="C112" s="20" t="s">
        <v>624</v>
      </c>
      <c r="D112" s="146">
        <v>1120000</v>
      </c>
      <c r="E112" s="20" t="s">
        <v>738</v>
      </c>
      <c r="F112" s="20" t="s">
        <v>739</v>
      </c>
      <c r="G112" s="8" t="str">
        <f t="shared" si="1"/>
        <v>LOCKLEAR TRAVIS</v>
      </c>
    </row>
    <row r="113" spans="1:7" x14ac:dyDescent="0.25">
      <c r="A113" s="8">
        <v>42835.505462962959</v>
      </c>
      <c r="B113" s="20" t="s">
        <v>614</v>
      </c>
      <c r="C113" s="20" t="s">
        <v>625</v>
      </c>
      <c r="D113" s="146">
        <v>920000</v>
      </c>
      <c r="E113" s="20" t="s">
        <v>537</v>
      </c>
      <c r="F113" s="20" t="s">
        <v>196</v>
      </c>
      <c r="G113" s="8" t="str">
        <f t="shared" si="1"/>
        <v>DAVIS MICHAEL</v>
      </c>
    </row>
    <row r="114" spans="1:7" x14ac:dyDescent="0.25">
      <c r="A114" s="8">
        <v>42835.506307870368</v>
      </c>
      <c r="B114" s="20" t="s">
        <v>380</v>
      </c>
      <c r="C114" s="20" t="s">
        <v>623</v>
      </c>
      <c r="D114" s="146">
        <v>2530000</v>
      </c>
      <c r="E114" s="20" t="s">
        <v>542</v>
      </c>
      <c r="F114" s="20" t="s">
        <v>543</v>
      </c>
      <c r="G114" s="8" t="str">
        <f t="shared" si="1"/>
        <v>LALONDE GREGORY</v>
      </c>
    </row>
    <row r="115" spans="1:7" x14ac:dyDescent="0.25">
      <c r="A115" s="8">
        <v>42835.507824074077</v>
      </c>
      <c r="B115" s="20" t="s">
        <v>401</v>
      </c>
      <c r="C115" s="20" t="s">
        <v>740</v>
      </c>
      <c r="D115" s="146">
        <v>2970000</v>
      </c>
      <c r="E115" s="20" t="s">
        <v>439</v>
      </c>
      <c r="F115" s="20" t="s">
        <v>440</v>
      </c>
      <c r="G115" s="8" t="str">
        <f t="shared" si="1"/>
        <v>GUZMAN DANNY</v>
      </c>
    </row>
    <row r="116" spans="1:7" x14ac:dyDescent="0.25">
      <c r="A116" s="8">
        <v>42835.514849537038</v>
      </c>
      <c r="B116" s="20" t="s">
        <v>447</v>
      </c>
      <c r="C116" s="20" t="s">
        <v>741</v>
      </c>
      <c r="D116" s="146">
        <v>930000</v>
      </c>
      <c r="E116" s="20" t="s">
        <v>732</v>
      </c>
      <c r="F116" s="20" t="s">
        <v>733</v>
      </c>
      <c r="G116" s="8" t="str">
        <f t="shared" si="1"/>
        <v>CLARK KATHLEEN</v>
      </c>
    </row>
    <row r="117" spans="1:7" x14ac:dyDescent="0.25">
      <c r="A117" s="8">
        <v>42835.51898148148</v>
      </c>
      <c r="B117" s="20" t="s">
        <v>616</v>
      </c>
      <c r="C117" s="20" t="s">
        <v>626</v>
      </c>
      <c r="D117" s="146">
        <v>2470000</v>
      </c>
      <c r="E117" s="20" t="s">
        <v>735</v>
      </c>
      <c r="F117" s="20" t="s">
        <v>736</v>
      </c>
      <c r="G117" s="8" t="str">
        <f t="shared" si="1"/>
        <v>ROMERO CHAD</v>
      </c>
    </row>
    <row r="118" spans="1:7" x14ac:dyDescent="0.25">
      <c r="A118" s="8">
        <v>42835.519432870373</v>
      </c>
      <c r="B118" s="20" t="s">
        <v>505</v>
      </c>
      <c r="C118" s="20" t="s">
        <v>742</v>
      </c>
      <c r="D118" s="146">
        <v>2360000</v>
      </c>
      <c r="E118" s="20" t="s">
        <v>509</v>
      </c>
      <c r="F118" s="20" t="s">
        <v>510</v>
      </c>
      <c r="G118" s="8" t="str">
        <f t="shared" si="1"/>
        <v>BRANDNER MELINDA</v>
      </c>
    </row>
    <row r="119" spans="1:7" x14ac:dyDescent="0.25">
      <c r="A119" s="8">
        <v>42835.520312499997</v>
      </c>
      <c r="B119" s="20" t="s">
        <v>616</v>
      </c>
      <c r="C119" s="20" t="s">
        <v>626</v>
      </c>
      <c r="D119" s="146">
        <v>2470000</v>
      </c>
      <c r="E119" s="20" t="s">
        <v>735</v>
      </c>
      <c r="F119" s="20" t="s">
        <v>736</v>
      </c>
      <c r="G119" s="8" t="str">
        <f t="shared" si="1"/>
        <v>ROMERO CHAD</v>
      </c>
    </row>
    <row r="120" spans="1:7" x14ac:dyDescent="0.25">
      <c r="A120" s="8">
        <v>42835.525914351849</v>
      </c>
      <c r="B120" s="20" t="s">
        <v>379</v>
      </c>
      <c r="C120" s="20" t="s">
        <v>743</v>
      </c>
      <c r="D120" s="146">
        <v>2530000</v>
      </c>
      <c r="E120" s="20" t="s">
        <v>542</v>
      </c>
      <c r="F120" s="20" t="s">
        <v>543</v>
      </c>
      <c r="G120" s="8" t="str">
        <f t="shared" si="1"/>
        <v>LALONDE GREGORY</v>
      </c>
    </row>
    <row r="121" spans="1:7" x14ac:dyDescent="0.25">
      <c r="A121" s="8">
        <v>42835.527754629627</v>
      </c>
      <c r="B121" s="20" t="s">
        <v>628</v>
      </c>
      <c r="C121" s="20" t="s">
        <v>744</v>
      </c>
      <c r="D121" s="146">
        <v>880000</v>
      </c>
      <c r="E121" s="20" t="s">
        <v>539</v>
      </c>
      <c r="F121" s="20" t="s">
        <v>196</v>
      </c>
      <c r="G121" s="8" t="str">
        <f t="shared" si="1"/>
        <v>STEWART MICHAEL</v>
      </c>
    </row>
    <row r="122" spans="1:7" x14ac:dyDescent="0.25">
      <c r="A122" s="8">
        <v>42835.537037037036</v>
      </c>
      <c r="B122" s="25" t="s">
        <v>432</v>
      </c>
      <c r="C122" s="20" t="s">
        <v>745</v>
      </c>
      <c r="D122" s="146">
        <v>1120000</v>
      </c>
      <c r="E122" s="20" t="s">
        <v>738</v>
      </c>
      <c r="F122" s="20" t="s">
        <v>739</v>
      </c>
      <c r="G122" s="8" t="str">
        <f t="shared" si="1"/>
        <v>LOCKLEAR TRAVIS</v>
      </c>
    </row>
    <row r="123" spans="1:7" x14ac:dyDescent="0.25">
      <c r="A123" s="8">
        <v>42835.53833333333</v>
      </c>
      <c r="B123" s="20" t="s">
        <v>402</v>
      </c>
      <c r="C123" s="20" t="s">
        <v>746</v>
      </c>
      <c r="D123" s="146">
        <v>2970000</v>
      </c>
      <c r="E123" s="20" t="s">
        <v>439</v>
      </c>
      <c r="F123" s="20" t="s">
        <v>440</v>
      </c>
      <c r="G123" s="8" t="str">
        <f t="shared" si="1"/>
        <v>GUZMAN DANNY</v>
      </c>
    </row>
    <row r="124" spans="1:7" x14ac:dyDescent="0.25">
      <c r="A124" s="8">
        <v>42835.540706018517</v>
      </c>
      <c r="B124" s="20" t="s">
        <v>593</v>
      </c>
      <c r="C124" s="20" t="s">
        <v>747</v>
      </c>
      <c r="D124" s="146">
        <v>920000</v>
      </c>
      <c r="E124" s="20" t="s">
        <v>537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42835.548148148147</v>
      </c>
      <c r="B125" s="20" t="s">
        <v>450</v>
      </c>
      <c r="C125" s="20" t="s">
        <v>748</v>
      </c>
      <c r="D125" s="146">
        <v>930000</v>
      </c>
      <c r="E125" s="20" t="s">
        <v>732</v>
      </c>
      <c r="F125" s="20" t="s">
        <v>733</v>
      </c>
      <c r="G125" s="8" t="str">
        <f t="shared" si="1"/>
        <v>CLARK KATHLEEN</v>
      </c>
    </row>
    <row r="126" spans="1:7" x14ac:dyDescent="0.25">
      <c r="A126" s="8">
        <v>42835.554039351853</v>
      </c>
      <c r="B126" s="20" t="s">
        <v>380</v>
      </c>
      <c r="C126" s="20" t="s">
        <v>749</v>
      </c>
      <c r="D126" s="146">
        <v>1300000</v>
      </c>
      <c r="E126" s="20" t="s">
        <v>540</v>
      </c>
      <c r="F126" s="20" t="s">
        <v>541</v>
      </c>
      <c r="G126" s="8" t="str">
        <f t="shared" si="1"/>
        <v>LEVIN SCOTT</v>
      </c>
    </row>
    <row r="127" spans="1:7" x14ac:dyDescent="0.25">
      <c r="A127" s="8">
        <v>42835.558113425926</v>
      </c>
      <c r="B127" s="20" t="s">
        <v>446</v>
      </c>
      <c r="C127" s="20" t="s">
        <v>627</v>
      </c>
      <c r="D127" s="146">
        <v>2360000</v>
      </c>
      <c r="E127" s="20" t="s">
        <v>509</v>
      </c>
      <c r="F127" s="20" t="s">
        <v>510</v>
      </c>
      <c r="G127" s="8" t="str">
        <f t="shared" si="1"/>
        <v>BRANDNER MELINDA</v>
      </c>
    </row>
    <row r="128" spans="1:7" x14ac:dyDescent="0.25">
      <c r="A128" s="8">
        <v>42835.55945601852</v>
      </c>
      <c r="B128" s="20" t="s">
        <v>663</v>
      </c>
      <c r="C128" s="20" t="s">
        <v>750</v>
      </c>
      <c r="D128" s="146">
        <v>3020000</v>
      </c>
      <c r="E128" s="20" t="s">
        <v>751</v>
      </c>
      <c r="F128" s="20" t="s">
        <v>752</v>
      </c>
      <c r="G128" s="8" t="str">
        <f t="shared" si="1"/>
        <v>MENGES BRAD</v>
      </c>
    </row>
    <row r="129" spans="1:7" x14ac:dyDescent="0.25">
      <c r="A129" s="8">
        <v>42835.559837962966</v>
      </c>
      <c r="B129" s="20" t="s">
        <v>446</v>
      </c>
      <c r="C129" s="20" t="s">
        <v>627</v>
      </c>
      <c r="D129" s="146">
        <v>2360000</v>
      </c>
      <c r="E129" s="20" t="s">
        <v>509</v>
      </c>
      <c r="F129" s="20" t="s">
        <v>510</v>
      </c>
      <c r="G129" s="8" t="str">
        <f t="shared" si="1"/>
        <v>BRANDNER MELINDA</v>
      </c>
    </row>
    <row r="130" spans="1:7" x14ac:dyDescent="0.25">
      <c r="A130" s="8">
        <v>42835.565625000003</v>
      </c>
      <c r="B130" s="20" t="s">
        <v>446</v>
      </c>
      <c r="C130" s="20" t="s">
        <v>627</v>
      </c>
      <c r="D130" s="146">
        <v>2360000</v>
      </c>
      <c r="E130" s="20" t="s">
        <v>509</v>
      </c>
      <c r="F130" s="20" t="s">
        <v>510</v>
      </c>
      <c r="G130" s="8" t="str">
        <f t="shared" si="1"/>
        <v>BRANDNER MELINDA</v>
      </c>
    </row>
    <row r="131" spans="1:7" x14ac:dyDescent="0.25">
      <c r="A131" s="8">
        <v>42835.566192129627</v>
      </c>
      <c r="B131" s="20" t="s">
        <v>589</v>
      </c>
      <c r="C131" s="20" t="s">
        <v>753</v>
      </c>
      <c r="D131" s="146">
        <v>880000</v>
      </c>
      <c r="E131" s="20" t="s">
        <v>539</v>
      </c>
      <c r="F131" s="20" t="s">
        <v>196</v>
      </c>
      <c r="G131" s="8" t="str">
        <f t="shared" ref="G131:G194" si="2">E131&amp;" "&amp;F131</f>
        <v>STEWART MICHAEL</v>
      </c>
    </row>
    <row r="132" spans="1:7" x14ac:dyDescent="0.25">
      <c r="A132" s="8">
        <v>42835.567002314812</v>
      </c>
      <c r="B132" s="20" t="s">
        <v>379</v>
      </c>
      <c r="C132" s="20" t="s">
        <v>754</v>
      </c>
      <c r="D132" s="146">
        <v>1300000</v>
      </c>
      <c r="E132" s="20" t="s">
        <v>540</v>
      </c>
      <c r="F132" s="20" t="s">
        <v>541</v>
      </c>
      <c r="G132" s="8" t="str">
        <f t="shared" si="2"/>
        <v>LEVIN SCOTT</v>
      </c>
    </row>
    <row r="133" spans="1:7" x14ac:dyDescent="0.25">
      <c r="A133" s="8">
        <v>42835.571712962963</v>
      </c>
      <c r="B133" s="20" t="s">
        <v>438</v>
      </c>
      <c r="C133" s="20" t="s">
        <v>755</v>
      </c>
      <c r="D133" s="146">
        <v>1120000</v>
      </c>
      <c r="E133" s="20" t="s">
        <v>738</v>
      </c>
      <c r="F133" s="20" t="s">
        <v>739</v>
      </c>
      <c r="G133" s="8" t="str">
        <f t="shared" si="2"/>
        <v>LOCKLEAR TRAVIS</v>
      </c>
    </row>
    <row r="134" spans="1:7" x14ac:dyDescent="0.25">
      <c r="A134" s="8">
        <v>42835.574293981481</v>
      </c>
      <c r="B134" s="20" t="s">
        <v>446</v>
      </c>
      <c r="C134" s="20" t="s">
        <v>627</v>
      </c>
      <c r="D134" s="146">
        <v>2360000</v>
      </c>
      <c r="E134" s="20" t="s">
        <v>509</v>
      </c>
      <c r="F134" s="20" t="s">
        <v>510</v>
      </c>
      <c r="G134" s="8" t="str">
        <f t="shared" si="2"/>
        <v>BRANDNER MELINDA</v>
      </c>
    </row>
    <row r="135" spans="1:7" x14ac:dyDescent="0.25">
      <c r="A135" s="8">
        <v>42835.579293981478</v>
      </c>
      <c r="B135" s="20" t="s">
        <v>614</v>
      </c>
      <c r="C135" s="20" t="s">
        <v>756</v>
      </c>
      <c r="D135" s="146">
        <v>920000</v>
      </c>
      <c r="E135" s="20" t="s">
        <v>537</v>
      </c>
      <c r="F135" s="20" t="s">
        <v>196</v>
      </c>
      <c r="G135" s="8" t="str">
        <f t="shared" si="2"/>
        <v>DAVIS MICHAEL</v>
      </c>
    </row>
    <row r="136" spans="1:7" x14ac:dyDescent="0.25">
      <c r="A136" s="8">
        <v>42835.580196759256</v>
      </c>
      <c r="B136" s="20" t="s">
        <v>401</v>
      </c>
      <c r="C136" s="20" t="s">
        <v>757</v>
      </c>
      <c r="D136" s="146">
        <v>2970000</v>
      </c>
      <c r="E136" s="20" t="s">
        <v>439</v>
      </c>
      <c r="F136" s="20" t="s">
        <v>440</v>
      </c>
      <c r="G136" s="8" t="str">
        <f t="shared" si="2"/>
        <v>GUZMAN DANNY</v>
      </c>
    </row>
    <row r="137" spans="1:7" x14ac:dyDescent="0.25">
      <c r="A137" s="8">
        <v>42835.584201388891</v>
      </c>
      <c r="B137" s="20" t="s">
        <v>477</v>
      </c>
      <c r="C137" s="20" t="s">
        <v>758</v>
      </c>
      <c r="D137" s="146">
        <v>2560000</v>
      </c>
      <c r="E137" s="20" t="s">
        <v>511</v>
      </c>
      <c r="F137" s="20" t="s">
        <v>512</v>
      </c>
      <c r="G137" s="8" t="str">
        <f t="shared" si="2"/>
        <v>MACDONALD THOMAS</v>
      </c>
    </row>
    <row r="138" spans="1:7" x14ac:dyDescent="0.25">
      <c r="A138" s="8">
        <v>42835.587268518517</v>
      </c>
      <c r="B138" s="20" t="s">
        <v>447</v>
      </c>
      <c r="C138" s="20" t="s">
        <v>759</v>
      </c>
      <c r="D138" s="146">
        <v>930000</v>
      </c>
      <c r="E138" s="20" t="s">
        <v>732</v>
      </c>
      <c r="F138" s="20" t="s">
        <v>733</v>
      </c>
      <c r="G138" s="8" t="str">
        <f t="shared" si="2"/>
        <v>CLARK KATHLEEN</v>
      </c>
    </row>
    <row r="139" spans="1:7" x14ac:dyDescent="0.25">
      <c r="A139" s="8">
        <v>42835.596250000002</v>
      </c>
      <c r="B139" s="20" t="s">
        <v>380</v>
      </c>
      <c r="C139" s="20" t="s">
        <v>760</v>
      </c>
      <c r="D139" s="146">
        <v>1300000</v>
      </c>
      <c r="E139" s="20" t="s">
        <v>540</v>
      </c>
      <c r="F139" s="20" t="s">
        <v>541</v>
      </c>
      <c r="G139" s="8" t="str">
        <f t="shared" si="2"/>
        <v>LEVIN SCOTT</v>
      </c>
    </row>
    <row r="140" spans="1:7" x14ac:dyDescent="0.25">
      <c r="A140" s="8">
        <v>42835.600243055553</v>
      </c>
      <c r="B140" s="20" t="s">
        <v>616</v>
      </c>
      <c r="C140" s="20" t="s">
        <v>630</v>
      </c>
      <c r="D140" s="146">
        <v>3020000</v>
      </c>
      <c r="E140" s="20" t="s">
        <v>751</v>
      </c>
      <c r="F140" s="20" t="s">
        <v>752</v>
      </c>
      <c r="G140" s="8" t="str">
        <f t="shared" si="2"/>
        <v>MENGES BRAD</v>
      </c>
    </row>
    <row r="141" spans="1:7" x14ac:dyDescent="0.25">
      <c r="A141" s="8">
        <v>42835.606261574074</v>
      </c>
      <c r="B141" s="20" t="s">
        <v>628</v>
      </c>
      <c r="C141" s="20" t="s">
        <v>753</v>
      </c>
      <c r="D141" s="146">
        <v>880000</v>
      </c>
      <c r="E141" s="20" t="s">
        <v>539</v>
      </c>
      <c r="F141" s="20" t="s">
        <v>196</v>
      </c>
      <c r="G141" s="8" t="str">
        <f t="shared" si="2"/>
        <v>STEWART MICHAEL</v>
      </c>
    </row>
    <row r="142" spans="1:7" x14ac:dyDescent="0.25">
      <c r="A142" s="8">
        <v>42835.608622685184</v>
      </c>
      <c r="B142" s="20" t="s">
        <v>379</v>
      </c>
      <c r="C142" s="20" t="s">
        <v>761</v>
      </c>
      <c r="D142" s="146">
        <v>1300000</v>
      </c>
      <c r="E142" s="20" t="s">
        <v>540</v>
      </c>
      <c r="F142" s="20" t="s">
        <v>541</v>
      </c>
      <c r="G142" s="8" t="str">
        <f t="shared" si="2"/>
        <v>LEVIN SCOTT</v>
      </c>
    </row>
    <row r="143" spans="1:7" x14ac:dyDescent="0.25">
      <c r="A143" s="8">
        <v>42835.611111111109</v>
      </c>
      <c r="B143" s="20" t="s">
        <v>432</v>
      </c>
      <c r="C143" s="20" t="s">
        <v>631</v>
      </c>
      <c r="D143" s="146">
        <v>1120000</v>
      </c>
      <c r="E143" s="20" t="s">
        <v>738</v>
      </c>
      <c r="F143" s="20" t="s">
        <v>739</v>
      </c>
      <c r="G143" s="8" t="str">
        <f t="shared" si="2"/>
        <v>LOCKLEAR TRAVIS</v>
      </c>
    </row>
    <row r="144" spans="1:7" x14ac:dyDescent="0.25">
      <c r="A144" s="8">
        <v>42835.611446759256</v>
      </c>
      <c r="B144" s="20" t="s">
        <v>402</v>
      </c>
      <c r="C144" s="20" t="s">
        <v>762</v>
      </c>
      <c r="D144" s="146">
        <v>2970000</v>
      </c>
      <c r="E144" s="20" t="s">
        <v>439</v>
      </c>
      <c r="F144" s="20" t="s">
        <v>440</v>
      </c>
      <c r="G144" s="8" t="str">
        <f t="shared" si="2"/>
        <v>GUZMAN DANNY</v>
      </c>
    </row>
    <row r="145" spans="1:7" x14ac:dyDescent="0.25">
      <c r="A145" s="8">
        <v>42835.615335648145</v>
      </c>
      <c r="B145" s="20" t="s">
        <v>593</v>
      </c>
      <c r="C145" s="20" t="s">
        <v>763</v>
      </c>
      <c r="D145" s="146">
        <v>920000</v>
      </c>
      <c r="E145" s="20" t="s">
        <v>537</v>
      </c>
      <c r="F145" s="20" t="s">
        <v>196</v>
      </c>
      <c r="G145" s="8" t="str">
        <f t="shared" si="2"/>
        <v>DAVIS MICHAEL</v>
      </c>
    </row>
    <row r="146" spans="1:7" x14ac:dyDescent="0.25">
      <c r="A146" s="8">
        <v>42835.616932870369</v>
      </c>
      <c r="B146" s="20" t="s">
        <v>628</v>
      </c>
      <c r="C146" s="20" t="s">
        <v>629</v>
      </c>
      <c r="D146" s="146">
        <v>880000</v>
      </c>
      <c r="E146" s="20" t="s">
        <v>539</v>
      </c>
      <c r="F146" s="20" t="s">
        <v>196</v>
      </c>
      <c r="G146" s="8" t="str">
        <f t="shared" si="2"/>
        <v>STEWART MICHAEL</v>
      </c>
    </row>
    <row r="147" spans="1:7" x14ac:dyDescent="0.25">
      <c r="A147" s="8">
        <v>42835.622627314813</v>
      </c>
      <c r="B147" s="20" t="s">
        <v>450</v>
      </c>
      <c r="C147" s="20" t="s">
        <v>632</v>
      </c>
      <c r="D147" s="146">
        <v>930000</v>
      </c>
      <c r="E147" s="20" t="s">
        <v>732</v>
      </c>
      <c r="F147" s="20" t="s">
        <v>733</v>
      </c>
      <c r="G147" s="8" t="str">
        <f t="shared" si="2"/>
        <v>CLARK KATHLEEN</v>
      </c>
    </row>
    <row r="148" spans="1:7" x14ac:dyDescent="0.25">
      <c r="A148" s="8">
        <v>42835.630289351851</v>
      </c>
      <c r="B148" s="20" t="s">
        <v>476</v>
      </c>
      <c r="C148" s="20" t="s">
        <v>764</v>
      </c>
      <c r="D148" s="146">
        <v>2560000</v>
      </c>
      <c r="E148" s="20" t="s">
        <v>511</v>
      </c>
      <c r="F148" s="20" t="s">
        <v>512</v>
      </c>
      <c r="G148" s="8" t="str">
        <f t="shared" si="2"/>
        <v>MACDONALD THOMAS</v>
      </c>
    </row>
    <row r="149" spans="1:7" x14ac:dyDescent="0.25">
      <c r="A149" s="8">
        <v>42835.633310185185</v>
      </c>
      <c r="B149" s="20" t="s">
        <v>663</v>
      </c>
      <c r="C149" s="20" t="s">
        <v>765</v>
      </c>
      <c r="D149" s="146">
        <v>2470000</v>
      </c>
      <c r="E149" s="20" t="s">
        <v>735</v>
      </c>
      <c r="F149" s="20" t="s">
        <v>736</v>
      </c>
      <c r="G149" s="8" t="str">
        <f t="shared" si="2"/>
        <v>ROMERO CHAD</v>
      </c>
    </row>
    <row r="150" spans="1:7" x14ac:dyDescent="0.25">
      <c r="A150" s="8">
        <v>42835.638009259259</v>
      </c>
      <c r="B150" s="20" t="s">
        <v>380</v>
      </c>
      <c r="C150" s="20" t="s">
        <v>766</v>
      </c>
      <c r="D150" s="146">
        <v>1300000</v>
      </c>
      <c r="E150" s="20" t="s">
        <v>540</v>
      </c>
      <c r="F150" s="20" t="s">
        <v>541</v>
      </c>
      <c r="G150" s="8" t="str">
        <f t="shared" si="2"/>
        <v>LEVIN SCOTT</v>
      </c>
    </row>
    <row r="151" spans="1:7" x14ac:dyDescent="0.25">
      <c r="A151" s="8">
        <v>42835.638888888891</v>
      </c>
      <c r="B151" s="20" t="s">
        <v>599</v>
      </c>
      <c r="C151" s="20" t="s">
        <v>767</v>
      </c>
      <c r="D151" s="146">
        <v>1810000</v>
      </c>
      <c r="E151" s="20" t="s">
        <v>396</v>
      </c>
      <c r="F151" s="20" t="s">
        <v>193</v>
      </c>
      <c r="G151" s="8" t="str">
        <f t="shared" si="2"/>
        <v>NEWELL JAMES</v>
      </c>
    </row>
    <row r="152" spans="1:7" x14ac:dyDescent="0.25">
      <c r="A152" s="8">
        <v>42835.64135416667</v>
      </c>
      <c r="B152" s="20" t="s">
        <v>589</v>
      </c>
      <c r="C152" s="20" t="s">
        <v>768</v>
      </c>
      <c r="D152" s="146">
        <v>880000</v>
      </c>
      <c r="E152" s="20" t="s">
        <v>539</v>
      </c>
      <c r="F152" s="20" t="s">
        <v>196</v>
      </c>
      <c r="G152" s="8" t="str">
        <f t="shared" si="2"/>
        <v>STEWART MICHAEL</v>
      </c>
    </row>
    <row r="153" spans="1:7" x14ac:dyDescent="0.25">
      <c r="A153" s="8">
        <v>42835.643888888888</v>
      </c>
      <c r="B153" s="20" t="s">
        <v>438</v>
      </c>
      <c r="C153" s="20" t="s">
        <v>769</v>
      </c>
      <c r="D153" s="146">
        <v>1120000</v>
      </c>
      <c r="E153" s="20" t="s">
        <v>738</v>
      </c>
      <c r="F153" s="20" t="s">
        <v>739</v>
      </c>
      <c r="G153" s="8" t="str">
        <f t="shared" si="2"/>
        <v>LOCKLEAR TRAVIS</v>
      </c>
    </row>
    <row r="154" spans="1:7" x14ac:dyDescent="0.25">
      <c r="A154" s="8">
        <v>42835.647546296299</v>
      </c>
      <c r="B154" s="20" t="s">
        <v>596</v>
      </c>
      <c r="C154" s="20" t="s">
        <v>633</v>
      </c>
      <c r="D154" s="146">
        <v>1810000</v>
      </c>
      <c r="E154" s="20" t="s">
        <v>396</v>
      </c>
      <c r="F154" s="20" t="s">
        <v>193</v>
      </c>
      <c r="G154" s="8" t="str">
        <f t="shared" si="2"/>
        <v>NEWELL JAMES</v>
      </c>
    </row>
    <row r="155" spans="1:7" x14ac:dyDescent="0.25">
      <c r="A155" s="8">
        <v>42835.651180555556</v>
      </c>
      <c r="B155" s="20" t="s">
        <v>379</v>
      </c>
      <c r="C155" s="20" t="s">
        <v>770</v>
      </c>
      <c r="D155" s="146">
        <v>1300000</v>
      </c>
      <c r="E155" s="20" t="s">
        <v>540</v>
      </c>
      <c r="F155" s="20" t="s">
        <v>541</v>
      </c>
      <c r="G155" s="8" t="str">
        <f t="shared" si="2"/>
        <v>LEVIN SCOTT</v>
      </c>
    </row>
    <row r="156" spans="1:7" x14ac:dyDescent="0.25">
      <c r="A156" s="8">
        <v>42835.651944444442</v>
      </c>
      <c r="B156" s="20" t="s">
        <v>614</v>
      </c>
      <c r="C156" s="20" t="s">
        <v>771</v>
      </c>
      <c r="D156" s="146">
        <v>920000</v>
      </c>
      <c r="E156" s="20" t="s">
        <v>537</v>
      </c>
      <c r="F156" s="20" t="s">
        <v>196</v>
      </c>
      <c r="G156" s="8" t="str">
        <f t="shared" si="2"/>
        <v>DAVIS MICHAEL</v>
      </c>
    </row>
    <row r="157" spans="1:7" x14ac:dyDescent="0.25">
      <c r="A157" s="8">
        <v>42835.653495370374</v>
      </c>
      <c r="B157" s="20" t="s">
        <v>401</v>
      </c>
      <c r="C157" s="20" t="s">
        <v>634</v>
      </c>
      <c r="D157" s="146">
        <v>2970000</v>
      </c>
      <c r="E157" s="20" t="s">
        <v>439</v>
      </c>
      <c r="F157" s="20" t="s">
        <v>440</v>
      </c>
      <c r="G157" s="8" t="str">
        <f t="shared" si="2"/>
        <v>GUZMAN DANNY</v>
      </c>
    </row>
    <row r="158" spans="1:7" x14ac:dyDescent="0.25">
      <c r="A158" s="8">
        <v>42835.661134259259</v>
      </c>
      <c r="B158" s="20" t="s">
        <v>447</v>
      </c>
      <c r="C158" s="20" t="s">
        <v>772</v>
      </c>
      <c r="D158" s="146">
        <v>930000</v>
      </c>
      <c r="E158" s="20" t="s">
        <v>732</v>
      </c>
      <c r="F158" s="20" t="s">
        <v>733</v>
      </c>
      <c r="G158" s="8" t="str">
        <f t="shared" si="2"/>
        <v>CLARK KATHLEEN</v>
      </c>
    </row>
    <row r="159" spans="1:7" x14ac:dyDescent="0.25">
      <c r="A159" s="8">
        <v>42835.661712962959</v>
      </c>
      <c r="B159" s="20" t="s">
        <v>477</v>
      </c>
      <c r="C159" s="20" t="s">
        <v>773</v>
      </c>
      <c r="D159" s="146">
        <v>2360000</v>
      </c>
      <c r="E159" s="20" t="s">
        <v>509</v>
      </c>
      <c r="F159" s="20" t="s">
        <v>510</v>
      </c>
      <c r="G159" s="8" t="str">
        <f t="shared" si="2"/>
        <v>BRANDNER MELINDA</v>
      </c>
    </row>
    <row r="160" spans="1:7" x14ac:dyDescent="0.25">
      <c r="A160" s="8">
        <v>42835.67082175926</v>
      </c>
      <c r="B160" s="20" t="s">
        <v>599</v>
      </c>
      <c r="C160" s="20" t="s">
        <v>635</v>
      </c>
      <c r="D160" s="146">
        <v>1810000</v>
      </c>
      <c r="E160" s="20" t="s">
        <v>396</v>
      </c>
      <c r="F160" s="20" t="s">
        <v>193</v>
      </c>
      <c r="G160" s="8" t="str">
        <f t="shared" si="2"/>
        <v>NEWELL JAMES</v>
      </c>
    </row>
    <row r="161" spans="1:7" x14ac:dyDescent="0.25">
      <c r="A161" s="8">
        <v>42835.671875</v>
      </c>
      <c r="B161" s="20" t="s">
        <v>616</v>
      </c>
      <c r="C161" s="20" t="s">
        <v>774</v>
      </c>
      <c r="D161" s="146">
        <v>2470000</v>
      </c>
      <c r="E161" s="20" t="s">
        <v>735</v>
      </c>
      <c r="F161" s="20" t="s">
        <v>736</v>
      </c>
      <c r="G161" s="8" t="str">
        <f t="shared" si="2"/>
        <v>ROMERO CHAD</v>
      </c>
    </row>
    <row r="162" spans="1:7" x14ac:dyDescent="0.25">
      <c r="A162" s="8">
        <v>42835.676168981481</v>
      </c>
      <c r="B162" s="20" t="s">
        <v>628</v>
      </c>
      <c r="C162" s="20" t="s">
        <v>636</v>
      </c>
      <c r="D162" s="146">
        <v>880000</v>
      </c>
      <c r="E162" s="20" t="s">
        <v>539</v>
      </c>
      <c r="F162" s="20" t="s">
        <v>196</v>
      </c>
      <c r="G162" s="8" t="str">
        <f t="shared" si="2"/>
        <v>STEWART MICHAEL</v>
      </c>
    </row>
    <row r="163" spans="1:7" x14ac:dyDescent="0.25">
      <c r="A163" s="8">
        <v>42835.679479166669</v>
      </c>
      <c r="B163" s="20" t="s">
        <v>380</v>
      </c>
      <c r="C163" s="20" t="s">
        <v>775</v>
      </c>
      <c r="D163" s="146">
        <v>1300000</v>
      </c>
      <c r="E163" s="20" t="s">
        <v>540</v>
      </c>
      <c r="F163" s="20" t="s">
        <v>541</v>
      </c>
      <c r="G163" s="8" t="str">
        <f t="shared" si="2"/>
        <v>LEVIN SCOTT</v>
      </c>
    </row>
    <row r="164" spans="1:7" x14ac:dyDescent="0.25">
      <c r="A164" s="8">
        <v>42835.682152777779</v>
      </c>
      <c r="B164" s="20" t="s">
        <v>432</v>
      </c>
      <c r="C164" s="20" t="s">
        <v>638</v>
      </c>
      <c r="D164" s="146">
        <v>1120000</v>
      </c>
      <c r="E164" s="20" t="s">
        <v>738</v>
      </c>
      <c r="F164" s="20" t="s">
        <v>739</v>
      </c>
      <c r="G164" s="8" t="str">
        <f t="shared" si="2"/>
        <v>LOCKLEAR TRAVIS</v>
      </c>
    </row>
    <row r="165" spans="1:7" x14ac:dyDescent="0.25">
      <c r="A165" s="8">
        <v>42835.686423611114</v>
      </c>
      <c r="B165" s="20" t="s">
        <v>402</v>
      </c>
      <c r="C165" s="20" t="s">
        <v>776</v>
      </c>
      <c r="D165" s="146">
        <v>2970000</v>
      </c>
      <c r="E165" s="20" t="s">
        <v>439</v>
      </c>
      <c r="F165" s="20" t="s">
        <v>440</v>
      </c>
      <c r="G165" s="8" t="str">
        <f t="shared" si="2"/>
        <v>GUZMAN DANNY</v>
      </c>
    </row>
    <row r="166" spans="1:7" x14ac:dyDescent="0.25">
      <c r="A166" s="8">
        <v>42835.686990740738</v>
      </c>
      <c r="B166" s="20" t="s">
        <v>596</v>
      </c>
      <c r="C166" s="20" t="s">
        <v>777</v>
      </c>
      <c r="D166" s="146">
        <v>1810000</v>
      </c>
      <c r="E166" s="20" t="s">
        <v>396</v>
      </c>
      <c r="F166" s="20" t="s">
        <v>193</v>
      </c>
      <c r="G166" s="8" t="str">
        <f t="shared" si="2"/>
        <v>NEWELL JAMES</v>
      </c>
    </row>
    <row r="167" spans="1:7" x14ac:dyDescent="0.25">
      <c r="A167" s="8">
        <v>42835.688287037039</v>
      </c>
      <c r="B167" s="20" t="s">
        <v>593</v>
      </c>
      <c r="C167" s="20" t="s">
        <v>778</v>
      </c>
      <c r="D167" s="146">
        <v>920000</v>
      </c>
      <c r="E167" s="20" t="s">
        <v>537</v>
      </c>
      <c r="F167" s="20" t="s">
        <v>196</v>
      </c>
      <c r="G167" s="8" t="str">
        <f t="shared" si="2"/>
        <v>DAVIS MICHAEL</v>
      </c>
    </row>
    <row r="168" spans="1:7" x14ac:dyDescent="0.25">
      <c r="A168" s="8">
        <v>42835.692094907405</v>
      </c>
      <c r="B168" s="20" t="s">
        <v>379</v>
      </c>
      <c r="C168" s="20" t="s">
        <v>637</v>
      </c>
      <c r="D168" s="146">
        <v>1300000</v>
      </c>
      <c r="E168" s="20" t="s">
        <v>540</v>
      </c>
      <c r="F168" s="20" t="s">
        <v>541</v>
      </c>
      <c r="G168" s="8" t="str">
        <f t="shared" si="2"/>
        <v>LEVIN SCOTT</v>
      </c>
    </row>
    <row r="169" spans="1:7" x14ac:dyDescent="0.25">
      <c r="A169" s="8">
        <v>42835.695509259262</v>
      </c>
      <c r="B169" s="20" t="s">
        <v>450</v>
      </c>
      <c r="C169" s="20" t="s">
        <v>779</v>
      </c>
      <c r="D169" s="146">
        <v>930000</v>
      </c>
      <c r="E169" s="20" t="s">
        <v>732</v>
      </c>
      <c r="F169" s="20" t="s">
        <v>733</v>
      </c>
      <c r="G169" s="8" t="str">
        <f t="shared" si="2"/>
        <v>CLARK KATHLEEN</v>
      </c>
    </row>
    <row r="170" spans="1:7" x14ac:dyDescent="0.25">
      <c r="A170" s="8">
        <v>42835.703611111108</v>
      </c>
      <c r="B170" s="20" t="s">
        <v>476</v>
      </c>
      <c r="C170" s="20" t="s">
        <v>780</v>
      </c>
      <c r="D170" s="146">
        <v>2360000</v>
      </c>
      <c r="E170" s="20" t="s">
        <v>509</v>
      </c>
      <c r="F170" s="20" t="s">
        <v>510</v>
      </c>
      <c r="G170" s="8" t="str">
        <f t="shared" si="2"/>
        <v>BRANDNER MELINDA</v>
      </c>
    </row>
    <row r="171" spans="1:7" x14ac:dyDescent="0.25">
      <c r="A171" s="8">
        <v>42835.705347222225</v>
      </c>
      <c r="B171" s="20" t="s">
        <v>663</v>
      </c>
      <c r="C171" s="20" t="s">
        <v>781</v>
      </c>
      <c r="D171" s="146">
        <v>3020000</v>
      </c>
      <c r="E171" s="20" t="s">
        <v>751</v>
      </c>
      <c r="F171" s="20" t="s">
        <v>752</v>
      </c>
      <c r="G171" s="8" t="str">
        <f t="shared" si="2"/>
        <v>MENGES BRAD</v>
      </c>
    </row>
    <row r="172" spans="1:7" x14ac:dyDescent="0.25">
      <c r="A172" s="8">
        <v>42835.712337962963</v>
      </c>
      <c r="B172" s="20" t="s">
        <v>599</v>
      </c>
      <c r="C172" s="20" t="s">
        <v>782</v>
      </c>
      <c r="D172" s="146">
        <v>1810000</v>
      </c>
      <c r="E172" s="20" t="s">
        <v>396</v>
      </c>
      <c r="F172" s="20" t="s">
        <v>193</v>
      </c>
      <c r="G172" s="8" t="str">
        <f t="shared" si="2"/>
        <v>NEWELL JAMES</v>
      </c>
    </row>
    <row r="173" spans="1:7" x14ac:dyDescent="0.25">
      <c r="A173" s="8">
        <v>42835.713854166665</v>
      </c>
      <c r="B173" s="20" t="s">
        <v>589</v>
      </c>
      <c r="C173" s="20" t="s">
        <v>641</v>
      </c>
      <c r="D173" s="146">
        <v>880000</v>
      </c>
      <c r="E173" s="20" t="s">
        <v>539</v>
      </c>
      <c r="F173" s="20" t="s">
        <v>196</v>
      </c>
      <c r="G173" s="8" t="str">
        <f t="shared" si="2"/>
        <v>STEWART MICHAEL</v>
      </c>
    </row>
    <row r="174" spans="1:7" x14ac:dyDescent="0.25">
      <c r="A174" s="8">
        <v>42835.717777777776</v>
      </c>
      <c r="B174" s="20" t="s">
        <v>438</v>
      </c>
      <c r="C174" s="20" t="s">
        <v>783</v>
      </c>
      <c r="D174" s="146">
        <v>1800000</v>
      </c>
      <c r="E174" s="20" t="s">
        <v>394</v>
      </c>
      <c r="F174" s="20" t="s">
        <v>395</v>
      </c>
      <c r="G174" s="8" t="str">
        <f t="shared" si="2"/>
        <v>CHANDLER KELVIN</v>
      </c>
    </row>
    <row r="175" spans="1:7" x14ac:dyDescent="0.25">
      <c r="A175" s="8">
        <v>42835.719953703701</v>
      </c>
      <c r="B175" s="20" t="s">
        <v>380</v>
      </c>
      <c r="C175" s="20" t="s">
        <v>784</v>
      </c>
      <c r="D175" s="146">
        <v>1300000</v>
      </c>
      <c r="E175" s="20" t="s">
        <v>540</v>
      </c>
      <c r="F175" s="20" t="s">
        <v>541</v>
      </c>
      <c r="G175" s="8" t="str">
        <f t="shared" si="2"/>
        <v>LEVIN SCOTT</v>
      </c>
    </row>
    <row r="176" spans="1:7" x14ac:dyDescent="0.25">
      <c r="A176" s="8">
        <v>42835.724108796298</v>
      </c>
      <c r="B176" s="20" t="s">
        <v>614</v>
      </c>
      <c r="C176" s="20" t="s">
        <v>639</v>
      </c>
      <c r="D176" s="146">
        <v>920000</v>
      </c>
      <c r="E176" s="20" t="s">
        <v>537</v>
      </c>
      <c r="F176" s="20" t="s">
        <v>196</v>
      </c>
      <c r="G176" s="8" t="str">
        <f t="shared" si="2"/>
        <v>DAVIS MICHAEL</v>
      </c>
    </row>
    <row r="177" spans="1:7" x14ac:dyDescent="0.25">
      <c r="A177" s="8">
        <v>42835.727372685185</v>
      </c>
      <c r="B177" s="20" t="s">
        <v>401</v>
      </c>
      <c r="C177" s="20" t="s">
        <v>785</v>
      </c>
      <c r="D177" s="146">
        <v>1120000</v>
      </c>
      <c r="E177" s="20" t="s">
        <v>738</v>
      </c>
      <c r="F177" s="20" t="s">
        <v>739</v>
      </c>
      <c r="G177" s="8" t="str">
        <f t="shared" si="2"/>
        <v>LOCKLEAR TRAVIS</v>
      </c>
    </row>
    <row r="178" spans="1:7" x14ac:dyDescent="0.25">
      <c r="A178" s="8">
        <v>42835.734282407408</v>
      </c>
      <c r="B178" s="20" t="s">
        <v>447</v>
      </c>
      <c r="C178" s="20" t="s">
        <v>786</v>
      </c>
      <c r="D178" s="146">
        <v>930000</v>
      </c>
      <c r="E178" s="20" t="s">
        <v>732</v>
      </c>
      <c r="F178" s="20" t="s">
        <v>733</v>
      </c>
      <c r="G178" s="8" t="str">
        <f t="shared" si="2"/>
        <v>CLARK KATHLEEN</v>
      </c>
    </row>
    <row r="179" spans="1:7" x14ac:dyDescent="0.25">
      <c r="A179" s="8">
        <v>42835.734398148146</v>
      </c>
      <c r="B179" s="20" t="s">
        <v>379</v>
      </c>
      <c r="C179" s="20" t="s">
        <v>640</v>
      </c>
      <c r="D179" s="146">
        <v>1300000</v>
      </c>
      <c r="E179" s="20" t="s">
        <v>540</v>
      </c>
      <c r="F179" s="20" t="s">
        <v>541</v>
      </c>
      <c r="G179" s="8" t="str">
        <f t="shared" si="2"/>
        <v>LEVIN SCOTT</v>
      </c>
    </row>
    <row r="180" spans="1:7" x14ac:dyDescent="0.25">
      <c r="A180" s="8">
        <v>42835.739872685182</v>
      </c>
      <c r="B180" s="20" t="s">
        <v>477</v>
      </c>
      <c r="C180" s="20" t="s">
        <v>787</v>
      </c>
      <c r="D180" s="146">
        <v>2230000</v>
      </c>
      <c r="E180" s="20" t="s">
        <v>381</v>
      </c>
      <c r="F180" s="20" t="s">
        <v>196</v>
      </c>
      <c r="G180" s="8" t="str">
        <f t="shared" si="2"/>
        <v>SMITH MICHAEL</v>
      </c>
    </row>
    <row r="181" spans="1:7" x14ac:dyDescent="0.25">
      <c r="A181" s="8">
        <v>42835.740555555552</v>
      </c>
      <c r="B181" s="20" t="s">
        <v>596</v>
      </c>
      <c r="C181" s="20" t="s">
        <v>643</v>
      </c>
      <c r="D181" s="146">
        <v>1810000</v>
      </c>
      <c r="E181" s="20" t="s">
        <v>396</v>
      </c>
      <c r="F181" s="20" t="s">
        <v>193</v>
      </c>
      <c r="G181" s="8" t="str">
        <f t="shared" si="2"/>
        <v>NEWELL JAMES</v>
      </c>
    </row>
    <row r="182" spans="1:7" x14ac:dyDescent="0.25">
      <c r="A182" s="8">
        <v>42835.746388888889</v>
      </c>
      <c r="B182" s="20" t="s">
        <v>616</v>
      </c>
      <c r="C182" s="20" t="s">
        <v>642</v>
      </c>
      <c r="D182" s="146">
        <v>3020000</v>
      </c>
      <c r="E182" s="20" t="s">
        <v>751</v>
      </c>
      <c r="F182" s="20" t="s">
        <v>752</v>
      </c>
      <c r="G182" s="8" t="str">
        <f t="shared" si="2"/>
        <v>MENGES BRAD</v>
      </c>
    </row>
    <row r="183" spans="1:7" x14ac:dyDescent="0.25">
      <c r="A183" s="8">
        <v>42835.750891203701</v>
      </c>
      <c r="B183" s="20" t="s">
        <v>628</v>
      </c>
      <c r="C183" s="20" t="s">
        <v>788</v>
      </c>
      <c r="D183" s="146">
        <v>2360000</v>
      </c>
      <c r="E183" s="20" t="s">
        <v>509</v>
      </c>
      <c r="F183" s="20" t="s">
        <v>510</v>
      </c>
      <c r="G183" s="8" t="str">
        <f t="shared" si="2"/>
        <v>BRANDNER MELINDA</v>
      </c>
    </row>
    <row r="184" spans="1:7" x14ac:dyDescent="0.25">
      <c r="A184" s="8">
        <v>42835.754780092589</v>
      </c>
      <c r="B184" s="20" t="s">
        <v>599</v>
      </c>
      <c r="C184" s="20" t="s">
        <v>789</v>
      </c>
      <c r="D184" s="146">
        <v>1810000</v>
      </c>
      <c r="E184" s="20" t="s">
        <v>396</v>
      </c>
      <c r="F184" s="20" t="s">
        <v>193</v>
      </c>
      <c r="G184" s="8" t="str">
        <f t="shared" si="2"/>
        <v>NEWELL JAMES</v>
      </c>
    </row>
    <row r="185" spans="1:7" x14ac:dyDescent="0.25">
      <c r="A185" s="8">
        <v>42835.755590277775</v>
      </c>
      <c r="B185" s="20" t="s">
        <v>432</v>
      </c>
      <c r="C185" s="20" t="s">
        <v>790</v>
      </c>
      <c r="D185" s="146">
        <v>1800000</v>
      </c>
      <c r="E185" s="20" t="s">
        <v>394</v>
      </c>
      <c r="F185" s="20" t="s">
        <v>395</v>
      </c>
      <c r="G185" s="8" t="str">
        <f t="shared" si="2"/>
        <v>CHANDLER KELVIN</v>
      </c>
    </row>
    <row r="186" spans="1:7" x14ac:dyDescent="0.25">
      <c r="A186" s="8">
        <v>42835.757650462961</v>
      </c>
      <c r="B186" s="20" t="s">
        <v>505</v>
      </c>
      <c r="C186" s="20" t="s">
        <v>791</v>
      </c>
      <c r="D186" s="146">
        <v>2560000</v>
      </c>
      <c r="E186" s="20" t="s">
        <v>511</v>
      </c>
      <c r="F186" s="20" t="s">
        <v>512</v>
      </c>
      <c r="G186" s="8" t="str">
        <f t="shared" si="2"/>
        <v>MACDONALD THOMAS</v>
      </c>
    </row>
    <row r="187" spans="1:7" x14ac:dyDescent="0.25">
      <c r="A187" s="8">
        <v>42835.757800925923</v>
      </c>
      <c r="B187" s="20" t="s">
        <v>380</v>
      </c>
      <c r="C187" s="20" t="s">
        <v>792</v>
      </c>
      <c r="D187" s="146">
        <v>1300000</v>
      </c>
      <c r="E187" s="20" t="s">
        <v>540</v>
      </c>
      <c r="F187" s="20" t="s">
        <v>541</v>
      </c>
      <c r="G187" s="8" t="str">
        <f t="shared" si="2"/>
        <v>LEVIN SCOTT</v>
      </c>
    </row>
    <row r="188" spans="1:7" x14ac:dyDescent="0.25">
      <c r="A188" s="8">
        <v>42835.758148148147</v>
      </c>
      <c r="B188" s="20" t="s">
        <v>505</v>
      </c>
      <c r="C188" s="20" t="s">
        <v>793</v>
      </c>
      <c r="D188" s="146">
        <v>2560000</v>
      </c>
      <c r="E188" s="20" t="s">
        <v>511</v>
      </c>
      <c r="F188" s="20" t="s">
        <v>512</v>
      </c>
      <c r="G188" s="8" t="str">
        <f t="shared" si="2"/>
        <v>MACDONALD THOMAS</v>
      </c>
    </row>
    <row r="189" spans="1:7" x14ac:dyDescent="0.25">
      <c r="A189" s="8">
        <v>42835.758796296293</v>
      </c>
      <c r="B189" s="20" t="s">
        <v>505</v>
      </c>
      <c r="C189" s="20" t="s">
        <v>793</v>
      </c>
      <c r="D189" s="146">
        <v>2560000</v>
      </c>
      <c r="E189" s="20" t="s">
        <v>511</v>
      </c>
      <c r="F189" s="20" t="s">
        <v>512</v>
      </c>
      <c r="G189" s="8" t="str">
        <f t="shared" si="2"/>
        <v>MACDONALD THOMAS</v>
      </c>
    </row>
    <row r="190" spans="1:7" x14ac:dyDescent="0.25">
      <c r="A190" s="8">
        <v>42835.759525462963</v>
      </c>
      <c r="B190" s="20" t="s">
        <v>593</v>
      </c>
      <c r="C190" s="20" t="s">
        <v>645</v>
      </c>
      <c r="D190" s="146">
        <v>2000000</v>
      </c>
      <c r="E190" s="20" t="s">
        <v>376</v>
      </c>
      <c r="F190" s="20" t="s">
        <v>193</v>
      </c>
      <c r="G190" s="8" t="str">
        <f t="shared" si="2"/>
        <v>STAMBAUGH JAMES</v>
      </c>
    </row>
    <row r="191" spans="1:7" x14ac:dyDescent="0.25">
      <c r="A191" s="8">
        <v>42835.759525462963</v>
      </c>
      <c r="B191" s="20" t="s">
        <v>505</v>
      </c>
      <c r="C191" s="20" t="s">
        <v>793</v>
      </c>
      <c r="D191" s="146">
        <v>2560000</v>
      </c>
      <c r="E191" s="20" t="s">
        <v>511</v>
      </c>
      <c r="F191" s="20" t="s">
        <v>512</v>
      </c>
      <c r="G191" s="8" t="str">
        <f t="shared" si="2"/>
        <v>MACDONALD THOMAS</v>
      </c>
    </row>
    <row r="192" spans="1:7" x14ac:dyDescent="0.25">
      <c r="A192" s="8">
        <v>42835.76730324074</v>
      </c>
      <c r="B192" s="20" t="s">
        <v>402</v>
      </c>
      <c r="C192" s="20" t="s">
        <v>794</v>
      </c>
      <c r="D192" s="146">
        <v>1120000</v>
      </c>
      <c r="E192" s="20" t="s">
        <v>738</v>
      </c>
      <c r="F192" s="20" t="s">
        <v>739</v>
      </c>
      <c r="G192" s="8" t="str">
        <f t="shared" si="2"/>
        <v>LOCKLEAR TRAVIS</v>
      </c>
    </row>
    <row r="193" spans="1:7" x14ac:dyDescent="0.25">
      <c r="A193" s="8">
        <v>42835.770949074074</v>
      </c>
      <c r="B193" s="20" t="s">
        <v>450</v>
      </c>
      <c r="C193" s="20" t="s">
        <v>795</v>
      </c>
      <c r="D193" s="146">
        <v>3000000</v>
      </c>
      <c r="E193" s="20" t="s">
        <v>796</v>
      </c>
      <c r="F193" s="20" t="s">
        <v>797</v>
      </c>
      <c r="G193" s="8" t="str">
        <f t="shared" si="2"/>
        <v>FORTUNATO FRANK</v>
      </c>
    </row>
    <row r="194" spans="1:7" x14ac:dyDescent="0.25">
      <c r="A194" s="8">
        <v>42835.772349537037</v>
      </c>
      <c r="B194" s="20" t="s">
        <v>476</v>
      </c>
      <c r="C194" s="20" t="s">
        <v>798</v>
      </c>
      <c r="D194" s="146">
        <v>2230000</v>
      </c>
      <c r="E194" s="20" t="s">
        <v>381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42835.775127314817</v>
      </c>
      <c r="B195" s="20" t="s">
        <v>379</v>
      </c>
      <c r="C195" s="20" t="s">
        <v>644</v>
      </c>
      <c r="D195" s="146">
        <v>1300000</v>
      </c>
      <c r="E195" s="20" t="s">
        <v>540</v>
      </c>
      <c r="F195" s="20" t="s">
        <v>541</v>
      </c>
      <c r="G195" s="8" t="str">
        <f t="shared" ref="G195:G258" si="3">E195&amp;" "&amp;F195</f>
        <v>LEVIN SCOTT</v>
      </c>
    </row>
    <row r="196" spans="1:7" x14ac:dyDescent="0.25">
      <c r="A196" s="8">
        <v>42835.77542824074</v>
      </c>
      <c r="B196" s="20" t="s">
        <v>377</v>
      </c>
      <c r="C196" s="20" t="s">
        <v>799</v>
      </c>
      <c r="D196" s="146">
        <v>2630000</v>
      </c>
      <c r="E196" s="20" t="s">
        <v>545</v>
      </c>
      <c r="F196" s="20" t="s">
        <v>546</v>
      </c>
      <c r="G196" s="8" t="str">
        <f t="shared" si="3"/>
        <v>SAFIEF AEIMEN</v>
      </c>
    </row>
    <row r="197" spans="1:7" x14ac:dyDescent="0.25">
      <c r="A197" s="8">
        <v>42835.779189814813</v>
      </c>
      <c r="B197" s="20" t="s">
        <v>663</v>
      </c>
      <c r="C197" s="20" t="s">
        <v>800</v>
      </c>
      <c r="D197" s="146">
        <v>3020000</v>
      </c>
      <c r="E197" s="20" t="s">
        <v>751</v>
      </c>
      <c r="F197" s="20" t="s">
        <v>752</v>
      </c>
      <c r="G197" s="8" t="str">
        <f t="shared" si="3"/>
        <v>MENGES BRAD</v>
      </c>
    </row>
    <row r="198" spans="1:7" x14ac:dyDescent="0.25">
      <c r="A198" s="8">
        <v>42835.782071759262</v>
      </c>
      <c r="B198" s="20" t="s">
        <v>596</v>
      </c>
      <c r="C198" s="20" t="s">
        <v>801</v>
      </c>
      <c r="D198" s="146">
        <v>1810000</v>
      </c>
      <c r="E198" s="20" t="s">
        <v>396</v>
      </c>
      <c r="F198" s="20" t="s">
        <v>193</v>
      </c>
      <c r="G198" s="8" t="str">
        <f t="shared" si="3"/>
        <v>NEWELL JAMES</v>
      </c>
    </row>
    <row r="199" spans="1:7" x14ac:dyDescent="0.25">
      <c r="A199" s="8">
        <v>42835.784722222219</v>
      </c>
      <c r="B199" s="20" t="s">
        <v>589</v>
      </c>
      <c r="C199" s="20" t="s">
        <v>646</v>
      </c>
      <c r="D199" s="146">
        <v>2360000</v>
      </c>
      <c r="E199" s="20" t="s">
        <v>509</v>
      </c>
      <c r="F199" s="20" t="s">
        <v>510</v>
      </c>
      <c r="G199" s="8" t="str">
        <f t="shared" si="3"/>
        <v>BRANDNER MELINDA</v>
      </c>
    </row>
    <row r="200" spans="1:7" x14ac:dyDescent="0.25">
      <c r="A200" s="8">
        <v>42835.791990740741</v>
      </c>
      <c r="B200" s="20" t="s">
        <v>438</v>
      </c>
      <c r="C200" s="20" t="s">
        <v>802</v>
      </c>
      <c r="D200" s="146">
        <v>1800000</v>
      </c>
      <c r="E200" s="20" t="s">
        <v>394</v>
      </c>
      <c r="F200" s="20" t="s">
        <v>395</v>
      </c>
      <c r="G200" s="8" t="str">
        <f t="shared" si="3"/>
        <v>CHANDLER KELVIN</v>
      </c>
    </row>
    <row r="201" spans="1:7" x14ac:dyDescent="0.25">
      <c r="A201" s="8">
        <v>42835.796736111108</v>
      </c>
      <c r="B201" s="20" t="s">
        <v>614</v>
      </c>
      <c r="C201" s="20" t="s">
        <v>647</v>
      </c>
      <c r="D201" s="146">
        <v>3010000</v>
      </c>
      <c r="E201" s="20" t="s">
        <v>481</v>
      </c>
      <c r="F201" s="20" t="s">
        <v>482</v>
      </c>
      <c r="G201" s="8" t="str">
        <f t="shared" si="3"/>
        <v>SULLIVAN BRANDON</v>
      </c>
    </row>
    <row r="202" spans="1:7" x14ac:dyDescent="0.25">
      <c r="A202" s="26">
        <v>42835.797013888892</v>
      </c>
      <c r="B202" s="20" t="s">
        <v>599</v>
      </c>
      <c r="C202" s="20" t="s">
        <v>803</v>
      </c>
      <c r="D202" s="146">
        <v>1810000</v>
      </c>
      <c r="E202" s="20" t="s">
        <v>396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42835.798032407409</v>
      </c>
      <c r="B203" s="20" t="s">
        <v>380</v>
      </c>
      <c r="C203" s="20" t="s">
        <v>804</v>
      </c>
      <c r="D203" s="146">
        <v>1300000</v>
      </c>
      <c r="E203" s="20" t="s">
        <v>540</v>
      </c>
      <c r="F203" s="20" t="s">
        <v>541</v>
      </c>
      <c r="G203" s="8" t="str">
        <f t="shared" si="3"/>
        <v>LEVIN SCOTT</v>
      </c>
    </row>
    <row r="204" spans="1:7" x14ac:dyDescent="0.25">
      <c r="A204" s="8">
        <v>42835.798854166664</v>
      </c>
      <c r="B204" s="20" t="s">
        <v>401</v>
      </c>
      <c r="C204" s="20" t="s">
        <v>805</v>
      </c>
      <c r="D204" s="146">
        <v>1120000</v>
      </c>
      <c r="E204" s="20" t="s">
        <v>738</v>
      </c>
      <c r="F204" s="20" t="s">
        <v>739</v>
      </c>
      <c r="G204" s="8" t="str">
        <f t="shared" si="3"/>
        <v>LOCKLEAR TRAVIS</v>
      </c>
    </row>
    <row r="205" spans="1:7" x14ac:dyDescent="0.25">
      <c r="A205" s="8">
        <v>42835.803483796299</v>
      </c>
      <c r="B205" s="20" t="s">
        <v>447</v>
      </c>
      <c r="C205" s="20" t="s">
        <v>649</v>
      </c>
      <c r="D205" s="146">
        <v>3000000</v>
      </c>
      <c r="E205" s="20" t="s">
        <v>796</v>
      </c>
      <c r="F205" s="20" t="s">
        <v>797</v>
      </c>
      <c r="G205" s="8" t="str">
        <f t="shared" si="3"/>
        <v>FORTUNATO FRANK</v>
      </c>
    </row>
    <row r="206" spans="1:7" x14ac:dyDescent="0.25">
      <c r="A206" s="8">
        <v>42835.808854166666</v>
      </c>
      <c r="B206" s="20" t="s">
        <v>477</v>
      </c>
      <c r="C206" s="20" t="s">
        <v>806</v>
      </c>
      <c r="D206" s="146">
        <v>2230000</v>
      </c>
      <c r="E206" s="20" t="s">
        <v>381</v>
      </c>
      <c r="F206" s="20" t="s">
        <v>196</v>
      </c>
      <c r="G206" s="8" t="str">
        <f t="shared" si="3"/>
        <v>SMITH MICHAEL</v>
      </c>
    </row>
    <row r="207" spans="1:7" x14ac:dyDescent="0.25">
      <c r="A207" s="8">
        <v>42835.81726851852</v>
      </c>
      <c r="B207" s="20" t="s">
        <v>379</v>
      </c>
      <c r="C207" s="20" t="s">
        <v>648</v>
      </c>
      <c r="D207" s="146">
        <v>1300000</v>
      </c>
      <c r="E207" s="20" t="s">
        <v>540</v>
      </c>
      <c r="F207" s="20" t="s">
        <v>541</v>
      </c>
      <c r="G207" s="8" t="str">
        <f t="shared" si="3"/>
        <v>LEVIN SCOTT</v>
      </c>
    </row>
    <row r="208" spans="1:7" x14ac:dyDescent="0.25">
      <c r="A208" s="8">
        <v>42835.821261574078</v>
      </c>
      <c r="B208" s="20" t="s">
        <v>628</v>
      </c>
      <c r="C208" s="20" t="s">
        <v>807</v>
      </c>
      <c r="D208" s="146">
        <v>2360000</v>
      </c>
      <c r="E208" s="20" t="s">
        <v>509</v>
      </c>
      <c r="F208" s="20" t="s">
        <v>510</v>
      </c>
      <c r="G208" s="8" t="str">
        <f t="shared" si="3"/>
        <v>BRANDNER MELINDA</v>
      </c>
    </row>
    <row r="209" spans="1:7" x14ac:dyDescent="0.25">
      <c r="A209" s="8">
        <v>42835.8278125</v>
      </c>
      <c r="B209" s="20" t="s">
        <v>432</v>
      </c>
      <c r="C209" s="20" t="s">
        <v>808</v>
      </c>
      <c r="D209" s="146">
        <v>1800000</v>
      </c>
      <c r="E209" s="20" t="s">
        <v>394</v>
      </c>
      <c r="F209" s="20" t="s">
        <v>395</v>
      </c>
      <c r="G209" s="8" t="str">
        <f t="shared" si="3"/>
        <v>CHANDLER KELVIN</v>
      </c>
    </row>
    <row r="210" spans="1:7" x14ac:dyDescent="0.25">
      <c r="A210" s="8">
        <v>42835.830277777779</v>
      </c>
      <c r="B210" s="20" t="s">
        <v>593</v>
      </c>
      <c r="C210" s="20" t="s">
        <v>809</v>
      </c>
      <c r="D210" s="146">
        <v>3010000</v>
      </c>
      <c r="E210" s="20" t="s">
        <v>481</v>
      </c>
      <c r="F210" s="20" t="s">
        <v>482</v>
      </c>
      <c r="G210" s="8" t="str">
        <f t="shared" si="3"/>
        <v>SULLIVAN BRANDON</v>
      </c>
    </row>
    <row r="211" spans="1:7" x14ac:dyDescent="0.25">
      <c r="A211" s="8">
        <v>42835.84039351852</v>
      </c>
      <c r="B211" s="20" t="s">
        <v>476</v>
      </c>
      <c r="C211" s="20" t="s">
        <v>810</v>
      </c>
      <c r="D211" s="146">
        <v>2230000</v>
      </c>
      <c r="E211" s="20" t="s">
        <v>381</v>
      </c>
      <c r="F211" s="20" t="s">
        <v>196</v>
      </c>
      <c r="G211" s="8" t="str">
        <f t="shared" si="3"/>
        <v>SMITH MICHAEL</v>
      </c>
    </row>
    <row r="212" spans="1:7" x14ac:dyDescent="0.25">
      <c r="A212" s="8">
        <v>42835.846284722225</v>
      </c>
      <c r="B212" s="20" t="s">
        <v>380</v>
      </c>
      <c r="C212" s="20" t="s">
        <v>811</v>
      </c>
      <c r="D212" s="146">
        <v>1300000</v>
      </c>
      <c r="E212" s="20" t="s">
        <v>540</v>
      </c>
      <c r="F212" s="20" t="s">
        <v>541</v>
      </c>
      <c r="G212" s="8" t="str">
        <f t="shared" si="3"/>
        <v>LEVIN SCOTT</v>
      </c>
    </row>
    <row r="213" spans="1:7" x14ac:dyDescent="0.25">
      <c r="A213" s="8">
        <v>42835.848611111112</v>
      </c>
      <c r="B213" s="20" t="s">
        <v>450</v>
      </c>
      <c r="C213" s="20" t="s">
        <v>812</v>
      </c>
      <c r="D213" s="146">
        <v>3000000</v>
      </c>
      <c r="E213" s="20" t="s">
        <v>796</v>
      </c>
      <c r="F213" s="20" t="s">
        <v>797</v>
      </c>
      <c r="G213" s="8" t="str">
        <f t="shared" si="3"/>
        <v>FORTUNATO FRANK</v>
      </c>
    </row>
    <row r="214" spans="1:7" x14ac:dyDescent="0.25">
      <c r="A214" s="8">
        <v>42835.859456018516</v>
      </c>
      <c r="B214" s="20" t="s">
        <v>379</v>
      </c>
      <c r="C214" s="20" t="s">
        <v>813</v>
      </c>
      <c r="D214" s="146">
        <v>1300000</v>
      </c>
      <c r="E214" s="20" t="s">
        <v>540</v>
      </c>
      <c r="F214" s="20" t="s">
        <v>541</v>
      </c>
      <c r="G214" s="8" t="str">
        <f t="shared" si="3"/>
        <v>LEVIN SCOTT</v>
      </c>
    </row>
    <row r="215" spans="1:7" x14ac:dyDescent="0.25">
      <c r="A215" s="8">
        <v>42835.867256944446</v>
      </c>
      <c r="B215" s="20" t="s">
        <v>614</v>
      </c>
      <c r="C215" s="20" t="s">
        <v>814</v>
      </c>
      <c r="D215" s="146">
        <v>3010000</v>
      </c>
      <c r="E215" s="20" t="s">
        <v>481</v>
      </c>
      <c r="F215" s="20" t="s">
        <v>482</v>
      </c>
      <c r="G215" s="8" t="str">
        <f t="shared" si="3"/>
        <v>SULLIVAN BRANDON</v>
      </c>
    </row>
    <row r="216" spans="1:7" x14ac:dyDescent="0.25">
      <c r="A216" s="8">
        <v>42835.873217592591</v>
      </c>
      <c r="B216" s="20" t="s">
        <v>438</v>
      </c>
      <c r="C216" s="20" t="s">
        <v>815</v>
      </c>
      <c r="D216" s="146">
        <v>1800000</v>
      </c>
      <c r="E216" s="20" t="s">
        <v>394</v>
      </c>
      <c r="F216" s="20" t="s">
        <v>395</v>
      </c>
      <c r="G216" s="8" t="str">
        <f t="shared" si="3"/>
        <v>CHANDLER KELVIN</v>
      </c>
    </row>
    <row r="217" spans="1:7" x14ac:dyDescent="0.25">
      <c r="A217" s="8">
        <v>42835.875555555554</v>
      </c>
      <c r="B217" s="20" t="s">
        <v>380</v>
      </c>
      <c r="C217" s="20" t="s">
        <v>816</v>
      </c>
      <c r="D217" s="146">
        <v>1810000</v>
      </c>
      <c r="E217" s="20" t="s">
        <v>396</v>
      </c>
      <c r="F217" s="20" t="s">
        <v>193</v>
      </c>
      <c r="G217" s="8" t="str">
        <f t="shared" si="3"/>
        <v>NEWELL JAMES</v>
      </c>
    </row>
    <row r="218" spans="1:7" x14ac:dyDescent="0.25">
      <c r="A218" s="8">
        <v>42835.884745370371</v>
      </c>
      <c r="B218" s="20" t="s">
        <v>477</v>
      </c>
      <c r="C218" s="20" t="s">
        <v>817</v>
      </c>
      <c r="D218" s="146">
        <v>2230000</v>
      </c>
      <c r="E218" s="20" t="s">
        <v>381</v>
      </c>
      <c r="F218" s="20" t="s">
        <v>196</v>
      </c>
      <c r="G218" s="8" t="str">
        <f t="shared" si="3"/>
        <v>SMITH MICHAEL</v>
      </c>
    </row>
    <row r="219" spans="1:7" x14ac:dyDescent="0.25">
      <c r="A219" s="8">
        <v>42835.886932870373</v>
      </c>
      <c r="B219" s="20" t="s">
        <v>447</v>
      </c>
      <c r="C219" s="20" t="s">
        <v>818</v>
      </c>
      <c r="D219" s="146">
        <v>3000000</v>
      </c>
      <c r="E219" s="20" t="s">
        <v>796</v>
      </c>
      <c r="F219" s="20" t="s">
        <v>797</v>
      </c>
      <c r="G219" s="8" t="str">
        <f t="shared" si="3"/>
        <v>FORTUNATO FRANK</v>
      </c>
    </row>
    <row r="220" spans="1:7" x14ac:dyDescent="0.25">
      <c r="A220" s="8">
        <v>42835.900266203702</v>
      </c>
      <c r="B220" s="20" t="s">
        <v>379</v>
      </c>
      <c r="C220" s="20" t="s">
        <v>819</v>
      </c>
      <c r="D220" s="146">
        <v>1810000</v>
      </c>
      <c r="E220" s="20" t="s">
        <v>396</v>
      </c>
      <c r="F220" s="20" t="s">
        <v>193</v>
      </c>
      <c r="G220" s="8" t="str">
        <f t="shared" si="3"/>
        <v>NEWELL JAMES</v>
      </c>
    </row>
    <row r="221" spans="1:7" x14ac:dyDescent="0.25">
      <c r="A221" s="8">
        <v>42835.906388888892</v>
      </c>
      <c r="B221" s="20" t="s">
        <v>593</v>
      </c>
      <c r="C221" s="20" t="s">
        <v>820</v>
      </c>
      <c r="D221" s="146">
        <v>3010000</v>
      </c>
      <c r="E221" s="20" t="s">
        <v>481</v>
      </c>
      <c r="F221" s="20" t="s">
        <v>482</v>
      </c>
      <c r="G221" s="8" t="str">
        <f t="shared" si="3"/>
        <v>SULLIVAN BRANDON</v>
      </c>
    </row>
    <row r="222" spans="1:7" x14ac:dyDescent="0.25">
      <c r="A222" s="8">
        <v>42835.910833333335</v>
      </c>
      <c r="B222" s="20" t="s">
        <v>432</v>
      </c>
      <c r="C222" s="20" t="s">
        <v>821</v>
      </c>
      <c r="D222" s="146">
        <v>1800000</v>
      </c>
      <c r="E222" s="20" t="s">
        <v>394</v>
      </c>
      <c r="F222" s="20" t="s">
        <v>395</v>
      </c>
      <c r="G222" s="8" t="str">
        <f t="shared" si="3"/>
        <v>CHANDLER KELVIN</v>
      </c>
    </row>
    <row r="223" spans="1:7" x14ac:dyDescent="0.25">
      <c r="A223" s="8">
        <v>42835.927858796298</v>
      </c>
      <c r="B223" s="20" t="s">
        <v>380</v>
      </c>
      <c r="C223" s="20" t="s">
        <v>822</v>
      </c>
      <c r="D223" s="146">
        <v>1810000</v>
      </c>
      <c r="E223" s="20" t="s">
        <v>396</v>
      </c>
      <c r="F223" s="20" t="s">
        <v>193</v>
      </c>
      <c r="G223" s="8" t="str">
        <f t="shared" si="3"/>
        <v>NEWELL JAMES</v>
      </c>
    </row>
    <row r="224" spans="1:7" x14ac:dyDescent="0.25">
      <c r="A224" s="8">
        <v>42835.929247685184</v>
      </c>
      <c r="B224" t="s">
        <v>450</v>
      </c>
      <c r="C224" t="s">
        <v>823</v>
      </c>
      <c r="D224" s="146">
        <v>3000000</v>
      </c>
      <c r="E224" t="s">
        <v>796</v>
      </c>
      <c r="F224" s="20" t="s">
        <v>797</v>
      </c>
      <c r="G224" s="8" t="str">
        <f t="shared" si="3"/>
        <v>FORTUNATO FRANK</v>
      </c>
    </row>
    <row r="225" spans="1:7" x14ac:dyDescent="0.25">
      <c r="A225" s="8">
        <v>42835.9297337963</v>
      </c>
      <c r="B225" t="s">
        <v>476</v>
      </c>
      <c r="C225" t="s">
        <v>824</v>
      </c>
      <c r="D225" s="146">
        <v>2230000</v>
      </c>
      <c r="E225" t="s">
        <v>381</v>
      </c>
      <c r="F225" s="20" t="s">
        <v>196</v>
      </c>
      <c r="G225" s="8" t="str">
        <f t="shared" si="3"/>
        <v>SMITH MICHAEL</v>
      </c>
    </row>
    <row r="226" spans="1:7" x14ac:dyDescent="0.25">
      <c r="A226" s="8">
        <v>42835.942361111112</v>
      </c>
      <c r="B226" t="s">
        <v>379</v>
      </c>
      <c r="C226" t="s">
        <v>825</v>
      </c>
      <c r="D226" s="146">
        <v>1810000</v>
      </c>
      <c r="E226" t="s">
        <v>396</v>
      </c>
      <c r="F226" s="20" t="s">
        <v>193</v>
      </c>
      <c r="G226" s="8" t="str">
        <f t="shared" si="3"/>
        <v>NEWELL JAMES</v>
      </c>
    </row>
    <row r="227" spans="1:7" x14ac:dyDescent="0.25">
      <c r="A227" s="8">
        <v>42835.952499999999</v>
      </c>
      <c r="B227" t="s">
        <v>614</v>
      </c>
      <c r="C227" t="s">
        <v>826</v>
      </c>
      <c r="D227" s="146">
        <v>3010000</v>
      </c>
      <c r="E227" t="s">
        <v>481</v>
      </c>
      <c r="F227" s="20" t="s">
        <v>482</v>
      </c>
      <c r="G227" s="8" t="str">
        <f t="shared" si="3"/>
        <v>SULLIVAN BRANDON</v>
      </c>
    </row>
    <row r="228" spans="1:7" x14ac:dyDescent="0.25">
      <c r="A228" s="8">
        <v>42835.955462962964</v>
      </c>
      <c r="B228" t="s">
        <v>438</v>
      </c>
      <c r="C228" t="s">
        <v>650</v>
      </c>
      <c r="D228" s="146">
        <v>1800000</v>
      </c>
      <c r="E228" t="s">
        <v>394</v>
      </c>
      <c r="F228" s="20" t="s">
        <v>395</v>
      </c>
      <c r="G228" s="8" t="str">
        <f t="shared" si="3"/>
        <v>CHANDLER KELVIN</v>
      </c>
    </row>
    <row r="229" spans="1:7" x14ac:dyDescent="0.25">
      <c r="A229" s="8">
        <v>42835.969027777777</v>
      </c>
      <c r="B229" t="s">
        <v>477</v>
      </c>
      <c r="C229" t="s">
        <v>827</v>
      </c>
      <c r="D229" s="146">
        <v>2230000</v>
      </c>
      <c r="E229" t="s">
        <v>381</v>
      </c>
      <c r="F229" s="20" t="s">
        <v>196</v>
      </c>
      <c r="G229" s="8" t="str">
        <f t="shared" si="3"/>
        <v>SMITH MICHAEL</v>
      </c>
    </row>
    <row r="230" spans="1:7" x14ac:dyDescent="0.25">
      <c r="A230" s="8">
        <v>42835.970486111109</v>
      </c>
      <c r="B230" t="s">
        <v>447</v>
      </c>
      <c r="C230" t="s">
        <v>828</v>
      </c>
      <c r="D230" s="146">
        <v>3000000</v>
      </c>
      <c r="E230" t="s">
        <v>796</v>
      </c>
      <c r="F230" s="20" t="s">
        <v>797</v>
      </c>
      <c r="G230" s="8" t="str">
        <f t="shared" si="3"/>
        <v>FORTUNATO FRANK</v>
      </c>
    </row>
    <row r="231" spans="1:7" x14ac:dyDescent="0.25">
      <c r="A231" s="8">
        <v>42835.993287037039</v>
      </c>
      <c r="B231" t="s">
        <v>593</v>
      </c>
      <c r="C231" t="s">
        <v>829</v>
      </c>
      <c r="D231" s="146">
        <v>3010000</v>
      </c>
      <c r="E231" t="s">
        <v>481</v>
      </c>
      <c r="F231" s="20" t="s">
        <v>482</v>
      </c>
      <c r="G231" s="8" t="str">
        <f t="shared" si="3"/>
        <v>SULLIVAN BRANDON</v>
      </c>
    </row>
    <row r="232" spans="1:7" x14ac:dyDescent="0.25">
      <c r="A232" s="8">
        <v>42835.995648148149</v>
      </c>
      <c r="B232" t="s">
        <v>432</v>
      </c>
      <c r="C232" t="s">
        <v>830</v>
      </c>
      <c r="D232" s="146">
        <v>1800000</v>
      </c>
      <c r="E232" t="s">
        <v>394</v>
      </c>
      <c r="F232" s="20" t="s">
        <v>395</v>
      </c>
      <c r="G232" s="8" t="str">
        <f t="shared" si="3"/>
        <v>CHANDLER KELVIN</v>
      </c>
    </row>
    <row r="233" spans="1:7" x14ac:dyDescent="0.25">
      <c r="A233" s="8">
        <v>42836.00917824074</v>
      </c>
      <c r="B233" t="s">
        <v>450</v>
      </c>
      <c r="C233" t="s">
        <v>831</v>
      </c>
      <c r="D233" s="146">
        <v>3000000</v>
      </c>
      <c r="E233" t="s">
        <v>796</v>
      </c>
      <c r="F233" s="20" t="s">
        <v>797</v>
      </c>
      <c r="G233" s="8" t="str">
        <f t="shared" si="3"/>
        <v>FORTUNATO FRANK</v>
      </c>
    </row>
    <row r="234" spans="1:7" x14ac:dyDescent="0.25">
      <c r="A234" s="8">
        <v>42836.013009259259</v>
      </c>
      <c r="B234" t="s">
        <v>476</v>
      </c>
      <c r="C234" t="s">
        <v>832</v>
      </c>
      <c r="D234" s="146">
        <v>2230000</v>
      </c>
      <c r="E234" t="s">
        <v>381</v>
      </c>
      <c r="F234" s="20" t="s">
        <v>196</v>
      </c>
      <c r="G234" s="8" t="str">
        <f t="shared" si="3"/>
        <v>SMITH MICHAEL</v>
      </c>
    </row>
    <row r="235" spans="1:7" x14ac:dyDescent="0.25">
      <c r="A235" s="8">
        <v>42836.028587962966</v>
      </c>
      <c r="B235" t="s">
        <v>438</v>
      </c>
      <c r="C235" t="s">
        <v>833</v>
      </c>
      <c r="D235" s="146">
        <v>1800000</v>
      </c>
      <c r="E235" t="s">
        <v>394</v>
      </c>
      <c r="F235" s="20" t="s">
        <v>395</v>
      </c>
      <c r="G235" s="8" t="str">
        <f t="shared" si="3"/>
        <v>CHANDLER KELVIN</v>
      </c>
    </row>
    <row r="236" spans="1:7" x14ac:dyDescent="0.25">
      <c r="A236" s="8">
        <v>42836.033541666664</v>
      </c>
      <c r="B236" t="s">
        <v>614</v>
      </c>
      <c r="C236" t="s">
        <v>834</v>
      </c>
      <c r="D236" s="146">
        <v>3010000</v>
      </c>
      <c r="E236" t="s">
        <v>481</v>
      </c>
      <c r="F236" s="20" t="s">
        <v>482</v>
      </c>
      <c r="G236" s="8" t="str">
        <f t="shared" si="3"/>
        <v>SULLIVAN BRANDON</v>
      </c>
    </row>
    <row r="237" spans="1:7" x14ac:dyDescent="0.25">
      <c r="A237" s="8">
        <v>42836.049131944441</v>
      </c>
      <c r="B237" t="s">
        <v>477</v>
      </c>
      <c r="C237" t="s">
        <v>835</v>
      </c>
      <c r="D237" s="146">
        <v>2230000</v>
      </c>
      <c r="E237" t="s">
        <v>381</v>
      </c>
      <c r="F237" s="20" t="s">
        <v>196</v>
      </c>
      <c r="G237" s="8" t="str">
        <f t="shared" si="3"/>
        <v>SMITH MICHAEL</v>
      </c>
    </row>
    <row r="238" spans="1:7" x14ac:dyDescent="0.25">
      <c r="A238" s="8">
        <v>42836.050081018519</v>
      </c>
      <c r="B238" t="s">
        <v>447</v>
      </c>
      <c r="C238" t="s">
        <v>836</v>
      </c>
      <c r="D238" s="146">
        <v>3000000</v>
      </c>
      <c r="E238" t="s">
        <v>796</v>
      </c>
      <c r="F238" s="20" t="s">
        <v>797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593</v>
      </c>
      <c r="C239" t="s">
        <v>837</v>
      </c>
      <c r="D239" s="146">
        <v>3010000</v>
      </c>
      <c r="E239" t="s">
        <v>481</v>
      </c>
      <c r="F239" s="20" t="s">
        <v>482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450</v>
      </c>
      <c r="C240" t="s">
        <v>838</v>
      </c>
      <c r="D240" s="146">
        <v>3000000</v>
      </c>
      <c r="E240" t="s">
        <v>796</v>
      </c>
      <c r="F240" s="20" t="s">
        <v>797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382</v>
      </c>
      <c r="C241" t="s">
        <v>513</v>
      </c>
      <c r="D241" s="146">
        <v>1810000</v>
      </c>
      <c r="E241" t="s">
        <v>396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505</v>
      </c>
      <c r="C242" t="s">
        <v>514</v>
      </c>
      <c r="D242" s="146">
        <v>2480000</v>
      </c>
      <c r="E242" t="s">
        <v>483</v>
      </c>
      <c r="F242" s="20" t="s">
        <v>484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434</v>
      </c>
      <c r="C243" t="s">
        <v>515</v>
      </c>
      <c r="D243" s="146">
        <v>1800000</v>
      </c>
      <c r="E243" t="s">
        <v>394</v>
      </c>
      <c r="F243" s="20" t="s">
        <v>395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438</v>
      </c>
      <c r="C244" t="s">
        <v>516</v>
      </c>
      <c r="D244" s="146">
        <v>2150000</v>
      </c>
      <c r="E244" t="s">
        <v>372</v>
      </c>
      <c r="F244" s="20" t="s">
        <v>373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383</v>
      </c>
      <c r="C245" t="s">
        <v>517</v>
      </c>
      <c r="D245" s="146">
        <v>1810000</v>
      </c>
      <c r="E245" t="s">
        <v>396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433</v>
      </c>
      <c r="C246" t="s">
        <v>518</v>
      </c>
      <c r="D246" s="146">
        <v>1800000</v>
      </c>
      <c r="E246" t="s">
        <v>394</v>
      </c>
      <c r="F246" s="20" t="s">
        <v>395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446</v>
      </c>
      <c r="C247" t="s">
        <v>519</v>
      </c>
      <c r="D247" s="146">
        <v>2480000</v>
      </c>
      <c r="E247" t="s">
        <v>483</v>
      </c>
      <c r="F247" s="20" t="s">
        <v>484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382</v>
      </c>
      <c r="C248" t="s">
        <v>520</v>
      </c>
      <c r="D248" s="146">
        <v>1810000</v>
      </c>
      <c r="E248" t="s">
        <v>396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432</v>
      </c>
      <c r="C249" t="s">
        <v>521</v>
      </c>
      <c r="D249" s="146">
        <v>2150000</v>
      </c>
      <c r="E249" t="s">
        <v>372</v>
      </c>
      <c r="F249" s="20" t="s">
        <v>373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505</v>
      </c>
      <c r="C250" t="s">
        <v>522</v>
      </c>
      <c r="D250" s="146">
        <v>2480000</v>
      </c>
      <c r="E250" t="s">
        <v>483</v>
      </c>
      <c r="F250" s="20" t="s">
        <v>484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438</v>
      </c>
      <c r="C251" t="s">
        <v>523</v>
      </c>
      <c r="D251" s="146">
        <v>2150000</v>
      </c>
      <c r="E251" t="s">
        <v>372</v>
      </c>
      <c r="F251" s="20" t="s">
        <v>373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412</v>
      </c>
      <c r="C252" t="s">
        <v>452</v>
      </c>
      <c r="D252" s="146">
        <v>1740000</v>
      </c>
      <c r="E252" t="s">
        <v>398</v>
      </c>
      <c r="F252" s="20" t="s">
        <v>399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438</v>
      </c>
      <c r="C253" t="s">
        <v>453</v>
      </c>
      <c r="D253" s="146">
        <v>2150000</v>
      </c>
      <c r="E253" t="s">
        <v>372</v>
      </c>
      <c r="F253" s="20" t="s">
        <v>373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379</v>
      </c>
      <c r="C254" t="s">
        <v>451</v>
      </c>
      <c r="D254" s="146">
        <v>2680000</v>
      </c>
      <c r="E254" t="s">
        <v>428</v>
      </c>
      <c r="F254" s="20" t="s">
        <v>429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378</v>
      </c>
      <c r="C255" t="s">
        <v>454</v>
      </c>
      <c r="D255" s="146">
        <v>2970000</v>
      </c>
      <c r="E255" t="s">
        <v>439</v>
      </c>
      <c r="F255" s="20" t="s">
        <v>440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380</v>
      </c>
      <c r="C256" t="s">
        <v>449</v>
      </c>
      <c r="D256" s="146">
        <v>2680000</v>
      </c>
      <c r="E256" t="s">
        <v>428</v>
      </c>
      <c r="F256" s="20" t="s">
        <v>429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434</v>
      </c>
      <c r="C257" t="s">
        <v>455</v>
      </c>
      <c r="D257" s="146">
        <v>1810000</v>
      </c>
      <c r="E257" t="s">
        <v>396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432</v>
      </c>
      <c r="C258" t="s">
        <v>456</v>
      </c>
      <c r="D258" s="146">
        <v>2150000</v>
      </c>
      <c r="E258" t="s">
        <v>372</v>
      </c>
      <c r="F258" s="20" t="s">
        <v>373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379</v>
      </c>
      <c r="C259" t="s">
        <v>451</v>
      </c>
      <c r="D259" s="146">
        <v>2680000</v>
      </c>
      <c r="E259" t="s">
        <v>428</v>
      </c>
      <c r="F259" s="20" t="s">
        <v>429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421</v>
      </c>
      <c r="C260" t="s">
        <v>457</v>
      </c>
      <c r="D260" s="146">
        <v>1740000</v>
      </c>
      <c r="E260" t="s">
        <v>398</v>
      </c>
      <c r="F260" s="20" t="s">
        <v>399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401</v>
      </c>
      <c r="C261" t="s">
        <v>458</v>
      </c>
      <c r="D261" s="146">
        <v>1800000</v>
      </c>
      <c r="E261" t="s">
        <v>394</v>
      </c>
      <c r="F261" s="20" t="s">
        <v>395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380</v>
      </c>
      <c r="C262" t="s">
        <v>449</v>
      </c>
      <c r="D262" s="146">
        <v>2680000</v>
      </c>
      <c r="E262" t="s">
        <v>428</v>
      </c>
      <c r="F262" s="20" t="s">
        <v>429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422</v>
      </c>
      <c r="C263" t="s">
        <v>459</v>
      </c>
      <c r="D263" s="146">
        <v>2970000</v>
      </c>
      <c r="E263" t="s">
        <v>439</v>
      </c>
      <c r="F263" s="20" t="s">
        <v>440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380</v>
      </c>
      <c r="C264" t="s">
        <v>449</v>
      </c>
      <c r="D264" s="146">
        <v>2680000</v>
      </c>
      <c r="E264" t="s">
        <v>428</v>
      </c>
      <c r="F264" s="20" t="s">
        <v>429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433</v>
      </c>
      <c r="C265" t="s">
        <v>448</v>
      </c>
      <c r="D265" s="146">
        <v>1810000</v>
      </c>
      <c r="E265" t="s">
        <v>396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379</v>
      </c>
      <c r="C266" t="s">
        <v>451</v>
      </c>
      <c r="D266" s="146">
        <v>2680000</v>
      </c>
      <c r="E266" t="s">
        <v>428</v>
      </c>
      <c r="F266" s="20" t="s">
        <v>429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380</v>
      </c>
      <c r="C267" t="s">
        <v>449</v>
      </c>
      <c r="D267" s="146">
        <v>2680000</v>
      </c>
      <c r="E267" t="s">
        <v>428</v>
      </c>
      <c r="F267" s="20" t="s">
        <v>429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412</v>
      </c>
      <c r="C268" t="s">
        <v>460</v>
      </c>
      <c r="D268" s="146">
        <v>1740000</v>
      </c>
      <c r="E268" t="s">
        <v>398</v>
      </c>
      <c r="F268" s="20" t="s">
        <v>399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402</v>
      </c>
      <c r="C269" t="s">
        <v>461</v>
      </c>
      <c r="D269" s="146">
        <v>1800000</v>
      </c>
      <c r="E269" t="s">
        <v>394</v>
      </c>
      <c r="F269" s="20" t="s">
        <v>395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379</v>
      </c>
      <c r="C270" t="s">
        <v>451</v>
      </c>
      <c r="D270" s="146">
        <v>2680000</v>
      </c>
      <c r="E270" t="s">
        <v>428</v>
      </c>
      <c r="F270" s="20" t="s">
        <v>429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380</v>
      </c>
      <c r="C271" t="s">
        <v>449</v>
      </c>
      <c r="D271" s="146">
        <v>2680000</v>
      </c>
      <c r="E271" t="s">
        <v>428</v>
      </c>
      <c r="F271" s="20" t="s">
        <v>429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378</v>
      </c>
      <c r="C272" t="s">
        <v>462</v>
      </c>
      <c r="D272" s="146">
        <v>2970000</v>
      </c>
      <c r="E272" t="s">
        <v>439</v>
      </c>
      <c r="F272" s="20" t="s">
        <v>440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379</v>
      </c>
      <c r="C273" t="s">
        <v>451</v>
      </c>
      <c r="D273" s="146">
        <v>2680000</v>
      </c>
      <c r="E273" t="s">
        <v>428</v>
      </c>
      <c r="F273" s="20" t="s">
        <v>429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380</v>
      </c>
      <c r="C274" t="s">
        <v>449</v>
      </c>
      <c r="D274" s="146">
        <v>2680000</v>
      </c>
      <c r="E274" t="s">
        <v>428</v>
      </c>
      <c r="F274" s="20" t="s">
        <v>429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434</v>
      </c>
      <c r="C275" t="s">
        <v>463</v>
      </c>
      <c r="D275" s="146">
        <v>1810000</v>
      </c>
      <c r="E275" t="s">
        <v>396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379</v>
      </c>
      <c r="C276" t="s">
        <v>451</v>
      </c>
      <c r="D276" s="146">
        <v>2680000</v>
      </c>
      <c r="E276" t="s">
        <v>428</v>
      </c>
      <c r="F276" s="20" t="s">
        <v>429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380</v>
      </c>
      <c r="C277" t="s">
        <v>449</v>
      </c>
      <c r="D277" s="146">
        <v>2680000</v>
      </c>
      <c r="E277" t="s">
        <v>428</v>
      </c>
      <c r="F277" s="20" t="s">
        <v>429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379</v>
      </c>
      <c r="C278" t="s">
        <v>451</v>
      </c>
      <c r="D278" s="146">
        <v>2680000</v>
      </c>
      <c r="E278" t="s">
        <v>428</v>
      </c>
      <c r="F278" s="20" t="s">
        <v>429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401</v>
      </c>
      <c r="C279" t="s">
        <v>464</v>
      </c>
      <c r="D279" s="146">
        <v>1800000</v>
      </c>
      <c r="E279" t="s">
        <v>394</v>
      </c>
      <c r="F279" s="20" t="s">
        <v>395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421</v>
      </c>
      <c r="C280" t="s">
        <v>465</v>
      </c>
      <c r="D280" s="146">
        <v>1740000</v>
      </c>
      <c r="E280" t="s">
        <v>398</v>
      </c>
      <c r="F280" s="20" t="s">
        <v>399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422</v>
      </c>
      <c r="C281" t="s">
        <v>466</v>
      </c>
      <c r="D281" s="146">
        <v>2970000</v>
      </c>
      <c r="E281" t="s">
        <v>439</v>
      </c>
      <c r="F281" s="20" t="s">
        <v>440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433</v>
      </c>
      <c r="C282" t="s">
        <v>467</v>
      </c>
      <c r="D282" s="146">
        <v>1810000</v>
      </c>
      <c r="E282" t="s">
        <v>396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412</v>
      </c>
      <c r="C283" t="s">
        <v>468</v>
      </c>
      <c r="D283" s="146">
        <v>1740000</v>
      </c>
      <c r="E283" t="s">
        <v>398</v>
      </c>
      <c r="F283" s="20" t="s">
        <v>399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380</v>
      </c>
      <c r="C284" t="s">
        <v>449</v>
      </c>
      <c r="D284" s="146">
        <v>2680000</v>
      </c>
      <c r="E284" t="s">
        <v>428</v>
      </c>
      <c r="F284" s="20" t="s">
        <v>429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380</v>
      </c>
      <c r="C285" t="s">
        <v>449</v>
      </c>
      <c r="D285" s="146">
        <v>2680000</v>
      </c>
      <c r="E285" t="s">
        <v>428</v>
      </c>
      <c r="F285" s="20" t="s">
        <v>429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378</v>
      </c>
      <c r="C286" t="s">
        <v>469</v>
      </c>
      <c r="D286" s="146">
        <v>2970000</v>
      </c>
      <c r="E286" t="s">
        <v>439</v>
      </c>
      <c r="F286" s="20" t="s">
        <v>440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386</v>
      </c>
      <c r="D287" s="146">
        <v>2230000</v>
      </c>
      <c r="E287" t="s">
        <v>381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377</v>
      </c>
      <c r="C288" t="s">
        <v>387</v>
      </c>
      <c r="D288" s="146">
        <v>2000000</v>
      </c>
      <c r="E288" t="s">
        <v>376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384</v>
      </c>
      <c r="C289" t="s">
        <v>388</v>
      </c>
      <c r="D289" s="146">
        <v>2150000</v>
      </c>
      <c r="E289" t="s">
        <v>372</v>
      </c>
      <c r="F289" s="20" t="s">
        <v>373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384</v>
      </c>
      <c r="C290" t="s">
        <v>388</v>
      </c>
      <c r="D290" s="146">
        <v>2150000</v>
      </c>
      <c r="E290" t="s">
        <v>372</v>
      </c>
      <c r="F290" s="20" t="s">
        <v>373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384</v>
      </c>
      <c r="C291" t="s">
        <v>388</v>
      </c>
      <c r="D291" s="146">
        <v>2150000</v>
      </c>
      <c r="E291" t="s">
        <v>372</v>
      </c>
      <c r="F291" s="20" t="s">
        <v>373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385</v>
      </c>
      <c r="C292" t="s">
        <v>389</v>
      </c>
      <c r="D292" s="146">
        <v>2230000</v>
      </c>
      <c r="E292" t="s">
        <v>381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374</v>
      </c>
      <c r="C293" t="s">
        <v>390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374</v>
      </c>
      <c r="C294" t="s">
        <v>390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374</v>
      </c>
      <c r="C295" t="s">
        <v>390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380</v>
      </c>
      <c r="C296" t="s">
        <v>391</v>
      </c>
      <c r="D296" s="146">
        <v>2150000</v>
      </c>
      <c r="E296" t="s">
        <v>372</v>
      </c>
      <c r="F296" s="20" t="s">
        <v>373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375</v>
      </c>
      <c r="C297" t="s">
        <v>392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38.79</v>
      </c>
      <c r="B2" s="164">
        <v>0.05</v>
      </c>
      <c r="C2" s="164">
        <v>11.84</v>
      </c>
      <c r="D2" s="8">
        <v>42835</v>
      </c>
      <c r="E2" s="164">
        <v>0.3</v>
      </c>
      <c r="F2" s="164" t="s">
        <v>487</v>
      </c>
      <c r="G2" s="164">
        <v>357.64</v>
      </c>
      <c r="H2" s="164">
        <v>0</v>
      </c>
      <c r="I2" s="164">
        <v>0</v>
      </c>
      <c r="J2" s="164">
        <v>1016.31</v>
      </c>
      <c r="K2" s="164" t="s">
        <v>486</v>
      </c>
      <c r="L2" s="164">
        <v>40.83</v>
      </c>
      <c r="M2" s="164">
        <v>1491804000</v>
      </c>
      <c r="N2" s="164">
        <v>6.94</v>
      </c>
      <c r="O2" s="164">
        <v>303</v>
      </c>
      <c r="P2" s="164">
        <v>3.48</v>
      </c>
      <c r="Q2"/>
      <c r="R2"/>
    </row>
    <row r="3" spans="1:18" x14ac:dyDescent="0.25">
      <c r="A3" s="164">
        <v>36.950000000000003</v>
      </c>
      <c r="B3" s="164">
        <v>0.02</v>
      </c>
      <c r="C3" s="164">
        <v>12.19</v>
      </c>
      <c r="D3" s="8">
        <v>42835.041666666664</v>
      </c>
      <c r="E3" s="164">
        <v>0.32</v>
      </c>
      <c r="F3" s="164" t="s">
        <v>487</v>
      </c>
      <c r="G3" s="164">
        <v>356.63</v>
      </c>
      <c r="H3" s="164">
        <v>0</v>
      </c>
      <c r="I3" s="164">
        <v>0</v>
      </c>
      <c r="J3" s="164">
        <v>1017.05</v>
      </c>
      <c r="K3" s="164" t="s">
        <v>486</v>
      </c>
      <c r="L3" s="164">
        <v>39.47</v>
      </c>
      <c r="M3" s="164">
        <v>1491807600</v>
      </c>
      <c r="N3" s="164">
        <v>7.45</v>
      </c>
      <c r="O3" s="164">
        <v>286</v>
      </c>
      <c r="P3" s="164">
        <v>3.74</v>
      </c>
      <c r="Q3"/>
      <c r="R3"/>
    </row>
    <row r="4" spans="1:18" x14ac:dyDescent="0.25">
      <c r="A4" s="164">
        <v>38.47</v>
      </c>
      <c r="B4" s="164">
        <v>0.02</v>
      </c>
      <c r="C4" s="164">
        <v>12.53</v>
      </c>
      <c r="D4" s="8">
        <v>42835.083333333336</v>
      </c>
      <c r="E4" s="164">
        <v>0.34</v>
      </c>
      <c r="F4" s="164" t="s">
        <v>487</v>
      </c>
      <c r="G4" s="164">
        <v>355.62</v>
      </c>
      <c r="H4" s="164">
        <v>0</v>
      </c>
      <c r="I4" s="164">
        <v>0</v>
      </c>
      <c r="J4" s="164">
        <v>1017.79</v>
      </c>
      <c r="K4" s="164" t="s">
        <v>486</v>
      </c>
      <c r="L4" s="164">
        <v>38.47</v>
      </c>
      <c r="M4" s="164">
        <v>1491811200</v>
      </c>
      <c r="N4" s="164">
        <v>7.46</v>
      </c>
      <c r="O4" s="164">
        <v>281</v>
      </c>
      <c r="P4" s="164">
        <v>2.21</v>
      </c>
      <c r="Q4"/>
      <c r="R4"/>
    </row>
    <row r="5" spans="1:18" x14ac:dyDescent="0.25">
      <c r="A5" s="164">
        <v>36.78</v>
      </c>
      <c r="B5" s="164">
        <v>0.02</v>
      </c>
      <c r="C5" s="164">
        <v>12.07</v>
      </c>
      <c r="D5" s="8">
        <v>42835.125</v>
      </c>
      <c r="E5" s="164">
        <v>0.36</v>
      </c>
      <c r="F5" s="164" t="s">
        <v>487</v>
      </c>
      <c r="G5" s="164">
        <v>354.61</v>
      </c>
      <c r="H5" s="164">
        <v>0</v>
      </c>
      <c r="I5" s="164">
        <v>0</v>
      </c>
      <c r="J5" s="164">
        <v>1018.54</v>
      </c>
      <c r="K5" s="164" t="s">
        <v>486</v>
      </c>
      <c r="L5" s="164">
        <v>36.78</v>
      </c>
      <c r="M5" s="164">
        <v>1491814800</v>
      </c>
      <c r="N5" s="164">
        <v>7.51</v>
      </c>
      <c r="O5" s="164">
        <v>313</v>
      </c>
      <c r="P5" s="164">
        <v>1.8</v>
      </c>
      <c r="Q5"/>
      <c r="R5"/>
    </row>
    <row r="6" spans="1:18" x14ac:dyDescent="0.25">
      <c r="A6" s="164">
        <v>35.76</v>
      </c>
      <c r="B6" s="164">
        <v>0.06</v>
      </c>
      <c r="C6" s="164">
        <v>11.38</v>
      </c>
      <c r="D6" s="8">
        <v>42835.166666666664</v>
      </c>
      <c r="E6" s="164">
        <v>0.36</v>
      </c>
      <c r="F6" s="164" t="s">
        <v>487</v>
      </c>
      <c r="G6" s="164">
        <v>353.3</v>
      </c>
      <c r="H6" s="164">
        <v>0</v>
      </c>
      <c r="I6" s="164">
        <v>0</v>
      </c>
      <c r="J6" s="164">
        <v>1019.46</v>
      </c>
      <c r="K6" s="164" t="s">
        <v>486</v>
      </c>
      <c r="L6" s="164">
        <v>35.76</v>
      </c>
      <c r="M6" s="164">
        <v>1491818400</v>
      </c>
      <c r="N6" s="164">
        <v>7.77</v>
      </c>
      <c r="O6" s="164">
        <v>316</v>
      </c>
      <c r="P6" s="164">
        <v>1.8</v>
      </c>
      <c r="Q6"/>
      <c r="R6"/>
    </row>
    <row r="7" spans="1:18" x14ac:dyDescent="0.25">
      <c r="A7" s="164">
        <v>34.479999999999997</v>
      </c>
      <c r="B7" s="164">
        <v>0.13</v>
      </c>
      <c r="C7" s="164">
        <v>11.07</v>
      </c>
      <c r="D7" s="8">
        <v>42835.208333333336</v>
      </c>
      <c r="E7" s="164">
        <v>0.37</v>
      </c>
      <c r="F7" s="164" t="s">
        <v>487</v>
      </c>
      <c r="G7" s="164">
        <v>351.88</v>
      </c>
      <c r="H7" s="164">
        <v>0</v>
      </c>
      <c r="I7" s="164">
        <v>0</v>
      </c>
      <c r="J7" s="164">
        <v>1020.47</v>
      </c>
      <c r="K7" s="164" t="s">
        <v>486</v>
      </c>
      <c r="L7" s="164">
        <v>34.479999999999997</v>
      </c>
      <c r="M7" s="164">
        <v>1491822000</v>
      </c>
      <c r="N7" s="164">
        <v>8.35</v>
      </c>
      <c r="O7" s="164">
        <v>339</v>
      </c>
      <c r="P7" s="164">
        <v>1.32</v>
      </c>
      <c r="Q7"/>
      <c r="R7"/>
    </row>
    <row r="8" spans="1:18" x14ac:dyDescent="0.25">
      <c r="A8" s="164">
        <v>32.78</v>
      </c>
      <c r="B8" s="164">
        <v>0.16</v>
      </c>
      <c r="C8" s="164">
        <v>10.98</v>
      </c>
      <c r="D8" s="8">
        <v>42835.25</v>
      </c>
      <c r="E8" s="164">
        <v>0.4</v>
      </c>
      <c r="F8" s="164" t="s">
        <v>487</v>
      </c>
      <c r="G8" s="164">
        <v>350.57</v>
      </c>
      <c r="H8" s="164">
        <v>0</v>
      </c>
      <c r="I8" s="164">
        <v>0</v>
      </c>
      <c r="J8" s="164">
        <v>1021.28</v>
      </c>
      <c r="K8" s="164" t="s">
        <v>486</v>
      </c>
      <c r="L8" s="164">
        <v>32.78</v>
      </c>
      <c r="M8" s="164">
        <v>1491825600</v>
      </c>
      <c r="N8" s="164">
        <v>8.67</v>
      </c>
      <c r="O8" s="164">
        <v>161</v>
      </c>
      <c r="P8" s="164">
        <v>1.22</v>
      </c>
      <c r="Q8"/>
      <c r="R8"/>
    </row>
    <row r="9" spans="1:18" x14ac:dyDescent="0.25">
      <c r="A9" s="164">
        <v>33.58</v>
      </c>
      <c r="B9" s="164">
        <v>0.13</v>
      </c>
      <c r="C9" s="164">
        <v>11.74</v>
      </c>
      <c r="D9" s="8">
        <v>42835.291666666664</v>
      </c>
      <c r="E9" s="164">
        <v>0.4</v>
      </c>
      <c r="F9" s="164" t="s">
        <v>485</v>
      </c>
      <c r="G9" s="164">
        <v>349.53</v>
      </c>
      <c r="H9" s="164">
        <v>0</v>
      </c>
      <c r="I9" s="164">
        <v>0</v>
      </c>
      <c r="J9" s="164">
        <v>1021.76</v>
      </c>
      <c r="K9" s="164" t="s">
        <v>486</v>
      </c>
      <c r="L9" s="164">
        <v>33.58</v>
      </c>
      <c r="M9" s="164">
        <v>1491829200</v>
      </c>
      <c r="N9" s="164">
        <v>8.1</v>
      </c>
      <c r="O9" s="164">
        <v>120</v>
      </c>
      <c r="P9" s="164">
        <v>2.17</v>
      </c>
      <c r="Q9"/>
      <c r="R9"/>
    </row>
    <row r="10" spans="1:18" x14ac:dyDescent="0.25">
      <c r="A10" s="164">
        <v>36.01</v>
      </c>
      <c r="B10" s="164">
        <v>0.11</v>
      </c>
      <c r="C10" s="164">
        <v>13.62</v>
      </c>
      <c r="D10" s="8">
        <v>42835.333333333336</v>
      </c>
      <c r="E10" s="164">
        <v>0.36</v>
      </c>
      <c r="F10" s="164" t="s">
        <v>485</v>
      </c>
      <c r="G10" s="164">
        <v>348.59</v>
      </c>
      <c r="H10" s="164">
        <v>0</v>
      </c>
      <c r="I10" s="164">
        <v>0</v>
      </c>
      <c r="J10" s="164">
        <v>1021.9</v>
      </c>
      <c r="K10" s="164" t="s">
        <v>486</v>
      </c>
      <c r="L10" s="164">
        <v>38</v>
      </c>
      <c r="M10" s="164">
        <v>1491832800</v>
      </c>
      <c r="N10" s="164">
        <v>7.79</v>
      </c>
      <c r="O10" s="164">
        <v>115</v>
      </c>
      <c r="P10" s="164">
        <v>3.08</v>
      </c>
      <c r="Q10"/>
      <c r="R10"/>
    </row>
    <row r="11" spans="1:18" x14ac:dyDescent="0.25">
      <c r="A11" s="164">
        <v>39.590000000000003</v>
      </c>
      <c r="B11" s="164">
        <v>0.11</v>
      </c>
      <c r="C11" s="164">
        <v>14.98</v>
      </c>
      <c r="D11" s="8">
        <v>42835.375</v>
      </c>
      <c r="E11" s="164">
        <v>0.33</v>
      </c>
      <c r="F11" s="164" t="s">
        <v>485</v>
      </c>
      <c r="G11" s="164">
        <v>347.53</v>
      </c>
      <c r="H11" s="164">
        <v>0</v>
      </c>
      <c r="I11" s="164">
        <v>0</v>
      </c>
      <c r="J11" s="164">
        <v>1021.72</v>
      </c>
      <c r="K11" s="164" t="s">
        <v>486</v>
      </c>
      <c r="L11" s="164">
        <v>42.04</v>
      </c>
      <c r="M11" s="164">
        <v>1491836400</v>
      </c>
      <c r="N11" s="164">
        <v>5.41</v>
      </c>
      <c r="O11" s="164">
        <v>107</v>
      </c>
      <c r="P11" s="164">
        <v>4.0999999999999996</v>
      </c>
      <c r="Q11"/>
      <c r="R11"/>
    </row>
    <row r="12" spans="1:18" x14ac:dyDescent="0.25">
      <c r="A12" s="164">
        <v>43.68</v>
      </c>
      <c r="B12" s="164">
        <v>0.13</v>
      </c>
      <c r="C12" s="164">
        <v>16.27</v>
      </c>
      <c r="D12" s="8">
        <v>42835.416666666664</v>
      </c>
      <c r="E12" s="164">
        <v>0.3</v>
      </c>
      <c r="F12" s="164" t="s">
        <v>485</v>
      </c>
      <c r="G12" s="164">
        <v>346.1</v>
      </c>
      <c r="H12" s="164">
        <v>0</v>
      </c>
      <c r="I12" s="164">
        <v>0</v>
      </c>
      <c r="J12" s="164">
        <v>1021.01</v>
      </c>
      <c r="K12" s="164" t="s">
        <v>486</v>
      </c>
      <c r="L12" s="164">
        <v>45.92</v>
      </c>
      <c r="M12" s="164">
        <v>1491840000</v>
      </c>
      <c r="N12" s="164">
        <v>5.16</v>
      </c>
      <c r="O12" s="164">
        <v>107</v>
      </c>
      <c r="P12" s="164">
        <v>4.63</v>
      </c>
      <c r="Q12"/>
      <c r="R12"/>
    </row>
    <row r="13" spans="1:18" x14ac:dyDescent="0.25">
      <c r="A13" s="164">
        <v>48.65</v>
      </c>
      <c r="B13" s="164">
        <v>0.2</v>
      </c>
      <c r="C13" s="164">
        <v>16.489999999999998</v>
      </c>
      <c r="D13" s="8">
        <v>42835.458333333336</v>
      </c>
      <c r="E13" s="164">
        <v>0.26</v>
      </c>
      <c r="F13" s="164" t="s">
        <v>485</v>
      </c>
      <c r="G13" s="164">
        <v>344.54</v>
      </c>
      <c r="H13" s="164">
        <v>0</v>
      </c>
      <c r="I13" s="164">
        <v>0</v>
      </c>
      <c r="J13" s="164">
        <v>1019.94</v>
      </c>
      <c r="K13" s="164" t="s">
        <v>486</v>
      </c>
      <c r="L13" s="164">
        <v>49.91</v>
      </c>
      <c r="M13" s="164">
        <v>1491843600</v>
      </c>
      <c r="N13" s="164">
        <v>5.2</v>
      </c>
      <c r="O13" s="164">
        <v>115</v>
      </c>
      <c r="P13" s="164">
        <v>4.17</v>
      </c>
      <c r="Q13"/>
      <c r="R13"/>
    </row>
    <row r="14" spans="1:18" x14ac:dyDescent="0.25">
      <c r="A14" s="164">
        <v>53.64</v>
      </c>
      <c r="B14" s="164">
        <v>0.23</v>
      </c>
      <c r="C14" s="164">
        <v>16.920000000000002</v>
      </c>
      <c r="D14" s="8">
        <v>42835.5</v>
      </c>
      <c r="E14" s="164">
        <v>0.23</v>
      </c>
      <c r="F14" s="164" t="s">
        <v>485</v>
      </c>
      <c r="G14" s="164">
        <v>343.32</v>
      </c>
      <c r="H14" s="164">
        <v>0</v>
      </c>
      <c r="I14" s="164">
        <v>0</v>
      </c>
      <c r="J14" s="164">
        <v>1018.95</v>
      </c>
      <c r="K14" s="164" t="s">
        <v>486</v>
      </c>
      <c r="L14" s="164">
        <v>53.64</v>
      </c>
      <c r="M14" s="164">
        <v>1491847200</v>
      </c>
      <c r="N14" s="164">
        <v>5.27</v>
      </c>
      <c r="O14" s="164">
        <v>106</v>
      </c>
      <c r="P14" s="164">
        <v>4.74</v>
      </c>
      <c r="Q14"/>
      <c r="R14"/>
    </row>
    <row r="15" spans="1:18" x14ac:dyDescent="0.25">
      <c r="A15" s="164">
        <v>57.02</v>
      </c>
      <c r="B15" s="164">
        <v>0.28000000000000003</v>
      </c>
      <c r="C15" s="164">
        <v>16.27</v>
      </c>
      <c r="D15" s="8">
        <v>42835.541666666664</v>
      </c>
      <c r="E15" s="164">
        <v>0.2</v>
      </c>
      <c r="F15" s="164" t="s">
        <v>347</v>
      </c>
      <c r="G15" s="164">
        <v>342.56</v>
      </c>
      <c r="H15" s="164">
        <v>0</v>
      </c>
      <c r="I15" s="164">
        <v>0</v>
      </c>
      <c r="J15" s="164">
        <v>1018.06</v>
      </c>
      <c r="K15" s="164" t="s">
        <v>346</v>
      </c>
      <c r="L15" s="164">
        <v>57.02</v>
      </c>
      <c r="M15" s="164">
        <v>1491850800</v>
      </c>
      <c r="N15" s="164">
        <v>5.31</v>
      </c>
      <c r="O15" s="164">
        <v>106</v>
      </c>
      <c r="P15" s="164">
        <v>4.49</v>
      </c>
      <c r="Q15"/>
      <c r="R15"/>
    </row>
    <row r="16" spans="1:18" x14ac:dyDescent="0.25">
      <c r="A16" s="164">
        <v>59.75</v>
      </c>
      <c r="B16" s="164">
        <v>0.24</v>
      </c>
      <c r="C16" s="164">
        <v>17.02</v>
      </c>
      <c r="D16" s="8">
        <v>42835.583333333336</v>
      </c>
      <c r="E16" s="164">
        <v>0.19</v>
      </c>
      <c r="F16" s="164" t="s">
        <v>485</v>
      </c>
      <c r="G16" s="164">
        <v>342.15</v>
      </c>
      <c r="H16" s="164">
        <v>0</v>
      </c>
      <c r="I16" s="164">
        <v>0</v>
      </c>
      <c r="J16" s="164">
        <v>1017.18</v>
      </c>
      <c r="K16" s="164" t="s">
        <v>486</v>
      </c>
      <c r="L16" s="164">
        <v>59.75</v>
      </c>
      <c r="M16" s="164">
        <v>1491854400</v>
      </c>
      <c r="N16" s="164">
        <v>5.28</v>
      </c>
      <c r="O16" s="164">
        <v>82</v>
      </c>
      <c r="P16" s="164">
        <v>4.4800000000000004</v>
      </c>
      <c r="Q16"/>
      <c r="R16"/>
    </row>
    <row r="17" spans="1:18" x14ac:dyDescent="0.25">
      <c r="A17" s="164">
        <v>60.88</v>
      </c>
      <c r="B17" s="164">
        <v>0.24</v>
      </c>
      <c r="C17" s="164">
        <v>17.309999999999999</v>
      </c>
      <c r="D17" s="8">
        <v>42835.625</v>
      </c>
      <c r="E17" s="164">
        <v>0.18</v>
      </c>
      <c r="F17" s="164" t="s">
        <v>485</v>
      </c>
      <c r="G17" s="164">
        <v>342.22</v>
      </c>
      <c r="H17" s="164">
        <v>0</v>
      </c>
      <c r="I17" s="164">
        <v>0</v>
      </c>
      <c r="J17" s="164">
        <v>1016.4</v>
      </c>
      <c r="K17" s="164" t="s">
        <v>486</v>
      </c>
      <c r="L17" s="164">
        <v>60.88</v>
      </c>
      <c r="M17" s="164">
        <v>1491858000</v>
      </c>
      <c r="N17" s="164">
        <v>5.23</v>
      </c>
      <c r="O17" s="164">
        <v>81</v>
      </c>
      <c r="P17" s="164">
        <v>5.42</v>
      </c>
      <c r="Q17"/>
      <c r="R17"/>
    </row>
    <row r="18" spans="1:18" x14ac:dyDescent="0.25">
      <c r="A18" s="164">
        <v>61.39</v>
      </c>
      <c r="B18" s="164">
        <v>0.28999999999999998</v>
      </c>
      <c r="C18" s="164">
        <v>17.100000000000001</v>
      </c>
      <c r="D18" s="8">
        <v>42835.666666666664</v>
      </c>
      <c r="E18" s="164">
        <v>0.18</v>
      </c>
      <c r="F18" s="164" t="s">
        <v>347</v>
      </c>
      <c r="G18" s="164">
        <v>342.99</v>
      </c>
      <c r="H18" s="164">
        <v>0</v>
      </c>
      <c r="I18" s="164">
        <v>0</v>
      </c>
      <c r="J18" s="164">
        <v>1015.66</v>
      </c>
      <c r="K18" s="164" t="s">
        <v>346</v>
      </c>
      <c r="L18" s="164">
        <v>61.39</v>
      </c>
      <c r="M18" s="164">
        <v>1491861600</v>
      </c>
      <c r="N18" s="164">
        <v>5.21</v>
      </c>
      <c r="O18" s="164">
        <v>78</v>
      </c>
      <c r="P18" s="164">
        <v>6.19</v>
      </c>
      <c r="Q18"/>
      <c r="R18"/>
    </row>
    <row r="19" spans="1:18" x14ac:dyDescent="0.25">
      <c r="A19" s="164">
        <v>60.53</v>
      </c>
      <c r="B19" s="164">
        <v>0.36</v>
      </c>
      <c r="C19" s="164">
        <v>17.39</v>
      </c>
      <c r="D19" s="8">
        <v>42835.708333333336</v>
      </c>
      <c r="E19" s="164">
        <v>0.18</v>
      </c>
      <c r="F19" s="164" t="s">
        <v>347</v>
      </c>
      <c r="G19" s="164">
        <v>344.24</v>
      </c>
      <c r="H19" s="164">
        <v>0</v>
      </c>
      <c r="I19" s="164">
        <v>0</v>
      </c>
      <c r="J19" s="164">
        <v>1015.08</v>
      </c>
      <c r="K19" s="164" t="s">
        <v>346</v>
      </c>
      <c r="L19" s="164">
        <v>60.53</v>
      </c>
      <c r="M19" s="164">
        <v>1491865200</v>
      </c>
      <c r="N19" s="164">
        <v>5.48</v>
      </c>
      <c r="O19" s="164">
        <v>71</v>
      </c>
      <c r="P19" s="164">
        <v>6.85</v>
      </c>
      <c r="Q19"/>
      <c r="R19"/>
    </row>
    <row r="20" spans="1:18" x14ac:dyDescent="0.25">
      <c r="A20" s="164">
        <v>58.85</v>
      </c>
      <c r="B20" s="164">
        <v>0.25</v>
      </c>
      <c r="C20" s="164">
        <v>16.600000000000001</v>
      </c>
      <c r="D20" s="8">
        <v>42835.75</v>
      </c>
      <c r="E20" s="164">
        <v>0.19</v>
      </c>
      <c r="F20" s="164" t="s">
        <v>347</v>
      </c>
      <c r="G20" s="164">
        <v>345.46</v>
      </c>
      <c r="H20" s="164">
        <v>0</v>
      </c>
      <c r="I20" s="164">
        <v>0</v>
      </c>
      <c r="J20" s="164">
        <v>1014.98</v>
      </c>
      <c r="K20" s="164" t="s">
        <v>346</v>
      </c>
      <c r="L20" s="164">
        <v>58.85</v>
      </c>
      <c r="M20" s="164">
        <v>1491868800</v>
      </c>
      <c r="N20" s="164">
        <v>5.54</v>
      </c>
      <c r="O20" s="164">
        <v>70</v>
      </c>
      <c r="P20" s="164">
        <v>7.08</v>
      </c>
      <c r="Q20"/>
      <c r="R20"/>
    </row>
    <row r="21" spans="1:18" x14ac:dyDescent="0.25">
      <c r="A21" s="164">
        <v>55.62</v>
      </c>
      <c r="B21" s="164">
        <v>0.19</v>
      </c>
      <c r="C21" s="164">
        <v>16.27</v>
      </c>
      <c r="D21" s="8">
        <v>42835.791666666664</v>
      </c>
      <c r="E21" s="164">
        <v>0.21</v>
      </c>
      <c r="F21" s="164" t="s">
        <v>485</v>
      </c>
      <c r="G21" s="164">
        <v>346.59</v>
      </c>
      <c r="H21" s="164">
        <v>0</v>
      </c>
      <c r="I21" s="164">
        <v>0</v>
      </c>
      <c r="J21" s="164">
        <v>1015.48</v>
      </c>
      <c r="K21" s="164" t="s">
        <v>486</v>
      </c>
      <c r="L21" s="164">
        <v>55.62</v>
      </c>
      <c r="M21" s="164">
        <v>1491872400</v>
      </c>
      <c r="N21" s="164">
        <v>6.01</v>
      </c>
      <c r="O21" s="164">
        <v>69</v>
      </c>
      <c r="P21" s="164">
        <v>5.97</v>
      </c>
      <c r="Q21"/>
      <c r="R21"/>
    </row>
    <row r="22" spans="1:18" x14ac:dyDescent="0.25">
      <c r="A22" s="164">
        <v>52.24</v>
      </c>
      <c r="B22" s="164">
        <v>0.17</v>
      </c>
      <c r="C22" s="164">
        <v>16.559999999999999</v>
      </c>
      <c r="D22" s="8">
        <v>42835.833333333336</v>
      </c>
      <c r="E22" s="164">
        <v>0.24</v>
      </c>
      <c r="F22" s="164" t="s">
        <v>487</v>
      </c>
      <c r="G22" s="164">
        <v>347.69</v>
      </c>
      <c r="H22" s="164">
        <v>0</v>
      </c>
      <c r="I22" s="164">
        <v>0</v>
      </c>
      <c r="J22" s="164">
        <v>1016.6</v>
      </c>
      <c r="K22" s="164" t="s">
        <v>486</v>
      </c>
      <c r="L22" s="164">
        <v>52.24</v>
      </c>
      <c r="M22" s="164">
        <v>1491876000</v>
      </c>
      <c r="N22" s="164">
        <v>6.91</v>
      </c>
      <c r="O22" s="164">
        <v>72</v>
      </c>
      <c r="P22" s="164">
        <v>4.49</v>
      </c>
      <c r="Q22"/>
      <c r="R22"/>
    </row>
    <row r="23" spans="1:18" x14ac:dyDescent="0.25">
      <c r="A23" s="164">
        <v>50</v>
      </c>
      <c r="B23" s="164">
        <v>0.19</v>
      </c>
      <c r="C23" s="164">
        <v>16.39</v>
      </c>
      <c r="D23" s="8">
        <v>42835.875</v>
      </c>
      <c r="E23" s="164">
        <v>0.26</v>
      </c>
      <c r="F23" s="164" t="s">
        <v>487</v>
      </c>
      <c r="G23" s="164">
        <v>348.5</v>
      </c>
      <c r="H23" s="164">
        <v>0</v>
      </c>
      <c r="I23" s="164">
        <v>0</v>
      </c>
      <c r="J23" s="164">
        <v>1017.64</v>
      </c>
      <c r="K23" s="164" t="s">
        <v>486</v>
      </c>
      <c r="L23" s="164">
        <v>50</v>
      </c>
      <c r="M23" s="164">
        <v>1491879600</v>
      </c>
      <c r="N23" s="164">
        <v>7.43</v>
      </c>
      <c r="O23" s="164">
        <v>107</v>
      </c>
      <c r="P23" s="164">
        <v>3.1</v>
      </c>
      <c r="Q23"/>
      <c r="R23"/>
    </row>
    <row r="24" spans="1:18" x14ac:dyDescent="0.25">
      <c r="A24" s="164">
        <v>47.9</v>
      </c>
      <c r="B24" s="164">
        <v>0.23</v>
      </c>
      <c r="C24" s="164">
        <v>16.16</v>
      </c>
      <c r="D24" s="8">
        <v>42835.916666666664</v>
      </c>
      <c r="E24" s="164">
        <v>0.28000000000000003</v>
      </c>
      <c r="F24" s="164" t="s">
        <v>487</v>
      </c>
      <c r="G24" s="164">
        <v>348.88</v>
      </c>
      <c r="H24" s="164">
        <v>0</v>
      </c>
      <c r="I24" s="164">
        <v>0</v>
      </c>
      <c r="J24" s="164">
        <v>1018.16</v>
      </c>
      <c r="K24" s="164" t="s">
        <v>486</v>
      </c>
      <c r="L24" s="164">
        <v>47.9</v>
      </c>
      <c r="M24" s="164">
        <v>1491883200</v>
      </c>
      <c r="N24" s="164">
        <v>6.07</v>
      </c>
      <c r="O24" s="164">
        <v>122</v>
      </c>
      <c r="P24" s="164">
        <v>0.23</v>
      </c>
      <c r="Q24"/>
      <c r="R24"/>
    </row>
    <row r="25" spans="1:18" x14ac:dyDescent="0.25">
      <c r="A25" s="164">
        <v>44.92</v>
      </c>
      <c r="B25" s="164">
        <v>0.24</v>
      </c>
      <c r="C25" s="164">
        <v>16.329999999999998</v>
      </c>
      <c r="D25" s="8">
        <v>42835.958333333336</v>
      </c>
      <c r="E25" s="164">
        <v>0.31</v>
      </c>
      <c r="F25" s="164" t="s">
        <v>487</v>
      </c>
      <c r="G25" s="164">
        <v>348.96</v>
      </c>
      <c r="H25" s="164">
        <v>0</v>
      </c>
      <c r="I25" s="164">
        <v>0</v>
      </c>
      <c r="J25" s="164">
        <v>1018.44</v>
      </c>
      <c r="K25" s="164" t="s">
        <v>486</v>
      </c>
      <c r="L25" s="164">
        <v>44.92</v>
      </c>
      <c r="M25" s="164">
        <v>1491886800</v>
      </c>
      <c r="N25" s="164">
        <v>5.6</v>
      </c>
      <c r="O25" s="164">
        <v>231</v>
      </c>
      <c r="P25" s="164">
        <v>1.93</v>
      </c>
      <c r="Q25"/>
      <c r="R25"/>
    </row>
    <row r="26" spans="1:18" x14ac:dyDescent="0.25">
      <c r="A26" s="164">
        <v>42.3</v>
      </c>
      <c r="B26" s="164">
        <v>0.24</v>
      </c>
      <c r="C26" s="164">
        <v>17.18</v>
      </c>
      <c r="D26" s="8">
        <v>42836</v>
      </c>
      <c r="E26" s="164">
        <v>0.36</v>
      </c>
      <c r="F26" s="164" t="s">
        <v>487</v>
      </c>
      <c r="G26" s="164">
        <v>348.9</v>
      </c>
      <c r="H26" s="164">
        <v>0</v>
      </c>
      <c r="I26" s="164">
        <v>0</v>
      </c>
      <c r="J26" s="164">
        <v>1018.81</v>
      </c>
      <c r="K26" s="164" t="s">
        <v>486</v>
      </c>
      <c r="L26" s="164">
        <v>42.3</v>
      </c>
      <c r="M26" s="164">
        <v>1491890400</v>
      </c>
      <c r="N26" s="164">
        <v>6.85</v>
      </c>
      <c r="O26" s="164">
        <v>223</v>
      </c>
      <c r="P26" s="164">
        <v>1.95</v>
      </c>
      <c r="Q26"/>
      <c r="R26"/>
    </row>
    <row r="27" spans="1:18" x14ac:dyDescent="0.25">
      <c r="A27" s="164">
        <v>41.31</v>
      </c>
      <c r="B27" s="164">
        <v>0.25</v>
      </c>
      <c r="C27" s="164">
        <v>18.04</v>
      </c>
      <c r="D27" s="8">
        <v>42836.041666666664</v>
      </c>
      <c r="E27" s="164">
        <v>0.39</v>
      </c>
      <c r="F27" s="164" t="s">
        <v>839</v>
      </c>
      <c r="G27" s="164">
        <v>348.63</v>
      </c>
      <c r="H27" s="164">
        <v>0</v>
      </c>
      <c r="I27" s="164">
        <v>0</v>
      </c>
      <c r="J27" s="164">
        <v>1019.48</v>
      </c>
      <c r="K27" s="164" t="s">
        <v>346</v>
      </c>
      <c r="L27" s="164">
        <v>41.31</v>
      </c>
      <c r="M27" s="164">
        <v>1491894000</v>
      </c>
      <c r="N27" s="164">
        <v>5.99</v>
      </c>
      <c r="O27" s="164">
        <v>248</v>
      </c>
      <c r="P27" s="164">
        <v>1.77</v>
      </c>
      <c r="Q27"/>
      <c r="R27"/>
    </row>
    <row r="28" spans="1:18" x14ac:dyDescent="0.25">
      <c r="A28" s="164">
        <v>39.39</v>
      </c>
      <c r="B28" s="164">
        <v>0.3</v>
      </c>
      <c r="C28" s="164">
        <v>18.45</v>
      </c>
      <c r="D28" s="8">
        <v>42836.083333333336</v>
      </c>
      <c r="E28" s="164">
        <v>0.42</v>
      </c>
      <c r="F28" s="164" t="s">
        <v>839</v>
      </c>
      <c r="G28" s="164">
        <v>348.35</v>
      </c>
      <c r="H28" s="164">
        <v>0</v>
      </c>
      <c r="I28" s="164">
        <v>0</v>
      </c>
      <c r="J28" s="164">
        <v>1020.13</v>
      </c>
      <c r="K28" s="164" t="s">
        <v>346</v>
      </c>
      <c r="L28" s="164">
        <v>39.39</v>
      </c>
      <c r="M28" s="164">
        <v>1491897600</v>
      </c>
      <c r="N28" s="164">
        <v>5.49</v>
      </c>
      <c r="O28" s="164">
        <v>218</v>
      </c>
      <c r="P28" s="164">
        <v>1.66</v>
      </c>
      <c r="Q28"/>
      <c r="R28"/>
    </row>
    <row r="29" spans="1:18" x14ac:dyDescent="0.25">
      <c r="A29" s="164">
        <v>38.24</v>
      </c>
      <c r="B29" s="164">
        <v>0.35</v>
      </c>
      <c r="C29" s="164">
        <v>19.5</v>
      </c>
      <c r="D29" s="8">
        <v>42836.125</v>
      </c>
      <c r="E29" s="164">
        <v>0.46</v>
      </c>
      <c r="F29" s="164" t="s">
        <v>839</v>
      </c>
      <c r="G29" s="164">
        <v>348.07</v>
      </c>
      <c r="H29" s="164">
        <v>0</v>
      </c>
      <c r="I29" s="164">
        <v>0</v>
      </c>
      <c r="J29" s="164">
        <v>1020.76</v>
      </c>
      <c r="K29" s="164" t="s">
        <v>346</v>
      </c>
      <c r="L29" s="164">
        <v>38.24</v>
      </c>
      <c r="M29" s="164">
        <v>1491901200</v>
      </c>
      <c r="N29" s="164">
        <v>4.0199999999999996</v>
      </c>
      <c r="O29" s="164">
        <v>198</v>
      </c>
      <c r="P29" s="164">
        <v>1.99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356</v>
      </c>
      <c r="U1" s="215"/>
      <c r="V1" s="215"/>
      <c r="W1" s="215"/>
      <c r="X1" s="215"/>
    </row>
    <row r="2" spans="1:24" ht="15.75" thickBot="1" x14ac:dyDescent="0.3">
      <c r="A2" s="12">
        <v>42835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357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369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370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371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1013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1014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1015</v>
      </c>
      <c r="J20" s="148" t="s">
        <v>87</v>
      </c>
      <c r="M20" s="164" t="s">
        <v>348</v>
      </c>
      <c r="N20" s="164" t="s">
        <v>348</v>
      </c>
      <c r="T20" s="193"/>
      <c r="U20" s="193"/>
      <c r="V20" s="193"/>
      <c r="W20" s="193"/>
      <c r="X20" s="193"/>
    </row>
    <row r="21" spans="3:24" x14ac:dyDescent="0.25">
      <c r="C21" t="s">
        <v>1016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1017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1018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1019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1020</v>
      </c>
      <c r="J25" s="148" t="s">
        <v>150</v>
      </c>
      <c r="M25" s="164" t="b">
        <v>1</v>
      </c>
    </row>
    <row r="26" spans="3:24" x14ac:dyDescent="0.25">
      <c r="C26" t="s">
        <v>1021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C:\Users\stu\Documents\GitHub\eaglep3-reporting\EC\2017-04-10-refined-times.txt</v>
      </c>
    </row>
    <row r="27" spans="3:24" x14ac:dyDescent="0.25">
      <c r="C27" t="s">
        <v>1022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C:\Users\stu\Documents\GitHub\eaglep3-reporting\EC\2017-04-10-Enforcements.txt</v>
      </c>
    </row>
    <row r="28" spans="3:24" x14ac:dyDescent="0.25">
      <c r="C28" t="s">
        <v>1023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C:\Users\stu\Documents\GitHub\eaglep3-reporting\EC\2017-04-10-Runs-refined.txt</v>
      </c>
    </row>
    <row r="29" spans="3:24" x14ac:dyDescent="0.25">
      <c r="C29" t="s">
        <v>1024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C:\Users\stu\Documents\GitHub\eaglep3-reporting\EC\2017-04-10-Trips.txt</v>
      </c>
    </row>
    <row r="30" spans="3:24" x14ac:dyDescent="0.25">
      <c r="C30" t="s">
        <v>1025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C:\Users\stu\Documents\GitHub\eaglep3-reporting\EC\2017-04-10-Weather.txt</v>
      </c>
    </row>
    <row r="31" spans="3:24" x14ac:dyDescent="0.25">
      <c r="C31" t="s">
        <v>1026</v>
      </c>
      <c r="J31" s="148" t="s">
        <v>201</v>
      </c>
      <c r="M31" s="164" t="s">
        <v>202</v>
      </c>
    </row>
    <row r="32" spans="3:24" x14ac:dyDescent="0.25">
      <c r="C32" t="s">
        <v>1027</v>
      </c>
    </row>
    <row r="33" spans="3:3" x14ac:dyDescent="0.25">
      <c r="C33" t="s">
        <v>1028</v>
      </c>
    </row>
    <row r="34" spans="3:3" x14ac:dyDescent="0.25">
      <c r="C34" t="s">
        <v>1029</v>
      </c>
    </row>
    <row r="35" spans="3:3" x14ac:dyDescent="0.25">
      <c r="C35" t="s">
        <v>1030</v>
      </c>
    </row>
    <row r="36" spans="3:3" x14ac:dyDescent="0.25">
      <c r="C36" t="s">
        <v>1031</v>
      </c>
    </row>
    <row r="37" spans="3:3" x14ac:dyDescent="0.25">
      <c r="C37" t="s">
        <v>1032</v>
      </c>
    </row>
    <row r="38" spans="3:3" x14ac:dyDescent="0.25">
      <c r="C38" t="s">
        <v>1033</v>
      </c>
    </row>
    <row r="39" spans="3:3" x14ac:dyDescent="0.25">
      <c r="C39" t="s">
        <v>1034</v>
      </c>
    </row>
    <row r="40" spans="3:3" x14ac:dyDescent="0.25">
      <c r="C40" t="s">
        <v>1035</v>
      </c>
    </row>
    <row r="41" spans="3:3" x14ac:dyDescent="0.25">
      <c r="C41" t="s">
        <v>1036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410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411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2017-04-27T20:55:59Z</dcterms:modified>
</cp:coreProperties>
</file>