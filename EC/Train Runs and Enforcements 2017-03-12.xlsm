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Trips'!$A$2:$J$99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7" i="1" l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C25" i="3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A27" i="1" l="1"/>
  <c r="AG27" i="1"/>
  <c r="W27" i="1" s="1"/>
  <c r="AA15" i="1"/>
  <c r="AA16" i="1"/>
  <c r="X16" i="1"/>
  <c r="AG15" i="1"/>
  <c r="AG1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S7" i="3" s="1"/>
  <c r="Y21" i="1"/>
  <c r="Z21" i="1"/>
  <c r="AB21" i="1"/>
  <c r="AC21" i="1"/>
  <c r="AD21" i="1"/>
  <c r="AG21" i="1" s="1"/>
  <c r="AE21" i="1"/>
  <c r="R7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S26" i="3" s="1"/>
  <c r="Y39" i="1"/>
  <c r="Z39" i="1"/>
  <c r="AB39" i="1"/>
  <c r="AC39" i="1"/>
  <c r="AD39" i="1"/>
  <c r="AG39" i="1" s="1"/>
  <c r="AE39" i="1"/>
  <c r="R26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S20" i="3" s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S22" i="3" s="1"/>
  <c r="Y55" i="1"/>
  <c r="Z55" i="1"/>
  <c r="AB55" i="1"/>
  <c r="AC55" i="1"/>
  <c r="AD55" i="1"/>
  <c r="AE55" i="1"/>
  <c r="R22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S13" i="3" s="1"/>
  <c r="Y58" i="1"/>
  <c r="Z58" i="1"/>
  <c r="AB58" i="1"/>
  <c r="AC58" i="1"/>
  <c r="AD58" i="1"/>
  <c r="T58" i="1" s="1"/>
  <c r="AE58" i="1"/>
  <c r="R13" i="3" s="1"/>
  <c r="AF58" i="1"/>
  <c r="AH58" i="1"/>
  <c r="AM58" i="1"/>
  <c r="AN58" i="1"/>
  <c r="K59" i="1"/>
  <c r="L59" i="1"/>
  <c r="M59" i="1"/>
  <c r="N59" i="1" s="1"/>
  <c r="V59" i="1"/>
  <c r="S23" i="3" s="1"/>
  <c r="Y59" i="1"/>
  <c r="Z59" i="1"/>
  <c r="AB59" i="1"/>
  <c r="AC59" i="1"/>
  <c r="AD59" i="1"/>
  <c r="T59" i="1" s="1"/>
  <c r="AE59" i="1"/>
  <c r="R23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S12" i="3" s="1"/>
  <c r="Y65" i="1"/>
  <c r="Z65" i="1"/>
  <c r="AB65" i="1"/>
  <c r="AC65" i="1"/>
  <c r="AD65" i="1"/>
  <c r="T65" i="1" s="1"/>
  <c r="AE65" i="1"/>
  <c r="R12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27" i="3" s="1"/>
  <c r="Y67" i="1"/>
  <c r="Z67" i="1"/>
  <c r="AB67" i="1"/>
  <c r="AC67" i="1"/>
  <c r="AD67" i="1"/>
  <c r="AG67" i="1" s="1"/>
  <c r="AE67" i="1"/>
  <c r="R27" i="3" s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V69" i="1"/>
  <c r="S24" i="3" s="1"/>
  <c r="Y69" i="1"/>
  <c r="Z69" i="1"/>
  <c r="AB69" i="1"/>
  <c r="AC69" i="1"/>
  <c r="AD69" i="1"/>
  <c r="T69" i="1" s="1"/>
  <c r="AE69" i="1"/>
  <c r="R24" i="3" s="1"/>
  <c r="AF69" i="1"/>
  <c r="AH69" i="1"/>
  <c r="AM69" i="1"/>
  <c r="AN69" i="1"/>
  <c r="K70" i="1"/>
  <c r="L70" i="1"/>
  <c r="M70" i="1"/>
  <c r="N70" i="1" s="1"/>
  <c r="V70" i="1"/>
  <c r="S16" i="3" s="1"/>
  <c r="Y70" i="1"/>
  <c r="Z70" i="1"/>
  <c r="AB70" i="1"/>
  <c r="AC70" i="1"/>
  <c r="AD70" i="1"/>
  <c r="AG70" i="1" s="1"/>
  <c r="AE70" i="1"/>
  <c r="R1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P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P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8" i="3" s="1"/>
  <c r="Y80" i="1"/>
  <c r="Z80" i="1"/>
  <c r="AB80" i="1"/>
  <c r="AC80" i="1"/>
  <c r="AD80" i="1"/>
  <c r="AG80" i="1" s="1"/>
  <c r="AE80" i="1"/>
  <c r="R8" i="3" s="1"/>
  <c r="AF80" i="1"/>
  <c r="AH80" i="1"/>
  <c r="AM80" i="1"/>
  <c r="AN80" i="1"/>
  <c r="K81" i="1"/>
  <c r="L81" i="1"/>
  <c r="M81" i="1"/>
  <c r="N81" i="1" s="1"/>
  <c r="V81" i="1"/>
  <c r="S18" i="3" s="1"/>
  <c r="Y81" i="1"/>
  <c r="Z81" i="1"/>
  <c r="AB81" i="1"/>
  <c r="AC81" i="1"/>
  <c r="AD81" i="1"/>
  <c r="AE81" i="1"/>
  <c r="R31" i="3" s="1"/>
  <c r="AF81" i="1"/>
  <c r="AH81" i="1"/>
  <c r="AM81" i="1"/>
  <c r="AN81" i="1"/>
  <c r="K82" i="1"/>
  <c r="L82" i="1"/>
  <c r="M82" i="1"/>
  <c r="N82" i="1" s="1"/>
  <c r="V82" i="1"/>
  <c r="S10" i="3" s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S32" i="3" s="1"/>
  <c r="Y87" i="1"/>
  <c r="Z87" i="1"/>
  <c r="AB87" i="1"/>
  <c r="AC87" i="1"/>
  <c r="AD87" i="1"/>
  <c r="T87" i="1" s="1"/>
  <c r="AE87" i="1"/>
  <c r="R32" i="3" s="1"/>
  <c r="AF87" i="1"/>
  <c r="AH87" i="1"/>
  <c r="AM87" i="1"/>
  <c r="AN87" i="1"/>
  <c r="K88" i="1"/>
  <c r="L88" i="1"/>
  <c r="M88" i="1"/>
  <c r="N88" i="1" s="1"/>
  <c r="V88" i="1"/>
  <c r="S11" i="3" s="1"/>
  <c r="Y88" i="1"/>
  <c r="Z88" i="1"/>
  <c r="AB88" i="1"/>
  <c r="AC88" i="1"/>
  <c r="AD88" i="1"/>
  <c r="AG88" i="1" s="1"/>
  <c r="AE88" i="1"/>
  <c r="R29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17" i="3" s="1"/>
  <c r="Y90" i="1"/>
  <c r="Z90" i="1"/>
  <c r="AB90" i="1"/>
  <c r="AC90" i="1"/>
  <c r="AD90" i="1"/>
  <c r="AE90" i="1"/>
  <c r="AF90" i="1"/>
  <c r="AH90" i="1"/>
  <c r="AM90" i="1"/>
  <c r="AN90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1" i="1"/>
  <c r="AM91" i="1"/>
  <c r="AN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101" i="1"/>
  <c r="AM101" i="1"/>
  <c r="AN101" i="1"/>
  <c r="K167" i="1"/>
  <c r="L167" i="1"/>
  <c r="M167" i="1"/>
  <c r="N167" i="1" s="1"/>
  <c r="V167" i="1"/>
  <c r="S40" i="3" s="1"/>
  <c r="Y167" i="1"/>
  <c r="Z167" i="1"/>
  <c r="AB167" i="1"/>
  <c r="AC167" i="1"/>
  <c r="AD167" i="1"/>
  <c r="T167" i="1" s="1"/>
  <c r="AE167" i="1"/>
  <c r="AF167" i="1"/>
  <c r="AH102" i="1"/>
  <c r="AM102" i="1"/>
  <c r="AN1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8" i="1"/>
  <c r="AM108" i="1"/>
  <c r="AN108" i="1"/>
  <c r="K174" i="1"/>
  <c r="L174" i="1"/>
  <c r="M174" i="1"/>
  <c r="N174" i="1" s="1"/>
  <c r="V174" i="1"/>
  <c r="S42" i="3" s="1"/>
  <c r="Y174" i="1"/>
  <c r="Z174" i="1"/>
  <c r="AB174" i="1"/>
  <c r="AC174" i="1"/>
  <c r="AD174" i="1"/>
  <c r="AG174" i="1" s="1"/>
  <c r="AE174" i="1"/>
  <c r="R42" i="3" s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6" i="1"/>
  <c r="AM116" i="1"/>
  <c r="AN116" i="1"/>
  <c r="K181" i="1"/>
  <c r="L181" i="1"/>
  <c r="M181" i="1"/>
  <c r="N181" i="1" s="1"/>
  <c r="V181" i="1"/>
  <c r="S33" i="3" s="1"/>
  <c r="Y181" i="1"/>
  <c r="Z181" i="1"/>
  <c r="AB181" i="1"/>
  <c r="AC181" i="1"/>
  <c r="AD181" i="1"/>
  <c r="AE181" i="1"/>
  <c r="R33" i="3" s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0" i="1"/>
  <c r="AM120" i="1"/>
  <c r="AN120" i="1"/>
  <c r="K185" i="1"/>
  <c r="L185" i="1"/>
  <c r="M185" i="1"/>
  <c r="N185" i="1" s="1"/>
  <c r="V185" i="1"/>
  <c r="S35" i="3" s="1"/>
  <c r="Y185" i="1"/>
  <c r="Z185" i="1"/>
  <c r="AB185" i="1"/>
  <c r="AC185" i="1"/>
  <c r="AD185" i="1"/>
  <c r="T185" i="1" s="1"/>
  <c r="AE185" i="1"/>
  <c r="R35" i="3" s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7" i="1"/>
  <c r="AM127" i="1"/>
  <c r="AN127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28" i="1"/>
  <c r="AM128" i="1"/>
  <c r="AN12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5" i="1"/>
  <c r="AM135" i="1"/>
  <c r="AN135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36" i="1"/>
  <c r="AM136" i="1"/>
  <c r="AN136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7" i="1"/>
  <c r="AM137" i="1"/>
  <c r="AN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7" i="1"/>
  <c r="AM157" i="1"/>
  <c r="AN157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58" i="1"/>
  <c r="AM158" i="1"/>
  <c r="AN158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AM159" i="1"/>
  <c r="AN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AN160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1" i="1"/>
  <c r="AM161" i="1"/>
  <c r="AN161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2" i="1"/>
  <c r="AM162" i="1"/>
  <c r="AN162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3" i="1"/>
  <c r="AM163" i="1"/>
  <c r="AN163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6" i="1"/>
  <c r="AM166" i="1"/>
  <c r="AN166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8" i="1"/>
  <c r="AM168" i="1"/>
  <c r="AN168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0" i="1"/>
  <c r="AM170" i="1"/>
  <c r="AN170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1" i="1"/>
  <c r="AM171" i="1"/>
  <c r="AN171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72" i="1"/>
  <c r="AM172" i="1"/>
  <c r="AN172" i="1"/>
  <c r="K140" i="1"/>
  <c r="L140" i="1"/>
  <c r="M140" i="1"/>
  <c r="V140" i="1"/>
  <c r="Y140" i="1"/>
  <c r="Z140" i="1"/>
  <c r="AB140" i="1"/>
  <c r="AC140" i="1"/>
  <c r="AD140" i="1"/>
  <c r="AG140" i="1" s="1"/>
  <c r="AE140" i="1"/>
  <c r="AF140" i="1"/>
  <c r="AH173" i="1"/>
  <c r="AM173" i="1"/>
  <c r="AN173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4" i="1"/>
  <c r="AM174" i="1"/>
  <c r="AN174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5" i="1"/>
  <c r="AM175" i="1"/>
  <c r="AN175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6" i="1"/>
  <c r="AM176" i="1"/>
  <c r="AN176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7" i="1"/>
  <c r="AM177" i="1"/>
  <c r="AN17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8" i="1"/>
  <c r="AM178" i="1"/>
  <c r="AN178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9" i="1"/>
  <c r="AM179" i="1"/>
  <c r="AN179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0" i="1"/>
  <c r="AM180" i="1"/>
  <c r="AN180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1" i="1"/>
  <c r="AM181" i="1"/>
  <c r="AN181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2" i="1"/>
  <c r="AM182" i="1"/>
  <c r="AN182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3" i="1"/>
  <c r="AM183" i="1"/>
  <c r="AN183" i="1"/>
  <c r="K151" i="1"/>
  <c r="L151" i="1"/>
  <c r="M151" i="1"/>
  <c r="P151" i="1" s="1"/>
  <c r="V151" i="1"/>
  <c r="Y151" i="1"/>
  <c r="Z151" i="1"/>
  <c r="AB151" i="1"/>
  <c r="AC151" i="1"/>
  <c r="AD151" i="1"/>
  <c r="T151" i="1" s="1"/>
  <c r="AE151" i="1"/>
  <c r="AF151" i="1"/>
  <c r="AH184" i="1"/>
  <c r="AM184" i="1"/>
  <c r="AN184" i="1"/>
  <c r="K152" i="1"/>
  <c r="L152" i="1"/>
  <c r="M152" i="1"/>
  <c r="V152" i="1"/>
  <c r="Y152" i="1"/>
  <c r="Z152" i="1"/>
  <c r="AB152" i="1"/>
  <c r="AC152" i="1"/>
  <c r="AD152" i="1"/>
  <c r="AG152" i="1" s="1"/>
  <c r="AE152" i="1"/>
  <c r="AF152" i="1"/>
  <c r="AH185" i="1"/>
  <c r="AM185" i="1"/>
  <c r="AN185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6" i="1"/>
  <c r="AM186" i="1"/>
  <c r="AN186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7" i="1"/>
  <c r="AM187" i="1"/>
  <c r="AN187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8" i="1"/>
  <c r="AM188" i="1"/>
  <c r="AN188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89" i="1"/>
  <c r="AM189" i="1"/>
  <c r="AN189" i="1"/>
  <c r="AH190" i="1"/>
  <c r="AM190" i="1"/>
  <c r="AN190" i="1"/>
  <c r="AH191" i="1"/>
  <c r="AM191" i="1"/>
  <c r="AN191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2" i="1"/>
  <c r="AM202" i="1"/>
  <c r="AN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AM206" i="1"/>
  <c r="AN206" i="1"/>
  <c r="K207" i="1"/>
  <c r="L207" i="1"/>
  <c r="M207" i="1"/>
  <c r="N207" i="1" s="1"/>
  <c r="V207" i="1"/>
  <c r="S43" i="3" s="1"/>
  <c r="Y207" i="1"/>
  <c r="Z207" i="1"/>
  <c r="AB207" i="1"/>
  <c r="AC207" i="1"/>
  <c r="AD207" i="1"/>
  <c r="T207" i="1" s="1"/>
  <c r="AE207" i="1"/>
  <c r="R43" i="3" s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M7" i="3"/>
  <c r="U7" i="3"/>
  <c r="T7" i="3" s="1"/>
  <c r="V7" i="3"/>
  <c r="W7" i="3"/>
  <c r="X7" i="3"/>
  <c r="Y7" i="3"/>
  <c r="M38" i="3"/>
  <c r="R38" i="3"/>
  <c r="S38" i="3"/>
  <c r="T38" i="3"/>
  <c r="U38" i="3"/>
  <c r="AC38" i="3" s="1"/>
  <c r="V38" i="3"/>
  <c r="W38" i="3"/>
  <c r="Y38" i="3" s="1"/>
  <c r="X38" i="3"/>
  <c r="M34" i="3"/>
  <c r="R34" i="3"/>
  <c r="S34" i="3"/>
  <c r="U34" i="3"/>
  <c r="T34" i="3" s="1"/>
  <c r="V34" i="3"/>
  <c r="W34" i="3"/>
  <c r="X34" i="3"/>
  <c r="AC34" i="3"/>
  <c r="M41" i="3"/>
  <c r="R41" i="3"/>
  <c r="S41" i="3"/>
  <c r="U41" i="3"/>
  <c r="V41" i="3"/>
  <c r="W41" i="3"/>
  <c r="X41" i="3"/>
  <c r="M26" i="3"/>
  <c r="U26" i="3"/>
  <c r="T26" i="3" s="1"/>
  <c r="V26" i="3"/>
  <c r="W26" i="3"/>
  <c r="X26" i="3"/>
  <c r="Y26" i="3"/>
  <c r="M39" i="3"/>
  <c r="R39" i="3"/>
  <c r="S39" i="3"/>
  <c r="U39" i="3"/>
  <c r="AC39" i="3" s="1"/>
  <c r="V39" i="3"/>
  <c r="W39" i="3"/>
  <c r="Y39" i="3" s="1"/>
  <c r="X39" i="3"/>
  <c r="M20" i="3"/>
  <c r="R20" i="3"/>
  <c r="U20" i="3"/>
  <c r="T20" i="3" s="1"/>
  <c r="V20" i="3"/>
  <c r="W20" i="3"/>
  <c r="X20" i="3"/>
  <c r="AC20" i="3"/>
  <c r="M37" i="3"/>
  <c r="R37" i="3"/>
  <c r="S37" i="3"/>
  <c r="U37" i="3"/>
  <c r="V37" i="3"/>
  <c r="AE37" i="3" s="1"/>
  <c r="W37" i="3"/>
  <c r="X37" i="3"/>
  <c r="M13" i="3"/>
  <c r="U13" i="3"/>
  <c r="AC13" i="3" s="1"/>
  <c r="V13" i="3"/>
  <c r="W13" i="3"/>
  <c r="X13" i="3"/>
  <c r="Y13" i="3"/>
  <c r="M22" i="3"/>
  <c r="U22" i="3"/>
  <c r="AC22" i="3" s="1"/>
  <c r="V22" i="3"/>
  <c r="W22" i="3"/>
  <c r="X22" i="3"/>
  <c r="M23" i="3"/>
  <c r="U23" i="3"/>
  <c r="T23" i="3" s="1"/>
  <c r="V23" i="3"/>
  <c r="W23" i="3"/>
  <c r="X23" i="3"/>
  <c r="AC23" i="3"/>
  <c r="M36" i="3"/>
  <c r="R36" i="3"/>
  <c r="S36" i="3"/>
  <c r="U36" i="3"/>
  <c r="V36" i="3"/>
  <c r="W36" i="3"/>
  <c r="X36" i="3"/>
  <c r="AC36" i="3"/>
  <c r="M24" i="3"/>
  <c r="U24" i="3"/>
  <c r="AC24" i="3" s="1"/>
  <c r="V24" i="3"/>
  <c r="W24" i="3"/>
  <c r="Y24" i="3" s="1"/>
  <c r="X24" i="3"/>
  <c r="M40" i="3"/>
  <c r="R40" i="3"/>
  <c r="U40" i="3"/>
  <c r="AC40" i="3" s="1"/>
  <c r="V40" i="3"/>
  <c r="W40" i="3"/>
  <c r="X40" i="3"/>
  <c r="M9" i="3"/>
  <c r="U9" i="3"/>
  <c r="T9" i="3" s="1"/>
  <c r="V9" i="3"/>
  <c r="W9" i="3"/>
  <c r="X9" i="3"/>
  <c r="AC9" i="3"/>
  <c r="M12" i="3"/>
  <c r="U12" i="3"/>
  <c r="AD23" i="3" s="1"/>
  <c r="V12" i="3"/>
  <c r="W12" i="3"/>
  <c r="Y12" i="3" s="1"/>
  <c r="X12" i="3"/>
  <c r="M27" i="3"/>
  <c r="U27" i="3"/>
  <c r="T27" i="3" s="1"/>
  <c r="V27" i="3"/>
  <c r="W27" i="3"/>
  <c r="X27" i="3"/>
  <c r="Y27" i="3"/>
  <c r="M16" i="3"/>
  <c r="U16" i="3"/>
  <c r="AC16" i="3" s="1"/>
  <c r="V16" i="3"/>
  <c r="W16" i="3"/>
  <c r="X16" i="3"/>
  <c r="M18" i="3"/>
  <c r="U18" i="3"/>
  <c r="T18" i="3" s="1"/>
  <c r="V18" i="3"/>
  <c r="W18" i="3"/>
  <c r="Y18" i="3" s="1"/>
  <c r="X18" i="3"/>
  <c r="AC18" i="3"/>
  <c r="AD26" i="3"/>
  <c r="M31" i="3"/>
  <c r="U31" i="3"/>
  <c r="AD27" i="3" s="1"/>
  <c r="V31" i="3"/>
  <c r="W31" i="3"/>
  <c r="X31" i="3"/>
  <c r="Y31" i="3"/>
  <c r="M8" i="3"/>
  <c r="U8" i="3"/>
  <c r="T8" i="3" s="1"/>
  <c r="V8" i="3"/>
  <c r="W8" i="3"/>
  <c r="Y8" i="3" s="1"/>
  <c r="X8" i="3"/>
  <c r="M10" i="3"/>
  <c r="R10" i="3"/>
  <c r="U10" i="3"/>
  <c r="AC10" i="3" s="1"/>
  <c r="V10" i="3"/>
  <c r="W10" i="3"/>
  <c r="X10" i="3"/>
  <c r="M30" i="3"/>
  <c r="U30" i="3"/>
  <c r="AD30" i="3" s="1"/>
  <c r="V30" i="3"/>
  <c r="W30" i="3"/>
  <c r="Y30" i="3" s="1"/>
  <c r="X30" i="3"/>
  <c r="AC30" i="3"/>
  <c r="M32" i="3"/>
  <c r="U32" i="3"/>
  <c r="AD31" i="3" s="1"/>
  <c r="V32" i="3"/>
  <c r="W32" i="3"/>
  <c r="Y32" i="3" s="1"/>
  <c r="X32" i="3"/>
  <c r="M42" i="3"/>
  <c r="U42" i="3"/>
  <c r="AC42" i="3" s="1"/>
  <c r="V42" i="3"/>
  <c r="W42" i="3"/>
  <c r="X42" i="3"/>
  <c r="M11" i="3"/>
  <c r="R11" i="3"/>
  <c r="U11" i="3"/>
  <c r="AC11" i="3" s="1"/>
  <c r="V11" i="3"/>
  <c r="W11" i="3"/>
  <c r="X11" i="3"/>
  <c r="AD33" i="3"/>
  <c r="M17" i="3"/>
  <c r="R17" i="3"/>
  <c r="T17" i="3"/>
  <c r="U17" i="3"/>
  <c r="AD17" i="3" s="1"/>
  <c r="V17" i="3"/>
  <c r="AE34" i="3" s="1"/>
  <c r="W17" i="3"/>
  <c r="X17" i="3"/>
  <c r="AC17" i="3"/>
  <c r="AD34" i="3"/>
  <c r="M29" i="3"/>
  <c r="U29" i="3"/>
  <c r="V29" i="3"/>
  <c r="W29" i="3"/>
  <c r="X29" i="3"/>
  <c r="AC29" i="3"/>
  <c r="M28" i="3"/>
  <c r="R28" i="3"/>
  <c r="S28" i="3"/>
  <c r="U28" i="3"/>
  <c r="T28" i="3" s="1"/>
  <c r="V28" i="3"/>
  <c r="W28" i="3"/>
  <c r="X28" i="3"/>
  <c r="Y28" i="3"/>
  <c r="M19" i="3"/>
  <c r="R19" i="3"/>
  <c r="S19" i="3"/>
  <c r="U19" i="3"/>
  <c r="AC19" i="3" s="1"/>
  <c r="V19" i="3"/>
  <c r="W19" i="3"/>
  <c r="Y19" i="3" s="1"/>
  <c r="X19" i="3"/>
  <c r="AD37" i="3"/>
  <c r="M14" i="3"/>
  <c r="R14" i="3"/>
  <c r="S14" i="3"/>
  <c r="U14" i="3"/>
  <c r="T14" i="3" s="1"/>
  <c r="V14" i="3"/>
  <c r="W14" i="3"/>
  <c r="X14" i="3"/>
  <c r="AC14" i="3"/>
  <c r="M15" i="3"/>
  <c r="R15" i="3"/>
  <c r="S15" i="3"/>
  <c r="U15" i="3"/>
  <c r="AD39" i="3" s="1"/>
  <c r="V15" i="3"/>
  <c r="W15" i="3"/>
  <c r="Y15" i="3" s="1"/>
  <c r="X15" i="3"/>
  <c r="M33" i="3"/>
  <c r="U33" i="3"/>
  <c r="AC33" i="3" s="1"/>
  <c r="V33" i="3"/>
  <c r="W33" i="3"/>
  <c r="Y33" i="3" s="1"/>
  <c r="X33" i="3"/>
  <c r="M43" i="3"/>
  <c r="U43" i="3"/>
  <c r="AC43" i="3" s="1"/>
  <c r="V43" i="3"/>
  <c r="W43" i="3"/>
  <c r="Y43" i="3" s="1"/>
  <c r="X43" i="3"/>
  <c r="AD41" i="3"/>
  <c r="M35" i="3"/>
  <c r="U35" i="3"/>
  <c r="T35" i="3" s="1"/>
  <c r="V35" i="3"/>
  <c r="AE42" i="3" s="1"/>
  <c r="W35" i="3"/>
  <c r="X35" i="3"/>
  <c r="AC35" i="3"/>
  <c r="AD42" i="3"/>
  <c r="M25" i="3"/>
  <c r="R25" i="3"/>
  <c r="S25" i="3"/>
  <c r="U25" i="3"/>
  <c r="AD43" i="3" s="1"/>
  <c r="V25" i="3"/>
  <c r="W25" i="3"/>
  <c r="Y25" i="3" s="1"/>
  <c r="X25" i="3"/>
  <c r="M28" i="5"/>
  <c r="X30" i="1" l="1"/>
  <c r="P139" i="1"/>
  <c r="AG31" i="1"/>
  <c r="X31" i="1"/>
  <c r="X29" i="1"/>
  <c r="AG26" i="1"/>
  <c r="X26" i="1"/>
  <c r="X27" i="1"/>
  <c r="AG24" i="1"/>
  <c r="X24" i="1"/>
  <c r="AG32" i="1"/>
  <c r="X32" i="1"/>
  <c r="AG25" i="1"/>
  <c r="X25" i="1"/>
  <c r="AA133" i="1"/>
  <c r="AA129" i="1"/>
  <c r="AA63" i="1"/>
  <c r="AI190" i="1"/>
  <c r="AG30" i="1"/>
  <c r="X19" i="1"/>
  <c r="R30" i="3"/>
  <c r="S9" i="3"/>
  <c r="S31" i="3"/>
  <c r="AA216" i="1"/>
  <c r="W216" i="1" s="1"/>
  <c r="AA212" i="1"/>
  <c r="AG29" i="1"/>
  <c r="AI29" i="1" s="1"/>
  <c r="AA18" i="1"/>
  <c r="AI27" i="1"/>
  <c r="U27" i="1"/>
  <c r="S27" i="1" s="1"/>
  <c r="AI98" i="1"/>
  <c r="AA98" i="1"/>
  <c r="W98" i="1" s="1"/>
  <c r="AA169" i="1"/>
  <c r="X81" i="1"/>
  <c r="P68" i="1"/>
  <c r="AA105" i="1"/>
  <c r="AA101" i="1"/>
  <c r="W101" i="1" s="1"/>
  <c r="AA68" i="1"/>
  <c r="W68" i="1" s="1"/>
  <c r="AI170" i="1"/>
  <c r="AG169" i="1"/>
  <c r="U169" i="1" s="1"/>
  <c r="S169" i="1" s="1"/>
  <c r="AE26" i="3"/>
  <c r="AI63" i="1"/>
  <c r="S29" i="3"/>
  <c r="S30" i="3"/>
  <c r="AA122" i="1"/>
  <c r="R9" i="3"/>
  <c r="R18" i="3"/>
  <c r="AA209" i="1"/>
  <c r="W209" i="1" s="1"/>
  <c r="AI205" i="1"/>
  <c r="AA199" i="1"/>
  <c r="AA136" i="1"/>
  <c r="W136" i="1" s="1"/>
  <c r="AA112" i="1"/>
  <c r="W112" i="1" s="1"/>
  <c r="AA94" i="1"/>
  <c r="W94" i="1" s="1"/>
  <c r="X181" i="1"/>
  <c r="AA91" i="1"/>
  <c r="W91" i="1" s="1"/>
  <c r="AA60" i="1"/>
  <c r="AA30" i="1"/>
  <c r="AA28" i="1"/>
  <c r="X88" i="1"/>
  <c r="AG87" i="1"/>
  <c r="AA61" i="1"/>
  <c r="AG211" i="1"/>
  <c r="U211" i="1" s="1"/>
  <c r="S211" i="1" s="1"/>
  <c r="AA171" i="1"/>
  <c r="AG38" i="1"/>
  <c r="AI38" i="1" s="1"/>
  <c r="AA14" i="1"/>
  <c r="X211" i="1"/>
  <c r="AA210" i="1"/>
  <c r="X130" i="1"/>
  <c r="AI124" i="1"/>
  <c r="AA124" i="1"/>
  <c r="AA201" i="1"/>
  <c r="W201" i="1" s="1"/>
  <c r="AA87" i="1"/>
  <c r="AA69" i="1"/>
  <c r="AA56" i="1"/>
  <c r="AA52" i="1"/>
  <c r="W52" i="1" s="1"/>
  <c r="AA131" i="1"/>
  <c r="AI46" i="1"/>
  <c r="AA46" i="1"/>
  <c r="X150" i="1"/>
  <c r="X142" i="1"/>
  <c r="T130" i="1"/>
  <c r="X18" i="1"/>
  <c r="AA213" i="1"/>
  <c r="T210" i="1"/>
  <c r="U210" i="1" s="1"/>
  <c r="S210" i="1" s="1"/>
  <c r="T195" i="1"/>
  <c r="U195" i="1" s="1"/>
  <c r="S195" i="1" s="1"/>
  <c r="AA153" i="1"/>
  <c r="AA151" i="1"/>
  <c r="AA130" i="1"/>
  <c r="AA125" i="1"/>
  <c r="AI120" i="1"/>
  <c r="AI112" i="1"/>
  <c r="X110" i="1"/>
  <c r="AG109" i="1"/>
  <c r="U109" i="1" s="1"/>
  <c r="S109" i="1" s="1"/>
  <c r="AG102" i="1"/>
  <c r="X102" i="1"/>
  <c r="X188" i="1"/>
  <c r="AA162" i="1"/>
  <c r="AA89" i="1"/>
  <c r="T46" i="1"/>
  <c r="U46" i="1" s="1"/>
  <c r="S46" i="1" s="1"/>
  <c r="AA34" i="1"/>
  <c r="AA23" i="1"/>
  <c r="AA17" i="1"/>
  <c r="X15" i="1"/>
  <c r="AG217" i="1"/>
  <c r="U217" i="1" s="1"/>
  <c r="S217" i="1" s="1"/>
  <c r="X192" i="1"/>
  <c r="X153" i="1"/>
  <c r="AG130" i="1"/>
  <c r="X118" i="1"/>
  <c r="X113" i="1"/>
  <c r="X109" i="1"/>
  <c r="X215" i="1"/>
  <c r="AG213" i="1"/>
  <c r="AI213" i="1" s="1"/>
  <c r="T215" i="1"/>
  <c r="AI209" i="1"/>
  <c r="T192" i="1"/>
  <c r="AA191" i="1"/>
  <c r="AA156" i="1"/>
  <c r="X141" i="1"/>
  <c r="AA139" i="1"/>
  <c r="AA132" i="1"/>
  <c r="AA128" i="1"/>
  <c r="W128" i="1" s="1"/>
  <c r="X122" i="1"/>
  <c r="AA117" i="1"/>
  <c r="AI116" i="1"/>
  <c r="AA116" i="1"/>
  <c r="W116" i="1" s="1"/>
  <c r="AA108" i="1"/>
  <c r="X99" i="1"/>
  <c r="X96" i="1"/>
  <c r="AG95" i="1"/>
  <c r="U95" i="1" s="1"/>
  <c r="S95" i="1" s="1"/>
  <c r="X95" i="1"/>
  <c r="AA92" i="1"/>
  <c r="W92" i="1" s="1"/>
  <c r="AA85" i="1"/>
  <c r="T81" i="1"/>
  <c r="AA80" i="1"/>
  <c r="W80" i="1" s="1"/>
  <c r="AA75" i="1"/>
  <c r="AA58" i="1"/>
  <c r="AI52" i="1"/>
  <c r="AA50" i="1"/>
  <c r="AA38" i="1"/>
  <c r="W38" i="1" s="1"/>
  <c r="AG17" i="1"/>
  <c r="AI17" i="1" s="1"/>
  <c r="X17" i="1"/>
  <c r="W124" i="1"/>
  <c r="T74" i="1"/>
  <c r="U74" i="1" s="1"/>
  <c r="S74" i="1" s="1"/>
  <c r="AG207" i="1"/>
  <c r="AI207" i="1" s="1"/>
  <c r="X207" i="1"/>
  <c r="AA140" i="1"/>
  <c r="W140" i="1" s="1"/>
  <c r="AG121" i="1"/>
  <c r="U121" i="1" s="1"/>
  <c r="S121" i="1" s="1"/>
  <c r="X117" i="1"/>
  <c r="AA115" i="1"/>
  <c r="AI104" i="1"/>
  <c r="AA187" i="1"/>
  <c r="W187" i="1" s="1"/>
  <c r="X177" i="1"/>
  <c r="T92" i="1"/>
  <c r="U92" i="1" s="1"/>
  <c r="S92" i="1" s="1"/>
  <c r="AA176" i="1"/>
  <c r="AI174" i="1"/>
  <c r="T91" i="1"/>
  <c r="U91" i="1" s="1"/>
  <c r="S91" i="1" s="1"/>
  <c r="AA157" i="1"/>
  <c r="W157" i="1" s="1"/>
  <c r="AG89" i="1"/>
  <c r="AI89" i="1" s="1"/>
  <c r="X89" i="1"/>
  <c r="AG81" i="1"/>
  <c r="AI81" i="1" s="1"/>
  <c r="X76" i="1"/>
  <c r="AG75" i="1"/>
  <c r="AI75" i="1" s="1"/>
  <c r="AA74" i="1"/>
  <c r="W74" i="1" s="1"/>
  <c r="AA73" i="1"/>
  <c r="W73" i="1" s="1"/>
  <c r="AA71" i="1"/>
  <c r="AA62" i="1"/>
  <c r="W62" i="1" s="1"/>
  <c r="AA37" i="1"/>
  <c r="AA32" i="1"/>
  <c r="W32" i="1" s="1"/>
  <c r="U16" i="1"/>
  <c r="S16" i="1" s="1"/>
  <c r="AI16" i="1"/>
  <c r="AI15" i="1"/>
  <c r="U15" i="1"/>
  <c r="S15" i="1" s="1"/>
  <c r="W15" i="1"/>
  <c r="W16" i="1"/>
  <c r="AI194" i="1"/>
  <c r="AG193" i="1"/>
  <c r="AI193" i="1" s="1"/>
  <c r="X193" i="1"/>
  <c r="AA149" i="1"/>
  <c r="AA144" i="1"/>
  <c r="W144" i="1" s="1"/>
  <c r="AA189" i="1"/>
  <c r="AG186" i="1"/>
  <c r="AI186" i="1" s="1"/>
  <c r="AA185" i="1"/>
  <c r="AA180" i="1"/>
  <c r="W180" i="1" s="1"/>
  <c r="AA159" i="1"/>
  <c r="AG69" i="1"/>
  <c r="AI69" i="1" s="1"/>
  <c r="T63" i="1"/>
  <c r="U63" i="1" s="1"/>
  <c r="S63" i="1" s="1"/>
  <c r="AG54" i="1"/>
  <c r="U54" i="1" s="1"/>
  <c r="S54" i="1" s="1"/>
  <c r="AG28" i="1"/>
  <c r="AI28" i="1" s="1"/>
  <c r="AI201" i="1"/>
  <c r="AA197" i="1"/>
  <c r="X174" i="1"/>
  <c r="X159" i="1"/>
  <c r="X69" i="1"/>
  <c r="X22" i="1"/>
  <c r="AG158" i="1"/>
  <c r="AI158" i="1" s="1"/>
  <c r="X158" i="1"/>
  <c r="AG151" i="1"/>
  <c r="X149" i="1"/>
  <c r="X145" i="1"/>
  <c r="AA173" i="1"/>
  <c r="W173" i="1" s="1"/>
  <c r="T157" i="1"/>
  <c r="U157" i="1" s="1"/>
  <c r="S157" i="1" s="1"/>
  <c r="X157" i="1"/>
  <c r="X53" i="1"/>
  <c r="X49" i="1"/>
  <c r="W46" i="1"/>
  <c r="X41" i="1"/>
  <c r="AA217" i="1"/>
  <c r="AG215" i="1"/>
  <c r="X214" i="1"/>
  <c r="AA206" i="1"/>
  <c r="W206" i="1" s="1"/>
  <c r="AA205" i="1"/>
  <c r="W205" i="1" s="1"/>
  <c r="AG192" i="1"/>
  <c r="AI192" i="1" s="1"/>
  <c r="AA152" i="1"/>
  <c r="W152" i="1" s="1"/>
  <c r="AA141" i="1"/>
  <c r="X137" i="1"/>
  <c r="X134" i="1"/>
  <c r="X133" i="1"/>
  <c r="AA123" i="1"/>
  <c r="AA120" i="1"/>
  <c r="W120" i="1" s="1"/>
  <c r="T114" i="1"/>
  <c r="U114" i="1" s="1"/>
  <c r="S114" i="1" s="1"/>
  <c r="AA113" i="1"/>
  <c r="AA109" i="1"/>
  <c r="X106" i="1"/>
  <c r="X105" i="1"/>
  <c r="T100" i="1"/>
  <c r="U100" i="1" s="1"/>
  <c r="S100" i="1" s="1"/>
  <c r="AA99" i="1"/>
  <c r="AA95" i="1"/>
  <c r="AA190" i="1"/>
  <c r="W190" i="1" s="1"/>
  <c r="T188" i="1"/>
  <c r="T187" i="1"/>
  <c r="U187" i="1" s="1"/>
  <c r="S187" i="1" s="1"/>
  <c r="AA93" i="1"/>
  <c r="X162" i="1"/>
  <c r="AI87" i="1"/>
  <c r="AA86" i="1"/>
  <c r="W86" i="1" s="1"/>
  <c r="AA72" i="1"/>
  <c r="AA67" i="1"/>
  <c r="W67" i="1" s="1"/>
  <c r="X66" i="1"/>
  <c r="AG65" i="1"/>
  <c r="AI65" i="1" s="1"/>
  <c r="X65" i="1"/>
  <c r="T57" i="1"/>
  <c r="T51" i="1"/>
  <c r="U51" i="1" s="1"/>
  <c r="S51" i="1" s="1"/>
  <c r="AG48" i="1"/>
  <c r="U48" i="1" s="1"/>
  <c r="S48" i="1" s="1"/>
  <c r="AA44" i="1"/>
  <c r="AG42" i="1"/>
  <c r="U42" i="1" s="1"/>
  <c r="S42" i="1" s="1"/>
  <c r="AA40" i="1"/>
  <c r="X39" i="1"/>
  <c r="AA35" i="1"/>
  <c r="W35" i="1" s="1"/>
  <c r="X35" i="1"/>
  <c r="T209" i="1"/>
  <c r="U209" i="1" s="1"/>
  <c r="S209" i="1" s="1"/>
  <c r="AA208" i="1"/>
  <c r="W208" i="1" s="1"/>
  <c r="AA194" i="1"/>
  <c r="W194" i="1" s="1"/>
  <c r="AA155" i="1"/>
  <c r="AA147" i="1"/>
  <c r="AA145" i="1"/>
  <c r="AA135" i="1"/>
  <c r="AA114" i="1"/>
  <c r="W114" i="1" s="1"/>
  <c r="AA104" i="1"/>
  <c r="W104" i="1" s="1"/>
  <c r="AA200" i="1"/>
  <c r="AA100" i="1"/>
  <c r="W100" i="1" s="1"/>
  <c r="AA188" i="1"/>
  <c r="AA184" i="1"/>
  <c r="W184" i="1" s="1"/>
  <c r="AA181" i="1"/>
  <c r="T181" i="1"/>
  <c r="T180" i="1"/>
  <c r="U180" i="1" s="1"/>
  <c r="S180" i="1" s="1"/>
  <c r="AA179" i="1"/>
  <c r="X170" i="1"/>
  <c r="AA167" i="1"/>
  <c r="AA166" i="1"/>
  <c r="X82" i="1"/>
  <c r="AA77" i="1"/>
  <c r="T62" i="1"/>
  <c r="U62" i="1" s="1"/>
  <c r="S62" i="1" s="1"/>
  <c r="AG58" i="1"/>
  <c r="AI58" i="1" s="1"/>
  <c r="AA57" i="1"/>
  <c r="W57" i="1" s="1"/>
  <c r="T52" i="1"/>
  <c r="U52" i="1" s="1"/>
  <c r="S52" i="1" s="1"/>
  <c r="AA51" i="1"/>
  <c r="W51" i="1" s="1"/>
  <c r="AA45" i="1"/>
  <c r="X45" i="1"/>
  <c r="AA20" i="1"/>
  <c r="AA19" i="1"/>
  <c r="T19" i="1"/>
  <c r="W132" i="1"/>
  <c r="W63" i="1"/>
  <c r="AA48" i="1"/>
  <c r="X47" i="1"/>
  <c r="AA42" i="1"/>
  <c r="AG40" i="1"/>
  <c r="AI40" i="1" s="1"/>
  <c r="AA36" i="1"/>
  <c r="W18" i="1"/>
  <c r="T206" i="1"/>
  <c r="U206" i="1" s="1"/>
  <c r="S206" i="1" s="1"/>
  <c r="AA195" i="1"/>
  <c r="W195" i="1" s="1"/>
  <c r="AG155" i="1"/>
  <c r="U155" i="1" s="1"/>
  <c r="S155" i="1" s="1"/>
  <c r="AA148" i="1"/>
  <c r="W148" i="1" s="1"/>
  <c r="AA143" i="1"/>
  <c r="AA137" i="1"/>
  <c r="X125" i="1"/>
  <c r="AA121" i="1"/>
  <c r="AI108" i="1"/>
  <c r="AI94" i="1"/>
  <c r="X185" i="1"/>
  <c r="AA182" i="1"/>
  <c r="AG181" i="1"/>
  <c r="AI181" i="1" s="1"/>
  <c r="AA174" i="1"/>
  <c r="W174" i="1" s="1"/>
  <c r="T174" i="1"/>
  <c r="U174" i="1" s="1"/>
  <c r="S174" i="1" s="1"/>
  <c r="T173" i="1"/>
  <c r="U173" i="1" s="1"/>
  <c r="S173" i="1" s="1"/>
  <c r="AA172" i="1"/>
  <c r="AA170" i="1"/>
  <c r="W170" i="1" s="1"/>
  <c r="T170" i="1"/>
  <c r="U170" i="1" s="1"/>
  <c r="S170" i="1" s="1"/>
  <c r="AG163" i="1"/>
  <c r="AI163" i="1" s="1"/>
  <c r="X163" i="1"/>
  <c r="AG162" i="1"/>
  <c r="AI162" i="1" s="1"/>
  <c r="T86" i="1"/>
  <c r="U86" i="1" s="1"/>
  <c r="S86" i="1" s="1"/>
  <c r="AG83" i="1"/>
  <c r="U83" i="1" s="1"/>
  <c r="S83" i="1" s="1"/>
  <c r="T80" i="1"/>
  <c r="U80" i="1" s="1"/>
  <c r="S80" i="1" s="1"/>
  <c r="AA79" i="1"/>
  <c r="X78" i="1"/>
  <c r="AG77" i="1"/>
  <c r="AI77" i="1" s="1"/>
  <c r="X77" i="1"/>
  <c r="X74" i="1"/>
  <c r="X70" i="1"/>
  <c r="AA65" i="1"/>
  <c r="X64" i="1"/>
  <c r="AG60" i="1"/>
  <c r="AI60" i="1" s="1"/>
  <c r="AA54" i="1"/>
  <c r="X36" i="1"/>
  <c r="T35" i="1"/>
  <c r="U35" i="1" s="1"/>
  <c r="S35" i="1" s="1"/>
  <c r="AA25" i="1"/>
  <c r="W25" i="1" s="1"/>
  <c r="AG23" i="1"/>
  <c r="AI23" i="1" s="1"/>
  <c r="X23" i="1"/>
  <c r="AA21" i="1"/>
  <c r="W21" i="1" s="1"/>
  <c r="AG19" i="1"/>
  <c r="AI19" i="1" s="1"/>
  <c r="AA215" i="1"/>
  <c r="U213" i="1"/>
  <c r="S213" i="1" s="1"/>
  <c r="X210" i="1"/>
  <c r="AG199" i="1"/>
  <c r="T199" i="1"/>
  <c r="AI92" i="1"/>
  <c r="AG202" i="1"/>
  <c r="AI202" i="1" s="1"/>
  <c r="T202" i="1"/>
  <c r="X202" i="1"/>
  <c r="X197" i="1"/>
  <c r="AG197" i="1"/>
  <c r="T197" i="1"/>
  <c r="AA207" i="1"/>
  <c r="T205" i="1"/>
  <c r="U205" i="1" s="1"/>
  <c r="S205" i="1" s="1"/>
  <c r="AA204" i="1"/>
  <c r="W204" i="1" s="1"/>
  <c r="X203" i="1"/>
  <c r="AG203" i="1"/>
  <c r="U203" i="1" s="1"/>
  <c r="AA203" i="1"/>
  <c r="AG191" i="1"/>
  <c r="T191" i="1"/>
  <c r="AI129" i="1"/>
  <c r="AA214" i="1"/>
  <c r="W214" i="1" s="1"/>
  <c r="T214" i="1"/>
  <c r="U214" i="1" s="1"/>
  <c r="S214" i="1" s="1"/>
  <c r="AA211" i="1"/>
  <c r="X206" i="1"/>
  <c r="AG196" i="1"/>
  <c r="AI196" i="1" s="1"/>
  <c r="X196" i="1"/>
  <c r="T196" i="1"/>
  <c r="AA198" i="1"/>
  <c r="W198" i="1" s="1"/>
  <c r="AA196" i="1"/>
  <c r="AA193" i="1"/>
  <c r="AG154" i="1"/>
  <c r="AI154" i="1" s="1"/>
  <c r="X154" i="1"/>
  <c r="AA150" i="1"/>
  <c r="T150" i="1"/>
  <c r="AG149" i="1"/>
  <c r="AG146" i="1"/>
  <c r="U146" i="1" s="1"/>
  <c r="S146" i="1" s="1"/>
  <c r="X146" i="1"/>
  <c r="AA142" i="1"/>
  <c r="T142" i="1"/>
  <c r="AG141" i="1"/>
  <c r="AG138" i="1"/>
  <c r="AI138" i="1" s="1"/>
  <c r="X138" i="1"/>
  <c r="AA134" i="1"/>
  <c r="T134" i="1"/>
  <c r="AG133" i="1"/>
  <c r="W133" i="1" s="1"/>
  <c r="X129" i="1"/>
  <c r="AG126" i="1"/>
  <c r="U126" i="1" s="1"/>
  <c r="S126" i="1" s="1"/>
  <c r="X126" i="1"/>
  <c r="AA119" i="1"/>
  <c r="AA118" i="1"/>
  <c r="T118" i="1"/>
  <c r="AG117" i="1"/>
  <c r="U117" i="1" s="1"/>
  <c r="S117" i="1" s="1"/>
  <c r="X114" i="1"/>
  <c r="AA107" i="1"/>
  <c r="AA106" i="1"/>
  <c r="T106" i="1"/>
  <c r="AG105" i="1"/>
  <c r="U105" i="1" s="1"/>
  <c r="S105" i="1" s="1"/>
  <c r="X101" i="1"/>
  <c r="AI100" i="1"/>
  <c r="X100" i="1"/>
  <c r="AA186" i="1"/>
  <c r="AG185" i="1"/>
  <c r="AI185" i="1" s="1"/>
  <c r="T184" i="1"/>
  <c r="U184" i="1" s="1"/>
  <c r="S184" i="1" s="1"/>
  <c r="AA183" i="1"/>
  <c r="AA177" i="1"/>
  <c r="T177" i="1"/>
  <c r="AG166" i="1"/>
  <c r="AA164" i="1"/>
  <c r="AG159" i="1"/>
  <c r="AI159" i="1" s="1"/>
  <c r="AA83" i="1"/>
  <c r="AG72" i="1"/>
  <c r="U72" i="1" s="1"/>
  <c r="S72" i="1" s="1"/>
  <c r="X72" i="1"/>
  <c r="T153" i="1"/>
  <c r="T145" i="1"/>
  <c r="T137" i="1"/>
  <c r="W129" i="1"/>
  <c r="T125" i="1"/>
  <c r="T113" i="1"/>
  <c r="AA111" i="1"/>
  <c r="AA110" i="1"/>
  <c r="T110" i="1"/>
  <c r="T99" i="1"/>
  <c r="AA97" i="1"/>
  <c r="AA96" i="1"/>
  <c r="T96" i="1"/>
  <c r="T190" i="1"/>
  <c r="U190" i="1" s="1"/>
  <c r="S190" i="1" s="1"/>
  <c r="T164" i="1"/>
  <c r="AG164" i="1"/>
  <c r="AG84" i="1"/>
  <c r="AI84" i="1" s="1"/>
  <c r="X84" i="1"/>
  <c r="T84" i="1"/>
  <c r="X57" i="1"/>
  <c r="AG56" i="1"/>
  <c r="T56" i="1"/>
  <c r="AA202" i="1"/>
  <c r="AA192" i="1"/>
  <c r="AA154" i="1"/>
  <c r="AG153" i="1"/>
  <c r="AG150" i="1"/>
  <c r="AI150" i="1" s="1"/>
  <c r="AA146" i="1"/>
  <c r="AG145" i="1"/>
  <c r="AG142" i="1"/>
  <c r="AI142" i="1" s="1"/>
  <c r="AA138" i="1"/>
  <c r="AG137" i="1"/>
  <c r="AG134" i="1"/>
  <c r="T129" i="1"/>
  <c r="U129" i="1" s="1"/>
  <c r="S129" i="1" s="1"/>
  <c r="AA127" i="1"/>
  <c r="AA126" i="1"/>
  <c r="AG125" i="1"/>
  <c r="X121" i="1"/>
  <c r="AG118" i="1"/>
  <c r="AG113" i="1"/>
  <c r="AG106" i="1"/>
  <c r="AI106" i="1" s="1"/>
  <c r="T101" i="1"/>
  <c r="U101" i="1" s="1"/>
  <c r="S101" i="1" s="1"/>
  <c r="AG99" i="1"/>
  <c r="AG182" i="1"/>
  <c r="AI182" i="1" s="1"/>
  <c r="AA178" i="1"/>
  <c r="AG177" i="1"/>
  <c r="AI177" i="1" s="1"/>
  <c r="AA175" i="1"/>
  <c r="AG171" i="1"/>
  <c r="AG167" i="1"/>
  <c r="AG160" i="1"/>
  <c r="U160" i="1" s="1"/>
  <c r="S160" i="1" s="1"/>
  <c r="T159" i="1"/>
  <c r="X62" i="1"/>
  <c r="X61" i="1"/>
  <c r="AG61" i="1"/>
  <c r="AI61" i="1" s="1"/>
  <c r="T61" i="1"/>
  <c r="AG122" i="1"/>
  <c r="AG110" i="1"/>
  <c r="AI110" i="1" s="1"/>
  <c r="AA103" i="1"/>
  <c r="AA102" i="1"/>
  <c r="W102" i="1" s="1"/>
  <c r="AG96" i="1"/>
  <c r="AI96" i="1" s="1"/>
  <c r="X190" i="1"/>
  <c r="AG188" i="1"/>
  <c r="AI188" i="1" s="1"/>
  <c r="W181" i="1"/>
  <c r="AG178" i="1"/>
  <c r="AI178" i="1" s="1"/>
  <c r="AG175" i="1"/>
  <c r="U175" i="1" s="1"/>
  <c r="S175" i="1" s="1"/>
  <c r="AI91" i="1"/>
  <c r="AG90" i="1"/>
  <c r="AI90" i="1" s="1"/>
  <c r="X91" i="1"/>
  <c r="X90" i="1"/>
  <c r="T90" i="1"/>
  <c r="X86" i="1"/>
  <c r="X85" i="1"/>
  <c r="AG85" i="1"/>
  <c r="AI85" i="1" s="1"/>
  <c r="T85" i="1"/>
  <c r="T79" i="1"/>
  <c r="X80" i="1"/>
  <c r="AG79" i="1"/>
  <c r="AI79" i="1" s="1"/>
  <c r="AI73" i="1"/>
  <c r="T71" i="1"/>
  <c r="AG71" i="1"/>
  <c r="AI71" i="1" s="1"/>
  <c r="X68" i="1"/>
  <c r="AG55" i="1"/>
  <c r="AI55" i="1" s="1"/>
  <c r="X55" i="1"/>
  <c r="T55" i="1"/>
  <c r="AA90" i="1"/>
  <c r="AA84" i="1"/>
  <c r="T73" i="1"/>
  <c r="U73" i="1" s="1"/>
  <c r="S73" i="1" s="1"/>
  <c r="AA55" i="1"/>
  <c r="X50" i="1"/>
  <c r="T44" i="1"/>
  <c r="AA43" i="1"/>
  <c r="W43" i="1" s="1"/>
  <c r="T43" i="1"/>
  <c r="U43" i="1" s="1"/>
  <c r="S43" i="1" s="1"/>
  <c r="X42" i="1"/>
  <c r="T34" i="1"/>
  <c r="AA33" i="1"/>
  <c r="T32" i="1"/>
  <c r="U32" i="1" s="1"/>
  <c r="S32" i="1" s="1"/>
  <c r="AA31" i="1"/>
  <c r="W31" i="1" s="1"/>
  <c r="T31" i="1"/>
  <c r="U31" i="1" s="1"/>
  <c r="S31" i="1" s="1"/>
  <c r="T30" i="1"/>
  <c r="U30" i="1" s="1"/>
  <c r="S30" i="1" s="1"/>
  <c r="AA29" i="1"/>
  <c r="T29" i="1"/>
  <c r="U29" i="1" s="1"/>
  <c r="S29" i="1" s="1"/>
  <c r="T28" i="1"/>
  <c r="AA26" i="1"/>
  <c r="T26" i="1"/>
  <c r="T25" i="1"/>
  <c r="U25" i="1" s="1"/>
  <c r="S25" i="1" s="1"/>
  <c r="AA24" i="1"/>
  <c r="W24" i="1" s="1"/>
  <c r="T24" i="1"/>
  <c r="U24" i="1" s="1"/>
  <c r="S24" i="1" s="1"/>
  <c r="T18" i="1"/>
  <c r="U18" i="1" s="1"/>
  <c r="S18" i="1" s="1"/>
  <c r="T36" i="1"/>
  <c r="X34" i="1"/>
  <c r="T21" i="1"/>
  <c r="U21" i="1" s="1"/>
  <c r="S21" i="1" s="1"/>
  <c r="T17" i="1"/>
  <c r="AA161" i="1"/>
  <c r="AA158" i="1"/>
  <c r="T158" i="1"/>
  <c r="AA82" i="1"/>
  <c r="W82" i="1" s="1"/>
  <c r="T82" i="1"/>
  <c r="U82" i="1" s="1"/>
  <c r="S82" i="1" s="1"/>
  <c r="AA81" i="1"/>
  <c r="X73" i="1"/>
  <c r="AA64" i="1"/>
  <c r="W64" i="1" s="1"/>
  <c r="T64" i="1"/>
  <c r="U64" i="1" s="1"/>
  <c r="S64" i="1" s="1"/>
  <c r="AA59" i="1"/>
  <c r="AA53" i="1"/>
  <c r="AG50" i="1"/>
  <c r="AA47" i="1"/>
  <c r="W47" i="1" s="1"/>
  <c r="T47" i="1"/>
  <c r="U47" i="1" s="1"/>
  <c r="S47" i="1" s="1"/>
  <c r="X46" i="1"/>
  <c r="AG44" i="1"/>
  <c r="X43" i="1"/>
  <c r="AA39" i="1"/>
  <c r="W39" i="1" s="1"/>
  <c r="T39" i="1"/>
  <c r="U39" i="1" s="1"/>
  <c r="S39" i="1" s="1"/>
  <c r="X38" i="1"/>
  <c r="AG36" i="1"/>
  <c r="AG34" i="1"/>
  <c r="X33" i="1"/>
  <c r="AA168" i="1"/>
  <c r="AA165" i="1"/>
  <c r="AA163" i="1"/>
  <c r="U162" i="1"/>
  <c r="S162" i="1" s="1"/>
  <c r="AA160" i="1"/>
  <c r="AA88" i="1"/>
  <c r="W88" i="1" s="1"/>
  <c r="T88" i="1"/>
  <c r="U88" i="1" s="1"/>
  <c r="S88" i="1" s="1"/>
  <c r="AA78" i="1"/>
  <c r="W78" i="1" s="1"/>
  <c r="T78" i="1"/>
  <c r="U78" i="1" s="1"/>
  <c r="S78" i="1" s="1"/>
  <c r="AA76" i="1"/>
  <c r="W76" i="1" s="1"/>
  <c r="T76" i="1"/>
  <c r="U76" i="1" s="1"/>
  <c r="S76" i="1" s="1"/>
  <c r="AA70" i="1"/>
  <c r="W70" i="1" s="1"/>
  <c r="T70" i="1"/>
  <c r="U70" i="1" s="1"/>
  <c r="S70" i="1" s="1"/>
  <c r="T68" i="1"/>
  <c r="U68" i="1" s="1"/>
  <c r="AA66" i="1"/>
  <c r="W66" i="1" s="1"/>
  <c r="T66" i="1"/>
  <c r="U66" i="1" s="1"/>
  <c r="S66" i="1" s="1"/>
  <c r="X54" i="1"/>
  <c r="X51" i="1"/>
  <c r="AA49" i="1"/>
  <c r="T49" i="1"/>
  <c r="AA41" i="1"/>
  <c r="T41" i="1"/>
  <c r="X37" i="1"/>
  <c r="AI32" i="1"/>
  <c r="AI30" i="1"/>
  <c r="AI25" i="1"/>
  <c r="AA22" i="1"/>
  <c r="W22" i="1" s="1"/>
  <c r="T22" i="1"/>
  <c r="U22" i="1" s="1"/>
  <c r="S22" i="1" s="1"/>
  <c r="X21" i="1"/>
  <c r="AI18" i="1"/>
  <c r="AI204" i="1"/>
  <c r="W212" i="1"/>
  <c r="W210" i="1"/>
  <c r="AI208" i="1"/>
  <c r="AI206" i="1"/>
  <c r="AI212" i="1"/>
  <c r="AI210" i="1"/>
  <c r="AI198" i="1"/>
  <c r="AI216" i="1"/>
  <c r="AI214" i="1"/>
  <c r="X216" i="1"/>
  <c r="T216" i="1"/>
  <c r="U216" i="1" s="1"/>
  <c r="S216" i="1" s="1"/>
  <c r="X212" i="1"/>
  <c r="T212" i="1"/>
  <c r="U212" i="1" s="1"/>
  <c r="S212" i="1" s="1"/>
  <c r="X208" i="1"/>
  <c r="T208" i="1"/>
  <c r="U208" i="1" s="1"/>
  <c r="S208" i="1" s="1"/>
  <c r="X204" i="1"/>
  <c r="T204" i="1"/>
  <c r="U204" i="1" s="1"/>
  <c r="S204" i="1" s="1"/>
  <c r="X198" i="1"/>
  <c r="T198" i="1"/>
  <c r="U198" i="1" s="1"/>
  <c r="S198" i="1" s="1"/>
  <c r="AI199" i="1"/>
  <c r="X194" i="1"/>
  <c r="T194" i="1"/>
  <c r="U194" i="1" s="1"/>
  <c r="S194" i="1" s="1"/>
  <c r="AI195" i="1"/>
  <c r="AI136" i="1"/>
  <c r="X217" i="1"/>
  <c r="X213" i="1"/>
  <c r="X209" i="1"/>
  <c r="X205" i="1"/>
  <c r="X199" i="1"/>
  <c r="X195" i="1"/>
  <c r="AI173" i="1"/>
  <c r="AI152" i="1"/>
  <c r="W108" i="1"/>
  <c r="AI140" i="1"/>
  <c r="AI144" i="1"/>
  <c r="AI128" i="1"/>
  <c r="X191" i="1"/>
  <c r="AG156" i="1"/>
  <c r="AI156" i="1" s="1"/>
  <c r="T156" i="1"/>
  <c r="X156" i="1"/>
  <c r="AI169" i="1"/>
  <c r="AI157" i="1"/>
  <c r="AI148" i="1"/>
  <c r="AI132" i="1"/>
  <c r="X152" i="1"/>
  <c r="T152" i="1"/>
  <c r="U152" i="1" s="1"/>
  <c r="AI184" i="1"/>
  <c r="X148" i="1"/>
  <c r="T148" i="1"/>
  <c r="U148" i="1" s="1"/>
  <c r="S148" i="1" s="1"/>
  <c r="X144" i="1"/>
  <c r="T144" i="1"/>
  <c r="U144" i="1" s="1"/>
  <c r="S144" i="1" s="1"/>
  <c r="X140" i="1"/>
  <c r="T140" i="1"/>
  <c r="U140" i="1" s="1"/>
  <c r="X136" i="1"/>
  <c r="T136" i="1"/>
  <c r="U136" i="1" s="1"/>
  <c r="S136" i="1" s="1"/>
  <c r="X132" i="1"/>
  <c r="T132" i="1"/>
  <c r="U132" i="1" s="1"/>
  <c r="S132" i="1" s="1"/>
  <c r="X128" i="1"/>
  <c r="T128" i="1"/>
  <c r="U128" i="1" s="1"/>
  <c r="S128" i="1" s="1"/>
  <c r="X124" i="1"/>
  <c r="T124" i="1"/>
  <c r="U124" i="1" s="1"/>
  <c r="S124" i="1" s="1"/>
  <c r="X120" i="1"/>
  <c r="T120" i="1"/>
  <c r="U120" i="1" s="1"/>
  <c r="S120" i="1" s="1"/>
  <c r="X116" i="1"/>
  <c r="T116" i="1"/>
  <c r="U116" i="1" s="1"/>
  <c r="S116" i="1" s="1"/>
  <c r="X112" i="1"/>
  <c r="T112" i="1"/>
  <c r="U112" i="1" s="1"/>
  <c r="S112" i="1" s="1"/>
  <c r="X108" i="1"/>
  <c r="T108" i="1"/>
  <c r="U108" i="1" s="1"/>
  <c r="S108" i="1" s="1"/>
  <c r="X104" i="1"/>
  <c r="T104" i="1"/>
  <c r="U104" i="1" s="1"/>
  <c r="S104" i="1" s="1"/>
  <c r="X201" i="1"/>
  <c r="T201" i="1"/>
  <c r="U201" i="1" s="1"/>
  <c r="S201" i="1" s="1"/>
  <c r="X98" i="1"/>
  <c r="T98" i="1"/>
  <c r="U98" i="1" s="1"/>
  <c r="S98" i="1" s="1"/>
  <c r="X94" i="1"/>
  <c r="T94" i="1"/>
  <c r="U94" i="1" s="1"/>
  <c r="S94" i="1" s="1"/>
  <c r="T93" i="1"/>
  <c r="X93" i="1"/>
  <c r="AG93" i="1"/>
  <c r="AI93" i="1" s="1"/>
  <c r="X187" i="1"/>
  <c r="U102" i="1"/>
  <c r="S102" i="1" s="1"/>
  <c r="T189" i="1"/>
  <c r="X189" i="1"/>
  <c r="AG147" i="1"/>
  <c r="AG143" i="1"/>
  <c r="AG139" i="1"/>
  <c r="AG135" i="1"/>
  <c r="AG131" i="1"/>
  <c r="AG127" i="1"/>
  <c r="AI127" i="1" s="1"/>
  <c r="AG123" i="1"/>
  <c r="AG119" i="1"/>
  <c r="AG115" i="1"/>
  <c r="AG111" i="1"/>
  <c r="AG107" i="1"/>
  <c r="AG103" i="1"/>
  <c r="AG200" i="1"/>
  <c r="AI200" i="1" s="1"/>
  <c r="AG97" i="1"/>
  <c r="AI97" i="1" s="1"/>
  <c r="AG189" i="1"/>
  <c r="AI101" i="1"/>
  <c r="X155" i="1"/>
  <c r="AI187" i="1"/>
  <c r="X151" i="1"/>
  <c r="X147" i="1"/>
  <c r="X143" i="1"/>
  <c r="X139" i="1"/>
  <c r="X135" i="1"/>
  <c r="X131" i="1"/>
  <c r="X127" i="1"/>
  <c r="X123" i="1"/>
  <c r="X119" i="1"/>
  <c r="X115" i="1"/>
  <c r="X111" i="1"/>
  <c r="X107" i="1"/>
  <c r="X103" i="1"/>
  <c r="X200" i="1"/>
  <c r="X97" i="1"/>
  <c r="X184" i="1"/>
  <c r="X180" i="1"/>
  <c r="X92" i="1"/>
  <c r="X173" i="1"/>
  <c r="X169" i="1"/>
  <c r="X166" i="1"/>
  <c r="AI88" i="1"/>
  <c r="U87" i="1"/>
  <c r="S87" i="1" s="1"/>
  <c r="AI78" i="1"/>
  <c r="AI76" i="1"/>
  <c r="AI70" i="1"/>
  <c r="AI66" i="1"/>
  <c r="U171" i="1"/>
  <c r="S171" i="1" s="1"/>
  <c r="AI67" i="1"/>
  <c r="X186" i="1"/>
  <c r="AG183" i="1"/>
  <c r="X182" i="1"/>
  <c r="AG179" i="1"/>
  <c r="X178" i="1"/>
  <c r="AG176" i="1"/>
  <c r="X175" i="1"/>
  <c r="AG172" i="1"/>
  <c r="X171" i="1"/>
  <c r="AG168" i="1"/>
  <c r="X167" i="1"/>
  <c r="AG165" i="1"/>
  <c r="X164" i="1"/>
  <c r="AG161" i="1"/>
  <c r="X160" i="1"/>
  <c r="AI86" i="1"/>
  <c r="AI80" i="1"/>
  <c r="AI74" i="1"/>
  <c r="AI62" i="1"/>
  <c r="X183" i="1"/>
  <c r="X179" i="1"/>
  <c r="AI114" i="1"/>
  <c r="X176" i="1"/>
  <c r="X172" i="1"/>
  <c r="X168" i="1"/>
  <c r="AI102" i="1"/>
  <c r="X165" i="1"/>
  <c r="X161" i="1"/>
  <c r="AI82" i="1"/>
  <c r="AI68" i="1"/>
  <c r="AI64" i="1"/>
  <c r="X87" i="1"/>
  <c r="X83" i="1"/>
  <c r="X79" i="1"/>
  <c r="X75" i="1"/>
  <c r="X71" i="1"/>
  <c r="X67" i="1"/>
  <c r="T67" i="1"/>
  <c r="U67" i="1" s="1"/>
  <c r="S67" i="1" s="1"/>
  <c r="X63" i="1"/>
  <c r="AI22" i="1"/>
  <c r="AG59" i="1"/>
  <c r="X60" i="1"/>
  <c r="AI43" i="1"/>
  <c r="AI31" i="1"/>
  <c r="AI26" i="1"/>
  <c r="AI24" i="1"/>
  <c r="AI21" i="1"/>
  <c r="X59" i="1"/>
  <c r="AI57" i="1"/>
  <c r="U57" i="1"/>
  <c r="S57" i="1" s="1"/>
  <c r="AI51" i="1"/>
  <c r="AI35" i="1"/>
  <c r="AI47" i="1"/>
  <c r="AI39" i="1"/>
  <c r="X56" i="1"/>
  <c r="AG53" i="1"/>
  <c r="X52" i="1"/>
  <c r="AG49" i="1"/>
  <c r="X48" i="1"/>
  <c r="AG45" i="1"/>
  <c r="X44" i="1"/>
  <c r="AG41" i="1"/>
  <c r="X40" i="1"/>
  <c r="AG37" i="1"/>
  <c r="AG33" i="1"/>
  <c r="AG20" i="1"/>
  <c r="AG14" i="1"/>
  <c r="X20" i="1"/>
  <c r="X58" i="1"/>
  <c r="AD35" i="3"/>
  <c r="AD29" i="3"/>
  <c r="AD18" i="3"/>
  <c r="AE18" i="3"/>
  <c r="AD15" i="3"/>
  <c r="Y35" i="3"/>
  <c r="T10" i="3"/>
  <c r="Y16" i="3"/>
  <c r="T40" i="3"/>
  <c r="Y36" i="3"/>
  <c r="Y22" i="3"/>
  <c r="Y41" i="3"/>
  <c r="AD9" i="3"/>
  <c r="T19" i="3"/>
  <c r="Y29" i="3"/>
  <c r="Y42" i="3"/>
  <c r="AC31" i="3"/>
  <c r="Y40" i="3"/>
  <c r="Y37" i="3"/>
  <c r="AD13" i="3"/>
  <c r="AE29" i="3"/>
  <c r="AD25" i="3"/>
  <c r="AD19" i="3"/>
  <c r="AD11" i="3"/>
  <c r="T43" i="3"/>
  <c r="AD38" i="3"/>
  <c r="AE38" i="3"/>
  <c r="Y17" i="3"/>
  <c r="AE33" i="3"/>
  <c r="AC32" i="3"/>
  <c r="T30" i="3"/>
  <c r="Y10" i="3"/>
  <c r="T16" i="3"/>
  <c r="AD22" i="3"/>
  <c r="AE22" i="3"/>
  <c r="Y23" i="3"/>
  <c r="AE17" i="3"/>
  <c r="AC37" i="3"/>
  <c r="AE13" i="3"/>
  <c r="AC41" i="3"/>
  <c r="AE9" i="3"/>
  <c r="Y20" i="3"/>
  <c r="Y34" i="3"/>
  <c r="AE41" i="3"/>
  <c r="AC15" i="3"/>
  <c r="T11" i="3"/>
  <c r="AE30" i="3"/>
  <c r="AE25" i="3"/>
  <c r="AC12" i="3"/>
  <c r="T22" i="3"/>
  <c r="AD14" i="3"/>
  <c r="T39" i="3"/>
  <c r="AD10" i="3"/>
  <c r="Y14" i="3"/>
  <c r="Y11" i="3"/>
  <c r="Y9" i="3"/>
  <c r="AE32" i="3"/>
  <c r="T42" i="3"/>
  <c r="AE20" i="3"/>
  <c r="T24" i="3"/>
  <c r="AE16" i="3"/>
  <c r="T13" i="3"/>
  <c r="AE43" i="3"/>
  <c r="T25" i="3"/>
  <c r="AD40" i="3"/>
  <c r="AE39" i="3"/>
  <c r="T15" i="3"/>
  <c r="AD36" i="3"/>
  <c r="AE35" i="3"/>
  <c r="T29" i="3"/>
  <c r="AD32" i="3"/>
  <c r="AE31" i="3"/>
  <c r="T32" i="3"/>
  <c r="AD28" i="3"/>
  <c r="AE27" i="3"/>
  <c r="T31" i="3"/>
  <c r="AD24" i="3"/>
  <c r="AE23" i="3"/>
  <c r="T12" i="3"/>
  <c r="AD20" i="3"/>
  <c r="AE19" i="3"/>
  <c r="T36" i="3"/>
  <c r="AD16" i="3"/>
  <c r="AE15" i="3"/>
  <c r="T37" i="3"/>
  <c r="AD12" i="3"/>
  <c r="AE11" i="3"/>
  <c r="T41" i="3"/>
  <c r="AD8" i="3"/>
  <c r="AE40" i="3"/>
  <c r="T33" i="3"/>
  <c r="AC28" i="3"/>
  <c r="AC8" i="3"/>
  <c r="AC27" i="3"/>
  <c r="AE14" i="3"/>
  <c r="AC26" i="3"/>
  <c r="AE10" i="3"/>
  <c r="AC7" i="3"/>
  <c r="AE36" i="3"/>
  <c r="AE28" i="3"/>
  <c r="AE24" i="3"/>
  <c r="AE12" i="3"/>
  <c r="AE8" i="3"/>
  <c r="U69" i="1" l="1"/>
  <c r="U125" i="1"/>
  <c r="S125" i="1" s="1"/>
  <c r="W186" i="1"/>
  <c r="U26" i="1"/>
  <c r="S26" i="1" s="1"/>
  <c r="W29" i="1"/>
  <c r="W171" i="1"/>
  <c r="W26" i="1"/>
  <c r="W151" i="1"/>
  <c r="U158" i="1"/>
  <c r="S158" i="1" s="1"/>
  <c r="U154" i="1"/>
  <c r="S154" i="1" s="1"/>
  <c r="U38" i="1"/>
  <c r="S38" i="1" s="1"/>
  <c r="U99" i="1"/>
  <c r="S99" i="1" s="1"/>
  <c r="U118" i="1"/>
  <c r="S118" i="1" s="1"/>
  <c r="W169" i="1"/>
  <c r="W87" i="1"/>
  <c r="W30" i="1"/>
  <c r="U185" i="1"/>
  <c r="S185" i="1" s="1"/>
  <c r="AI54" i="1"/>
  <c r="W28" i="1"/>
  <c r="U77" i="1"/>
  <c r="S77" i="1" s="1"/>
  <c r="W199" i="1"/>
  <c r="U17" i="1"/>
  <c r="S17" i="1" s="1"/>
  <c r="AI72" i="1"/>
  <c r="U163" i="1"/>
  <c r="S163" i="1" s="1"/>
  <c r="AI83" i="1"/>
  <c r="AI109" i="1"/>
  <c r="S68" i="1"/>
  <c r="U28" i="1"/>
  <c r="S28" i="1" s="1"/>
  <c r="W196" i="1"/>
  <c r="W17" i="1"/>
  <c r="W90" i="1"/>
  <c r="W202" i="1"/>
  <c r="U193" i="1"/>
  <c r="S193" i="1" s="1"/>
  <c r="W213" i="1"/>
  <c r="U65" i="1"/>
  <c r="S65" i="1" s="1"/>
  <c r="W211" i="1"/>
  <c r="W54" i="1"/>
  <c r="W131" i="1"/>
  <c r="W103" i="1"/>
  <c r="U151" i="1"/>
  <c r="S151" i="1" s="1"/>
  <c r="W191" i="1"/>
  <c r="U202" i="1"/>
  <c r="S202" i="1" s="1"/>
  <c r="W14" i="1"/>
  <c r="W165" i="1"/>
  <c r="U138" i="1"/>
  <c r="S138" i="1" s="1"/>
  <c r="AI48" i="1"/>
  <c r="U23" i="1"/>
  <c r="S23" i="1" s="1"/>
  <c r="U186" i="1"/>
  <c r="S186" i="1" s="1"/>
  <c r="AI118" i="1"/>
  <c r="W163" i="1"/>
  <c r="U90" i="1"/>
  <c r="S90" i="1" s="1"/>
  <c r="W122" i="1"/>
  <c r="W83" i="1"/>
  <c r="W193" i="1"/>
  <c r="U207" i="1"/>
  <c r="S207" i="1" s="1"/>
  <c r="AI217" i="1"/>
  <c r="W217" i="1"/>
  <c r="W41" i="1"/>
  <c r="AI211" i="1"/>
  <c r="AI175" i="1"/>
  <c r="AI42" i="1"/>
  <c r="W123" i="1"/>
  <c r="W89" i="1"/>
  <c r="U55" i="1"/>
  <c r="S55" i="1" s="1"/>
  <c r="U134" i="1"/>
  <c r="S134" i="1" s="1"/>
  <c r="W75" i="1"/>
  <c r="W95" i="1"/>
  <c r="U215" i="1"/>
  <c r="S215" i="1" s="1"/>
  <c r="U130" i="1"/>
  <c r="S130" i="1" s="1"/>
  <c r="W49" i="1"/>
  <c r="U89" i="1"/>
  <c r="S89" i="1" s="1"/>
  <c r="W179" i="1"/>
  <c r="U75" i="1"/>
  <c r="S75" i="1" s="1"/>
  <c r="U188" i="1"/>
  <c r="S188" i="1" s="1"/>
  <c r="W109" i="1"/>
  <c r="U196" i="1"/>
  <c r="S196" i="1" s="1"/>
  <c r="W117" i="1"/>
  <c r="U106" i="1"/>
  <c r="S106" i="1" s="1"/>
  <c r="W48" i="1"/>
  <c r="U113" i="1"/>
  <c r="S113" i="1" s="1"/>
  <c r="W126" i="1"/>
  <c r="W154" i="1"/>
  <c r="U110" i="1"/>
  <c r="S110" i="1" s="1"/>
  <c r="U150" i="1"/>
  <c r="S150" i="1" s="1"/>
  <c r="U181" i="1"/>
  <c r="S181" i="1" s="1"/>
  <c r="U182" i="1"/>
  <c r="S182" i="1" s="1"/>
  <c r="U60" i="1"/>
  <c r="S60" i="1" s="1"/>
  <c r="AI121" i="1"/>
  <c r="U84" i="1"/>
  <c r="S84" i="1" s="1"/>
  <c r="W107" i="1"/>
  <c r="W139" i="1"/>
  <c r="U40" i="1"/>
  <c r="S40" i="1" s="1"/>
  <c r="W167" i="1"/>
  <c r="W197" i="1"/>
  <c r="W121" i="1"/>
  <c r="W185" i="1"/>
  <c r="W93" i="1"/>
  <c r="U122" i="1"/>
  <c r="S122" i="1" s="1"/>
  <c r="W130" i="1"/>
  <c r="W159" i="1"/>
  <c r="U81" i="1"/>
  <c r="S81" i="1" s="1"/>
  <c r="AI130" i="1"/>
  <c r="W189" i="1"/>
  <c r="AI191" i="1"/>
  <c r="W53" i="1"/>
  <c r="AI117" i="1"/>
  <c r="AI146" i="1"/>
  <c r="W160" i="1"/>
  <c r="W81" i="1"/>
  <c r="W23" i="1"/>
  <c r="W84" i="1"/>
  <c r="W207" i="1"/>
  <c r="W166" i="1"/>
  <c r="W155" i="1"/>
  <c r="W72" i="1"/>
  <c r="U71" i="1"/>
  <c r="S71" i="1" s="1"/>
  <c r="W158" i="1"/>
  <c r="W55" i="1"/>
  <c r="U58" i="1"/>
  <c r="S58" i="1" s="1"/>
  <c r="U164" i="1"/>
  <c r="S164" i="1" s="1"/>
  <c r="W77" i="1"/>
  <c r="AI167" i="1"/>
  <c r="W149" i="1"/>
  <c r="W69" i="1"/>
  <c r="AI113" i="1"/>
  <c r="AI125" i="1"/>
  <c r="U177" i="1"/>
  <c r="S177" i="1" s="1"/>
  <c r="U96" i="1"/>
  <c r="S96" i="1" s="1"/>
  <c r="S203" i="1"/>
  <c r="W183" i="1"/>
  <c r="U178" i="1"/>
  <c r="S178" i="1" s="1"/>
  <c r="AI171" i="1"/>
  <c r="AI122" i="1"/>
  <c r="U191" i="1"/>
  <c r="S191" i="1" s="1"/>
  <c r="AI203" i="1"/>
  <c r="AI215" i="1"/>
  <c r="W58" i="1"/>
  <c r="W188" i="1"/>
  <c r="W105" i="1"/>
  <c r="W137" i="1"/>
  <c r="W146" i="1"/>
  <c r="W192" i="1"/>
  <c r="U19" i="1"/>
  <c r="S19" i="1" s="1"/>
  <c r="AI105" i="1"/>
  <c r="U142" i="1"/>
  <c r="S142" i="1" s="1"/>
  <c r="U61" i="1"/>
  <c r="S61" i="1" s="1"/>
  <c r="U85" i="1"/>
  <c r="S85" i="1" s="1"/>
  <c r="U79" i="1"/>
  <c r="S79" i="1" s="1"/>
  <c r="W161" i="1"/>
  <c r="U167" i="1"/>
  <c r="S167" i="1" s="1"/>
  <c r="AI134" i="1"/>
  <c r="U192" i="1"/>
  <c r="S192" i="1" s="1"/>
  <c r="W65" i="1"/>
  <c r="W36" i="1"/>
  <c r="W60" i="1"/>
  <c r="W138" i="1"/>
  <c r="W203" i="1"/>
  <c r="W215" i="1"/>
  <c r="AI179" i="1"/>
  <c r="U199" i="1"/>
  <c r="S199" i="1" s="1"/>
  <c r="W42" i="1"/>
  <c r="W162" i="1"/>
  <c r="W85" i="1"/>
  <c r="W61" i="1"/>
  <c r="W19" i="1"/>
  <c r="W40" i="1"/>
  <c r="U44" i="1"/>
  <c r="S44" i="1" s="1"/>
  <c r="AI44" i="1"/>
  <c r="W96" i="1"/>
  <c r="W44" i="1"/>
  <c r="W177" i="1"/>
  <c r="U133" i="1"/>
  <c r="S133" i="1" s="1"/>
  <c r="AI133" i="1"/>
  <c r="W150" i="1"/>
  <c r="U197" i="1"/>
  <c r="S197" i="1" s="1"/>
  <c r="AI197" i="1"/>
  <c r="W113" i="1"/>
  <c r="AI165" i="1"/>
  <c r="U34" i="1"/>
  <c r="S34" i="1" s="1"/>
  <c r="AI34" i="1"/>
  <c r="U50" i="1"/>
  <c r="S50" i="1" s="1"/>
  <c r="AI50" i="1"/>
  <c r="U153" i="1"/>
  <c r="S153" i="1" s="1"/>
  <c r="AI153" i="1"/>
  <c r="W164" i="1"/>
  <c r="U141" i="1"/>
  <c r="S141" i="1" s="1"/>
  <c r="AI141" i="1"/>
  <c r="W141" i="1"/>
  <c r="AI183" i="1"/>
  <c r="U36" i="1"/>
  <c r="S36" i="1" s="1"/>
  <c r="AI36" i="1"/>
  <c r="W50" i="1"/>
  <c r="W34" i="1"/>
  <c r="W71" i="1"/>
  <c r="W178" i="1"/>
  <c r="U145" i="1"/>
  <c r="S145" i="1" s="1"/>
  <c r="AI145" i="1"/>
  <c r="U56" i="1"/>
  <c r="S56" i="1" s="1"/>
  <c r="AI56" i="1"/>
  <c r="W110" i="1"/>
  <c r="U166" i="1"/>
  <c r="S166" i="1" s="1"/>
  <c r="AI166" i="1"/>
  <c r="W106" i="1"/>
  <c r="W134" i="1"/>
  <c r="U149" i="1"/>
  <c r="S149" i="1" s="1"/>
  <c r="AI149" i="1"/>
  <c r="W153" i="1"/>
  <c r="W145" i="1"/>
  <c r="AI161" i="1"/>
  <c r="W79" i="1"/>
  <c r="W175" i="1"/>
  <c r="U137" i="1"/>
  <c r="S137" i="1" s="1"/>
  <c r="AI137" i="1"/>
  <c r="W182" i="1"/>
  <c r="W56" i="1"/>
  <c r="U159" i="1"/>
  <c r="S159" i="1" s="1"/>
  <c r="W118" i="1"/>
  <c r="W142" i="1"/>
  <c r="W125" i="1"/>
  <c r="W99" i="1"/>
  <c r="U59" i="1"/>
  <c r="S59" i="1" s="1"/>
  <c r="AI59" i="1"/>
  <c r="W59" i="1"/>
  <c r="U168" i="1"/>
  <c r="S168" i="1" s="1"/>
  <c r="AI103" i="1"/>
  <c r="U176" i="1"/>
  <c r="S176" i="1" s="1"/>
  <c r="AI111" i="1"/>
  <c r="W176" i="1"/>
  <c r="U97" i="1"/>
  <c r="S97" i="1" s="1"/>
  <c r="AI131" i="1"/>
  <c r="U111" i="1"/>
  <c r="S111" i="1" s="1"/>
  <c r="AI147" i="1"/>
  <c r="U127" i="1"/>
  <c r="S127" i="1" s="1"/>
  <c r="AI160" i="1"/>
  <c r="U143" i="1"/>
  <c r="S143" i="1" s="1"/>
  <c r="AI176" i="1"/>
  <c r="W111" i="1"/>
  <c r="W143" i="1"/>
  <c r="AI20" i="1"/>
  <c r="U20" i="1"/>
  <c r="S20" i="1" s="1"/>
  <c r="AI33" i="1"/>
  <c r="U33" i="1"/>
  <c r="S33" i="1" s="1"/>
  <c r="W20" i="1"/>
  <c r="W33" i="1"/>
  <c r="U200" i="1"/>
  <c r="S200" i="1" s="1"/>
  <c r="AI135" i="1"/>
  <c r="U115" i="1"/>
  <c r="S115" i="1" s="1"/>
  <c r="AI151" i="1"/>
  <c r="U131" i="1"/>
  <c r="S131" i="1" s="1"/>
  <c r="AI164" i="1"/>
  <c r="U147" i="1"/>
  <c r="S147" i="1" s="1"/>
  <c r="AI180" i="1"/>
  <c r="W200" i="1"/>
  <c r="U156" i="1"/>
  <c r="S156" i="1" s="1"/>
  <c r="AI189" i="1"/>
  <c r="AI49" i="1"/>
  <c r="U49" i="1"/>
  <c r="S49" i="1" s="1"/>
  <c r="U165" i="1"/>
  <c r="S165" i="1" s="1"/>
  <c r="AI99" i="1"/>
  <c r="U172" i="1"/>
  <c r="S172" i="1" s="1"/>
  <c r="AI107" i="1"/>
  <c r="U183" i="1"/>
  <c r="S183" i="1" s="1"/>
  <c r="AI119" i="1"/>
  <c r="W168" i="1"/>
  <c r="U103" i="1"/>
  <c r="S103" i="1" s="1"/>
  <c r="AI139" i="1"/>
  <c r="U119" i="1"/>
  <c r="S119" i="1" s="1"/>
  <c r="AI155" i="1"/>
  <c r="U135" i="1"/>
  <c r="S135" i="1" s="1"/>
  <c r="AI168" i="1"/>
  <c r="U93" i="1"/>
  <c r="S93" i="1" s="1"/>
  <c r="AI123" i="1"/>
  <c r="W127" i="1"/>
  <c r="W135" i="1"/>
  <c r="AI41" i="1"/>
  <c r="U41" i="1"/>
  <c r="S41" i="1" s="1"/>
  <c r="AI37" i="1"/>
  <c r="U37" i="1"/>
  <c r="S37" i="1" s="1"/>
  <c r="AI45" i="1"/>
  <c r="U45" i="1"/>
  <c r="S45" i="1" s="1"/>
  <c r="AI53" i="1"/>
  <c r="U53" i="1"/>
  <c r="S53" i="1" s="1"/>
  <c r="AI14" i="1"/>
  <c r="U14" i="1"/>
  <c r="S14" i="1" s="1"/>
  <c r="W37" i="1"/>
  <c r="W45" i="1"/>
  <c r="U161" i="1"/>
  <c r="S161" i="1" s="1"/>
  <c r="AI95" i="1"/>
  <c r="U179" i="1"/>
  <c r="S179" i="1" s="1"/>
  <c r="AI115" i="1"/>
  <c r="W172" i="1"/>
  <c r="U189" i="1"/>
  <c r="S189" i="1" s="1"/>
  <c r="AI126" i="1"/>
  <c r="U107" i="1"/>
  <c r="S107" i="1" s="1"/>
  <c r="AI143" i="1"/>
  <c r="U123" i="1"/>
  <c r="S123" i="1" s="1"/>
  <c r="U139" i="1"/>
  <c r="S139" i="1" s="1"/>
  <c r="AI172" i="1"/>
  <c r="W97" i="1"/>
  <c r="W119" i="1"/>
  <c r="W115" i="1"/>
  <c r="W147" i="1"/>
  <c r="W156" i="1"/>
  <c r="R21" i="3"/>
  <c r="M21" i="3"/>
  <c r="S21" i="3"/>
  <c r="U21" i="3"/>
  <c r="V21" i="3"/>
  <c r="W21" i="3"/>
  <c r="X21" i="3"/>
  <c r="AC21" i="3" l="1"/>
  <c r="AE21" i="3"/>
  <c r="AD21" i="3"/>
  <c r="T21" i="3"/>
  <c r="Y21" i="3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7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38" i="3" s="1"/>
  <c r="G48" i="4"/>
  <c r="G49" i="4"/>
  <c r="G50" i="4"/>
  <c r="G51" i="4"/>
  <c r="G52" i="4"/>
  <c r="G53" i="4"/>
  <c r="N34" i="3" s="1"/>
  <c r="G54" i="4"/>
  <c r="G55" i="4"/>
  <c r="G56" i="4"/>
  <c r="G57" i="4"/>
  <c r="G58" i="4"/>
  <c r="G59" i="4"/>
  <c r="N26" i="3" s="1"/>
  <c r="G60" i="4"/>
  <c r="G61" i="4"/>
  <c r="G62" i="4"/>
  <c r="G63" i="4"/>
  <c r="G64" i="4"/>
  <c r="N41" i="3" s="1"/>
  <c r="G65" i="4"/>
  <c r="G66" i="4"/>
  <c r="G67" i="4"/>
  <c r="G68" i="4"/>
  <c r="N39" i="3" s="1"/>
  <c r="G69" i="4"/>
  <c r="G70" i="4"/>
  <c r="N20" i="3" s="1"/>
  <c r="G71" i="4"/>
  <c r="G72" i="4"/>
  <c r="G73" i="4"/>
  <c r="G74" i="4"/>
  <c r="G75" i="4"/>
  <c r="N37" i="3" s="1"/>
  <c r="G76" i="4"/>
  <c r="G77" i="4"/>
  <c r="N13" i="3" s="1"/>
  <c r="G78" i="4"/>
  <c r="G79" i="4"/>
  <c r="G80" i="4"/>
  <c r="N22" i="3" s="1"/>
  <c r="G81" i="4"/>
  <c r="G82" i="4"/>
  <c r="G83" i="4"/>
  <c r="G84" i="4"/>
  <c r="G85" i="4"/>
  <c r="G86" i="4"/>
  <c r="G87" i="4"/>
  <c r="G88" i="4"/>
  <c r="G89" i="4"/>
  <c r="N24" i="3" s="1"/>
  <c r="G90" i="4"/>
  <c r="G91" i="4"/>
  <c r="G92" i="4"/>
  <c r="G93" i="4"/>
  <c r="G94" i="4"/>
  <c r="N12" i="3" s="1"/>
  <c r="G95" i="4"/>
  <c r="G96" i="4"/>
  <c r="N27" i="3" s="1"/>
  <c r="G97" i="4"/>
  <c r="G98" i="4"/>
  <c r="G99" i="4"/>
  <c r="G100" i="4"/>
  <c r="N16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10" i="3" s="1"/>
  <c r="G116" i="4"/>
  <c r="G117" i="4"/>
  <c r="N32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42" i="3" s="1"/>
  <c r="G131" i="4"/>
  <c r="N17" i="3" s="1"/>
  <c r="G132" i="4"/>
  <c r="G133" i="4"/>
  <c r="N2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N15" i="3" s="1"/>
  <c r="G158" i="4"/>
  <c r="G159" i="4"/>
  <c r="G160" i="4"/>
  <c r="G161" i="4"/>
  <c r="G162" i="4"/>
  <c r="G163" i="4"/>
  <c r="G164" i="4"/>
  <c r="G165" i="4"/>
  <c r="G166" i="4"/>
  <c r="G167" i="4"/>
  <c r="N33" i="3" s="1"/>
  <c r="G168" i="4"/>
  <c r="G169" i="4"/>
  <c r="G170" i="4"/>
  <c r="G171" i="4"/>
  <c r="G172" i="4"/>
  <c r="N43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35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25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9" i="3" l="1"/>
  <c r="N14" i="3"/>
  <c r="N11" i="3"/>
  <c r="N29" i="3"/>
  <c r="N31" i="3"/>
  <c r="N18" i="3"/>
  <c r="N36" i="3"/>
  <c r="N40" i="3"/>
  <c r="N9" i="3"/>
  <c r="N23" i="3"/>
  <c r="N8" i="3"/>
  <c r="N30" i="3"/>
  <c r="N2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 l="1"/>
  <c r="I4" i="6" l="1"/>
  <c r="F4" i="6"/>
  <c r="J4" i="6"/>
  <c r="H4" i="6"/>
  <c r="G4" i="6"/>
  <c r="B5" i="6"/>
  <c r="I5" i="6" l="1"/>
  <c r="F5" i="6"/>
  <c r="B6" i="6"/>
  <c r="G5" i="6"/>
  <c r="H5" i="6"/>
  <c r="J5" i="6"/>
  <c r="I6" i="6" l="1"/>
  <c r="F6" i="6"/>
  <c r="B7" i="6"/>
  <c r="H6" i="6"/>
  <c r="J6" i="6"/>
  <c r="G6" i="6"/>
  <c r="I7" i="6" l="1"/>
  <c r="F7" i="6"/>
  <c r="B8" i="6"/>
  <c r="H7" i="6"/>
  <c r="J7" i="6"/>
  <c r="G7" i="6"/>
  <c r="I8" i="6" l="1"/>
  <c r="F8" i="6"/>
  <c r="G8" i="6"/>
  <c r="J8" i="6"/>
  <c r="H8" i="6"/>
  <c r="B9" i="6"/>
  <c r="I9" i="6" l="1"/>
  <c r="F9" i="6"/>
  <c r="J9" i="6"/>
  <c r="H9" i="6"/>
  <c r="G9" i="6"/>
  <c r="B10" i="6"/>
  <c r="I10" i="6" l="1"/>
  <c r="F10" i="6"/>
  <c r="H10" i="6"/>
  <c r="G10" i="6"/>
  <c r="J10" i="6"/>
  <c r="B11" i="6"/>
  <c r="I11" i="6" l="1"/>
  <c r="F11" i="6"/>
  <c r="B12" i="6"/>
  <c r="G11" i="6"/>
  <c r="H11" i="6"/>
  <c r="J11" i="6"/>
  <c r="I12" i="6" l="1"/>
  <c r="F12" i="6"/>
  <c r="J12" i="6"/>
  <c r="H12" i="6"/>
  <c r="G12" i="6"/>
  <c r="B13" i="6"/>
  <c r="I13" i="6" l="1"/>
  <c r="F13" i="6"/>
  <c r="H13" i="6"/>
  <c r="J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G16" i="6"/>
  <c r="H16" i="6"/>
  <c r="J16" i="6"/>
  <c r="B17" i="6"/>
  <c r="I17" i="6" l="1"/>
  <c r="F17" i="6"/>
  <c r="B18" i="6"/>
  <c r="J17" i="6"/>
  <c r="G17" i="6"/>
  <c r="H17" i="6"/>
  <c r="I18" i="6" l="1"/>
  <c r="F18" i="6"/>
  <c r="B19" i="6"/>
  <c r="J18" i="6"/>
  <c r="G18" i="6"/>
  <c r="H18" i="6"/>
  <c r="I19" i="6" l="1"/>
  <c r="F19" i="6"/>
  <c r="H19" i="6"/>
  <c r="J19" i="6"/>
  <c r="G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J22" i="6"/>
  <c r="G22" i="6"/>
  <c r="H22" i="6"/>
  <c r="B23" i="6"/>
  <c r="I23" i="6" l="1"/>
  <c r="F23" i="6"/>
  <c r="G23" i="6"/>
  <c r="H23" i="6"/>
  <c r="J23" i="6"/>
  <c r="B24" i="6"/>
  <c r="I24" i="6" l="1"/>
  <c r="F24" i="6"/>
  <c r="B25" i="6"/>
  <c r="J24" i="6"/>
  <c r="H24" i="6"/>
  <c r="G24" i="6"/>
  <c r="I25" i="6" l="1"/>
  <c r="F25" i="6"/>
  <c r="J25" i="6"/>
  <c r="G25" i="6"/>
  <c r="H25" i="6"/>
  <c r="B26" i="6"/>
  <c r="I26" i="6" l="1"/>
  <c r="F26" i="6"/>
  <c r="B27" i="6"/>
  <c r="G26" i="6"/>
  <c r="J26" i="6"/>
  <c r="H26" i="6"/>
  <c r="I27" i="6" l="1"/>
  <c r="F27" i="6"/>
  <c r="G27" i="6"/>
  <c r="J27" i="6"/>
  <c r="H27" i="6"/>
  <c r="B28" i="6"/>
  <c r="I28" i="6" l="1"/>
  <c r="F28" i="6"/>
  <c r="B29" i="6"/>
  <c r="G28" i="6"/>
  <c r="J28" i="6"/>
  <c r="H28" i="6"/>
  <c r="I29" i="6" l="1"/>
  <c r="F29" i="6"/>
  <c r="G29" i="6"/>
  <c r="H29" i="6"/>
  <c r="J29" i="6"/>
  <c r="B30" i="6"/>
  <c r="I30" i="6" l="1"/>
  <c r="F30" i="6"/>
  <c r="B31" i="6"/>
  <c r="G30" i="6"/>
  <c r="H30" i="6"/>
  <c r="J30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G33" i="6"/>
  <c r="H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B37" i="6"/>
  <c r="G36" i="6"/>
  <c r="J36" i="6"/>
  <c r="H36" i="6"/>
  <c r="I37" i="6" l="1"/>
  <c r="F37" i="6"/>
  <c r="B38" i="6"/>
  <c r="J37" i="6"/>
  <c r="G37" i="6"/>
  <c r="H37" i="6"/>
  <c r="I38" i="6" l="1"/>
  <c r="F38" i="6"/>
  <c r="J38" i="6"/>
  <c r="G38" i="6"/>
  <c r="H38" i="6"/>
  <c r="B39" i="6"/>
  <c r="I39" i="6" l="1"/>
  <c r="F39" i="6"/>
  <c r="H39" i="6"/>
  <c r="J39" i="6"/>
  <c r="G39" i="6"/>
  <c r="B40" i="6"/>
  <c r="I40" i="6" l="1"/>
  <c r="F40" i="6"/>
  <c r="B41" i="6"/>
  <c r="J40" i="6"/>
  <c r="H40" i="6"/>
  <c r="G40" i="6"/>
  <c r="I41" i="6" l="1"/>
  <c r="F41" i="6"/>
  <c r="J41" i="6"/>
  <c r="G41" i="6"/>
  <c r="H41" i="6"/>
  <c r="B42" i="6"/>
  <c r="I42" i="6" l="1"/>
  <c r="F42" i="6"/>
  <c r="G42" i="6"/>
  <c r="H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G47" i="6"/>
  <c r="H47" i="6"/>
  <c r="J47" i="6"/>
  <c r="B48" i="6"/>
  <c r="I48" i="6" l="1"/>
  <c r="F48" i="6"/>
  <c r="B49" i="6"/>
  <c r="J48" i="6"/>
  <c r="H48" i="6"/>
  <c r="G48" i="6"/>
  <c r="I49" i="6" l="1"/>
  <c r="F49" i="6"/>
  <c r="B50" i="6"/>
  <c r="J49" i="6"/>
  <c r="G49" i="6"/>
  <c r="H49" i="6"/>
  <c r="I50" i="6" l="1"/>
  <c r="F50" i="6"/>
  <c r="B51" i="6"/>
  <c r="J50" i="6"/>
  <c r="G50" i="6"/>
  <c r="H50" i="6"/>
  <c r="I51" i="6" l="1"/>
  <c r="F51" i="6"/>
  <c r="J51" i="6"/>
  <c r="H51" i="6"/>
  <c r="G51" i="6"/>
  <c r="B52" i="6"/>
  <c r="I52" i="6" l="1"/>
  <c r="F52" i="6"/>
  <c r="J52" i="6"/>
  <c r="H52" i="6"/>
  <c r="G52" i="6"/>
  <c r="B53" i="6"/>
  <c r="I53" i="6" l="1"/>
  <c r="F53" i="6"/>
  <c r="J53" i="6"/>
  <c r="G53" i="6"/>
  <c r="H53" i="6"/>
  <c r="B54" i="6"/>
  <c r="I54" i="6" l="1"/>
  <c r="F54" i="6"/>
  <c r="B55" i="6"/>
  <c r="G54" i="6"/>
  <c r="H54" i="6"/>
  <c r="J54" i="6"/>
  <c r="I55" i="6" l="1"/>
  <c r="F55" i="6"/>
  <c r="G55" i="6"/>
  <c r="H55" i="6"/>
  <c r="J55" i="6"/>
  <c r="B56" i="6"/>
  <c r="I56" i="6" l="1"/>
  <c r="F56" i="6"/>
  <c r="B57" i="6"/>
  <c r="J56" i="6"/>
  <c r="G56" i="6"/>
  <c r="H56" i="6"/>
  <c r="I57" i="6" l="1"/>
  <c r="F57" i="6"/>
  <c r="H57" i="6"/>
  <c r="G57" i="6"/>
  <c r="J57" i="6"/>
  <c r="B58" i="6"/>
  <c r="I58" i="6" l="1"/>
  <c r="F58" i="6"/>
  <c r="B59" i="6"/>
  <c r="H58" i="6"/>
  <c r="G58" i="6"/>
  <c r="J58" i="6"/>
  <c r="I59" i="6" l="1"/>
  <c r="F59" i="6"/>
  <c r="B60" i="6"/>
  <c r="J59" i="6"/>
  <c r="H59" i="6"/>
  <c r="G59" i="6"/>
  <c r="I60" i="6" l="1"/>
  <c r="F60" i="6"/>
  <c r="J60" i="6"/>
  <c r="H60" i="6"/>
  <c r="G60" i="6"/>
  <c r="B61" i="6"/>
  <c r="I61" i="6" l="1"/>
  <c r="F61" i="6"/>
  <c r="J61" i="6"/>
  <c r="H61" i="6"/>
  <c r="G61" i="6"/>
  <c r="B62" i="6"/>
  <c r="I62" i="6" l="1"/>
  <c r="F62" i="6"/>
  <c r="B63" i="6"/>
  <c r="J62" i="6"/>
  <c r="G62" i="6"/>
  <c r="H62" i="6"/>
  <c r="I63" i="6" l="1"/>
  <c r="F63" i="6"/>
  <c r="B64" i="6"/>
  <c r="G63" i="6"/>
  <c r="H63" i="6"/>
  <c r="J63" i="6"/>
  <c r="I64" i="6" l="1"/>
  <c r="F64" i="6"/>
  <c r="B65" i="6"/>
  <c r="J64" i="6"/>
  <c r="H64" i="6"/>
  <c r="G64" i="6"/>
  <c r="I65" i="6" l="1"/>
  <c r="F65" i="6"/>
  <c r="B66" i="6"/>
  <c r="H65" i="6"/>
  <c r="J65" i="6"/>
  <c r="G65" i="6"/>
  <c r="I66" i="6" l="1"/>
  <c r="F66" i="6"/>
  <c r="G66" i="6"/>
  <c r="H66" i="6"/>
  <c r="J66" i="6"/>
  <c r="B67" i="6"/>
  <c r="I67" i="6" l="1"/>
  <c r="F67" i="6"/>
  <c r="B68" i="6"/>
  <c r="G67" i="6"/>
  <c r="J67" i="6"/>
  <c r="H67" i="6"/>
  <c r="I68" i="6" l="1"/>
  <c r="F68" i="6"/>
  <c r="H68" i="6"/>
  <c r="J68" i="6"/>
  <c r="G68" i="6"/>
  <c r="B69" i="6"/>
  <c r="I69" i="6" l="1"/>
  <c r="F69" i="6"/>
  <c r="H69" i="6"/>
  <c r="G69" i="6"/>
  <c r="J69" i="6"/>
  <c r="B70" i="6"/>
  <c r="I70" i="6" l="1"/>
  <c r="F70" i="6"/>
  <c r="H70" i="6"/>
  <c r="G70" i="6"/>
  <c r="J70" i="6"/>
  <c r="B71" i="6"/>
  <c r="I71" i="6" l="1"/>
  <c r="F71" i="6"/>
  <c r="H71" i="6"/>
  <c r="J71" i="6"/>
  <c r="G71" i="6"/>
  <c r="B72" i="6"/>
  <c r="I72" i="6" l="1"/>
  <c r="F72" i="6"/>
  <c r="J72" i="6"/>
  <c r="G72" i="6"/>
  <c r="H72" i="6"/>
  <c r="B73" i="6"/>
  <c r="I73" i="6" l="1"/>
  <c r="F73" i="6"/>
  <c r="J73" i="6"/>
  <c r="H73" i="6"/>
  <c r="G73" i="6"/>
  <c r="B74" i="6"/>
  <c r="I74" i="6" l="1"/>
  <c r="F74" i="6"/>
  <c r="G74" i="6"/>
  <c r="H74" i="6"/>
  <c r="J74" i="6"/>
  <c r="B75" i="6"/>
  <c r="I75" i="6" l="1"/>
  <c r="F75" i="6"/>
  <c r="B76" i="6"/>
  <c r="J75" i="6"/>
  <c r="G75" i="6"/>
  <c r="H75" i="6"/>
  <c r="I76" i="6" l="1"/>
  <c r="F76" i="6"/>
  <c r="J76" i="6"/>
  <c r="H76" i="6"/>
  <c r="G76" i="6"/>
  <c r="B77" i="6"/>
  <c r="I77" i="6" l="1"/>
  <c r="F77" i="6"/>
  <c r="B78" i="6"/>
  <c r="J77" i="6"/>
  <c r="G77" i="6"/>
  <c r="H77" i="6"/>
  <c r="I78" i="6" l="1"/>
  <c r="F78" i="6"/>
  <c r="B79" i="6"/>
  <c r="H78" i="6"/>
  <c r="G78" i="6"/>
  <c r="J78" i="6"/>
  <c r="I79" i="6" l="1"/>
  <c r="F79" i="6"/>
  <c r="B80" i="6"/>
  <c r="J79" i="6"/>
  <c r="G79" i="6"/>
  <c r="H79" i="6"/>
  <c r="I80" i="6" l="1"/>
  <c r="F80" i="6"/>
  <c r="B81" i="6"/>
  <c r="J80" i="6"/>
  <c r="H80" i="6"/>
  <c r="G80" i="6"/>
  <c r="I81" i="6" l="1"/>
  <c r="F81" i="6"/>
  <c r="G81" i="6"/>
  <c r="H81" i="6"/>
  <c r="J81" i="6"/>
  <c r="B82" i="6"/>
  <c r="I82" i="6" l="1"/>
  <c r="F82" i="6"/>
  <c r="B83" i="6"/>
  <c r="J82" i="6"/>
  <c r="G82" i="6"/>
  <c r="H82" i="6"/>
  <c r="I83" i="6" l="1"/>
  <c r="F83" i="6"/>
  <c r="G83" i="6"/>
  <c r="H83" i="6"/>
  <c r="J83" i="6"/>
  <c r="B84" i="6"/>
  <c r="I84" i="6" l="1"/>
  <c r="F84" i="6"/>
  <c r="H84" i="6"/>
  <c r="G84" i="6"/>
  <c r="J84" i="6"/>
  <c r="B85" i="6"/>
  <c r="I85" i="6" l="1"/>
  <c r="F85" i="6"/>
  <c r="J85" i="6"/>
  <c r="H85" i="6"/>
  <c r="G85" i="6"/>
  <c r="B86" i="6"/>
  <c r="I86" i="6" l="1"/>
  <c r="F86" i="6"/>
  <c r="H86" i="6"/>
  <c r="G86" i="6"/>
  <c r="J86" i="6"/>
  <c r="B87" i="6"/>
  <c r="I87" i="6" l="1"/>
  <c r="F87" i="6"/>
  <c r="H87" i="6"/>
  <c r="G87" i="6"/>
  <c r="J87" i="6"/>
  <c r="B88" i="6"/>
  <c r="I88" i="6" l="1"/>
  <c r="F88" i="6"/>
  <c r="J88" i="6"/>
  <c r="G88" i="6"/>
  <c r="H88" i="6"/>
  <c r="B89" i="6"/>
  <c r="I89" i="6" l="1"/>
  <c r="F89" i="6"/>
  <c r="G89" i="6"/>
  <c r="H89" i="6"/>
  <c r="J89" i="6"/>
  <c r="B90" i="6"/>
  <c r="I90" i="6" l="1"/>
  <c r="F90" i="6"/>
  <c r="B91" i="6"/>
  <c r="H90" i="6"/>
  <c r="G90" i="6"/>
  <c r="J90" i="6"/>
  <c r="I91" i="6" l="1"/>
  <c r="F91" i="6"/>
  <c r="B92" i="6"/>
  <c r="J91" i="6"/>
  <c r="G91" i="6"/>
  <c r="H91" i="6"/>
  <c r="I92" i="6" l="1"/>
  <c r="F92" i="6"/>
  <c r="H92" i="6"/>
  <c r="G92" i="6"/>
  <c r="J92" i="6"/>
  <c r="B93" i="6"/>
  <c r="I93" i="6" l="1"/>
  <c r="F93" i="6"/>
  <c r="H93" i="6"/>
  <c r="J93" i="6"/>
  <c r="G93" i="6"/>
  <c r="B94" i="6"/>
  <c r="I94" i="6" l="1"/>
  <c r="F94" i="6"/>
  <c r="G94" i="6"/>
  <c r="J94" i="6"/>
  <c r="H94" i="6"/>
  <c r="B95" i="6"/>
  <c r="I95" i="6" l="1"/>
  <c r="F95" i="6"/>
  <c r="B96" i="6"/>
  <c r="H95" i="6"/>
  <c r="J95" i="6"/>
  <c r="G95" i="6"/>
  <c r="I96" i="6" l="1"/>
  <c r="F96" i="6"/>
  <c r="B97" i="6"/>
  <c r="J96" i="6"/>
  <c r="H96" i="6"/>
  <c r="G96" i="6"/>
  <c r="I97" i="6" l="1"/>
  <c r="F97" i="6"/>
  <c r="B99" i="6"/>
  <c r="B98" i="6"/>
  <c r="G97" i="6"/>
  <c r="H97" i="6"/>
  <c r="J97" i="6"/>
  <c r="I98" i="6" l="1"/>
  <c r="F98" i="6"/>
  <c r="I99" i="6"/>
  <c r="F99" i="6"/>
  <c r="G98" i="6"/>
  <c r="H98" i="6"/>
  <c r="J98" i="6"/>
  <c r="J99" i="6"/>
  <c r="G99" i="6"/>
  <c r="H9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<sst xmlns="http://schemas.openxmlformats.org/spreadsheetml/2006/main" count="2753" uniqueCount="996">
  <si>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</si>
  <si>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</si>
  <si>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</si>
  <si>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</si>
  <si>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</si>
  <si>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</si>
  <si>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</si>
  <si>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</si>
  <si>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</si>
  <si>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</si>
  <si>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</si>
  <si>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</si>
  <si>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</si>
  <si>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</si>
  <si>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</si>
  <si>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</si>
  <si>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</si>
  <si>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</si>
  <si>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</si>
  <si>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</si>
  <si>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</si>
  <si>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</si>
  <si>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</si>
  <si>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</si>
  <si>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</si>
  <si>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</si>
  <si>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</si>
  <si>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</si>
  <si>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</si>
  <si>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</si>
  <si>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</si>
  <si>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</si>
  <si>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</si>
  <si>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</si>
  <si>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</si>
  <si>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</si>
  <si>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</si>
  <si>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</si>
  <si>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</si>
  <si>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</si>
  <si>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</si>
  <si>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</si>
  <si>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</si>
  <si>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</si>
  <si>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</si>
  <si>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</si>
  <si>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</si>
  <si>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</si>
  <si>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</si>
  <si>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</si>
  <si>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</si>
  <si>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</si>
  <si>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</si>
  <si>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</si>
  <si>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</si>
  <si>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</si>
  <si>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</si>
  <si>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</si>
  <si>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</si>
  <si>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</si>
  <si>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</si>
  <si>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</si>
  <si>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</si>
  <si>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</si>
  <si>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</si>
  <si>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</si>
  <si>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</si>
  <si>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</si>
  <si>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</si>
  <si>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</si>
  <si>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</si>
  <si>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</si>
  <si>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</si>
  <si>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</si>
  <si>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</si>
  <si>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</si>
  <si>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</si>
  <si>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</si>
  <si>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</si>
  <si>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</si>
  <si>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</si>
  <si>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</si>
  <si>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</si>
  <si>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</si>
  <si>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</si>
  <si>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</si>
  <si>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</si>
  <si>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</si>
  <si>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</si>
  <si>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</si>
  <si>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</si>
  <si>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</si>
  <si>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</si>
  <si>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</si>
  <si>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</si>
  <si>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</si>
  <si>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</si>
  <si>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</si>
  <si>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</si>
  <si>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</si>
  <si>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</si>
  <si>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</si>
  <si>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</si>
  <si>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</si>
  <si>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</si>
  <si>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</si>
  <si>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</si>
  <si>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</si>
  <si>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</si>
  <si>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</si>
  <si>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</si>
  <si>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</si>
  <si>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</si>
  <si>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</si>
  <si>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</si>
  <si>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</si>
  <si>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</si>
  <si>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</si>
  <si>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</si>
  <si>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</si>
  <si>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</si>
  <si>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</si>
  <si>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</si>
  <si>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</si>
  <si>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</si>
  <si>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</si>
  <si>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</si>
  <si>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</si>
  <si>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</si>
  <si>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</si>
  <si>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</si>
  <si>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</si>
  <si>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</si>
  <si>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</si>
  <si>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</si>
  <si>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</si>
  <si>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</si>
  <si>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</si>
  <si>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</si>
  <si>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</si>
  <si>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</si>
  <si>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</si>
  <si>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</si>
  <si>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</si>
  <si>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</si>
  <si>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</si>
  <si>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</si>
  <si>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</si>
  <si>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</si>
  <si>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</si>
  <si>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</si>
  <si>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</si>
  <si>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</si>
  <si>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</si>
  <si>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</si>
  <si>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</si>
  <si>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</si>
  <si>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</si>
  <si>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</si>
  <si>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</si>
  <si>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</si>
  <si>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</si>
  <si>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</si>
  <si>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</si>
  <si>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</si>
  <si>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</si>
  <si>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</si>
  <si>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</si>
  <si>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</si>
  <si>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</si>
  <si>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</si>
  <si>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</si>
  <si>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</si>
  <si>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</si>
  <si>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</si>
  <si>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</si>
  <si>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</si>
  <si>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</si>
  <si>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</si>
  <si>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</si>
  <si>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</si>
  <si>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</si>
  <si>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</si>
  <si>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</si>
  <si>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</si>
  <si>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</si>
  <si>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</si>
  <si>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</si>
  <si>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</si>
  <si>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</si>
  <si>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</si>
  <si>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</si>
  <si>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</si>
  <si>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</si>
  <si>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</si>
  <si>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</si>
  <si>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</si>
  <si>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</si>
  <si>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</si>
  <si>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</si>
  <si>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</si>
  <si>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</si>
  <si>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</si>
  <si>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</si>
  <si>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</si>
  <si>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</si>
  <si>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</si>
  <si>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</si>
  <si>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</si>
  <si>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</si>
  <si>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</si>
  <si>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</si>
  <si>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</si>
  <si>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</si>
  <si>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</si>
  <si>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</si>
  <si>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</si>
  <si>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</si>
  <si>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</si>
  <si>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</si>
  <si>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</si>
  <si>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</si>
  <si>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</si>
  <si>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</si>
  <si>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</si>
  <si>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</si>
  <si>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</si>
  <si>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</si>
  <si>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</si>
  <si>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</si>
  <si>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</si>
  <si>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</si>
  <si>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</si>
  <si>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</si>
  <si>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</si>
  <si>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</si>
  <si>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</si>
  <si>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</si>
  <si>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</si>
  <si>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</si>
  <si>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</si>
  <si>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</si>
  <si>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</si>
  <si>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</si>
  <si>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</si>
  <si>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</si>
  <si>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</si>
  <si>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</si>
  <si>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</si>
  <si>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</si>
  <si>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</si>
  <si>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</si>
  <si>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</si>
  <si>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</si>
  <si>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</si>
  <si>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</si>
  <si>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</si>
  <si>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</si>
  <si>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</si>
  <si>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</si>
  <si>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</si>
  <si>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204:467</t>
  </si>
  <si>
    <t>204:473</t>
  </si>
  <si>
    <t>204:233000</t>
  </si>
  <si>
    <t>LOCKLEAR</t>
  </si>
  <si>
    <t>TRAVIS</t>
  </si>
  <si>
    <t>204:134</t>
  </si>
  <si>
    <t>204:233004</t>
  </si>
  <si>
    <t>204:442</t>
  </si>
  <si>
    <t>204:161</t>
  </si>
  <si>
    <t>204:233295</t>
  </si>
  <si>
    <t>204:232991</t>
  </si>
  <si>
    <t>204:449</t>
  </si>
  <si>
    <t>204:232971</t>
  </si>
  <si>
    <t>rtdc.l.rtdc.4020:itc</t>
  </si>
  <si>
    <t>MOSES</t>
  </si>
  <si>
    <t>BRADLEY</t>
  </si>
  <si>
    <t>204:478</t>
  </si>
  <si>
    <t>204:232988</t>
  </si>
  <si>
    <t>204:232978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</si>
  <si>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</si>
  <si>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</si>
  <si>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</si>
  <si>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</si>
  <si>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</si>
  <si>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</si>
  <si>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</si>
  <si>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</si>
  <si>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</si>
  <si>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</si>
  <si>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</si>
  <si>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</si>
  <si>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</si>
  <si>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</si>
  <si>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</si>
  <si>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</si>
  <si>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</si>
  <si>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</si>
  <si>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</si>
  <si>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</si>
  <si>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</si>
  <si>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</si>
  <si>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</si>
  <si>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</si>
  <si>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</si>
  <si>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</si>
  <si>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</si>
  <si>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</si>
  <si>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</si>
  <si>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</si>
  <si>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</si>
  <si>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</si>
  <si>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</si>
  <si>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</si>
  <si>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</si>
  <si>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</si>
  <si>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</si>
  <si>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</si>
  <si>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</si>
  <si>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</si>
  <si>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</si>
  <si>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</si>
  <si>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</si>
  <si>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</si>
  <si>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</si>
  <si>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</si>
  <si>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</si>
  <si>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</si>
  <si>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</si>
  <si>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</si>
  <si>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</si>
  <si>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</si>
  <si>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</si>
  <si>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</si>
  <si>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</si>
  <si>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</si>
  <si>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</si>
  <si>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</si>
  <si>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</si>
  <si>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</si>
  <si>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</si>
  <si>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</si>
  <si>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</si>
  <si>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</si>
  <si>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</si>
  <si>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</si>
  <si>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</si>
  <si>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</si>
  <si>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</si>
  <si>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</si>
  <si>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</si>
  <si>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</si>
  <si>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</si>
  <si>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</si>
  <si>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</si>
  <si>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</si>
  <si>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</si>
  <si>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</si>
  <si>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</si>
  <si>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</si>
  <si>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</si>
  <si>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</si>
  <si>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</si>
  <si>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</si>
  <si>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</si>
  <si>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</si>
  <si>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</si>
  <si>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</si>
  <si>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</si>
  <si>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</si>
  <si>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</si>
  <si>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</si>
  <si>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</si>
  <si>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</si>
  <si>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</si>
  <si>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</si>
  <si>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</si>
  <si>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</si>
  <si>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</si>
  <si>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</si>
  <si>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</si>
  <si>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</si>
  <si>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</si>
  <si>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</si>
  <si>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</si>
  <si>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</si>
  <si>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</si>
  <si>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</si>
  <si>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</si>
  <si>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</si>
  <si>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</si>
  <si>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</si>
  <si>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</si>
  <si>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</si>
  <si>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</si>
  <si>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</si>
  <si>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</si>
  <si>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</si>
  <si>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</si>
  <si>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</si>
  <si>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</si>
  <si>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</si>
  <si>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</si>
  <si>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</si>
  <si>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</si>
  <si>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</si>
  <si>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</si>
  <si>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</si>
  <si>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</si>
  <si>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</si>
  <si>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</si>
  <si>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</si>
  <si>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</si>
  <si>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</si>
  <si>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</si>
  <si>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</si>
  <si>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</si>
  <si>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</si>
  <si>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</si>
  <si>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204:484</t>
  </si>
  <si>
    <t>rtdc.l.rtdc.4029:itc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</si>
  <si>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</si>
  <si>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</si>
  <si>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</si>
  <si>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</si>
  <si>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</si>
  <si>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</si>
  <si>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204:437</t>
  </si>
  <si>
    <t>204:232980</t>
  </si>
  <si>
    <t>204:232989</t>
  </si>
  <si>
    <t>204:232976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</si>
  <si>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</si>
  <si>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</si>
  <si>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</si>
  <si>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</si>
  <si>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</si>
  <si>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</si>
  <si>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</si>
  <si>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</si>
  <si>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</si>
  <si>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204:233308</t>
  </si>
  <si>
    <t>204:232974</t>
  </si>
  <si>
    <t>204:233336</t>
  </si>
  <si>
    <t>204:233030</t>
  </si>
  <si>
    <t>204:682</t>
  </si>
  <si>
    <t>300:58950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</si>
  <si>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</si>
  <si>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</si>
  <si>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</si>
  <si>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</si>
  <si>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</si>
  <si>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</si>
  <si>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</si>
  <si>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</si>
  <si>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</si>
  <si>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</si>
  <si>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</si>
  <si>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</si>
  <si>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</si>
  <si>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</si>
  <si>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</si>
  <si>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</si>
  <si>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</si>
  <si>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</si>
  <si>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</si>
  <si>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</si>
  <si>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</si>
  <si>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</si>
  <si>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</si>
  <si>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</si>
  <si>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</si>
  <si>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</si>
  <si>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</si>
  <si>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</si>
  <si>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rtdc.l.rtdc.4063:itc</t>
  </si>
  <si>
    <t>rtdc.l.rtdc.4040:itc</t>
  </si>
  <si>
    <t>HELVIE</t>
  </si>
  <si>
    <t>ADAM</t>
  </si>
  <si>
    <t>BRUDER</t>
  </si>
  <si>
    <t>RICHARD</t>
  </si>
  <si>
    <t>SWANSON</t>
  </si>
  <si>
    <t>BRYCE</t>
  </si>
  <si>
    <t>NELSON</t>
  </si>
  <si>
    <t>ARIANE</t>
  </si>
  <si>
    <t>WHITED</t>
  </si>
  <si>
    <t>80-08</t>
  </si>
  <si>
    <t>81-08</t>
  </si>
  <si>
    <t>315-08</t>
  </si>
  <si>
    <t>242-08</t>
  </si>
  <si>
    <t>244-08</t>
  </si>
  <si>
    <t>309-08</t>
  </si>
  <si>
    <t>311-08</t>
  </si>
  <si>
    <t>313-08</t>
  </si>
  <si>
    <t>204:464</t>
  </si>
  <si>
    <t>204:233306</t>
  </si>
  <si>
    <t>204:233002</t>
  </si>
  <si>
    <t>204:232996</t>
  </si>
  <si>
    <t>204:232984</t>
  </si>
  <si>
    <t>204:233293</t>
  </si>
  <si>
    <t>204:165</t>
  </si>
  <si>
    <t>204:438</t>
  </si>
  <si>
    <t>204:170</t>
  </si>
  <si>
    <t>204:486</t>
  </si>
  <si>
    <t>204:233281</t>
  </si>
  <si>
    <t>204:1002</t>
  </si>
  <si>
    <t>204:680</t>
  </si>
  <si>
    <t>300:58958</t>
  </si>
  <si>
    <t>300:58640</t>
  </si>
  <si>
    <t>300:58626</t>
  </si>
  <si>
    <t>204:694</t>
  </si>
  <si>
    <t>rtdc.l.rtdc.4021:itc</t>
  </si>
  <si>
    <t>rtdc.l.rtdc.4018:itc</t>
  </si>
  <si>
    <t>rtdc.l.rtdc.4043:itc</t>
  </si>
  <si>
    <t>238-09</t>
  </si>
  <si>
    <t>rtdc.l.rtdc.4017:itc</t>
  </si>
  <si>
    <t>ROBINSON</t>
  </si>
  <si>
    <t>KADDIBA</t>
  </si>
  <si>
    <t>SHOOK</t>
  </si>
  <si>
    <t>rtdc.l.rtdc.4022:itc</t>
  </si>
  <si>
    <t>SMITH</t>
  </si>
  <si>
    <t>PERKINS</t>
  </si>
  <si>
    <t>DARREN</t>
  </si>
  <si>
    <t>LOPES</t>
  </si>
  <si>
    <t>KIMBERLY</t>
  </si>
  <si>
    <t>58-09</t>
  </si>
  <si>
    <t>57-09</t>
  </si>
  <si>
    <t>236-09</t>
  </si>
  <si>
    <t>239-09</t>
  </si>
  <si>
    <t>241-09</t>
  </si>
  <si>
    <t>240-09</t>
  </si>
  <si>
    <t>243-09</t>
  </si>
  <si>
    <t>242-09</t>
  </si>
  <si>
    <t>309-09</t>
  </si>
  <si>
    <t>244-09</t>
  </si>
  <si>
    <t>311-09</t>
  </si>
  <si>
    <t>313-09</t>
  </si>
  <si>
    <t>Mostly Cloudy</t>
  </si>
  <si>
    <t>204:426</t>
  </si>
  <si>
    <t>204:233276</t>
  </si>
  <si>
    <t>204:232986</t>
  </si>
  <si>
    <t>204:233010</t>
  </si>
  <si>
    <t>204:233280</t>
  </si>
  <si>
    <t>204:232985</t>
  </si>
  <si>
    <t>204:233323</t>
  </si>
  <si>
    <t>204:233315</t>
  </si>
  <si>
    <t>204:429</t>
  </si>
  <si>
    <t>204:480</t>
  </si>
  <si>
    <t>204:233317</t>
  </si>
  <si>
    <t>204:233305</t>
  </si>
  <si>
    <t>204:232983</t>
  </si>
  <si>
    <t>204:233264</t>
  </si>
  <si>
    <t>204:1173</t>
  </si>
  <si>
    <t>204:129</t>
  </si>
  <si>
    <t>204:233331</t>
  </si>
  <si>
    <t>204:233322</t>
  </si>
  <si>
    <t>204:233278</t>
  </si>
  <si>
    <t>204:462</t>
  </si>
  <si>
    <t>300:23295</t>
  </si>
  <si>
    <t>300:23506</t>
  </si>
  <si>
    <t>300:23346</t>
  </si>
  <si>
    <t>300:58929</t>
  </si>
  <si>
    <t>204:138</t>
  </si>
  <si>
    <t>300:58611</t>
  </si>
  <si>
    <t>300:23190</t>
  </si>
  <si>
    <t>204:748</t>
  </si>
  <si>
    <t>204:976</t>
  </si>
  <si>
    <t>300:58641</t>
  </si>
  <si>
    <t>300:58638</t>
  </si>
  <si>
    <t>300:58630</t>
  </si>
  <si>
    <t>204:668</t>
  </si>
  <si>
    <t>300:58946</t>
  </si>
  <si>
    <t>204:717</t>
  </si>
  <si>
    <t>300:58628</t>
  </si>
  <si>
    <t>300:58961</t>
  </si>
  <si>
    <t>204:990</t>
  </si>
  <si>
    <t>204:698</t>
  </si>
  <si>
    <t>204:1000</t>
  </si>
  <si>
    <t>204:986</t>
  </si>
  <si>
    <t>246-11</t>
  </si>
  <si>
    <t>109-12</t>
  </si>
  <si>
    <t>rtdc.l.rtdc.4052:itc</t>
  </si>
  <si>
    <t>1802-12</t>
  </si>
  <si>
    <t>1803-12</t>
  </si>
  <si>
    <t>1805-12</t>
  </si>
  <si>
    <t>rtdc.l.rtdc.4026:itc</t>
  </si>
  <si>
    <t>128-12</t>
  </si>
  <si>
    <t>1806-12</t>
  </si>
  <si>
    <t>rtdc.l.rtdc.4005:itc</t>
  </si>
  <si>
    <t>136-12</t>
  </si>
  <si>
    <t>1807-12</t>
  </si>
  <si>
    <t>rtdc.l.rtdc.4053:itc</t>
  </si>
  <si>
    <t>147-12</t>
  </si>
  <si>
    <t>144-12</t>
  </si>
  <si>
    <t>rtdc.l.rtdc.4054:itc</t>
  </si>
  <si>
    <t>148-12</t>
  </si>
  <si>
    <t>1810-12</t>
  </si>
  <si>
    <t>157-12</t>
  </si>
  <si>
    <t>rtdc.l.rtdc.4028:itc</t>
  </si>
  <si>
    <t>154-12</t>
  </si>
  <si>
    <t>156-12</t>
  </si>
  <si>
    <t>158-12</t>
  </si>
  <si>
    <t>rtdc.l.rtdc.4025:itc</t>
  </si>
  <si>
    <t>169-12</t>
  </si>
  <si>
    <t>168-12</t>
  </si>
  <si>
    <t>170-12</t>
  </si>
  <si>
    <t>175-12</t>
  </si>
  <si>
    <t>1817-12</t>
  </si>
  <si>
    <t>178-12</t>
  </si>
  <si>
    <t>180-12</t>
  </si>
  <si>
    <t>182-12</t>
  </si>
  <si>
    <t>188-12</t>
  </si>
  <si>
    <t>198-12</t>
  </si>
  <si>
    <t>1824-12</t>
  </si>
  <si>
    <t>54-12</t>
  </si>
  <si>
    <t>1828-12</t>
  </si>
  <si>
    <t>244-12</t>
  </si>
  <si>
    <t>SWITCH UNKNOWN</t>
  </si>
  <si>
    <t>Track device (7)</t>
  </si>
  <si>
    <t>238-11</t>
  </si>
  <si>
    <t>80-11</t>
  </si>
  <si>
    <t>MAGEE</t>
  </si>
  <si>
    <t>KENYA</t>
  </si>
  <si>
    <t>243-11</t>
  </si>
  <si>
    <t>240-11</t>
  </si>
  <si>
    <t>242-11</t>
  </si>
  <si>
    <t>245-11</t>
  </si>
  <si>
    <t>81-11</t>
  </si>
  <si>
    <t>309-11</t>
  </si>
  <si>
    <t>244-11</t>
  </si>
  <si>
    <t>311-11</t>
  </si>
  <si>
    <t>302-12</t>
  </si>
  <si>
    <t>SANTIZO</t>
  </si>
  <si>
    <t>D. EDY</t>
  </si>
  <si>
    <t>rtdc.l.rtdc.4027:itc</t>
  </si>
  <si>
    <t>101-12</t>
  </si>
  <si>
    <t>313-11</t>
  </si>
  <si>
    <t>306-12</t>
  </si>
  <si>
    <t>BADERTSCHER</t>
  </si>
  <si>
    <t>DIANE</t>
  </si>
  <si>
    <t>315-11</t>
  </si>
  <si>
    <t>102-12</t>
  </si>
  <si>
    <t>308-12</t>
  </si>
  <si>
    <t>DAVIS</t>
  </si>
  <si>
    <t>WENDY</t>
  </si>
  <si>
    <t>105-12</t>
  </si>
  <si>
    <t>310-12</t>
  </si>
  <si>
    <t>rtdc.l.rtdc.4006:itc</t>
  </si>
  <si>
    <t>107-12</t>
  </si>
  <si>
    <t>MAYBERRY</t>
  </si>
  <si>
    <t>BILL</t>
  </si>
  <si>
    <t>111-12</t>
  </si>
  <si>
    <t>DELGADO</t>
  </si>
  <si>
    <t>DIANAH</t>
  </si>
  <si>
    <t>113-12</t>
  </si>
  <si>
    <t>106-12</t>
  </si>
  <si>
    <t>108-12</t>
  </si>
  <si>
    <t>110-12</t>
  </si>
  <si>
    <t>1901-12</t>
  </si>
  <si>
    <t>HOLCOMB</t>
  </si>
  <si>
    <t>KAMDEN</t>
  </si>
  <si>
    <t>117-12</t>
  </si>
  <si>
    <t>MAELZER</t>
  </si>
  <si>
    <t>KURT</t>
  </si>
  <si>
    <t>1800-12</t>
  </si>
  <si>
    <t>112-12</t>
  </si>
  <si>
    <t>114-12</t>
  </si>
  <si>
    <t>119-12</t>
  </si>
  <si>
    <t>121-12</t>
  </si>
  <si>
    <t>1801-12</t>
  </si>
  <si>
    <t>123-12</t>
  </si>
  <si>
    <t>116-12</t>
  </si>
  <si>
    <t>118-12</t>
  </si>
  <si>
    <t>125-12</t>
  </si>
  <si>
    <t>50-12</t>
  </si>
  <si>
    <t>127-12</t>
  </si>
  <si>
    <t>120-12</t>
  </si>
  <si>
    <t>129-12</t>
  </si>
  <si>
    <t>122-12</t>
  </si>
  <si>
    <t>124-12</t>
  </si>
  <si>
    <t>131-12</t>
  </si>
  <si>
    <t>126-12</t>
  </si>
  <si>
    <t>1804-12</t>
  </si>
  <si>
    <t>133-12</t>
  </si>
  <si>
    <t>135-12</t>
  </si>
  <si>
    <t>130-12</t>
  </si>
  <si>
    <t>137-12</t>
  </si>
  <si>
    <t>132-12</t>
  </si>
  <si>
    <t>139-12</t>
  </si>
  <si>
    <t>134-12</t>
  </si>
  <si>
    <t>141-12</t>
  </si>
  <si>
    <t>138-12</t>
  </si>
  <si>
    <t>143-12</t>
  </si>
  <si>
    <t>145-12</t>
  </si>
  <si>
    <t>140-12</t>
  </si>
  <si>
    <t>142-12</t>
  </si>
  <si>
    <t>1808-12</t>
  </si>
  <si>
    <t>149-12</t>
  </si>
  <si>
    <t>151-12</t>
  </si>
  <si>
    <t>146-12</t>
  </si>
  <si>
    <t>153-12</t>
  </si>
  <si>
    <t>1809-12</t>
  </si>
  <si>
    <t>155-12</t>
  </si>
  <si>
    <t>ROMERO</t>
  </si>
  <si>
    <t>CHAD</t>
  </si>
  <si>
    <t>150-12</t>
  </si>
  <si>
    <t>152-12</t>
  </si>
  <si>
    <t>159-12</t>
  </si>
  <si>
    <t>STEWART</t>
  </si>
  <si>
    <t>1811-12</t>
  </si>
  <si>
    <t>161-12</t>
  </si>
  <si>
    <t>163-12</t>
  </si>
  <si>
    <t>LEVIN</t>
  </si>
  <si>
    <t>SCOTT</t>
  </si>
  <si>
    <t>1812-12</t>
  </si>
  <si>
    <t>165-12</t>
  </si>
  <si>
    <t>160-12</t>
  </si>
  <si>
    <t>167-12</t>
  </si>
  <si>
    <t>1813-12</t>
  </si>
  <si>
    <t>162-12</t>
  </si>
  <si>
    <t>164-12</t>
  </si>
  <si>
    <t>171-12</t>
  </si>
  <si>
    <t>MACDONALD</t>
  </si>
  <si>
    <t>THOMAS</t>
  </si>
  <si>
    <t>1814-12</t>
  </si>
  <si>
    <t>166-12</t>
  </si>
  <si>
    <t>173-12</t>
  </si>
  <si>
    <t>52-12</t>
  </si>
  <si>
    <t>LALONDE</t>
  </si>
  <si>
    <t>GREGORY</t>
  </si>
  <si>
    <t>1815-12</t>
  </si>
  <si>
    <t>172-12</t>
  </si>
  <si>
    <t>179-12</t>
  </si>
  <si>
    <t>181-12</t>
  </si>
  <si>
    <t>1816-12</t>
  </si>
  <si>
    <t>174-12</t>
  </si>
  <si>
    <t>183-12</t>
  </si>
  <si>
    <t>185-12</t>
  </si>
  <si>
    <t>187-12</t>
  </si>
  <si>
    <t>1818-12</t>
  </si>
  <si>
    <t>189-12</t>
  </si>
  <si>
    <t>184-12</t>
  </si>
  <si>
    <t>191-12</t>
  </si>
  <si>
    <t>186-12</t>
  </si>
  <si>
    <t>1819-12</t>
  </si>
  <si>
    <t>193-12</t>
  </si>
  <si>
    <t>195-12</t>
  </si>
  <si>
    <t>1820-12</t>
  </si>
  <si>
    <t>190-12</t>
  </si>
  <si>
    <t>197-12</t>
  </si>
  <si>
    <t>192-12</t>
  </si>
  <si>
    <t>199-12</t>
  </si>
  <si>
    <t>194-12</t>
  </si>
  <si>
    <t>201-12</t>
  </si>
  <si>
    <t>1821-12</t>
  </si>
  <si>
    <t>196-12</t>
  </si>
  <si>
    <t>203-12</t>
  </si>
  <si>
    <t>1822-12</t>
  </si>
  <si>
    <t>205-12</t>
  </si>
  <si>
    <t>200-12</t>
  </si>
  <si>
    <t>207-12</t>
  </si>
  <si>
    <t>202-12</t>
  </si>
  <si>
    <t>209-12</t>
  </si>
  <si>
    <t>1823-12</t>
  </si>
  <si>
    <t>51-12</t>
  </si>
  <si>
    <t>204-12</t>
  </si>
  <si>
    <t>211-12</t>
  </si>
  <si>
    <t>206-12</t>
  </si>
  <si>
    <t>53-12</t>
  </si>
  <si>
    <t>213-12</t>
  </si>
  <si>
    <t>208-12</t>
  </si>
  <si>
    <t>215-12</t>
  </si>
  <si>
    <t>217-12</t>
  </si>
  <si>
    <t>1825-12</t>
  </si>
  <si>
    <t>212-12</t>
  </si>
  <si>
    <t>219-12</t>
  </si>
  <si>
    <t>STAMBAUGH</t>
  </si>
  <si>
    <t>214-12</t>
  </si>
  <si>
    <t>1826-12</t>
  </si>
  <si>
    <t>303-12</t>
  </si>
  <si>
    <t>216-12</t>
  </si>
  <si>
    <t>218-12</t>
  </si>
  <si>
    <t>221-12</t>
  </si>
  <si>
    <t>305-12</t>
  </si>
  <si>
    <t>220-12</t>
  </si>
  <si>
    <t>1827-12</t>
  </si>
  <si>
    <t>223-12</t>
  </si>
  <si>
    <t>307-12</t>
  </si>
  <si>
    <t>222-12</t>
  </si>
  <si>
    <t>225-12</t>
  </si>
  <si>
    <t>80-12</t>
  </si>
  <si>
    <t>224-12</t>
  </si>
  <si>
    <t>227-12</t>
  </si>
  <si>
    <t>SAFIEF</t>
  </si>
  <si>
    <t>AEIMEN</t>
  </si>
  <si>
    <t>1829-12</t>
  </si>
  <si>
    <t>81-12</t>
  </si>
  <si>
    <t>1830-12</t>
  </si>
  <si>
    <t>226-12</t>
  </si>
  <si>
    <t>229-12</t>
  </si>
  <si>
    <t>231-12</t>
  </si>
  <si>
    <t>228-12</t>
  </si>
  <si>
    <t>1831-12</t>
  </si>
  <si>
    <t>1832-12</t>
  </si>
  <si>
    <t>233-12</t>
  </si>
  <si>
    <t>230-12</t>
  </si>
  <si>
    <t>235-12</t>
  </si>
  <si>
    <t>1833-12</t>
  </si>
  <si>
    <t>232-12</t>
  </si>
  <si>
    <t>1902-12</t>
  </si>
  <si>
    <t>234-12</t>
  </si>
  <si>
    <t>237-12</t>
  </si>
  <si>
    <t>236-12</t>
  </si>
  <si>
    <t>239-12</t>
  </si>
  <si>
    <t>241-12</t>
  </si>
  <si>
    <t>238-12</t>
  </si>
  <si>
    <t>243-12</t>
  </si>
  <si>
    <t>240-12</t>
  </si>
  <si>
    <t>242-12</t>
  </si>
  <si>
    <t>315-12</t>
  </si>
  <si>
    <t>309-12</t>
  </si>
  <si>
    <t>311-12</t>
  </si>
  <si>
    <t>313-12</t>
  </si>
  <si>
    <t>precipType</t>
  </si>
  <si>
    <t>rain</t>
  </si>
  <si>
    <t>204:743</t>
  </si>
  <si>
    <t>204:232681</t>
  </si>
  <si>
    <t>204:232626</t>
  </si>
  <si>
    <t>204:125</t>
  </si>
  <si>
    <t>204:233324</t>
  </si>
  <si>
    <t>204:732</t>
  </si>
  <si>
    <t>204:233028</t>
  </si>
  <si>
    <t>204:759</t>
  </si>
  <si>
    <t>204:232960</t>
  </si>
  <si>
    <t>204:127</t>
  </si>
  <si>
    <t>204:233105</t>
  </si>
  <si>
    <t>204:232783</t>
  </si>
  <si>
    <t>204:427</t>
  </si>
  <si>
    <t>204:233036</t>
  </si>
  <si>
    <t>204:232998</t>
  </si>
  <si>
    <t>204:163</t>
  </si>
  <si>
    <t>204:232975</t>
  </si>
  <si>
    <t>204:169</t>
  </si>
  <si>
    <t>204:420</t>
  </si>
  <si>
    <t>204:233286</t>
  </si>
  <si>
    <t>204:431</t>
  </si>
  <si>
    <t>204:233325</t>
  </si>
  <si>
    <t>204:232973</t>
  </si>
  <si>
    <t>204:232977</t>
  </si>
  <si>
    <t>204:232990</t>
  </si>
  <si>
    <t>204:1496</t>
  </si>
  <si>
    <t>204:1840</t>
  </si>
  <si>
    <t>204:19121</t>
  </si>
  <si>
    <t>204:233283</t>
  </si>
  <si>
    <t>204:136</t>
  </si>
  <si>
    <t>204:86374</t>
  </si>
  <si>
    <t>204:127874</t>
  </si>
  <si>
    <t>204:233008</t>
  </si>
  <si>
    <t>204:233334</t>
  </si>
  <si>
    <t>204:233047</t>
  </si>
  <si>
    <t>204:1073</t>
  </si>
  <si>
    <t>204:233397</t>
  </si>
  <si>
    <t>204:233084</t>
  </si>
  <si>
    <t>204:393</t>
  </si>
  <si>
    <t>204:233344</t>
  </si>
  <si>
    <t>204:233011</t>
  </si>
  <si>
    <t>204:923</t>
  </si>
  <si>
    <t>204:132</t>
  </si>
  <si>
    <t>204:948</t>
  </si>
  <si>
    <t>300:58619</t>
  </si>
  <si>
    <t>204:967</t>
  </si>
  <si>
    <t>204:652</t>
  </si>
  <si>
    <t>204:939</t>
  </si>
  <si>
    <t>300:58941</t>
  </si>
  <si>
    <t>300:58948</t>
  </si>
  <si>
    <t>204:670</t>
  </si>
  <si>
    <t>204:946</t>
  </si>
  <si>
    <t>204:692</t>
  </si>
  <si>
    <t>300:58952</t>
  </si>
  <si>
    <t>204:992</t>
  </si>
  <si>
    <t>300:58944</t>
  </si>
  <si>
    <t>204:666</t>
  </si>
  <si>
    <t>204:965</t>
  </si>
  <si>
    <t>204:729</t>
  </si>
  <si>
    <t>204:1007</t>
  </si>
  <si>
    <t>300:58960</t>
  </si>
  <si>
    <t>300:58937</t>
  </si>
  <si>
    <t>300:58939</t>
  </si>
  <si>
    <t>204:843</t>
  </si>
  <si>
    <t>204:1126</t>
  </si>
  <si>
    <t>300:58617</t>
  </si>
  <si>
    <t>204:768</t>
  </si>
  <si>
    <t>204:1077</t>
  </si>
  <si>
    <t>300:58935</t>
  </si>
  <si>
    <t>300:58623</t>
  </si>
  <si>
    <t>204:1130</t>
  </si>
  <si>
    <t>204:720</t>
  </si>
  <si>
    <t>204:804</t>
  </si>
  <si>
    <t>204:1098</t>
  </si>
  <si>
    <t>204:754</t>
  </si>
  <si>
    <t>204:1049</t>
  </si>
  <si>
    <t>300:58931</t>
  </si>
  <si>
    <t>204:232953</t>
  </si>
  <si>
    <t>204:233421</t>
  </si>
  <si>
    <t>204:233100</t>
  </si>
  <si>
    <t>204:232987</t>
  </si>
  <si>
    <t>300:29881</t>
  </si>
  <si>
    <t>300:21750</t>
  </si>
  <si>
    <t>204:391</t>
  </si>
  <si>
    <t>204:233370</t>
  </si>
  <si>
    <t>204:1253</t>
  </si>
  <si>
    <t>204:233330</t>
  </si>
  <si>
    <t>204:233015</t>
  </si>
  <si>
    <t>204:233340</t>
  </si>
  <si>
    <t>204:233410</t>
  </si>
  <si>
    <t>204:233115</t>
  </si>
  <si>
    <t>204:233419</t>
  </si>
  <si>
    <t>204:233117</t>
  </si>
  <si>
    <t>204:233338</t>
  </si>
  <si>
    <t>204:233049</t>
  </si>
  <si>
    <t>204:233282</t>
  </si>
  <si>
    <t>204:233285</t>
  </si>
  <si>
    <t>210-12</t>
  </si>
  <si>
    <t>204:232964</t>
  </si>
  <si>
    <t>204:233007</t>
  </si>
  <si>
    <t>204:121</t>
  </si>
  <si>
    <t>204:233357</t>
  </si>
  <si>
    <t>204:233017</t>
  </si>
  <si>
    <t>204:242</t>
  </si>
  <si>
    <t>204:37177</t>
  </si>
  <si>
    <t>204:233298</t>
  </si>
  <si>
    <t>204:546</t>
  </si>
  <si>
    <t>204:233383</t>
  </si>
  <si>
    <t>204:233072</t>
  </si>
  <si>
    <t>204:172</t>
  </si>
  <si>
    <t>204:127857</t>
  </si>
  <si>
    <t>204:233345</t>
  </si>
  <si>
    <t>204:233048</t>
  </si>
  <si>
    <t>300:19555</t>
  </si>
  <si>
    <t>300:23126</t>
  </si>
  <si>
    <t>300:22106</t>
  </si>
  <si>
    <t>300:23299</t>
  </si>
  <si>
    <t>300:13420</t>
  </si>
  <si>
    <t>300:23306</t>
  </si>
  <si>
    <t>204:410</t>
  </si>
  <si>
    <t>300:13151</t>
  </si>
  <si>
    <t>204:233122</t>
  </si>
  <si>
    <t>204:1246</t>
  </si>
  <si>
    <t>300:30841</t>
  </si>
  <si>
    <t>204:155</t>
  </si>
  <si>
    <t>204:340</t>
  </si>
  <si>
    <t>300:31157</t>
  </si>
  <si>
    <t>300:23308</t>
  </si>
  <si>
    <t>300:23468</t>
  </si>
  <si>
    <t>204:881</t>
  </si>
  <si>
    <t>204:144</t>
  </si>
  <si>
    <t>204:1160</t>
  </si>
  <si>
    <t>204:148</t>
  </si>
  <si>
    <t>204:151</t>
  </si>
  <si>
    <t>204:1479</t>
  </si>
  <si>
    <t>204:459</t>
  </si>
  <si>
    <t>300:58926</t>
  </si>
  <si>
    <t>start /low /b %USERPROFILE%\Documents\GitHub\eaglep3\Utilities\DownloadLogsFromS3.py --loco 4018 --day 2017-03-12</t>
  </si>
  <si>
    <t>start /low /b %USERPROFILE%\Documents\GitHub\eaglep3\Utilities\DownloadLogsFromS3.py --loco 4053 --day 2017-03-12</t>
  </si>
  <si>
    <t>start /low /b %USERPROFILE%\Documents\GitHub\eaglep3\Utilities\DownloadLogsFromS3.py --loco 4054 --day 2017-03-12</t>
  </si>
  <si>
    <t>start /low /b %USERPROFILE%\Documents\GitHub\eaglep3\Utilities\DownloadLogsFromS3.py --loco 4006 --day 2017-03-12</t>
  </si>
  <si>
    <t>start /low /b %USERPROFILE%\Documents\GitHub\eaglep3\Utilities\DownloadLogsFromS3.py --loco 4026 --day 2017-03-13</t>
  </si>
  <si>
    <t>start /low /b %USERPROFILE%\Documents\GitHub\eaglep3\Utilities\DownloadLogsFromS3.py --loco 4020 --day 2017-03-12</t>
  </si>
  <si>
    <t>start /low /b %USERPROFILE%\Documents\GitHub\eaglep3\Utilities\DownloadLogsFromS3.py --loco 4028 --day 2017-03-12</t>
  </si>
  <si>
    <t>start /low /b %USERPROFILE%\Documents\GitHub\eaglep3\Utilities\DownloadLogsFromS3.py --loco 4026 --day 2017-03-12</t>
  </si>
  <si>
    <t>start /low /b %USERPROFILE%\Documents\GitHub\eaglep3\Utilities\DownloadLogsFromS3.py --loco 4004 --day 2017-03-12</t>
  </si>
  <si>
    <t>start /low /b %USERPROFILE%\Documents\GitHub\eaglep3\Utilities\DownloadLogsFromS3.py --loco 4017 --day 2017-03-12</t>
  </si>
  <si>
    <t>start /low /b %USERPROFILE%\Documents\GitHub\eaglep3\Utilities\DownloadLogsFromS3.py --loco 4019 --day 2017-03-13</t>
  </si>
  <si>
    <t>start /low /b %USERPROFILE%\Documents\GitHub\eaglep3\Utilities\DownloadLogsFromS3.py --loco 4025 --day 2017-03-12</t>
  </si>
  <si>
    <t>start /low /b %USERPROFILE%\Documents\GitHub\eaglep3\Utilities\DownloadLogsFromS3.py --loco 4005 --day 2017-03-12</t>
  </si>
  <si>
    <t>start /low /b %USERPROFILE%\Documents\GitHub\eaglep3\Utilities\DownloadLogsFromS3.py --loco 4030 --day 2017-03-12</t>
  </si>
  <si>
    <t>start /low /b %USERPROFILE%\Documents\GitHub\eaglep3\Utilities\DownloadLogsFromS3.py --loco 4021 --day 2017-03-12</t>
  </si>
  <si>
    <t>start /low /b %USERPROFILE%\Documents\GitHub\eaglep3\Utilities\DownloadLogsFromS3.py --loco 4028 --day 2017-03-13</t>
  </si>
  <si>
    <t>start /low /b %USERPROFILE%\Documents\GitHub\eaglep3\Utilities\DownloadLogsFromS3.py --loco 4003 --day 2017-03-12</t>
  </si>
  <si>
    <t>start /low /b %USERPROFILE%\Documents\GitHub\eaglep3\Utilities\DownloadLogsFromS3.py --loco 4052 --day 2017-03-13</t>
  </si>
  <si>
    <t>start /low /b %USERPROFILE%\Documents\GitHub\eaglep3\Utilities\DownloadLogsFromS3.py --loco 4051 --day 2017-03-12</t>
  </si>
  <si>
    <t>start /low /b %USERPROFILE%\Documents\GitHub\eaglep3\Utilities\DownloadLogsFromS3.py --loco 4052 --day 2017-03-12</t>
  </si>
  <si>
    <t>Early arrival</t>
  </si>
  <si>
    <t>103-12</t>
  </si>
  <si>
    <t>104-12</t>
  </si>
  <si>
    <t>Extended Onboard Wi-MAX outage (swapped)</t>
  </si>
  <si>
    <t>Extended Onboard Wi-MAX outage (Wi-MAX cycled)</t>
  </si>
  <si>
    <t>TMDS issue - read &amp; repeat opened before init complete</t>
  </si>
  <si>
    <t>Onboard in-route failure</t>
  </si>
  <si>
    <t>Form C</t>
  </si>
  <si>
    <t>Wi-MAX data drop</t>
  </si>
  <si>
    <t>Main 3 departure</t>
  </si>
  <si>
    <t>Cancelled</t>
  </si>
  <si>
    <t>Wi-MAX data drop, operator slowed to avoid enforcement</t>
  </si>
  <si>
    <t>Unhealthy @ Chambers due to train stop</t>
  </si>
  <si>
    <t>Operator training issue (depart flag)</t>
  </si>
  <si>
    <t>Initialization delays due to Wi-MAX data drops, then operator training issue (depart flag)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</si>
</sst>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" fontId="1" fillId="0" borderId="5" xfId="0" applyNumberFormat="1" applyFon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workbookViewId="0">
      <selection activeCell="R74" sqref="R7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42806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141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133</v>
      </c>
      <c r="K5" s="40"/>
      <c r="L5" s="40"/>
      <c r="M5" s="41">
        <f>AVERAGEIFS($N$13:$N$9335,$AG$13:$AG$9335,I1)</f>
        <v>46.783709273020619</v>
      </c>
      <c r="N5" s="39">
        <f t="array" ref="N5">MIN(IF($AG$13:$AG$9335=I1,IF(ISNUMBER($N$13:$N$9335),IF($N$13:$N$9335&gt;0,$N$13:$N$9335))))</f>
        <v>36.116666664602235</v>
      </c>
      <c r="O5" s="3">
        <f t="array" ref="O5">MAX(IF($AG$13:$AG$9335=I1,IF(ISNUMBER($N$13:$N$9335),IF($N$13:$N$9335&gt;0,$N$13:$N$9335))))</f>
        <v>63.383333324454725</v>
      </c>
      <c r="P5" s="2"/>
      <c r="R5" s="74" t="s">
        <v>17</v>
      </c>
      <c r="S5" s="50">
        <f>COUNTIFS($N$13:$N$9335,"&gt;0",$AG$13:$AG$9335,R1)</f>
        <v>34</v>
      </c>
      <c r="T5" s="40"/>
      <c r="U5" s="177"/>
      <c r="V5" s="174">
        <f>AVERAGEIFS($N$13:$N$9335,$AG$13:$AG$9335,R1)</f>
        <v>18.399999999023482</v>
      </c>
      <c r="W5" s="175">
        <f t="array" ref="W5">MIN(IF($AG$13:$AG$9335=R1,IF(ISNUMBER($N$13:$N$9335),IF($N$13:$N$9335&gt;0,$N$13:$N$9335))))</f>
        <v>13.749999997671694</v>
      </c>
      <c r="X5" s="176">
        <f t="array" ref="X5">MAX(IF($AG$13:$AG$9335=R1,IF(ISNUMBER($N$13:$N$9335),IF($N$13:$N$9335&gt;0,$N$13:$N$9335))))</f>
        <v>30.883333333767951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133</v>
      </c>
      <c r="K8" s="40"/>
      <c r="L8" s="40"/>
      <c r="M8" s="41">
        <f>M5</f>
        <v>46.783709273020619</v>
      </c>
      <c r="N8" s="39">
        <f>N5</f>
        <v>36.116666664602235</v>
      </c>
      <c r="O8" s="3">
        <f>O5</f>
        <v>63.383333324454725</v>
      </c>
      <c r="P8" s="2"/>
      <c r="R8" s="74" t="s">
        <v>16</v>
      </c>
      <c r="S8" s="50">
        <f>S5</f>
        <v>34</v>
      </c>
      <c r="T8" s="40"/>
      <c r="U8" s="177"/>
      <c r="V8" s="174">
        <f>V5</f>
        <v>18.399999999023482</v>
      </c>
      <c r="W8" s="175">
        <f>W5</f>
        <v>13.749999997671694</v>
      </c>
      <c r="X8" s="176">
        <f>X5</f>
        <v>30.883333333767951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0.94326241134751776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1" t="str">
        <f>"Eagle P3 System Performance - "&amp;TEXT(Variables!A2,"yyyy-mm-dd")</f>
        <v>Eagle P3 System Performance - 2017-03-12</v>
      </c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S11" s="64">
        <f>AVERAGE(S13:S85)</f>
        <v>0.9560185185185186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634</v>
      </c>
      <c r="B13" s="7">
        <v>4027</v>
      </c>
      <c r="C13" s="21" t="s">
        <v>242</v>
      </c>
      <c r="D13" s="21" t="s">
        <v>824</v>
      </c>
      <c r="E13" s="13">
        <v>42806.127245370371</v>
      </c>
      <c r="F13" s="13">
        <v>42806.128703703704</v>
      </c>
      <c r="G13" s="7">
        <v>2</v>
      </c>
      <c r="H13" s="21" t="s">
        <v>553</v>
      </c>
      <c r="I13" s="13">
        <v>42806.161516203705</v>
      </c>
      <c r="J13" s="7">
        <v>0</v>
      </c>
      <c r="K13" s="98" t="str">
        <f t="shared" ref="K13:K79" si="0">IF(ISEVEN(B13),(B13-1)&amp;"/"&amp;B13,B13&amp;"/"&amp;(B13+1))</f>
        <v>4027/4028</v>
      </c>
      <c r="L13" s="21" t="str">
        <f>VLOOKUP(A13,'Trips&amp;Operators'!$C$1:$G$99999,5,FALSE)</f>
        <v>SANTIZO D. EDY</v>
      </c>
      <c r="M13" s="6">
        <f t="shared" ref="M13:M79" si="1">I13-F13</f>
        <v>3.2812500001455192E-2</v>
      </c>
      <c r="N13" s="7">
        <f t="shared" ref="N13:P79" si="2">24*60*SUM($M13:$M13)</f>
        <v>47.250000002095476</v>
      </c>
      <c r="O13" s="7"/>
      <c r="P13" s="7"/>
      <c r="Q13" s="22"/>
      <c r="R13" s="22"/>
      <c r="S13" s="31">
        <f t="shared" ref="S13:S79" si="3">SUM(U13:U13)/IF(AG13="EC",12,1)</f>
        <v>1</v>
      </c>
      <c r="T13" s="46" t="str">
        <f t="shared" ref="T13:T79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9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-12T02:03:14-600',mode:absolute,to:'2017-03-12T04:52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87" t="str">
        <f t="shared" ref="W13:W79" si="6">IF(AA13&lt;IF(AG13="EC",23,5.65),"Y","N")</f>
        <v>N</v>
      </c>
      <c r="X13" s="187" t="e">
        <f t="shared" ref="X13:X79" si="7">VALUE(LEFT(AD13,4))-VALUE(LEFT(AD12,4))</f>
        <v>#VALUE!</v>
      </c>
      <c r="Y13" s="62">
        <f t="shared" ref="Y13:Y79" si="8">RIGHT(D13,LEN(D13)-4)/10000</f>
        <v>7.4300000000000005E-2</v>
      </c>
      <c r="Z13" s="62">
        <f t="shared" ref="Z13:Z79" si="9">RIGHT(H13,LEN(H13)-4)/10000</f>
        <v>23.333100000000002</v>
      </c>
      <c r="AA13" s="62">
        <f t="shared" ref="AA13:AA79" si="10">ABS(Z13-Y13)</f>
        <v>23.258800000000001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9" si="11">IF(LEN(A13)=6,"0"&amp;A13,A13)</f>
        <v>0101-12</v>
      </c>
      <c r="AE13" s="85" t="str">
        <f t="shared" ref="AE13:AE79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3" s="82" t="str">
        <f t="shared" ref="AF13:AF79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/stypes="app*4027*20170312*" /stext=" 09:.+((SYSTEM_STATE.+slice.+state.+changed )|(ment ac)|(multiple cpu faults)|(system.+state.+changed )|(\[timeout)|(PRM\|1\|D)|(kpr)|(kdp)|(\|lc)|(penalty))"</v>
      </c>
      <c r="AG13" s="1" t="str">
        <f t="shared" ref="AG13:AG79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4027 --swversion DE.1.0.9.0 --startMP 204:743 --initTime 2017-03-12T03:03:14 --startdatetime 2017-03-12T03:05:20 --delay 2 --endMP 204:233331 --enddatetime 2017-03-12T03:52:35 --enforcementcount 0 &gt;&gt;C:\Users\stu\Documents\GitHub\eaglep3-reporting\EC\2017-03-12-refined-times.txt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{"issue":{"subject":"","project_id":79,"tracker_id":40,"status_id":1,"priority_id":2,"assigned_to_id":23,"start_date":"2017-03-12","description":"","custom_fields":[{"id":1,"name":"Subdivision","value":"EC"},{"id":4,"name":"Milepost","value":"23.3331"},{"id":17,"name":"Train ID","value":"101-12"},{"id":16,"name":"Locomotive ID","value":"4027"},{"id":130,"name":"Impact","value":""},{"id":150,"name":"Time of Event (Mountain Time)","value":"03:52:35"},{"id":151,"name":"Denver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4027 --day 2017-03-12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640</v>
      </c>
      <c r="B14" s="7">
        <v>4026</v>
      </c>
      <c r="C14" s="21" t="s">
        <v>242</v>
      </c>
      <c r="D14" s="21" t="s">
        <v>825</v>
      </c>
      <c r="E14" s="13">
        <v>42806.163703703707</v>
      </c>
      <c r="F14" s="13">
        <v>42806.164710648147</v>
      </c>
      <c r="G14" s="7">
        <v>1</v>
      </c>
      <c r="H14" s="21" t="s">
        <v>229</v>
      </c>
      <c r="I14" s="13">
        <v>42806.203888888886</v>
      </c>
      <c r="J14" s="7">
        <v>0</v>
      </c>
      <c r="K14" s="98" t="str">
        <f t="shared" si="0"/>
        <v>4025/4026</v>
      </c>
      <c r="L14" s="21" t="str">
        <f>VLOOKUP(A14,'Trips&amp;Operators'!$C$1:$G$99999,5,FALSE)</f>
        <v>SANTIZO D. EDY</v>
      </c>
      <c r="M14" s="6">
        <f t="shared" si="1"/>
        <v>3.9178240738692693E-2</v>
      </c>
      <c r="N14" s="7">
        <f t="shared" si="2"/>
        <v>56.416666663717479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-12T02:55:44-600',mode:absolute,to:'2017-03-12T05:53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23.2681</v>
      </c>
      <c r="Z14" s="62">
        <f t="shared" si="9"/>
        <v>1.41E-2</v>
      </c>
      <c r="AA14" s="62">
        <f t="shared" si="10"/>
        <v>23.254000000000001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0102-12</v>
      </c>
      <c r="AE14" s="85" t="str">
        <f t="shared" si="12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4" s="82" t="str">
        <f t="shared" si="13"/>
        <v>"C:\Program Files (x86)\AstroGrep\AstroGrep.exe" /e /r /s /spath="%USERPROFILE%\AppData\Local\Temp\OnboardLogs" /stypes="app*4026*20170312*"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4026 --swversion DE.1.0.9.0 --startMP 204:232681 --initTime 2017-03-12T03:55:44 --startdatetime 2017-03-12T03:57:11 --delay 1 --endMP 204:141 --enddatetime 2017-03-12T04:53:36 --enforcementcount 0 &gt;&gt;C:\Users\stu\Documents\GitHub\eaglep3-reporting\EC\2017-03-12-refined-times.txt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{"issue":{"subject":"","project_id":79,"tracker_id":40,"status_id":1,"priority_id":2,"assigned_to_id":23,"start_date":"2017-03-12","description":"","custom_fields":[{"id":1,"name":"Subdivision","value":"EC"},{"id":4,"name":"Milepost","value":"0.0141"},{"id":17,"name":"Train ID","value":"102-12"},{"id":16,"name":"Locomotive ID","value":"4026"},{"id":130,"name":"Impact","value":""},{"id":150,"name":"Time of Event (Mountain Time)","value":"04:53:36"},{"id":151,"name":"Denver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4026 --day 2017-03-12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982</v>
      </c>
      <c r="B15" s="7">
        <v>4029</v>
      </c>
      <c r="C15" s="21"/>
      <c r="D15" s="21"/>
      <c r="E15" s="13"/>
      <c r="F15" s="13">
        <v>42806.154861111114</v>
      </c>
      <c r="G15" s="7"/>
      <c r="H15" s="21"/>
      <c r="I15" s="13">
        <v>42806.155555555553</v>
      </c>
      <c r="J15" s="7">
        <v>0</v>
      </c>
      <c r="K15" s="98" t="str">
        <f t="shared" ref="K15:K16" si="21">IF(ISEVEN(B15),(B15-1)&amp;"/"&amp;B15,B15&amp;"/"&amp;(B15+1))</f>
        <v>4029/4030</v>
      </c>
      <c r="L15" s="21" t="e">
        <f>VLOOKUP(A15,'Trips&amp;Operators'!$C$1:$G$99999,5,FALSE)</f>
        <v>#N/A</v>
      </c>
      <c r="M15" s="6">
        <f t="shared" ref="M15:M16" si="22">I15-F15</f>
        <v>6.9444443943211809E-4</v>
      </c>
      <c r="N15" s="7"/>
      <c r="O15" s="7"/>
      <c r="P15" s="7">
        <f t="shared" si="2"/>
        <v>0.99999999278225005</v>
      </c>
      <c r="Q15" s="22"/>
      <c r="R15" s="22" t="s">
        <v>984</v>
      </c>
      <c r="S15" s="31">
        <f t="shared" ref="S15:S16" si="23">SUM(U15:U15)/IF(AG15="EC",12,1)</f>
        <v>0</v>
      </c>
      <c r="T15" s="46" t="str">
        <f t="shared" ref="T15:T16" si="24">IF(ISEVEN(LEFT(AD15,4)),"Southbound","NorthBound")</f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86" t="e">
        <f t="shared" ref="V15:V16" si="25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#VALUE!</v>
      </c>
      <c r="W15" s="187" t="e">
        <f t="shared" ref="W15:W16" si="26">IF(AA15&lt;IF(AG15="EC",23,5.65),"Y","N")</f>
        <v>#VALUE!</v>
      </c>
      <c r="X15" s="187">
        <f t="shared" ref="X15:X18" si="27">VALUE(LEFT(AD15,4))-VALUE(LEFT(AD14,4))</f>
        <v>1</v>
      </c>
      <c r="Y15" s="62" t="e">
        <f t="shared" ref="Y15:Y16" si="28">RIGHT(D15,LEN(D15)-4)/10000</f>
        <v>#VALUE!</v>
      </c>
      <c r="Z15" s="62" t="e">
        <f t="shared" ref="Z15:Z16" si="29">RIGHT(H15,LEN(H15)-4)/10000</f>
        <v>#VALUE!</v>
      </c>
      <c r="AA15" s="62" t="e">
        <f t="shared" ref="AA15:AA16" si="30">ABS(Z15-Y15)</f>
        <v>#VALUE!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ref="AD15:AD16" si="31">IF(LEN(A15)=6,"0"&amp;A15,A15)</f>
        <v>0103-12</v>
      </c>
      <c r="AE15" s="85" t="str">
        <f t="shared" ref="AE15:AE16" si="32"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s3://rtdc.mdm.uploadarchive.raw/RTDC4029/ "%USERPROFILE%\AppData\Local\Temp\OnboardLogs"\RTDC4029\2017-03-12 --exclude "*" --recursive --include "*20170312*" &amp; "%USERPROFILE%\Documents\GitHub\mrs-test-scripts\Headless Mode &amp; Sideloading\WalkAndUnGZ.bat" "%USERPROFILE%\AppData\Local\Temp\OnboardLogs"\RTDC4029\2017-03-12 &amp; aws s3 cp s3://rtdc.mdm.uploadarchive.raw/RTDC4029/ "%USERPROFILE%\AppData\Local\Temp\OnboardLogs"\RTDC4029\2017-03-13 --exclude "*" --recursive --include "*20170313*" &amp; "%USERPROFILE%\Documents\GitHub\mrs-test-scripts\Headless Mode &amp; Sideloading\WalkAndUnGZ.bat" "%USERPROFILE%\AppData\Local\Temp\OnboardLogs"\RTDC4029\2017-03-13</v>
      </c>
      <c r="AF15" s="82" t="str">
        <f t="shared" ref="AF15:AF16" si="33"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/stypes="app*4029*20170312*" /stext=" 09:.+((SYSTEM_STATE.+slice.+state.+changed )|(ment ac)|(multiple cpu faults)|(system.+state.+changed )|(\[timeout)|(PRM\|1\|D)|(kpr)|(kdp)|(\|lc)|(penalty))"</v>
      </c>
      <c r="AG15" s="1" t="str">
        <f t="shared" ref="AG15:AG16" si="34">IFERROR(IF(VALUE(LEFT(AD15,2))&lt;=2,"EC",IF(OR(VALUE(LEFT(AD15,2))=8,VALUE(LEFT(AD15,2))=18),"NW","Other")),"Other")</f>
        <v>EC</v>
      </c>
      <c r="AH15" s="86" t="str">
        <f t="shared" ref="AH15:AH16" si="35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103-12 --locoid 4029 --swversion  --startMP  --initTime 1900-01-00T00:00:00 --startdatetime 2017-03-12T03:43:00 --delay  --endMP  --enddatetime 2017-03-12T03:44:00 --enforcementcount 0 &gt;&gt;C:\Users\stu\Documents\GitHub\eaglep3-reporting\EC\2017-03-12-refined-times.txt</v>
      </c>
      <c r="AI15" s="108" t="e">
        <f t="shared" ref="AI15:AI16" si="3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#VALUE!</v>
      </c>
      <c r="AJ15" s="48"/>
      <c r="AK15" s="48"/>
      <c r="AL15" s="48"/>
      <c r="AM15" s="154" t="str">
        <f t="shared" ref="AM15:AM16" si="37">"start /low /b "&amp;dls3logs&amp;" --loco "&amp;B15&amp;" --day "&amp;TEXT(F15,"YYYY-MM-DD")</f>
        <v>start /low /b %USERPROFILE%\Documents\GitHub\eaglep3\Utilities\DownloadLogsFromS3.py --loco 4029 --day 2017-03-12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"%USERPROFILE%\AppData\Local\Temp\OnboardLogs"\RTDC4029\*4029*20170312* | grep -SE "(Enforcement Action)|(\[TIMEOUT)|(CHR.+\|PRM\|1\|D.+(SWITCH|SIGNAL).+UNKNOWN)" - &gt;&gt; 2017-03-12-UncaughtWiMAX.txt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3" t="s">
        <v>983</v>
      </c>
      <c r="B16" s="7">
        <v>4041</v>
      </c>
      <c r="C16" s="21"/>
      <c r="D16" s="21"/>
      <c r="E16" s="13"/>
      <c r="F16" s="13">
        <v>42806.19027777778</v>
      </c>
      <c r="G16" s="7"/>
      <c r="H16" s="21"/>
      <c r="I16" s="13">
        <v>42806.190972222219</v>
      </c>
      <c r="J16" s="7">
        <v>0</v>
      </c>
      <c r="K16" s="98" t="str">
        <f t="shared" si="21"/>
        <v>4041/4042</v>
      </c>
      <c r="L16" s="21" t="e">
        <f>VLOOKUP(A16,'Trips&amp;Operators'!$C$1:$G$99999,5,FALSE)</f>
        <v>#N/A</v>
      </c>
      <c r="M16" s="6">
        <f t="shared" si="22"/>
        <v>6.9444443943211809E-4</v>
      </c>
      <c r="N16" s="7"/>
      <c r="O16" s="7"/>
      <c r="P16" s="7">
        <f t="shared" si="2"/>
        <v>0.99999999278225005</v>
      </c>
      <c r="Q16" s="22"/>
      <c r="R16" s="22" t="s">
        <v>985</v>
      </c>
      <c r="S16" s="31">
        <f t="shared" si="23"/>
        <v>0</v>
      </c>
      <c r="T16" s="46" t="str">
        <f t="shared" si="2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86" t="e">
        <f t="shared" si="25"/>
        <v>#VALUE!</v>
      </c>
      <c r="W16" s="187" t="e">
        <f t="shared" si="26"/>
        <v>#VALUE!</v>
      </c>
      <c r="X16" s="187">
        <f t="shared" si="27"/>
        <v>1</v>
      </c>
      <c r="Y16" s="62" t="e">
        <f t="shared" si="28"/>
        <v>#VALUE!</v>
      </c>
      <c r="Z16" s="62" t="e">
        <f t="shared" si="29"/>
        <v>#VALUE!</v>
      </c>
      <c r="AA16" s="62" t="e">
        <f t="shared" si="30"/>
        <v>#VALUE!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31"/>
        <v>0104-12</v>
      </c>
      <c r="AE16" s="85" t="str">
        <f t="shared" si="32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6" s="82" t="str">
        <f t="shared" si="33"/>
        <v>"C:\Program Files (x86)\AstroGrep\AstroGrep.exe" /e /r /s /spath="%USERPROFILE%\AppData\Local\Temp\OnboardLogs" /stypes="app*4041*20170312*" /stext=" 10:.+((SYSTEM_STATE.+slice.+state.+changed )|(ment ac)|(multiple cpu faults)|(system.+state.+changed )|(\[timeout)|(PRM\|1\|D)|(kpr)|(kdp)|(\|lc)|(penalty))"</v>
      </c>
      <c r="AG16" s="1" t="str">
        <f t="shared" si="34"/>
        <v>EC</v>
      </c>
      <c r="AH16" s="86" t="str">
        <f t="shared" si="35"/>
        <v>"%USERPROFILE%\Documents\GitHub\eaglep3\Utilities\RefineRTDCRunTimes.py" --tripid 104-12 --locoid 4041 --swversion  --startMP  --initTime 1900-01-00T00:00:00 --startdatetime 2017-03-12T04:34:00 --delay  --endMP  --enddatetime 2017-03-12T04:35:00 --enforcementcount 0 &gt;&gt;C:\Users\stu\Documents\GitHub\eaglep3-reporting\EC\2017-03-12-refined-times.txt</v>
      </c>
      <c r="AI16" s="108" t="e">
        <f t="shared" si="36"/>
        <v>#VALUE!</v>
      </c>
      <c r="AJ16" s="48"/>
      <c r="AK16" s="48"/>
      <c r="AL16" s="48"/>
      <c r="AM16" s="154" t="str">
        <f t="shared" si="37"/>
        <v>start /low /b %USERPROFILE%\Documents\GitHub\eaglep3\Utilities\DownloadLogsFromS3.py --loco 4041 --day 2017-03-12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3" t="s">
        <v>644</v>
      </c>
      <c r="B17" s="7">
        <v>4053</v>
      </c>
      <c r="C17" s="21" t="s">
        <v>242</v>
      </c>
      <c r="D17" s="21" t="s">
        <v>564</v>
      </c>
      <c r="E17" s="13">
        <v>42806.176215277781</v>
      </c>
      <c r="F17" s="13">
        <v>42806.177581018521</v>
      </c>
      <c r="G17" s="7">
        <v>1</v>
      </c>
      <c r="H17" s="21" t="s">
        <v>550</v>
      </c>
      <c r="I17" s="13">
        <v>42806.206365740742</v>
      </c>
      <c r="J17" s="7">
        <v>0</v>
      </c>
      <c r="K17" s="98" t="str">
        <f t="shared" si="0"/>
        <v>4053/4054</v>
      </c>
      <c r="L17" s="21" t="str">
        <f>VLOOKUP(A17,'Trips&amp;Operators'!$C$1:$G$99999,5,FALSE)</f>
        <v>BADERTSCHER DIANE</v>
      </c>
      <c r="M17" s="6">
        <f t="shared" si="1"/>
        <v>2.8784722220734693E-2</v>
      </c>
      <c r="N17" s="7">
        <f t="shared" si="2"/>
        <v>41.449999997857958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-12T03:13:45-600',mode:absolute,to:'2017-03-12T05:57:10-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" s="187" t="str">
        <f t="shared" si="6"/>
        <v>N</v>
      </c>
      <c r="X17" s="187">
        <f t="shared" si="27"/>
        <v>1</v>
      </c>
      <c r="Y17" s="62">
        <f t="shared" si="8"/>
        <v>7.4800000000000005E-2</v>
      </c>
      <c r="Z17" s="62">
        <f t="shared" si="9"/>
        <v>23.3264</v>
      </c>
      <c r="AA17" s="62">
        <f t="shared" si="10"/>
        <v>23.2516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0105-12</v>
      </c>
      <c r="AE17" s="85" t="str">
        <f t="shared" si="12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17" s="82" t="str">
        <f t="shared" si="13"/>
        <v>"C:\Program Files (x86)\AstroGrep\AstroGrep.exe" /e /r /s /spath="%USERPROFILE%\AppData\Local\Temp\OnboardLogs" /stypes="app*4053*20170312*"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105-12 --locoid 4053 --swversion DE.1.0.9.0 --startMP 204:748 --initTime 2017-03-12T04:13:45 --startdatetime 2017-03-12T04:15:43 --delay 1 --endMP 204:233264 --enddatetime 2017-03-12T04:57:10 --enforcementcount 0 &gt;&gt;C:\Users\stu\Documents\GitHub\eaglep3-reporting\EC\2017-03-12-refined-times.txt</v>
      </c>
      <c r="AI1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{"issue":{"subject":"","project_id":79,"tracker_id":40,"status_id":1,"priority_id":2,"assigned_to_id":23,"start_date":"2017-03-12","description":"","custom_fields":[{"id":1,"name":"Subdivision","value":"EC"},{"id":4,"name":"Milepost","value":"23.3264"},{"id":17,"name":"Train ID","value":"105-12"},{"id":16,"name":"Locomotive ID","value":"4053"},{"id":130,"name":"Impact","value":""},{"id":150,"name":"Time of Event (Mountain Time)","value":"04:57:10"},{"id":151,"name":"Denver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4053 --day 2017-03-12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654</v>
      </c>
      <c r="B18" s="7">
        <v>4021</v>
      </c>
      <c r="C18" s="21" t="s">
        <v>242</v>
      </c>
      <c r="D18" s="21" t="s">
        <v>826</v>
      </c>
      <c r="E18" s="13">
        <v>42806.21056712963</v>
      </c>
      <c r="F18" s="13">
        <v>42806.211886574078</v>
      </c>
      <c r="G18" s="7">
        <v>1</v>
      </c>
      <c r="H18" s="21" t="s">
        <v>827</v>
      </c>
      <c r="I18" s="13">
        <v>42806.245868055557</v>
      </c>
      <c r="J18" s="7">
        <v>0</v>
      </c>
      <c r="K18" s="98" t="str">
        <f t="shared" si="0"/>
        <v>4021/4022</v>
      </c>
      <c r="L18" s="21" t="str">
        <f>VLOOKUP(A18,'Trips&amp;Operators'!$C$1:$G$99999,5,FALSE)</f>
        <v>BADERTSCHER DIANE</v>
      </c>
      <c r="M18" s="6">
        <f t="shared" si="1"/>
        <v>3.3981481479713693E-2</v>
      </c>
      <c r="N18" s="7">
        <f t="shared" si="2"/>
        <v>48.933333330787718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-12T04:03:13-600',mode:absolute,to:'2017-03-12T06:54:03-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" s="187" t="str">
        <f t="shared" si="6"/>
        <v>N</v>
      </c>
      <c r="X18" s="187">
        <f t="shared" si="27"/>
        <v>1</v>
      </c>
      <c r="Y18" s="62">
        <f t="shared" si="8"/>
        <v>23.262599999999999</v>
      </c>
      <c r="Z18" s="62">
        <f t="shared" si="9"/>
        <v>1.2500000000000001E-2</v>
      </c>
      <c r="AA18" s="62">
        <f t="shared" si="10"/>
        <v>23.2501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0106-12</v>
      </c>
      <c r="AE18" s="85" t="str">
        <f t="shared" si="12"/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AF18" s="82" t="str">
        <f t="shared" si="13"/>
        <v>"C:\Program Files (x86)\AstroGrep\AstroGrep.exe" /e /r /s /spath="%USERPROFILE%\AppData\Local\Temp\OnboardLogs" /stypes="app*4021*20170312*"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106-12 --locoid 4021 --swversion DE.1.0.9.0 --startMP 204:232626 --initTime 2017-03-12T05:03:13 --startdatetime 2017-03-12T05:05:07 --delay 1 --endMP 204:125 --enddatetime 2017-03-12T05:54:03 --enforcementcount 0 &gt;&gt;C:\Users\stu\Documents\GitHub\eaglep3-reporting\EC\2017-03-12-refined-times.txt</v>
      </c>
      <c r="AI1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{"issue":{"subject":"","project_id":79,"tracker_id":40,"status_id":1,"priority_id":2,"assigned_to_id":23,"start_date":"2017-03-12","description":"","custom_fields":[{"id":1,"name":"Subdivision","value":"EC"},{"id":4,"name":"Milepost","value":"0.0125"},{"id":17,"name":"Train ID","value":"106-12"},{"id":16,"name":"Locomotive ID","value":"4021"},{"id":130,"name":"Impact","value":""},{"id":150,"name":"Time of Event (Mountain Time)","value":"05:54:03"},{"id":151,"name":"Denver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4021 --day 2017-03-12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"%USERPROFILE%\AppData\Local\Temp\OnboardLogs"\RTDC4021\*4021*20170312* | grep -SE "(Enforcement Action)|(\[TIMEOUT)|(CHR.+\|PRM\|1\|D.+(SWITCH|SIGNAL).+UNKNOWN)" - &gt;&gt; 2017-03-12-UncaughtWiMAX.txt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647</v>
      </c>
      <c r="B19" s="7">
        <v>4006</v>
      </c>
      <c r="C19" s="21" t="s">
        <v>242</v>
      </c>
      <c r="D19" s="21" t="s">
        <v>280</v>
      </c>
      <c r="E19" s="13">
        <v>42806.185347222221</v>
      </c>
      <c r="F19" s="13">
        <v>42806.186226851853</v>
      </c>
      <c r="G19" s="7">
        <v>1</v>
      </c>
      <c r="H19" s="21" t="s">
        <v>828</v>
      </c>
      <c r="I19" s="13">
        <v>42806.214421296296</v>
      </c>
      <c r="J19" s="7">
        <v>0</v>
      </c>
      <c r="K19" s="98" t="str">
        <f t="shared" si="0"/>
        <v>4005/4006</v>
      </c>
      <c r="L19" s="21" t="str">
        <f>VLOOKUP(A19,'Trips&amp;Operators'!$C$1:$G$99999,5,FALSE)</f>
        <v>DAVIS WENDY</v>
      </c>
      <c r="M19" s="6">
        <f t="shared" si="1"/>
        <v>2.8194444443215616E-2</v>
      </c>
      <c r="N19" s="7">
        <f t="shared" si="2"/>
        <v>40.599999998230487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-12T03:26:54-600',mode:absolute,to:'2017-03-12T06:08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4.6899999999999997E-2</v>
      </c>
      <c r="Z19" s="62">
        <f t="shared" si="9"/>
        <v>23.3324</v>
      </c>
      <c r="AA19" s="62">
        <f t="shared" si="10"/>
        <v>23.285499999999999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0107-12</v>
      </c>
      <c r="AE19" s="85" t="str">
        <f t="shared" si="12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9" s="82" t="str">
        <f t="shared" si="13"/>
        <v>"C:\Program Files (x86)\AstroGrep\AstroGrep.exe" /e /r /s /spath="%USERPROFILE%\AppData\Local\Temp\OnboardLogs" /stypes="app*4006*20170312*"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107-12 --locoid 4006 --swversion DE.1.0.9.0 --startMP 204:469 --initTime 2017-03-12T04:26:54 --startdatetime 2017-03-12T04:28:10 --delay 1 --endMP 204:233324 --enddatetime 2017-03-12T05:08:46 --enforcementcount 0 &gt;&gt;C:\Users\stu\Documents\GitHub\eaglep3-reporting\EC\2017-03-12-refined-times.txt</v>
      </c>
      <c r="AI1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{"issue":{"subject":"","project_id":79,"tracker_id":40,"status_id":1,"priority_id":2,"assigned_to_id":23,"start_date":"2017-03-12","description":"","custom_fields":[{"id":1,"name":"Subdivision","value":"EC"},{"id":4,"name":"Milepost","value":"23.3324"},{"id":17,"name":"Train ID","value":"107-12"},{"id":16,"name":"Locomotive ID","value":"4006"},{"id":130,"name":"Impact","value":""},{"id":150,"name":"Time of Event (Mountain Time)","value":"05:08:46"},{"id":151,"name":"Denver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4006 --day 2017-03-12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655</v>
      </c>
      <c r="B20" s="7">
        <v>4005</v>
      </c>
      <c r="C20" s="21" t="s">
        <v>242</v>
      </c>
      <c r="D20" s="21" t="s">
        <v>278</v>
      </c>
      <c r="E20" s="13">
        <v>42806.224074074074</v>
      </c>
      <c r="F20" s="13">
        <v>42806.225162037037</v>
      </c>
      <c r="G20" s="7">
        <v>1</v>
      </c>
      <c r="H20" s="21" t="s">
        <v>192</v>
      </c>
      <c r="I20" s="13">
        <v>42806.256388888891</v>
      </c>
      <c r="J20" s="7">
        <v>0</v>
      </c>
      <c r="K20" s="98" t="str">
        <f t="shared" si="0"/>
        <v>4005/4006</v>
      </c>
      <c r="L20" s="21" t="str">
        <f>VLOOKUP(A20,'Trips&amp;Operators'!$C$1:$G$99999,5,FALSE)</f>
        <v>DAVIS WENDY</v>
      </c>
      <c r="M20" s="6">
        <f t="shared" si="1"/>
        <v>3.1226851853716653E-2</v>
      </c>
      <c r="N20" s="7">
        <f t="shared" si="2"/>
        <v>44.96666666935198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-12T04:22:40-600',mode:absolute,to:'2017-03-12T07:09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23.2988</v>
      </c>
      <c r="Z20" s="62">
        <f t="shared" si="9"/>
        <v>1.4999999999999999E-2</v>
      </c>
      <c r="AA20" s="62">
        <f t="shared" si="10"/>
        <v>23.283799999999999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0108-12</v>
      </c>
      <c r="AE20" s="85" t="str">
        <f t="shared" si="12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20" s="82" t="str">
        <f t="shared" si="13"/>
        <v>"C:\Program Files (x86)\AstroGrep\AstroGrep.exe" /e /r /s /spath="%USERPROFILE%\AppData\Local\Temp\OnboardLogs" /stypes="app*4005*20170312*"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108-12 --locoid 4005 --swversion DE.1.0.9.0 --startMP 204:232988 --initTime 2017-03-12T05:22:40 --startdatetime 2017-03-12T05:24:14 --delay 1 --endMP 204:150 --enddatetime 2017-03-12T06:09:12 --enforcementcount 0 &gt;&gt;C:\Users\stu\Documents\GitHub\eaglep3-reporting\EC\2017-03-12-refined-times.txt</v>
      </c>
      <c r="AI2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{"issue":{"subject":"","project_id":79,"tracker_id":40,"status_id":1,"priority_id":2,"assigned_to_id":23,"start_date":"2017-03-12","description":"","custom_fields":[{"id":1,"name":"Subdivision","value":"EC"},{"id":4,"name":"Milepost","value":"0.015"},{"id":17,"name":"Train ID","value":"108-12"},{"id":16,"name":"Locomotive ID","value":"4005"},{"id":130,"name":"Impact","value":""},{"id":150,"name":"Time of Event (Mountain Time)","value":"06:09:12"},{"id":151,"name":"Denver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4005 --day 2017-03-12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579</v>
      </c>
      <c r="B21" s="7">
        <v>4020</v>
      </c>
      <c r="C21" s="21" t="s">
        <v>242</v>
      </c>
      <c r="D21" s="21" t="s">
        <v>272</v>
      </c>
      <c r="E21" s="13">
        <v>42806.194502314815</v>
      </c>
      <c r="F21" s="13">
        <v>42806.195416666669</v>
      </c>
      <c r="G21" s="7">
        <v>1</v>
      </c>
      <c r="H21" s="21" t="s">
        <v>247</v>
      </c>
      <c r="I21" s="13">
        <v>42806.225937499999</v>
      </c>
      <c r="J21" s="7">
        <v>0</v>
      </c>
      <c r="K21" s="98" t="str">
        <f t="shared" si="0"/>
        <v>4019/4020</v>
      </c>
      <c r="L21" s="21" t="str">
        <f>VLOOKUP(A21,'Trips&amp;Operators'!$C$1:$G$99999,5,FALSE)</f>
        <v>MAYBERRY BILL</v>
      </c>
      <c r="M21" s="6">
        <f t="shared" si="1"/>
        <v>3.0520833330228925E-2</v>
      </c>
      <c r="N21" s="7">
        <f t="shared" si="2"/>
        <v>43.949999995529652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-12T03:40:05-600',mode:absolute,to:'2017-03-12T06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4.4900000000000002E-2</v>
      </c>
      <c r="Z21" s="62">
        <f t="shared" si="9"/>
        <v>23.329699999999999</v>
      </c>
      <c r="AA21" s="62">
        <f t="shared" si="10"/>
        <v>23.284800000000001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 t="shared" si="11"/>
        <v>0109-12</v>
      </c>
      <c r="AE21" s="85" t="str">
        <f t="shared" si="12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21" s="82" t="str">
        <f t="shared" si="13"/>
        <v>"C:\Program Files (x86)\AstroGrep\AstroGrep.exe" /e /r /s /spath="%USERPROFILE%\AppData\Local\Temp\OnboardLogs" /stypes="app*4020*20170312*"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109-12 --locoid 4020 --swversion DE.1.0.9.0 --startMP 204:449 --initTime 2017-03-12T04:40:05 --startdatetime 2017-03-12T04:41:24 --delay 1 --endMP 204:233297 --enddatetime 2017-03-12T05:25:21 --enforcementcount 0 &gt;&gt;C:\Users\stu\Documents\GitHub\eaglep3-reporting\EC\2017-03-12-refined-times.txt</v>
      </c>
      <c r="AI2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{"issue":{"subject":"","project_id":79,"tracker_id":40,"status_id":1,"priority_id":2,"assigned_to_id":23,"start_date":"2017-03-12","description":"","custom_fields":[{"id":1,"name":"Subdivision","value":"EC"},{"id":4,"name":"Milepost","value":"23.3297"},{"id":17,"name":"Train ID","value":"109-12"},{"id":16,"name":"Locomotive ID","value":"4020"},{"id":130,"name":"Impact","value":""},{"id":150,"name":"Time of Event (Mountain Time)","value":"05:25:21"},{"id":151,"name":"Denver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4020 --day 2017-03-12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656</v>
      </c>
      <c r="B22" s="7">
        <v>4019</v>
      </c>
      <c r="C22" s="21" t="s">
        <v>242</v>
      </c>
      <c r="D22" s="21" t="s">
        <v>429</v>
      </c>
      <c r="E22" s="13">
        <v>42806.227986111109</v>
      </c>
      <c r="F22" s="13">
        <v>42806.229050925926</v>
      </c>
      <c r="G22" s="7">
        <v>1</v>
      </c>
      <c r="H22" s="21" t="s">
        <v>228</v>
      </c>
      <c r="I22" s="13">
        <v>42806.268194444441</v>
      </c>
      <c r="J22" s="7">
        <v>0</v>
      </c>
      <c r="K22" s="98" t="str">
        <f t="shared" si="0"/>
        <v>4019/4020</v>
      </c>
      <c r="L22" s="21" t="str">
        <f>VLOOKUP(A22,'Trips&amp;Operators'!$C$1:$G$99999,5,FALSE)</f>
        <v>MAYBERRY BILL</v>
      </c>
      <c r="M22" s="6">
        <f t="shared" si="1"/>
        <v>3.9143518515629694E-2</v>
      </c>
      <c r="N22" s="7">
        <f t="shared" si="2"/>
        <v>56.366666662506759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-12T04:28:18-600',mode:absolute,to:'2017-03-12T07:26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23.2989</v>
      </c>
      <c r="Z22" s="62">
        <f t="shared" si="9"/>
        <v>1.3899999999999999E-2</v>
      </c>
      <c r="AA22" s="62">
        <f t="shared" si="10"/>
        <v>23.285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0110-12</v>
      </c>
      <c r="AE22" s="85" t="str">
        <f t="shared" si="12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22" s="82" t="str">
        <f t="shared" si="13"/>
        <v>"C:\Program Files (x86)\AstroGrep\AstroGrep.exe" /e /r /s /spath="%USERPROFILE%\AppData\Local\Temp\OnboardLogs" /stypes="app*4019*20170312*"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110-12 --locoid 4019 --swversion DE.1.0.9.0 --startMP 204:232989 --initTime 2017-03-12T05:28:18 --startdatetime 2017-03-12T05:29:50 --delay 1 --endMP 204:139 --enddatetime 2017-03-12T06:26:12 --enforcementcount 0 &gt;&gt;C:\Users\stu\Documents\GitHub\eaglep3-reporting\EC\2017-03-12-refined-times.txt</v>
      </c>
      <c r="AI2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{"issue":{"subject":"","project_id":79,"tracker_id":40,"status_id":1,"priority_id":2,"assigned_to_id":23,"start_date":"2017-03-12","description":"","custom_fields":[{"id":1,"name":"Subdivision","value":"EC"},{"id":4,"name":"Milepost","value":"0.0139"},{"id":17,"name":"Train ID","value":"110-12"},{"id":16,"name":"Locomotive ID","value":"4019"},{"id":130,"name":"Impact","value":""},{"id":150,"name":"Time of Event (Mountain Time)","value":"06:26:12"},{"id":151,"name":"Denver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4019 --day 2017-03-12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650</v>
      </c>
      <c r="B23" s="7">
        <v>4027</v>
      </c>
      <c r="C23" s="21" t="s">
        <v>242</v>
      </c>
      <c r="D23" s="21" t="s">
        <v>829</v>
      </c>
      <c r="E23" s="13">
        <v>42806.206967592596</v>
      </c>
      <c r="F23" s="13">
        <v>42806.207986111112</v>
      </c>
      <c r="G23" s="7">
        <v>1</v>
      </c>
      <c r="H23" s="21" t="s">
        <v>548</v>
      </c>
      <c r="I23" s="13">
        <v>42806.233067129629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DELGADO DIANAH</v>
      </c>
      <c r="M23" s="6">
        <f t="shared" si="1"/>
        <v>2.5081018517084885E-2</v>
      </c>
      <c r="N23" s="7">
        <f t="shared" si="2"/>
        <v>36.116666664602235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-12T03:58:02-600',mode:absolute,to:'2017-03-12T06:35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7.3200000000000001E-2</v>
      </c>
      <c r="Z23" s="62">
        <f t="shared" si="9"/>
        <v>23.330500000000001</v>
      </c>
      <c r="AA23" s="62">
        <f t="shared" si="10"/>
        <v>23.257300000000001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0111-12</v>
      </c>
      <c r="AE23" s="85" t="str">
        <f t="shared" si="12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23" s="82" t="str">
        <f t="shared" si="13"/>
        <v>"C:\Program Files (x86)\AstroGrep\AstroGrep.exe" /e /r /s /spath="%USERPROFILE%\AppData\Local\Temp\OnboardLogs" /stypes="app*4027*20170312*"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111-12 --locoid 4027 --swversion DE.1.0.9.0 --startMP 204:732 --initTime 2017-03-12T04:58:02 --startdatetime 2017-03-12T04:59:30 --delay 1 --endMP 204:233305 --enddatetime 2017-03-12T05:35:37 --enforcementcount 0 &gt;&gt;C:\Users\stu\Documents\GitHub\eaglep3-reporting\EC\2017-03-12-refined-times.txt</v>
      </c>
      <c r="AI23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{"issue":{"subject":"","project_id":79,"tracker_id":40,"status_id":1,"priority_id":2,"assigned_to_id":23,"start_date":"2017-03-12","description":"","custom_fields":[{"id":1,"name":"Subdivision","value":"EC"},{"id":4,"name":"Milepost","value":"23.3305"},{"id":17,"name":"Train ID","value":"111-12"},{"id":16,"name":"Locomotive ID","value":"4027"},{"id":130,"name":"Impact","value":""},{"id":150,"name":"Time of Event (Mountain Time)","value":"05:35:37"},{"id":151,"name":"Denver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4027 --day 2017-03-12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664</v>
      </c>
      <c r="B24" s="7">
        <v>4028</v>
      </c>
      <c r="C24" s="21" t="s">
        <v>242</v>
      </c>
      <c r="D24" s="21" t="s">
        <v>496</v>
      </c>
      <c r="E24" s="13">
        <v>42806.243680555555</v>
      </c>
      <c r="F24" s="13">
        <v>42806.244710648149</v>
      </c>
      <c r="G24" s="7">
        <v>1</v>
      </c>
      <c r="H24" s="21" t="s">
        <v>235</v>
      </c>
      <c r="I24" s="13">
        <v>42806.274189814816</v>
      </c>
      <c r="J24" s="7">
        <v>0</v>
      </c>
      <c r="K24" s="98" t="str">
        <f t="shared" si="0"/>
        <v>4027/4028</v>
      </c>
      <c r="L24" s="21" t="str">
        <f>VLOOKUP(A24,'Trips&amp;Operators'!$C$1:$G$99999,5,FALSE)</f>
        <v>DELGADO DIANAH</v>
      </c>
      <c r="M24" s="6">
        <f t="shared" si="1"/>
        <v>2.9479166667442769E-2</v>
      </c>
      <c r="N24" s="7">
        <f t="shared" si="2"/>
        <v>42.450000001117587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-12T04:50:54-600',mode:absolute,to:'2017-03-12T07:34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23.299600000000002</v>
      </c>
      <c r="Z24" s="62">
        <f t="shared" si="9"/>
        <v>1.47E-2</v>
      </c>
      <c r="AA24" s="62">
        <f t="shared" si="10"/>
        <v>23.2849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0112-12</v>
      </c>
      <c r="AE24" s="85" t="str">
        <f t="shared" si="12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24" s="82" t="str">
        <f t="shared" si="13"/>
        <v>"C:\Program Files (x86)\AstroGrep\AstroGrep.exe" /e /r /s /spath="%USERPROFILE%\AppData\Local\Temp\OnboardLogs" /stypes="app*4028*20170312*"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112-12 --locoid 4028 --swversion DE.1.0.9.0 --startMP 204:232996 --initTime 2017-03-12T05:50:54 --startdatetime 2017-03-12T05:52:23 --delay 1 --endMP 204:147 --enddatetime 2017-03-12T06:34:50 --enforcementcount 0 &gt;&gt;C:\Users\stu\Documents\GitHub\eaglep3-reporting\EC\2017-03-12-refined-times.txt</v>
      </c>
      <c r="AI24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{"issue":{"subject":"","project_id":79,"tracker_id":40,"status_id":1,"priority_id":2,"assigned_to_id":23,"start_date":"2017-03-12","description":"","custom_fields":[{"id":1,"name":"Subdivision","value":"EC"},{"id":4,"name":"Milepost","value":"0.0147"},{"id":17,"name":"Train ID","value":"112-12"},{"id":16,"name":"Locomotive ID","value":"4028"},{"id":130,"name":"Impact","value":""},{"id":150,"name":"Time of Event (Mountain Time)","value":"06:34:50"},{"id":151,"name":"Denver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4028 --day 2017-03-12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653</v>
      </c>
      <c r="B25" s="7">
        <v>4025</v>
      </c>
      <c r="C25" s="21" t="s">
        <v>242</v>
      </c>
      <c r="D25" s="21" t="s">
        <v>556</v>
      </c>
      <c r="E25" s="13">
        <v>42806.207430555558</v>
      </c>
      <c r="F25" s="13">
        <v>42806.208611111113</v>
      </c>
      <c r="G25" s="7">
        <v>1</v>
      </c>
      <c r="H25" s="21" t="s">
        <v>543</v>
      </c>
      <c r="I25" s="13">
        <v>42806.244988425926</v>
      </c>
      <c r="J25" s="7">
        <v>0</v>
      </c>
      <c r="K25" s="98" t="str">
        <f t="shared" si="0"/>
        <v>4025/4026</v>
      </c>
      <c r="L25" s="21" t="str">
        <f>VLOOKUP(A25,'Trips&amp;Operators'!$C$1:$G$99999,5,FALSE)</f>
        <v>SANTIZO D. EDY</v>
      </c>
      <c r="M25" s="6">
        <f t="shared" si="1"/>
        <v>3.6377314812853001E-2</v>
      </c>
      <c r="N25" s="7">
        <f t="shared" si="2"/>
        <v>52.383333330508322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-12T03:58:42-600',mode:absolute,to:'2017-03-12T06:52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4.6199999999999998E-2</v>
      </c>
      <c r="Z25" s="62">
        <f t="shared" si="9"/>
        <v>23.3323</v>
      </c>
      <c r="AA25" s="62">
        <f t="shared" si="10"/>
        <v>23.286100000000001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0113-12</v>
      </c>
      <c r="AE25" s="85" t="str">
        <f t="shared" si="12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25" s="82" t="str">
        <f t="shared" si="13"/>
        <v>"C:\Program Files (x86)\AstroGrep\AstroGrep.exe" /e /r /s /spath="%USERPROFILE%\AppData\Local\Temp\OnboardLogs" /stypes="app*4025*20170312*"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113-12 --locoid 4025 --swversion DE.1.0.9.0 --startMP 204:462 --initTime 2017-03-12T04:58:42 --startdatetime 2017-03-12T05:00:24 --delay 1 --endMP 204:233323 --enddatetime 2017-03-12T05:52:47 --enforcementcount 0 &gt;&gt;C:\Users\stu\Documents\GitHub\eaglep3-reporting\EC\2017-03-12-refined-times.txt</v>
      </c>
      <c r="AI2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{"issue":{"subject":"","project_id":79,"tracker_id":40,"status_id":1,"priority_id":2,"assigned_to_id":23,"start_date":"2017-03-12","description":"","custom_fields":[{"id":1,"name":"Subdivision","value":"EC"},{"id":4,"name":"Milepost","value":"23.3323"},{"id":17,"name":"Train ID","value":"113-12"},{"id":16,"name":"Locomotive ID","value":"4025"},{"id":130,"name":"Impact","value":""},{"id":150,"name":"Time of Event (Mountain Time)","value":"05:52:47"},{"id":151,"name":"Denver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4025 --day 2017-03-12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665</v>
      </c>
      <c r="B26" s="7">
        <v>4026</v>
      </c>
      <c r="C26" s="21" t="s">
        <v>242</v>
      </c>
      <c r="D26" s="21" t="s">
        <v>830</v>
      </c>
      <c r="E26" s="13">
        <v>42806.246041666665</v>
      </c>
      <c r="F26" s="13">
        <v>42806.246851851851</v>
      </c>
      <c r="G26" s="7">
        <v>1</v>
      </c>
      <c r="H26" s="21" t="s">
        <v>202</v>
      </c>
      <c r="I26" s="13">
        <v>42806.286319444444</v>
      </c>
      <c r="J26" s="7">
        <v>0</v>
      </c>
      <c r="K26" s="98" t="str">
        <f t="shared" si="0"/>
        <v>4025/4026</v>
      </c>
      <c r="L26" s="21" t="str">
        <f>VLOOKUP(A26,'Trips&amp;Operators'!$C$1:$G$99999,5,FALSE)</f>
        <v>SANTIZO D. EDY</v>
      </c>
      <c r="M26" s="6">
        <f t="shared" si="1"/>
        <v>3.9467592592700385E-2</v>
      </c>
      <c r="N26" s="7">
        <f t="shared" si="2"/>
        <v>56.833333333488554</v>
      </c>
      <c r="O26" s="220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-12T04:54:18-600',mode:absolute,to:'2017-03-12T07:52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23.302800000000001</v>
      </c>
      <c r="Z26" s="62">
        <f t="shared" si="9"/>
        <v>1.52E-2</v>
      </c>
      <c r="AA26" s="62">
        <f t="shared" si="10"/>
        <v>23.287600000000001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0114-12</v>
      </c>
      <c r="AE26" s="85" t="str">
        <f t="shared" si="12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26" s="82" t="str">
        <f t="shared" si="13"/>
        <v>"C:\Program Files (x86)\AstroGrep\AstroGrep.exe" /e /r /s /spath="%USERPROFILE%\AppData\Local\Temp\OnboardLogs" /stypes="app*4026*20170312*"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114-12 --locoid 4026 --swversion DE.1.0.9.0 --startMP 204:233028 --initTime 2017-03-12T05:54:18 --startdatetime 2017-03-12T05:55:28 --delay 1 --endMP 204:152 --enddatetime 2017-03-12T06:52:18 --enforcementcount 0 &gt;&gt;C:\Users\stu\Documents\GitHub\eaglep3-reporting\EC\2017-03-12-refined-times.txt</v>
      </c>
      <c r="AI26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{"issue":{"subject":"","project_id":79,"tracker_id":40,"status_id":1,"priority_id":2,"assigned_to_id":23,"start_date":"2017-03-12","description":"","custom_fields":[{"id":1,"name":"Subdivision","value":"EC"},{"id":4,"name":"Milepost","value":"0.0152"},{"id":17,"name":"Train ID","value":"114-12"},{"id":16,"name":"Locomotive ID","value":"4026"},{"id":130,"name":"Impact","value":""},{"id":150,"name":"Time of Event (Mountain Time)","value":"06:52:18"},{"id":151,"name":"Denver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4026 --day 2017-03-12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670</v>
      </c>
      <c r="B27" s="7">
        <v>4004</v>
      </c>
      <c r="C27" s="21"/>
      <c r="D27" s="21"/>
      <c r="E27" s="13"/>
      <c r="F27" s="13">
        <v>42806.265972222223</v>
      </c>
      <c r="G27" s="7"/>
      <c r="H27" s="21"/>
      <c r="I27" s="13">
        <v>42806.26666666667</v>
      </c>
      <c r="J27" s="7">
        <v>0</v>
      </c>
      <c r="K27" s="98" t="str">
        <f t="shared" ref="K27" si="38">IF(ISEVEN(B27),(B27-1)&amp;"/"&amp;B27,B27&amp;"/"&amp;(B27+1))</f>
        <v>4003/4004</v>
      </c>
      <c r="L27" s="21" t="str">
        <f>VLOOKUP(A27,'Trips&amp;Operators'!$C$1:$G$99999,5,FALSE)</f>
        <v>SHOOK JOHN</v>
      </c>
      <c r="M27" s="6">
        <f t="shared" ref="M27" si="39">I27-F27</f>
        <v>6.944444467080757E-4</v>
      </c>
      <c r="N27" s="7"/>
      <c r="O27" s="220"/>
      <c r="P27" s="7">
        <f t="shared" si="2"/>
        <v>1.000000003259629</v>
      </c>
      <c r="Q27" s="22"/>
      <c r="R27" s="22" t="s">
        <v>995</v>
      </c>
      <c r="S27" s="31">
        <f t="shared" ref="S27" si="40">SUM(U27:U27)/IF(AG27="EC",12,1)</f>
        <v>0</v>
      </c>
      <c r="T27" s="46" t="str">
        <f t="shared" ref="T27" si="41">IF(ISEVEN(LEFT(AD27,4)),"Southbound","NorthBound")</f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86" t="e">
        <f t="shared" ref="V27" si="42"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#VALUE!</v>
      </c>
      <c r="W27" s="187" t="e">
        <f t="shared" ref="W27" si="43">IF(AA27&lt;IF(AG27="EC",23,5.65),"Y","N")</f>
        <v>#VALUE!</v>
      </c>
      <c r="X27" s="187">
        <f t="shared" si="7"/>
        <v>2</v>
      </c>
      <c r="Y27" s="62" t="e">
        <f t="shared" ref="Y27" si="44">RIGHT(D27,LEN(D27)-4)/10000</f>
        <v>#VALUE!</v>
      </c>
      <c r="Z27" s="62" t="e">
        <f t="shared" ref="Z27" si="45">RIGHT(H27,LEN(H27)-4)/10000</f>
        <v>#VALUE!</v>
      </c>
      <c r="AA27" s="62" t="e">
        <f t="shared" ref="AA27" si="46">ABS(Z27-Y27)</f>
        <v>#VALUE!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ref="AD27" si="47">IF(LEN(A27)=6,"0"&amp;A27,A27)</f>
        <v>0116-12</v>
      </c>
      <c r="AE27" s="85" t="str">
        <f t="shared" ref="AE27" si="48"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 &amp; 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</v>
      </c>
      <c r="AF27" s="82" t="str">
        <f t="shared" ref="AF27" si="49"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/stypes="app*4004*20170312*" /stext=" 12:.+((SYSTEM_STATE.+slice.+state.+changed )|(ment ac)|(multiple cpu faults)|(system.+state.+changed )|(\[timeout)|(PRM\|1\|D)|(kpr)|(kdp)|(\|lc)|(penalty))"</v>
      </c>
      <c r="AG27" s="1" t="str">
        <f t="shared" ref="AG27" si="50">IFERROR(IF(VALUE(LEFT(AD27,2))&lt;=2,"EC",IF(OR(VALUE(LEFT(AD27,2))=8,VALUE(LEFT(AD27,2))=18),"NW","Other")),"Other")</f>
        <v>EC</v>
      </c>
      <c r="AH27" s="86" t="str">
        <f t="shared" ref="AH27" si="51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116-12 --locoid 4004 --swversion  --startMP  --initTime 1900-01-00T00:00:00 --startdatetime 2017-03-12T06:23:00 --delay  --endMP  --enddatetime 2017-03-12T06:24:00 --enforcementcount 0 &gt;&gt;C:\Users\stu\Documents\GitHub\eaglep3-reporting\EC\2017-03-12-refined-times.txt</v>
      </c>
      <c r="AI27" s="108" t="e">
        <f t="shared" ref="AI27" si="52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#VALUE!</v>
      </c>
      <c r="AJ27" s="48"/>
      <c r="AK27" s="48"/>
      <c r="AL27" s="48"/>
      <c r="AM27" s="154" t="str">
        <f t="shared" ref="AM27" si="53">"start /low /b "&amp;dls3logs&amp;" --loco "&amp;B27&amp;" --day "&amp;TEXT(F27,"YYYY-MM-DD")</f>
        <v>start /low /b %USERPROFILE%\Documents\GitHub\eaglep3\Utilities\DownloadLogsFromS3.py --loco 4004 --day 2017-03-12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"%USERPROFILE%\AppData\Local\Temp\OnboardLogs"\RTDC4004\*4004*20170312* | grep -SE "(Enforcement Action)|(\[TIMEOUT)|(CHR.+\|PRM\|1\|D.+(SWITCH|SIGNAL).+UNKNOWN)" - &gt;&gt; 2017-03-12-UncaughtWiMAX.txt</v>
      </c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</row>
    <row r="28" spans="1:91" s="1" customFormat="1" x14ac:dyDescent="0.25">
      <c r="A28" s="33" t="s">
        <v>660</v>
      </c>
      <c r="B28" s="7">
        <v>4042</v>
      </c>
      <c r="C28" s="21" t="s">
        <v>242</v>
      </c>
      <c r="D28" s="21" t="s">
        <v>545</v>
      </c>
      <c r="E28" s="13">
        <v>42806.237812500003</v>
      </c>
      <c r="F28" s="13">
        <v>42806.238368055558</v>
      </c>
      <c r="G28" s="7">
        <v>0</v>
      </c>
      <c r="H28" s="21" t="s">
        <v>246</v>
      </c>
      <c r="I28" s="13">
        <v>42806.265451388892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MAELZER KURT</v>
      </c>
      <c r="M28" s="6">
        <f t="shared" si="1"/>
        <v>2.7083333334303461E-2</v>
      </c>
      <c r="N28" s="7">
        <f t="shared" si="2"/>
        <v>39.000000001396984</v>
      </c>
      <c r="O28" s="7"/>
      <c r="P28" s="7"/>
      <c r="Q28" s="22"/>
      <c r="R28" s="22"/>
      <c r="S28" s="31">
        <f t="shared" si="3"/>
        <v>1</v>
      </c>
      <c r="T28" s="46" t="str">
        <f t="shared" si="4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-12T04:42:27-600',mode:absolute,to:'2017-03-12T07:22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4.2900000000000001E-2</v>
      </c>
      <c r="Z28" s="62">
        <f t="shared" si="9"/>
        <v>23.331399999999999</v>
      </c>
      <c r="AA28" s="62">
        <f t="shared" si="10"/>
        <v>23.288499999999999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0117-12</v>
      </c>
      <c r="AE28" s="85" t="str">
        <f t="shared" si="12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28" s="82" t="str">
        <f t="shared" si="13"/>
        <v>"C:\Program Files (x86)\AstroGrep\AstroGrep.exe" /e /r /s /spath="%USERPROFILE%\AppData\Local\Temp\OnboardLogs" /stypes="app*4042*20170312*" /stext=" 12:.+((SYSTEM_STATE.+slice.+state.+changed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117-12 --locoid 4042 --swversion DE.1.0.9.0 --startMP 204:429 --initTime 2017-03-12T05:42:27 --startdatetime 2017-03-12T05:43:15 --delay 0 --endMP 204:233314 --enddatetime 2017-03-12T06:22:15 --enforcementcount 0 &gt;&gt;C:\Users\stu\Documents\GitHub\eaglep3-reporting\EC\2017-03-12-refined-times.txt</v>
      </c>
      <c r="AI2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{"issue":{"subject":"","project_id":79,"tracker_id":40,"status_id":1,"priority_id":2,"assigned_to_id":23,"start_date":"2017-03-12","description":"","custom_fields":[{"id":1,"name":"Subdivision","value":"EC"},{"id":4,"name":"Milepost","value":"23.3314"},{"id":17,"name":"Train ID","value":"117-12"},{"id":16,"name":"Locomotive ID","value":"4042"},{"id":130,"name":"Impact","value":""},{"id":150,"name":"Time of Event (Mountain Time)","value":"06:22:15"},{"id":151,"name":"Denver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4042 --day 2017-03-12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671</v>
      </c>
      <c r="B29" s="7">
        <v>4041</v>
      </c>
      <c r="C29" s="21" t="s">
        <v>242</v>
      </c>
      <c r="D29" s="21" t="s">
        <v>271</v>
      </c>
      <c r="E29" s="13">
        <v>42806.273032407407</v>
      </c>
      <c r="F29" s="13">
        <v>42806.273831018516</v>
      </c>
      <c r="G29" s="7">
        <v>1</v>
      </c>
      <c r="H29" s="21" t="s">
        <v>266</v>
      </c>
      <c r="I29" s="13">
        <v>42806.308807870373</v>
      </c>
      <c r="J29" s="7">
        <v>0</v>
      </c>
      <c r="K29" s="98" t="str">
        <f t="shared" si="0"/>
        <v>4041/4042</v>
      </c>
      <c r="L29" s="21" t="str">
        <f>VLOOKUP(A29,'Trips&amp;Operators'!$C$1:$G$99999,5,FALSE)</f>
        <v>MAELZER KURT</v>
      </c>
      <c r="M29" s="6">
        <f t="shared" si="1"/>
        <v>3.4976851857209112E-2</v>
      </c>
      <c r="N29" s="7">
        <f t="shared" si="2"/>
        <v>50.366666674381122</v>
      </c>
      <c r="O29" s="7"/>
      <c r="P29" s="7"/>
      <c r="Q29" s="22"/>
      <c r="R29" s="22"/>
      <c r="S29" s="31">
        <f t="shared" si="3"/>
        <v>1</v>
      </c>
      <c r="T29" s="46" t="str">
        <f t="shared" si="4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-12T05:33:10-600',mode:absolute,to:'2017-03-12T08:24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23.299099999999999</v>
      </c>
      <c r="Z29" s="62">
        <f t="shared" si="9"/>
        <v>1.34E-2</v>
      </c>
      <c r="AA29" s="62">
        <f t="shared" si="10"/>
        <v>23.285699999999999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0118-12</v>
      </c>
      <c r="AE29" s="85" t="str">
        <f t="shared" si="12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29" s="82" t="str">
        <f t="shared" si="13"/>
        <v>"C:\Program Files (x86)\AstroGrep\AstroGrep.exe" /e /r /s /spath="%USERPROFILE%\AppData\Local\Temp\OnboardLogs" /stypes="app*4041*20170312*" /stext=" 13:.+((SYSTEM_STATE.+slice.+state.+changed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118-12 --locoid 4041 --swversion DE.1.0.9.0 --startMP 204:232991 --initTime 2017-03-12T06:33:10 --startdatetime 2017-03-12T06:34:19 --delay 1 --endMP 204:134 --enddatetime 2017-03-12T07:24:41 --enforcementcount 0 &gt;&gt;C:\Users\stu\Documents\GitHub\eaglep3-reporting\EC\2017-03-12-refined-times.txt</v>
      </c>
      <c r="AI2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{"issue":{"subject":"","project_id":79,"tracker_id":40,"status_id":1,"priority_id":2,"assigned_to_id":23,"start_date":"2017-03-12","description":"","custom_fields":[{"id":1,"name":"Subdivision","value":"EC"},{"id":4,"name":"Milepost","value":"0.0134"},{"id":17,"name":"Train ID","value":"118-12"},{"id":16,"name":"Locomotive ID","value":"4041"},{"id":130,"name":"Impact","value":""},{"id":150,"name":"Time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4041 --day 2017-03-12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666</v>
      </c>
      <c r="B30" s="7">
        <v>4053</v>
      </c>
      <c r="C30" s="21" t="s">
        <v>242</v>
      </c>
      <c r="D30" s="21" t="s">
        <v>831</v>
      </c>
      <c r="E30" s="13">
        <v>42806.250497685185</v>
      </c>
      <c r="F30" s="13">
        <v>42806.251273148147</v>
      </c>
      <c r="G30" s="7">
        <v>1</v>
      </c>
      <c r="H30" s="21" t="s">
        <v>503</v>
      </c>
      <c r="I30" s="13">
        <v>42806.282627314817</v>
      </c>
      <c r="J30" s="7">
        <v>0</v>
      </c>
      <c r="K30" s="98" t="str">
        <f t="shared" si="0"/>
        <v>4053/4054</v>
      </c>
      <c r="L30" s="21" t="str">
        <f>VLOOKUP(A30,'Trips&amp;Operators'!$C$1:$G$99999,5,FALSE)</f>
        <v>BADERTSCHER DIANE</v>
      </c>
      <c r="M30" s="6">
        <f t="shared" si="1"/>
        <v>3.1354166669188999E-2</v>
      </c>
      <c r="N30" s="7">
        <f t="shared" si="2"/>
        <v>45.150000003632158</v>
      </c>
      <c r="O30" s="7"/>
      <c r="P30" s="7"/>
      <c r="Q30" s="22"/>
      <c r="R30" s="22"/>
      <c r="S30" s="31">
        <f t="shared" si="3"/>
        <v>1</v>
      </c>
      <c r="T30" s="46" t="str">
        <f t="shared" si="4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-12T05:00:43-600',mode:absolute,to:'2017-03-12T07:46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7.5899999999999995E-2</v>
      </c>
      <c r="Z30" s="62">
        <f t="shared" si="9"/>
        <v>23.328099999999999</v>
      </c>
      <c r="AA30" s="62">
        <f t="shared" si="10"/>
        <v>23.252199999999998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0119-12</v>
      </c>
      <c r="AE30" s="85" t="str">
        <f t="shared" si="12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30" s="82" t="str">
        <f t="shared" si="13"/>
        <v>"C:\Program Files (x86)\AstroGrep\AstroGrep.exe" /e /r /s /spath="%USERPROFILE%\AppData\Local\Temp\OnboardLogs" /stypes="app*4053*20170312*" /stext=" 12:.+((SYSTEM_STATE.+slice.+state.+changed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119-12 --locoid 4053 --swversion DE.1.0.9.0 --startMP 204:759 --initTime 2017-03-12T06:00:43 --startdatetime 2017-03-12T06:01:50 --delay 1 --endMP 204:233281 --enddatetime 2017-03-12T06:46:59 --enforcementcount 0 &gt;&gt;C:\Users\stu\Documents\GitHub\eaglep3-reporting\EC\2017-03-12-refined-times.txt</v>
      </c>
      <c r="AI3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{"issue":{"subject":"","project_id":79,"tracker_id":40,"status_id":1,"priority_id":2,"assigned_to_id":23,"start_date":"2017-03-12","description":"","custom_fields":[{"id":1,"name":"Subdivision","value":"EC"},{"id":4,"name":"Milepost","value":"23.3281"},{"id":17,"name":"Train ID","value":"119-12"},{"id":16,"name":"Locomotive ID","value":"4053"},{"id":130,"name":"Impact","value":""},{"id":150,"name":"Time of Event (Mountain Time)","value":"06:46:59"},{"id":151,"name":"Denver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4053 --day 2017-03-12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675</v>
      </c>
      <c r="B31" s="7">
        <v>4054</v>
      </c>
      <c r="C31" s="21" t="s">
        <v>242</v>
      </c>
      <c r="D31" s="21" t="s">
        <v>832</v>
      </c>
      <c r="E31" s="13">
        <v>42806.287511574075</v>
      </c>
      <c r="F31" s="13">
        <v>42806.288668981484</v>
      </c>
      <c r="G31" s="7">
        <v>1</v>
      </c>
      <c r="H31" s="21" t="s">
        <v>833</v>
      </c>
      <c r="I31" s="13">
        <v>42806.317939814813</v>
      </c>
      <c r="J31" s="7">
        <v>0</v>
      </c>
      <c r="K31" s="98" t="str">
        <f t="shared" si="0"/>
        <v>4053/4054</v>
      </c>
      <c r="L31" s="21" t="str">
        <f>VLOOKUP(A31,'Trips&amp;Operators'!$C$1:$G$99999,5,FALSE)</f>
        <v>BADERTSCHER DIANE</v>
      </c>
      <c r="M31" s="6">
        <f t="shared" si="1"/>
        <v>2.9270833329064772E-2</v>
      </c>
      <c r="N31" s="7">
        <f t="shared" si="2"/>
        <v>42.149999993853271</v>
      </c>
      <c r="O31" s="7"/>
      <c r="P31" s="7"/>
      <c r="Q31" s="22"/>
      <c r="R31" s="22"/>
      <c r="S31" s="31">
        <f t="shared" si="3"/>
        <v>1</v>
      </c>
      <c r="T31" s="46" t="str">
        <f t="shared" si="4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-12T05:54:01-600',mode:absolute,to:'2017-03-12T08:37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23.295999999999999</v>
      </c>
      <c r="Z31" s="62">
        <f t="shared" si="9"/>
        <v>1.2699999999999999E-2</v>
      </c>
      <c r="AA31" s="62">
        <f t="shared" si="10"/>
        <v>23.283300000000001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0120-12</v>
      </c>
      <c r="AE31" s="85" t="str">
        <f t="shared" si="12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31" s="82" t="str">
        <f t="shared" si="13"/>
        <v>"C:\Program Files (x86)\AstroGrep\AstroGrep.exe" /e /r /s /spath="%USERPROFILE%\AppData\Local\Temp\OnboardLogs" /stypes="app*4054*20170312*"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120-12 --locoid 4054 --swversion DE.1.0.9.0 --startMP 204:232960 --initTime 2017-03-12T06:54:01 --startdatetime 2017-03-12T06:55:41 --delay 1 --endMP 204:127 --enddatetime 2017-03-12T07:37:50 --enforcementcount 0 &gt;&gt;C:\Users\stu\Documents\GitHub\eaglep3-reporting\EC\2017-03-12-refined-times.txt</v>
      </c>
      <c r="AI3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{"issue":{"subject":"","project_id":79,"tracker_id":40,"status_id":1,"priority_id":2,"assigned_to_id":23,"start_date":"2017-03-12","description":"","custom_fields":[{"id":1,"name":"Subdivision","value":"EC"},{"id":4,"name":"Milepost","value":"0.0127"},{"id":17,"name":"Train ID","value":"120-12"},{"id":16,"name":"Locomotive ID","value":"4054"},{"id":130,"name":"Impact","value":""},{"id":150,"name":"Time of Event (Mountain Time)","value":"07:37:50"},{"id":151,"name":"Denver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4054 --day 2017-03-12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667</v>
      </c>
      <c r="B32" s="7">
        <v>4006</v>
      </c>
      <c r="C32" s="21" t="s">
        <v>242</v>
      </c>
      <c r="D32" s="21" t="s">
        <v>556</v>
      </c>
      <c r="E32" s="13">
        <v>42806.258009259262</v>
      </c>
      <c r="F32" s="13">
        <v>42806.259050925924</v>
      </c>
      <c r="G32" s="7">
        <v>1</v>
      </c>
      <c r="H32" s="21" t="s">
        <v>834</v>
      </c>
      <c r="I32" s="13">
        <v>42806.291666666664</v>
      </c>
      <c r="J32" s="7">
        <v>0</v>
      </c>
      <c r="K32" s="98" t="str">
        <f t="shared" si="0"/>
        <v>4005/4006</v>
      </c>
      <c r="L32" s="21" t="str">
        <f>VLOOKUP(A32,'Trips&amp;Operators'!$C$1:$G$99999,5,FALSE)</f>
        <v>DAVIS WENDY</v>
      </c>
      <c r="M32" s="6">
        <f t="shared" si="1"/>
        <v>3.2615740739856847E-2</v>
      </c>
      <c r="N32" s="7">
        <f t="shared" si="2"/>
        <v>46.966666665393859</v>
      </c>
      <c r="O32" s="7"/>
      <c r="P32" s="7"/>
      <c r="Q32" s="22"/>
      <c r="R32" s="22"/>
      <c r="S32" s="31">
        <f t="shared" si="3"/>
        <v>1</v>
      </c>
      <c r="T32" s="46" t="str">
        <f t="shared" si="4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-12T05:11:32-600',mode:absolute,to:'2017-03-12T08:00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4.6199999999999998E-2</v>
      </c>
      <c r="Z32" s="62">
        <f t="shared" si="9"/>
        <v>23.310500000000001</v>
      </c>
      <c r="AA32" s="62">
        <f t="shared" si="10"/>
        <v>23.264300000000002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0121-12</v>
      </c>
      <c r="AE32" s="85" t="str">
        <f t="shared" si="12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32" s="82" t="str">
        <f t="shared" si="13"/>
        <v>"C:\Program Files (x86)\AstroGrep\AstroGrep.exe" /e /r /s /spath="%USERPROFILE%\AppData\Local\Temp\OnboardLogs" /stypes="app*4006*20170312*"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121-12 --locoid 4006 --swversion DE.1.0.9.0 --startMP 204:462 --initTime 2017-03-12T06:11:32 --startdatetime 2017-03-12T06:13:02 --delay 1 --endMP 204:233105 --enddatetime 2017-03-12T07:00:00 --enforcementcount 0 &gt;&gt;C:\Users\stu\Documents\GitHub\eaglep3-reporting\EC\2017-03-12-refined-times.txt</v>
      </c>
      <c r="AI3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{"issue":{"subject":"","project_id":79,"tracker_id":40,"status_id":1,"priority_id":2,"assigned_to_id":23,"start_date":"2017-03-12","description":"","custom_fields":[{"id":1,"name":"Subdivision","value":"EC"},{"id":4,"name":"Milepost","value":"23.3105"},{"id":17,"name":"Train ID","value":"121-12"},{"id":16,"name":"Locomotive ID","value":"4006"},{"id":130,"name":"Impact","value":""},{"id":150,"name":"Time of Event (Mountain Time)","value":"07:00:00"},{"id":151,"name":"Denver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4006 --day 2017-03-12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677</v>
      </c>
      <c r="B33" s="7">
        <v>4005</v>
      </c>
      <c r="C33" s="21" t="s">
        <v>242</v>
      </c>
      <c r="D33" s="21" t="s">
        <v>835</v>
      </c>
      <c r="E33" s="13">
        <v>42806.296678240738</v>
      </c>
      <c r="F33" s="13">
        <v>42806.297511574077</v>
      </c>
      <c r="G33" s="7">
        <v>1</v>
      </c>
      <c r="H33" s="21" t="s">
        <v>194</v>
      </c>
      <c r="I33" s="13">
        <v>42806.328726851854</v>
      </c>
      <c r="J33" s="7">
        <v>0</v>
      </c>
      <c r="K33" s="98" t="str">
        <f t="shared" si="0"/>
        <v>4005/4006</v>
      </c>
      <c r="L33" s="21" t="str">
        <f>VLOOKUP(A33,'Trips&amp;Operators'!$C$1:$G$99999,5,FALSE)</f>
        <v>DAVIS WENDY</v>
      </c>
      <c r="M33" s="6">
        <f t="shared" si="1"/>
        <v>3.1215277776937E-2</v>
      </c>
      <c r="N33" s="7">
        <f t="shared" si="2"/>
        <v>44.949999998789281</v>
      </c>
      <c r="O33" s="7"/>
      <c r="P33" s="7"/>
      <c r="Q33" s="22"/>
      <c r="R33" s="22"/>
      <c r="S33" s="31">
        <f t="shared" si="3"/>
        <v>1</v>
      </c>
      <c r="T33" s="46" t="str">
        <f t="shared" si="4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-12T06:07:13-600',mode:absolute,to:'2017-03-12T08:53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23.278300000000002</v>
      </c>
      <c r="Z33" s="62">
        <f t="shared" si="9"/>
        <v>1.4500000000000001E-2</v>
      </c>
      <c r="AA33" s="62">
        <f t="shared" si="10"/>
        <v>23.2638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0122-12</v>
      </c>
      <c r="AE33" s="85" t="str">
        <f t="shared" si="12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33" s="82" t="str">
        <f t="shared" si="13"/>
        <v>"C:\Program Files (x86)\AstroGrep\AstroGrep.exe" /e /r /s /spath="%USERPROFILE%\AppData\Local\Temp\OnboardLogs" /stypes="app*4005*20170312*"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122-12 --locoid 4005 --swversion DE.1.0.9.0 --startMP 204:232783 --initTime 2017-03-12T07:07:13 --startdatetime 2017-03-12T07:08:25 --delay 1 --endMP 204:145 --enddatetime 2017-03-12T07:53:22 --enforcementcount 0 &gt;&gt;C:\Users\stu\Documents\GitHub\eaglep3-reporting\EC\2017-03-12-refined-times.txt</v>
      </c>
      <c r="AI33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{"issue":{"subject":"","project_id":79,"tracker_id":40,"status_id":1,"priority_id":2,"assigned_to_id":23,"start_date":"2017-03-12","description":"","custom_fields":[{"id":1,"name":"Subdivision","value":"EC"},{"id":4,"name":"Milepost","value":"0.0145"},{"id":17,"name":"Train ID","value":"122-12"},{"id":16,"name":"Locomotive ID","value":"4005"},{"id":130,"name":"Impact","value":""},{"id":150,"name":"Time of Event (Mountain Time)","value":"07:53:22"},{"id":151,"name":"Denver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4005 --day 2017-03-12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669</v>
      </c>
      <c r="B34" s="7">
        <v>4020</v>
      </c>
      <c r="C34" s="21" t="s">
        <v>242</v>
      </c>
      <c r="D34" s="21" t="s">
        <v>427</v>
      </c>
      <c r="E34" s="13">
        <v>42806.268703703703</v>
      </c>
      <c r="F34" s="13">
        <v>42806.269884259258</v>
      </c>
      <c r="G34" s="7">
        <v>1</v>
      </c>
      <c r="H34" s="21" t="s">
        <v>248</v>
      </c>
      <c r="I34" s="13">
        <v>42806.297083333331</v>
      </c>
      <c r="J34" s="7">
        <v>0</v>
      </c>
      <c r="K34" s="98" t="str">
        <f t="shared" si="0"/>
        <v>4019/4020</v>
      </c>
      <c r="L34" s="21" t="str">
        <f>VLOOKUP(A34,'Trips&amp;Operators'!$C$1:$G$99999,5,FALSE)</f>
        <v>MAYBERRY BILL</v>
      </c>
      <c r="M34" s="6">
        <f t="shared" si="1"/>
        <v>2.7199074072996154E-2</v>
      </c>
      <c r="N34" s="7">
        <f t="shared" si="2"/>
        <v>39.166666665114462</v>
      </c>
      <c r="O34" s="7"/>
      <c r="P34" s="7"/>
      <c r="Q34" s="22"/>
      <c r="R34" s="22"/>
      <c r="S34" s="31">
        <f t="shared" si="3"/>
        <v>1</v>
      </c>
      <c r="T34" s="46" t="str">
        <f t="shared" si="4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-12T05:26:56-600',mode:absolute,to:'2017-03-12T08:07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4.3700000000000003E-2</v>
      </c>
      <c r="Z34" s="62">
        <f t="shared" si="9"/>
        <v>23.328900000000001</v>
      </c>
      <c r="AA34" s="62">
        <f t="shared" si="10"/>
        <v>23.2852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0123-12</v>
      </c>
      <c r="AE34" s="85" t="str">
        <f t="shared" si="12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34" s="82" t="str">
        <f t="shared" si="13"/>
        <v>"C:\Program Files (x86)\AstroGrep\AstroGrep.exe" /e /r /s /spath="%USERPROFILE%\AppData\Local\Temp\OnboardLogs" /stypes="app*4020*20170312*"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123-12 --locoid 4020 --swversion DE.1.0.9.0 --startMP 204:437 --initTime 2017-03-12T06:26:56 --startdatetime 2017-03-12T06:28:38 --delay 1 --endMP 204:233289 --enddatetime 2017-03-12T07:07:48 --enforcementcount 0 &gt;&gt;C:\Users\stu\Documents\GitHub\eaglep3-reporting\EC\2017-03-12-refined-times.txt</v>
      </c>
      <c r="AI34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{"issue":{"subject":"","project_id":79,"tracker_id":40,"status_id":1,"priority_id":2,"assigned_to_id":23,"start_date":"2017-03-12","description":"","custom_fields":[{"id":1,"name":"Subdivision","value":"EC"},{"id":4,"name":"Milepost","value":"23.3289"},{"id":17,"name":"Train ID","value":"123-12"},{"id":16,"name":"Locomotive ID","value":"4020"},{"id":130,"name":"Impact","value":""},{"id":150,"name":"Time of Event (Mountain Time)","value":"07:07:48"},{"id":151,"name":"Denver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4020 --day 2017-03-12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4019</v>
      </c>
      <c r="C35" s="21" t="s">
        <v>242</v>
      </c>
      <c r="D35" s="21" t="s">
        <v>439</v>
      </c>
      <c r="E35" s="13">
        <v>42806.301620370374</v>
      </c>
      <c r="F35" s="13">
        <v>42806.305868055555</v>
      </c>
      <c r="G35" s="7">
        <v>6</v>
      </c>
      <c r="H35" s="21" t="s">
        <v>499</v>
      </c>
      <c r="I35" s="13">
        <v>42806.338773148149</v>
      </c>
      <c r="J35" s="7">
        <v>0</v>
      </c>
      <c r="K35" s="98" t="str">
        <f t="shared" si="0"/>
        <v>4019/4020</v>
      </c>
      <c r="L35" s="21" t="str">
        <f>VLOOKUP(A35,'Trips&amp;Operators'!$C$1:$G$99999,5,FALSE)</f>
        <v>MAYBERRY BILL</v>
      </c>
      <c r="M35" s="6">
        <f t="shared" si="1"/>
        <v>3.2905092593864538E-2</v>
      </c>
      <c r="N35" s="7">
        <f t="shared" si="2"/>
        <v>47.383333335164934</v>
      </c>
      <c r="O35" s="7"/>
      <c r="P35" s="7"/>
      <c r="Q35" s="22"/>
      <c r="R35" s="22"/>
      <c r="S35" s="31">
        <f t="shared" si="3"/>
        <v>1</v>
      </c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-12T06:14:20-600',mode:absolute,to:'2017-03-12T09:07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23.298100000000002</v>
      </c>
      <c r="Z35" s="62">
        <f t="shared" si="9"/>
        <v>1.6500000000000001E-2</v>
      </c>
      <c r="AA35" s="62">
        <f t="shared" si="10"/>
        <v>23.281600000000001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0124-12</v>
      </c>
      <c r="AE35" s="85" t="str">
        <f t="shared" si="12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35" s="82" t="str">
        <f t="shared" si="13"/>
        <v>"C:\Program Files (x86)\AstroGrep\AstroGrep.exe" /e /r /s /spath="%USERPROFILE%\AppData\Local\Temp\OnboardLogs" /stypes="app*4019*20170312*" /stext=" 14:.+((SYSTEM_STATE.+slice.+state.+changed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124-12 --locoid 4019 --swversion DE.1.0.9.0 --startMP 204:232981 --initTime 2017-03-12T07:14:20 --startdatetime 2017-03-12T07:20:27 --delay 6 --endMP 204:165 --enddatetime 2017-03-12T08:07:50 --enforcementcount 0 &gt;&gt;C:\Users\stu\Documents\GitHub\eaglep3-reporting\EC\2017-03-12-refined-times.txt</v>
      </c>
      <c r="AI3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{"issue":{"subject":"","project_id":79,"tracker_id":40,"status_id":1,"priority_id":2,"assigned_to_id":23,"start_date":"2017-03-12","description":"","custom_fields":[{"id":1,"name":"Subdivision","value":"EC"},{"id":4,"name":"Milepost","value":"0.0165"},{"id":17,"name":"Train ID","value":"124-12"},{"id":16,"name":"Locomotive ID","value":"4019"},{"id":130,"name":"Impact","value":""},{"id":150,"name":"Time of Event (Mountain Time)","value":"08:07:50"},{"id":151,"name":"Denver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4019 --day 2017-03-12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672</v>
      </c>
      <c r="B36" s="7">
        <v>4027</v>
      </c>
      <c r="C36" s="21" t="s">
        <v>242</v>
      </c>
      <c r="D36" s="21" t="s">
        <v>836</v>
      </c>
      <c r="E36" s="13">
        <v>42806.277256944442</v>
      </c>
      <c r="F36" s="13">
        <v>42806.278391203705</v>
      </c>
      <c r="G36" s="7">
        <v>1</v>
      </c>
      <c r="H36" s="21" t="s">
        <v>828</v>
      </c>
      <c r="I36" s="13">
        <v>42806.306250000001</v>
      </c>
      <c r="J36" s="7">
        <v>0</v>
      </c>
      <c r="K36" s="98" t="str">
        <f t="shared" si="0"/>
        <v>4027/4028</v>
      </c>
      <c r="L36" s="21" t="str">
        <f>VLOOKUP(A36,'Trips&amp;Operators'!$C$1:$G$99999,5,FALSE)</f>
        <v>DELGADO DIANAH</v>
      </c>
      <c r="M36" s="6">
        <f t="shared" si="1"/>
        <v>2.7858796296641231E-2</v>
      </c>
      <c r="N36" s="7">
        <f t="shared" si="2"/>
        <v>40.116666667163372</v>
      </c>
      <c r="O36" s="7"/>
      <c r="P36" s="7"/>
      <c r="Q36" s="22"/>
      <c r="R36" s="22"/>
      <c r="S36" s="31">
        <f t="shared" si="3"/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-12T05:39:15-600',mode:absolute,to:'2017-03-12T08:21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4.2700000000000002E-2</v>
      </c>
      <c r="Z36" s="62">
        <f t="shared" si="9"/>
        <v>23.3324</v>
      </c>
      <c r="AA36" s="62">
        <f t="shared" si="10"/>
        <v>23.2897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0125-12</v>
      </c>
      <c r="AE36" s="85" t="str">
        <f t="shared" si="12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36" s="82" t="str">
        <f t="shared" si="13"/>
        <v>"C:\Program Files (x86)\AstroGrep\AstroGrep.exe" /e /r /s /spath="%USERPROFILE%\AppData\Local\Temp\OnboardLogs" /stypes="app*4027*20170312*"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125-12 --locoid 4027 --swversion DE.1.0.9.0 --startMP 204:427 --initTime 2017-03-12T06:39:15 --startdatetime 2017-03-12T06:40:53 --delay 1 --endMP 204:233324 --enddatetime 2017-03-12T07:21:00 --enforcementcount 0 &gt;&gt;C:\Users\stu\Documents\GitHub\eaglep3-reporting\EC\2017-03-12-refined-times.txt</v>
      </c>
      <c r="AI36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{"issue":{"subject":"","project_id":79,"tracker_id":40,"status_id":1,"priority_id":2,"assigned_to_id":23,"start_date":"2017-03-12","description":"","custom_fields":[{"id":1,"name":"Subdivision","value":"EC"},{"id":4,"name":"Milepost","value":"23.3324"},{"id":17,"name":"Train ID","value":"125-12"},{"id":16,"name":"Locomotive ID","value":"4027"},{"id":130,"name":"Impact","value":""},{"id":150,"name":"Time of Event (Mountain Time)","value":"07:21:00"},{"id":151,"name":"Denver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4027 --day 2017-03-12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680</v>
      </c>
      <c r="B37" s="7">
        <v>4028</v>
      </c>
      <c r="C37" s="21" t="s">
        <v>242</v>
      </c>
      <c r="D37" s="21" t="s">
        <v>837</v>
      </c>
      <c r="E37" s="13">
        <v>42806.315810185188</v>
      </c>
      <c r="F37" s="13">
        <v>42806.316701388889</v>
      </c>
      <c r="G37" s="7">
        <v>1</v>
      </c>
      <c r="H37" s="21" t="s">
        <v>425</v>
      </c>
      <c r="I37" s="13">
        <v>42806.348287037035</v>
      </c>
      <c r="J37" s="7">
        <v>0</v>
      </c>
      <c r="K37" s="98" t="str">
        <f t="shared" si="0"/>
        <v>4027/4028</v>
      </c>
      <c r="L37" s="21" t="str">
        <f>VLOOKUP(A37,'Trips&amp;Operators'!$C$1:$G$99999,5,FALSE)</f>
        <v>DELGADO DIANAH</v>
      </c>
      <c r="M37" s="6">
        <f t="shared" si="1"/>
        <v>3.1585648146574385E-2</v>
      </c>
      <c r="N37" s="7">
        <f t="shared" si="2"/>
        <v>45.483333331067115</v>
      </c>
      <c r="O37" s="7"/>
      <c r="P37" s="7"/>
      <c r="Q37" s="22"/>
      <c r="R37" s="22"/>
      <c r="S37" s="31">
        <f t="shared" si="3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-12T06:34:46-600',mode:absolute,to:'2017-03-12T09:21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23.303599999999999</v>
      </c>
      <c r="Z37" s="62">
        <f t="shared" si="9"/>
        <v>1.6E-2</v>
      </c>
      <c r="AA37" s="62">
        <f t="shared" si="10"/>
        <v>23.287600000000001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0126-12</v>
      </c>
      <c r="AE37" s="85" t="str">
        <f t="shared" si="12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37" s="82" t="str">
        <f t="shared" si="13"/>
        <v>"C:\Program Files (x86)\AstroGrep\AstroGrep.exe" /e /r /s /spath="%USERPROFILE%\AppData\Local\Temp\OnboardLogs" /stypes="app*4028*20170312*"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126-12 --locoid 4028 --swversion DE.1.0.9.0 --startMP 204:233036 --initTime 2017-03-12T07:34:46 --startdatetime 2017-03-12T07:36:03 --delay 1 --endMP 204:160 --enddatetime 2017-03-12T08:21:32 --enforcementcount 0 &gt;&gt;C:\Users\stu\Documents\GitHub\eaglep3-reporting\EC\2017-03-12-refined-times.txt</v>
      </c>
      <c r="AI3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{"issue":{"subject":"","project_id":79,"tracker_id":40,"status_id":1,"priority_id":2,"assigned_to_id":23,"start_date":"2017-03-12","description":"","custom_fields":[{"id":1,"name":"Subdivision","value":"EC"},{"id":4,"name":"Milepost","value":"0.016"},{"id":17,"name":"Train ID","value":"126-12"},{"id":16,"name":"Locomotive ID","value":"4028"},{"id":130,"name":"Impact","value":""},{"id":150,"name":"Time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4028 --day 2017-03-12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674</v>
      </c>
      <c r="B38" s="7">
        <v>4025</v>
      </c>
      <c r="C38" s="21" t="s">
        <v>242</v>
      </c>
      <c r="D38" s="21" t="s">
        <v>243</v>
      </c>
      <c r="E38" s="13">
        <v>42806.287708333337</v>
      </c>
      <c r="F38" s="13">
        <v>42806.288611111115</v>
      </c>
      <c r="G38" s="7">
        <v>1</v>
      </c>
      <c r="H38" s="21" t="s">
        <v>494</v>
      </c>
      <c r="I38" s="13">
        <v>42806.317939814813</v>
      </c>
      <c r="J38" s="7">
        <v>0</v>
      </c>
      <c r="K38" s="98" t="str">
        <f t="shared" si="0"/>
        <v>4025/4026</v>
      </c>
      <c r="L38" s="21" t="str">
        <f>VLOOKUP(A38,'Trips&amp;Operators'!$C$1:$G$99999,5,FALSE)</f>
        <v>SANTIZO D. EDY</v>
      </c>
      <c r="M38" s="6">
        <f t="shared" si="1"/>
        <v>2.9328703698411118E-2</v>
      </c>
      <c r="N38" s="7">
        <f t="shared" si="2"/>
        <v>42.23333332571201</v>
      </c>
      <c r="O38" s="7"/>
      <c r="P38" s="7"/>
      <c r="Q38" s="22"/>
      <c r="R38" s="22"/>
      <c r="S38" s="31">
        <f t="shared" si="3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-12T05:54:18-600',mode:absolute,to:'2017-03-12T08:37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4.58E-2</v>
      </c>
      <c r="Z38" s="62">
        <f t="shared" si="9"/>
        <v>23.3306</v>
      </c>
      <c r="AA38" s="62">
        <f t="shared" si="10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0127-12</v>
      </c>
      <c r="AE38" s="85" t="str">
        <f t="shared" si="12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38" s="82" t="str">
        <f t="shared" si="13"/>
        <v>"C:\Program Files (x86)\AstroGrep\AstroGrep.exe" /e /r /s /spath="%USERPROFILE%\AppData\Local\Temp\OnboardLogs" /stypes="app*4025*20170312*"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127-12 --locoid 4025 --swversion DE.1.0.9.0 --startMP 204:458 --initTime 2017-03-12T06:54:18 --startdatetime 2017-03-12T06:55:36 --delay 1 --endMP 204:233306 --enddatetime 2017-03-12T07:37:50 --enforcementcount 0 &gt;&gt;C:\Users\stu\Documents\GitHub\eaglep3-reporting\EC\2017-03-12-refined-times.txt</v>
      </c>
      <c r="AI3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{"issue":{"subject":"","project_id":79,"tracker_id":40,"status_id":1,"priority_id":2,"assigned_to_id":23,"start_date":"2017-03-12","description":"","custom_fields":[{"id":1,"name":"Subdivision","value":"EC"},{"id":4,"name":"Milepost","value":"23.3306"},{"id":17,"name":"Train ID","value":"127-12"},{"id":16,"name":"Locomotive ID","value":"4025"},{"id":130,"name":"Impact","value":""},{"id":150,"name":"Time of Event (Mountain Time)","value":"07:37:50"},{"id":151,"name":"Denver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4025 --day 2017-03-12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585</v>
      </c>
      <c r="B39" s="7">
        <v>4026</v>
      </c>
      <c r="C39" s="21" t="s">
        <v>242</v>
      </c>
      <c r="D39" s="21" t="s">
        <v>838</v>
      </c>
      <c r="E39" s="13">
        <v>42806.318668981483</v>
      </c>
      <c r="F39" s="13">
        <v>42806.319398148145</v>
      </c>
      <c r="G39" s="7">
        <v>1</v>
      </c>
      <c r="H39" s="21" t="s">
        <v>839</v>
      </c>
      <c r="I39" s="13">
        <v>42806.358298611114</v>
      </c>
      <c r="J39" s="7">
        <v>0</v>
      </c>
      <c r="K39" s="98" t="str">
        <f t="shared" si="0"/>
        <v>4025/4026</v>
      </c>
      <c r="L39" s="21" t="str">
        <f>VLOOKUP(A39,'Trips&amp;Operators'!$C$1:$G$99999,5,FALSE)</f>
        <v>SANTIZO D. EDY</v>
      </c>
      <c r="M39" s="6">
        <f t="shared" si="1"/>
        <v>3.8900462968740612E-2</v>
      </c>
      <c r="N39" s="7">
        <f t="shared" si="2"/>
        <v>56.016666674986482</v>
      </c>
      <c r="O39" s="7"/>
      <c r="P39" s="7"/>
      <c r="Q39" s="22"/>
      <c r="R39" s="22"/>
      <c r="S39" s="31">
        <f t="shared" si="3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-12T06:38:53-600',mode:absolute,to:'2017-03-12T09:35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23.299800000000001</v>
      </c>
      <c r="Z39" s="62">
        <f t="shared" si="9"/>
        <v>1.6299999999999999E-2</v>
      </c>
      <c r="AA39" s="62">
        <f t="shared" si="10"/>
        <v>23.2835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0128-12</v>
      </c>
      <c r="AE39" s="85" t="str">
        <f t="shared" si="12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39" s="82" t="str">
        <f t="shared" si="13"/>
        <v>"C:\Program Files (x86)\AstroGrep\AstroGrep.exe" /e /r /s /spath="%USERPROFILE%\AppData\Local\Temp\OnboardLogs" /stypes="app*4026*20170312*"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128-12 --locoid 4026 --swversion DE.1.0.9.0 --startMP 204:232998 --initTime 2017-03-12T07:38:53 --startdatetime 2017-03-12T07:39:56 --delay 1 --endMP 204:163 --enddatetime 2017-03-12T08:35:57 --enforcementcount 0 &gt;&gt;C:\Users\stu\Documents\GitHub\eaglep3-reporting\EC\2017-03-12-refined-times.txt</v>
      </c>
      <c r="AI3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{"issue":{"subject":"","project_id":79,"tracker_id":40,"status_id":1,"priority_id":2,"assigned_to_id":23,"start_date":"2017-03-12","description":"","custom_fields":[{"id":1,"name":"Subdivision","value":"EC"},{"id":4,"name":"Milepost","value":"0.0163"},{"id":17,"name":"Train ID","value":"128-12"},{"id":16,"name":"Locomotive ID","value":"4026"},{"id":130,"name":"Impact","value":""},{"id":150,"name":"Time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4026 --day 2017-03-12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676</v>
      </c>
      <c r="B40" s="7">
        <v>4022</v>
      </c>
      <c r="C40" s="21" t="s">
        <v>242</v>
      </c>
      <c r="D40" s="21" t="s">
        <v>556</v>
      </c>
      <c r="E40" s="13">
        <v>42806.293645833335</v>
      </c>
      <c r="F40" s="13">
        <v>42806.294537037036</v>
      </c>
      <c r="G40" s="7">
        <v>1</v>
      </c>
      <c r="H40" s="21" t="s">
        <v>250</v>
      </c>
      <c r="I40" s="13">
        <v>42806.329108796293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MOSES BRADLEY</v>
      </c>
      <c r="M40" s="6">
        <f t="shared" si="1"/>
        <v>3.457175925723277E-2</v>
      </c>
      <c r="N40" s="7">
        <f t="shared" si="2"/>
        <v>49.783333330415189</v>
      </c>
      <c r="O40" s="7"/>
      <c r="P40" s="7"/>
      <c r="Q40" s="22"/>
      <c r="R40" s="22"/>
      <c r="S40" s="31">
        <f t="shared" si="3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-12T06:02:51-600',mode:absolute,to:'2017-03-12T08:53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4.6199999999999998E-2</v>
      </c>
      <c r="Z40" s="62">
        <f t="shared" si="9"/>
        <v>23.329899999999999</v>
      </c>
      <c r="AA40" s="62">
        <f t="shared" si="10"/>
        <v>23.2837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0129-12</v>
      </c>
      <c r="AE40" s="85" t="str">
        <f t="shared" si="12"/>
        <v>aws s3 cp s3://rtdc.mdm.uploadarchive.raw/RTDC4022/ "%USERPROFILE%\AppData\Local\Temp\OnboardLogs"\RTDC4022\2017-03-12 --exclude "*" --recursive --include "*20170312*" &amp; "%USERPROFILE%\Documents\GitHub\mrs-test-scripts\Headless Mode &amp; Sideloading\WalkAndUnGZ.bat" "%USERPROFILE%\AppData\Local\Temp\OnboardLogs"\RTDC4022\2017-03-12 &amp; aws s3 cp s3://rtdc.mdm.uploadarchive.raw/RTDC4022/ "%USERPROFILE%\AppData\Local\Temp\OnboardLogs"\RTDC4022\2017-03-13 --exclude "*" --recursive --include "*20170313*" &amp; "%USERPROFILE%\Documents\GitHub\mrs-test-scripts\Headless Mode &amp; Sideloading\WalkAndUnGZ.bat" "%USERPROFILE%\AppData\Local\Temp\OnboardLogs"\RTDC4022\2017-03-13</v>
      </c>
      <c r="AF40" s="82" t="str">
        <f t="shared" si="13"/>
        <v>"C:\Program Files (x86)\AstroGrep\AstroGrep.exe" /e /r /s /spath="%USERPROFILE%\AppData\Local\Temp\OnboardLogs" /stypes="app*4022*20170312*"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129-12 --locoid 4022 --swversion DE.1.0.9.0 --startMP 204:462 --initTime 2017-03-12T07:02:51 --startdatetime 2017-03-12T07:04:08 --delay 1 --endMP 204:233299 --enddatetime 2017-03-12T07:53:55 --enforcementcount 0 &gt;&gt;C:\Users\stu\Documents\GitHub\eaglep3-reporting\EC\2017-03-12-refined-times.txt</v>
      </c>
      <c r="AI4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{"issue":{"subject":"","project_id":79,"tracker_id":40,"status_id":1,"priority_id":2,"assigned_to_id":23,"start_date":"2017-03-12","description":"","custom_fields":[{"id":1,"name":"Subdivision","value":"EC"},{"id":4,"name":"Milepost","value":"23.3299"},{"id":17,"name":"Train ID","value":"129-12"},{"id":16,"name":"Locomotive ID","value":"4022"},{"id":130,"name":"Impact","value":""},{"id":150,"name":"Time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4022 --day 2017-03-12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"%USERPROFILE%\AppData\Local\Temp\OnboardLogs"\RTDC4022\*4022*20170312* | grep -SE "(Enforcement Action)|(\[TIMEOUT)|(CHR.+\|PRM\|1\|D.+(SWITCH|SIGNAL).+UNKNOWN)" - &gt;&gt; 2017-03-12-UncaughtWiMAX.txt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684</v>
      </c>
      <c r="B41" s="7">
        <v>4021</v>
      </c>
      <c r="C41" s="21" t="s">
        <v>242</v>
      </c>
      <c r="D41" s="21" t="s">
        <v>840</v>
      </c>
      <c r="E41" s="13">
        <v>42806.337291666663</v>
      </c>
      <c r="F41" s="13">
        <v>42806.338356481479</v>
      </c>
      <c r="G41" s="7">
        <v>1</v>
      </c>
      <c r="H41" s="21" t="s">
        <v>841</v>
      </c>
      <c r="I41" s="13">
        <v>42806.368530092594</v>
      </c>
      <c r="J41" s="7">
        <v>0</v>
      </c>
      <c r="K41" s="98" t="str">
        <f t="shared" si="0"/>
        <v>4021/4022</v>
      </c>
      <c r="L41" s="21" t="str">
        <f>VLOOKUP(A41,'Trips&amp;Operators'!$C$1:$G$99999,5,FALSE)</f>
        <v>MOSES BRADLEY</v>
      </c>
      <c r="M41" s="6">
        <f t="shared" si="1"/>
        <v>3.0173611114150845E-2</v>
      </c>
      <c r="N41" s="7">
        <f t="shared" si="2"/>
        <v>43.450000004377216</v>
      </c>
      <c r="O41" s="7"/>
      <c r="P41" s="7"/>
      <c r="Q41" s="22"/>
      <c r="R41" s="22"/>
      <c r="S41" s="31">
        <f t="shared" si="3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-12T07:05:42-600',mode:absolute,to:'2017-03-12T09:50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23.297499999999999</v>
      </c>
      <c r="Z41" s="62">
        <f t="shared" si="9"/>
        <v>1.6899999999999998E-2</v>
      </c>
      <c r="AA41" s="62">
        <f t="shared" si="10"/>
        <v>23.2806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0130-12</v>
      </c>
      <c r="AE41" s="85" t="str">
        <f t="shared" si="12"/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AF41" s="82" t="str">
        <f t="shared" si="13"/>
        <v>"C:\Program Files (x86)\AstroGrep\AstroGrep.exe" /e /r /s /spath="%USERPROFILE%\AppData\Local\Temp\OnboardLogs" /stypes="app*4021*20170312*"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130-12 --locoid 4021 --swversion DE.1.0.9.0 --startMP 204:232975 --initTime 2017-03-12T08:05:42 --startdatetime 2017-03-12T08:07:14 --delay 1 --endMP 204:169 --enddatetime 2017-03-12T08:50:41 --enforcementcount 0 &gt;&gt;C:\Users\stu\Documents\GitHub\eaglep3-reporting\EC\2017-03-12-refined-times.txt</v>
      </c>
      <c r="AI4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{"issue":{"subject":"","project_id":79,"tracker_id":40,"status_id":1,"priority_id":2,"assigned_to_id":23,"start_date":"2017-03-12","description":"","custom_fields":[{"id":1,"name":"Subdivision","value":"EC"},{"id":4,"name":"Milepost","value":"0.0169"},{"id":17,"name":"Train ID","value":"130-12"},{"id":16,"name":"Locomotive ID","value":"4021"},{"id":130,"name":"Impact","value":""},{"id":150,"name":"Time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4021 --day 2017-03-12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"%USERPROFILE%\AppData\Local\Temp\OnboardLogs"\RTDC4021\*4021*20170312* | grep -SE "(Enforcement Action)|(\[TIMEOUT)|(CHR.+\|PRM\|1\|D.+(SWITCH|SIGNAL).+UNKNOWN)" - &gt;&gt; 2017-03-12-UncaughtWiMAX.txt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679</v>
      </c>
      <c r="B42" s="7">
        <v>4042</v>
      </c>
      <c r="C42" s="21" t="s">
        <v>242</v>
      </c>
      <c r="D42" s="21" t="s">
        <v>272</v>
      </c>
      <c r="E42" s="13">
        <v>42806.310474537036</v>
      </c>
      <c r="F42" s="13">
        <v>42806.311388888891</v>
      </c>
      <c r="G42" s="7">
        <v>1</v>
      </c>
      <c r="H42" s="21" t="s">
        <v>270</v>
      </c>
      <c r="I42" s="13">
        <v>42806.339062500003</v>
      </c>
      <c r="J42" s="7">
        <v>0</v>
      </c>
      <c r="K42" s="98" t="str">
        <f t="shared" si="0"/>
        <v>4041/4042</v>
      </c>
      <c r="L42" s="21" t="str">
        <f>VLOOKUP(A42,'Trips&amp;Operators'!$C$1:$G$99999,5,FALSE)</f>
        <v>MAELZER KURT</v>
      </c>
      <c r="M42" s="6">
        <f t="shared" si="1"/>
        <v>2.7673611111822538E-2</v>
      </c>
      <c r="N42" s="7">
        <f t="shared" si="2"/>
        <v>39.850000001024455</v>
      </c>
      <c r="O42" s="7"/>
      <c r="P42" s="7"/>
      <c r="Q42" s="22"/>
      <c r="R42" s="22"/>
      <c r="S42" s="31">
        <f t="shared" si="3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-12T06:27:05-600',mode:absolute,to:'2017-03-12T09:08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4.4900000000000002E-2</v>
      </c>
      <c r="Z42" s="62">
        <f t="shared" si="9"/>
        <v>23.329499999999999</v>
      </c>
      <c r="AA42" s="62">
        <f t="shared" si="10"/>
        <v>23.284600000000001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0131-12</v>
      </c>
      <c r="AE42" s="85" t="str">
        <f t="shared" si="12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42" s="82" t="str">
        <f t="shared" si="13"/>
        <v>"C:\Program Files (x86)\AstroGrep\AstroGrep.exe" /e /r /s /spath="%USERPROFILE%\AppData\Local\Temp\OnboardLogs" /stypes="app*4042*20170312*"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131-12 --locoid 4042 --swversion DE.1.0.9.0 --startMP 204:449 --initTime 2017-03-12T07:27:05 --startdatetime 2017-03-12T07:28:24 --delay 1 --endMP 204:233295 --enddatetime 2017-03-12T08:08:15 --enforcementcount 0 &gt;&gt;C:\Users\stu\Documents\GitHub\eaglep3-reporting\EC\2017-03-12-refined-times.txt</v>
      </c>
      <c r="AI4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{"issue":{"subject":"","project_id":79,"tracker_id":40,"status_id":1,"priority_id":2,"assigned_to_id":23,"start_date":"2017-03-12","description":"","custom_fields":[{"id":1,"name":"Subdivision","value":"EC"},{"id":4,"name":"Milepost","value":"23.3295"},{"id":17,"name":"Train ID","value":"131-12"},{"id":16,"name":"Locomotive ID","value":"4042"},{"id":130,"name":"Impact","value":""},{"id":150,"name":"Time of Event (Mountain Time)","value":"08:08:15"},{"id":151,"name":"Denver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4042 --day 2017-03-12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686</v>
      </c>
      <c r="B43" s="7">
        <v>4041</v>
      </c>
      <c r="C43" s="21" t="s">
        <v>242</v>
      </c>
      <c r="D43" s="21" t="s">
        <v>282</v>
      </c>
      <c r="E43" s="13">
        <v>42806.343240740738</v>
      </c>
      <c r="F43" s="13">
        <v>42806.343807870369</v>
      </c>
      <c r="G43" s="7">
        <v>0</v>
      </c>
      <c r="H43" s="21" t="s">
        <v>202</v>
      </c>
      <c r="I43" s="13">
        <v>42806.378784722219</v>
      </c>
      <c r="J43" s="7">
        <v>0</v>
      </c>
      <c r="K43" s="98" t="str">
        <f t="shared" si="0"/>
        <v>4041/4042</v>
      </c>
      <c r="L43" s="21" t="str">
        <f>VLOOKUP(A43,'Trips&amp;Operators'!$C$1:$G$99999,5,FALSE)</f>
        <v>MAELZER KURT</v>
      </c>
      <c r="M43" s="6">
        <f t="shared" si="1"/>
        <v>3.4976851849933155E-2</v>
      </c>
      <c r="N43" s="7">
        <f t="shared" si="2"/>
        <v>50.366666663903743</v>
      </c>
      <c r="O43" s="7"/>
      <c r="P43" s="7"/>
      <c r="Q43" s="22"/>
      <c r="R43" s="22"/>
      <c r="S43" s="31">
        <f t="shared" si="3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-12T07:14:16-600',mode:absolute,to:'2017-03-12T10:05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23.300599999999999</v>
      </c>
      <c r="Z43" s="62">
        <f t="shared" si="9"/>
        <v>1.52E-2</v>
      </c>
      <c r="AA43" s="62">
        <f t="shared" si="10"/>
        <v>23.285399999999999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0132-12</v>
      </c>
      <c r="AE43" s="85" t="str">
        <f t="shared" si="12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43" s="82" t="str">
        <f t="shared" si="13"/>
        <v>"C:\Program Files (x86)\AstroGrep\AstroGrep.exe" /e /r /s /spath="%USERPROFILE%\AppData\Local\Temp\OnboardLogs" /stypes="app*4041*20170312*" /stext=" 15:.+((SYSTEM_STATE.+slice.+state.+changed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132-12 --locoid 4041 --swversion DE.1.0.9.0 --startMP 204:233006 --initTime 2017-03-12T08:14:16 --startdatetime 2017-03-12T08:15:05 --delay 0 --endMP 204:152 --enddatetime 2017-03-12T09:05:27 --enforcementcount 0 &gt;&gt;C:\Users\stu\Documents\GitHub\eaglep3-reporting\EC\2017-03-12-refined-times.txt</v>
      </c>
      <c r="AI43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{"issue":{"subject":"","project_id":79,"tracker_id":40,"status_id":1,"priority_id":2,"assigned_to_id":23,"start_date":"2017-03-12","description":"","custom_fields":[{"id":1,"name":"Subdivision","value":"EC"},{"id":4,"name":"Milepost","value":"0.0152"},{"id":17,"name":"Train ID","value":"132-12"},{"id":16,"name":"Locomotive ID","value":"4041"},{"id":130,"name":"Impact","value":""},{"id":150,"name":"Time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4041 --day 2017-03-12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682</v>
      </c>
      <c r="B44" s="7">
        <v>4053</v>
      </c>
      <c r="C44" s="21" t="s">
        <v>242</v>
      </c>
      <c r="D44" s="21" t="s">
        <v>842</v>
      </c>
      <c r="E44" s="13">
        <v>42806.319710648146</v>
      </c>
      <c r="F44" s="13">
        <v>42806.320671296293</v>
      </c>
      <c r="G44" s="7">
        <v>1</v>
      </c>
      <c r="H44" s="21" t="s">
        <v>270</v>
      </c>
      <c r="I44" s="13">
        <v>42806.349456018521</v>
      </c>
      <c r="J44" s="7">
        <v>0</v>
      </c>
      <c r="K44" s="98" t="str">
        <f t="shared" si="0"/>
        <v>4053/4054</v>
      </c>
      <c r="L44" s="21" t="str">
        <f>VLOOKUP(A44,'Trips&amp;Operators'!$C$1:$G$99999,5,FALSE)</f>
        <v>BADERTSCHER DIANE</v>
      </c>
      <c r="M44" s="6">
        <f t="shared" si="1"/>
        <v>2.8784722228010651E-2</v>
      </c>
      <c r="N44" s="7">
        <f t="shared" si="2"/>
        <v>41.450000008335337</v>
      </c>
      <c r="O44" s="7"/>
      <c r="P44" s="7"/>
      <c r="Q44" s="22"/>
      <c r="R44" s="22"/>
      <c r="S44" s="31">
        <f t="shared" si="3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-12T06:40:23-600',mode:absolute,to:'2017-03-12T09:23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4.2000000000000003E-2</v>
      </c>
      <c r="Z44" s="62">
        <f t="shared" si="9"/>
        <v>23.329499999999999</v>
      </c>
      <c r="AA44" s="62">
        <f t="shared" si="10"/>
        <v>23.287499999999998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0133-12</v>
      </c>
      <c r="AE44" s="85" t="str">
        <f t="shared" si="12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44" s="82" t="str">
        <f t="shared" si="13"/>
        <v>"C:\Program Files (x86)\AstroGrep\AstroGrep.exe" /e /r /s /spath="%USERPROFILE%\AppData\Local\Temp\OnboardLogs" /stypes="app*4053*20170312*"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133-12 --locoid 4053 --swversion DE.1.0.9.0 --startMP 204:420 --initTime 2017-03-12T07:40:23 --startdatetime 2017-03-12T07:41:46 --delay 1 --endMP 204:233295 --enddatetime 2017-03-12T08:23:13 --enforcementcount 0 &gt;&gt;C:\Users\stu\Documents\GitHub\eaglep3-reporting\EC\2017-03-12-refined-times.txt</v>
      </c>
      <c r="AI44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{"issue":{"subject":"","project_id":79,"tracker_id":40,"status_id":1,"priority_id":2,"assigned_to_id":23,"start_date":"2017-03-12","description":"","custom_fields":[{"id":1,"name":"Subdivision","value":"EC"},{"id":4,"name":"Milepost","value":"23.3295"},{"id":17,"name":"Train ID","value":"133-12"},{"id":16,"name":"Locomotive ID","value":"4053"},{"id":130,"name":"Impact","value":""},{"id":150,"name":"Time of Event (Mountain Time)","value":"08:23:13"},{"id":151,"name":"Denver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4053 --day 2017-03-12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688</v>
      </c>
      <c r="B45" s="7">
        <v>4054</v>
      </c>
      <c r="C45" s="21" t="s">
        <v>242</v>
      </c>
      <c r="D45" s="21" t="s">
        <v>278</v>
      </c>
      <c r="E45" s="13">
        <v>42806.355914351851</v>
      </c>
      <c r="F45" s="13">
        <v>42806.35664351852</v>
      </c>
      <c r="G45" s="7">
        <v>1</v>
      </c>
      <c r="H45" s="21" t="s">
        <v>425</v>
      </c>
      <c r="I45" s="13">
        <v>42806.391099537039</v>
      </c>
      <c r="J45" s="7">
        <v>0</v>
      </c>
      <c r="K45" s="98" t="str">
        <f t="shared" si="0"/>
        <v>4053/4054</v>
      </c>
      <c r="L45" s="21" t="str">
        <f>VLOOKUP(A45,'Trips&amp;Operators'!$C$1:$G$99999,5,FALSE)</f>
        <v>BADERTSCHER DIANE</v>
      </c>
      <c r="M45" s="6">
        <f t="shared" si="1"/>
        <v>3.4456018518540077E-2</v>
      </c>
      <c r="N45" s="7">
        <f t="shared" si="2"/>
        <v>49.616666666697711</v>
      </c>
      <c r="O45" s="7"/>
      <c r="P45" s="7"/>
      <c r="Q45" s="22"/>
      <c r="R45" s="22"/>
      <c r="S45" s="31">
        <f t="shared" si="3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-12T07:32:31-600',mode:absolute,to:'2017-03-12T10:23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23.2988</v>
      </c>
      <c r="Z45" s="62">
        <f t="shared" si="9"/>
        <v>1.6E-2</v>
      </c>
      <c r="AA45" s="62">
        <f t="shared" si="10"/>
        <v>23.282800000000002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0134-12</v>
      </c>
      <c r="AE45" s="85" t="str">
        <f t="shared" si="12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45" s="82" t="str">
        <f t="shared" si="13"/>
        <v>"C:\Program Files (x86)\AstroGrep\AstroGrep.exe" /e /r /s /spath="%USERPROFILE%\AppData\Local\Temp\OnboardLogs" /stypes="app*4054*20170312*"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134-12 --locoid 4054 --swversion DE.1.0.9.0 --startMP 204:232988 --initTime 2017-03-12T08:32:31 --startdatetime 2017-03-12T08:33:34 --delay 1 --endMP 204:160 --enddatetime 2017-03-12T09:23:11 --enforcementcount 0 &gt;&gt;C:\Users\stu\Documents\GitHub\eaglep3-reporting\EC\2017-03-12-refined-times.txt</v>
      </c>
      <c r="AI4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{"issue":{"subject":"","project_id":79,"tracker_id":40,"status_id":1,"priority_id":2,"assigned_to_id":23,"start_date":"2017-03-12","description":"","custom_fields":[{"id":1,"name":"Subdivision","value":"EC"},{"id":4,"name":"Milepost","value":"0.016"},{"id":17,"name":"Train ID","value":"134-12"},{"id":16,"name":"Locomotive ID","value":"4054"},{"id":130,"name":"Impact","value":""},{"id":150,"name":"Time of Event (Mountain Time)","value":"09:23:11"},{"id":151,"name":"Denver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4054 --day 2017-03-12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683</v>
      </c>
      <c r="B46" s="7">
        <v>4006</v>
      </c>
      <c r="C46" s="21" t="s">
        <v>242</v>
      </c>
      <c r="D46" s="21" t="s">
        <v>556</v>
      </c>
      <c r="E46" s="13">
        <v>42806.330405092594</v>
      </c>
      <c r="F46" s="13">
        <v>42806.331435185188</v>
      </c>
      <c r="G46" s="7">
        <v>1</v>
      </c>
      <c r="H46" s="21" t="s">
        <v>249</v>
      </c>
      <c r="I46" s="13">
        <v>42806.360254629632</v>
      </c>
      <c r="J46" s="7">
        <v>0</v>
      </c>
      <c r="K46" s="98" t="str">
        <f t="shared" si="0"/>
        <v>4005/4006</v>
      </c>
      <c r="L46" s="21" t="str">
        <f>VLOOKUP(A46,'Trips&amp;Operators'!$C$1:$G$99999,5,FALSE)</f>
        <v>DAVIS WENDY</v>
      </c>
      <c r="M46" s="6">
        <f t="shared" si="1"/>
        <v>2.8819444443797693E-2</v>
      </c>
      <c r="N46" s="7">
        <f t="shared" si="2"/>
        <v>41.499999999068677</v>
      </c>
      <c r="O46" s="7"/>
      <c r="P46" s="7"/>
      <c r="Q46" s="22"/>
      <c r="R46" s="22"/>
      <c r="S46" s="31">
        <f t="shared" si="3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-12T06:55:47-600',mode:absolute,to:'2017-03-12T09:38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4.6199999999999998E-2</v>
      </c>
      <c r="Z46" s="62">
        <f t="shared" si="9"/>
        <v>23.330400000000001</v>
      </c>
      <c r="AA46" s="62">
        <f t="shared" si="10"/>
        <v>23.284200000000002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0135-12</v>
      </c>
      <c r="AE46" s="85" t="str">
        <f t="shared" si="12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46" s="82" t="str">
        <f t="shared" si="13"/>
        <v>"C:\Program Files (x86)\AstroGrep\AstroGrep.exe" /e /r /s /spath="%USERPROFILE%\AppData\Local\Temp\OnboardLogs" /stypes="app*4006*20170312*"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135-12 --locoid 4006 --swversion DE.1.0.9.0 --startMP 204:462 --initTime 2017-03-12T07:55:47 --startdatetime 2017-03-12T07:57:16 --delay 1 --endMP 204:233304 --enddatetime 2017-03-12T08:38:46 --enforcementcount 0 &gt;&gt;C:\Users\stu\Documents\GitHub\eaglep3-reporting\EC\2017-03-12-refined-times.txt</v>
      </c>
      <c r="AI46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{"issue":{"subject":"","project_id":79,"tracker_id":40,"status_id":1,"priority_id":2,"assigned_to_id":23,"start_date":"2017-03-12","description":"","custom_fields":[{"id":1,"name":"Subdivision","value":"EC"},{"id":4,"name":"Milepost","value":"23.3304"},{"id":17,"name":"Train ID","value":"135-12"},{"id":16,"name":"Locomotive ID","value":"4006"},{"id":130,"name":"Impact","value":""},{"id":150,"name":"Time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4006 --day 2017-03-12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588</v>
      </c>
      <c r="B47" s="7">
        <v>4005</v>
      </c>
      <c r="C47" s="21" t="s">
        <v>242</v>
      </c>
      <c r="D47" s="21" t="s">
        <v>426</v>
      </c>
      <c r="E47" s="13">
        <v>42806.369583333333</v>
      </c>
      <c r="F47" s="13">
        <v>42806.370243055557</v>
      </c>
      <c r="G47" s="7">
        <v>0</v>
      </c>
      <c r="H47" s="21" t="s">
        <v>208</v>
      </c>
      <c r="I47" s="13">
        <v>42806.401400462964</v>
      </c>
      <c r="J47" s="7">
        <v>0</v>
      </c>
      <c r="K47" s="98" t="str">
        <f t="shared" si="0"/>
        <v>4005/4006</v>
      </c>
      <c r="L47" s="21" t="str">
        <f>VLOOKUP(A47,'Trips&amp;Operators'!$C$1:$G$99999,5,FALSE)</f>
        <v>DAVIS WENDY</v>
      </c>
      <c r="M47" s="6">
        <f t="shared" si="1"/>
        <v>3.1157407407590654E-2</v>
      </c>
      <c r="N47" s="7">
        <f t="shared" si="2"/>
        <v>44.866666666930541</v>
      </c>
      <c r="O47" s="7"/>
      <c r="P47" s="7"/>
      <c r="Q47" s="22"/>
      <c r="R47" s="22"/>
      <c r="S47" s="31">
        <f t="shared" si="3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-12T07:52:12-600',mode:absolute,to:'2017-03-12T10:38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23.299299999999999</v>
      </c>
      <c r="Z47" s="62">
        <f t="shared" si="9"/>
        <v>1.54E-2</v>
      </c>
      <c r="AA47" s="62">
        <f t="shared" si="10"/>
        <v>23.283899999999999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0136-12</v>
      </c>
      <c r="AE47" s="85" t="str">
        <f t="shared" si="12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47" s="82" t="str">
        <f t="shared" si="13"/>
        <v>"C:\Program Files (x86)\AstroGrep\AstroGrep.exe" /e /r /s /spath="%USERPROFILE%\AppData\Local\Temp\OnboardLogs" /stypes="app*4005*20170312*"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136-12 --locoid 4005 --swversion DE.1.0.9.0 --startMP 204:232993 --initTime 2017-03-12T08:52:12 --startdatetime 2017-03-12T08:53:09 --delay 0 --endMP 204:154 --enddatetime 2017-03-12T09:38:01 --enforcementcount 0 &gt;&gt;C:\Users\stu\Documents\GitHub\eaglep3-reporting\EC\2017-03-12-refined-times.txt</v>
      </c>
      <c r="AI4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{"issue":{"subject":"","project_id":79,"tracker_id":40,"status_id":1,"priority_id":2,"assigned_to_id":23,"start_date":"2017-03-12","description":"","custom_fields":[{"id":1,"name":"Subdivision","value":"EC"},{"id":4,"name":"Milepost","value":"0.0154"},{"id":17,"name":"Train ID","value":"136-12"},{"id":16,"name":"Locomotive ID","value":"4005"},{"id":130,"name":"Impact","value":""},{"id":150,"name":"Time of Event (Mountain Time)","value":"09:38:01"},{"id":151,"name":"Denver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4005 --day 2017-03-12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685</v>
      </c>
      <c r="B48" s="7">
        <v>4020</v>
      </c>
      <c r="C48" s="21" t="s">
        <v>242</v>
      </c>
      <c r="D48" s="21" t="s">
        <v>216</v>
      </c>
      <c r="E48" s="13">
        <v>42806.339814814812</v>
      </c>
      <c r="F48" s="13">
        <v>42806.340740740743</v>
      </c>
      <c r="G48" s="7">
        <v>1</v>
      </c>
      <c r="H48" s="21" t="s">
        <v>843</v>
      </c>
      <c r="I48" s="13">
        <v>42806.36891203704</v>
      </c>
      <c r="J48" s="7">
        <v>0</v>
      </c>
      <c r="K48" s="98" t="str">
        <f t="shared" si="0"/>
        <v>4019/4020</v>
      </c>
      <c r="L48" s="21" t="str">
        <f>VLOOKUP(A48,'Trips&amp;Operators'!$C$1:$G$99999,5,FALSE)</f>
        <v>MAYBERRY BILL</v>
      </c>
      <c r="M48" s="6">
        <f t="shared" si="1"/>
        <v>2.8171296296932269E-2</v>
      </c>
      <c r="N48" s="7">
        <f t="shared" si="2"/>
        <v>40.566666667582467</v>
      </c>
      <c r="O48" s="7"/>
      <c r="P48" s="7"/>
      <c r="Q48" s="22"/>
      <c r="R48" s="22"/>
      <c r="S48" s="31">
        <f t="shared" si="3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-12T07:09:20-600',mode:absolute,to:'2017-03-12T09:51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4.5100000000000001E-2</v>
      </c>
      <c r="Z48" s="62">
        <f t="shared" si="9"/>
        <v>23.328600000000002</v>
      </c>
      <c r="AA48" s="62">
        <f t="shared" si="10"/>
        <v>23.2835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0137-12</v>
      </c>
      <c r="AE48" s="85" t="str">
        <f t="shared" si="12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48" s="82" t="str">
        <f t="shared" si="13"/>
        <v>"C:\Program Files (x86)\AstroGrep\AstroGrep.exe" /e /r /s /spath="%USERPROFILE%\AppData\Local\Temp\OnboardLogs" /stypes="app*4020*20170312*"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137-12 --locoid 4020 --swversion DE.1.0.9.0 --startMP 204:451 --initTime 2017-03-12T08:09:20 --startdatetime 2017-03-12T08:10:40 --delay 1 --endMP 204:233286 --enddatetime 2017-03-12T08:51:14 --enforcementcount 0 &gt;&gt;C:\Users\stu\Documents\GitHub\eaglep3-reporting\EC\2017-03-12-refined-times.txt</v>
      </c>
      <c r="AI4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{"issue":{"subject":"","project_id":79,"tracker_id":40,"status_id":1,"priority_id":2,"assigned_to_id":23,"start_date":"2017-03-12","description":"","custom_fields":[{"id":1,"name":"Subdivision","value":"EC"},{"id":4,"name":"Milepost","value":"23.3286"},{"id":17,"name":"Train ID","value":"137-12"},{"id":16,"name":"Locomotive ID","value":"4020"},{"id":130,"name":"Impact","value":""},{"id":150,"name":"Time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4020 --day 2017-03-12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690</v>
      </c>
      <c r="B49" s="7">
        <v>4019</v>
      </c>
      <c r="C49" s="21" t="s">
        <v>242</v>
      </c>
      <c r="D49" s="21" t="s">
        <v>497</v>
      </c>
      <c r="E49" s="13">
        <v>42806.370300925926</v>
      </c>
      <c r="F49" s="13">
        <v>42806.371076388888</v>
      </c>
      <c r="G49" s="7">
        <v>1</v>
      </c>
      <c r="H49" s="21" t="s">
        <v>202</v>
      </c>
      <c r="I49" s="13">
        <v>42806.410555555558</v>
      </c>
      <c r="J49" s="7">
        <v>0</v>
      </c>
      <c r="K49" s="98" t="str">
        <f t="shared" si="0"/>
        <v>4019/4020</v>
      </c>
      <c r="L49" s="21" t="str">
        <f>VLOOKUP(A49,'Trips&amp;Operators'!$C$1:$G$99999,5,FALSE)</f>
        <v>MAYBERRY BILL</v>
      </c>
      <c r="M49" s="6">
        <f t="shared" si="1"/>
        <v>3.9479166669480037E-2</v>
      </c>
      <c r="N49" s="7">
        <f t="shared" si="2"/>
        <v>56.850000004051253</v>
      </c>
      <c r="O49" s="7"/>
      <c r="P49" s="7"/>
      <c r="Q49" s="22"/>
      <c r="R49" s="22"/>
      <c r="S49" s="31">
        <f t="shared" si="3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-12T07:53:14-600',mode:absolute,to:'2017-03-12T10:51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23.298400000000001</v>
      </c>
      <c r="Z49" s="62">
        <f t="shared" si="9"/>
        <v>1.52E-2</v>
      </c>
      <c r="AA49" s="62">
        <f t="shared" si="10"/>
        <v>23.283200000000001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0138-12</v>
      </c>
      <c r="AE49" s="85" t="str">
        <f t="shared" si="12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49" s="82" t="str">
        <f t="shared" si="13"/>
        <v>"C:\Program Files (x86)\AstroGrep\AstroGrep.exe" /e /r /s /spath="%USERPROFILE%\AppData\Local\Temp\OnboardLogs" /stypes="app*4019*20170312*"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138-12 --locoid 4019 --swversion DE.1.0.9.0 --startMP 204:232984 --initTime 2017-03-12T08:53:14 --startdatetime 2017-03-12T08:54:21 --delay 1 --endMP 204:152 --enddatetime 2017-03-12T09:51:12 --enforcementcount 0 &gt;&gt;C:\Users\stu\Documents\GitHub\eaglep3-reporting\EC\2017-03-12-refined-times.txt</v>
      </c>
      <c r="AI4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{"issue":{"subject":"","project_id":79,"tracker_id":40,"status_id":1,"priority_id":2,"assigned_to_id":23,"start_date":"2017-03-12","description":"","custom_fields":[{"id":1,"name":"Subdivision","value":"EC"},{"id":4,"name":"Milepost","value":"0.0152"},{"id":17,"name":"Train ID","value":"138-12"},{"id":16,"name":"Locomotive ID","value":"4019"},{"id":130,"name":"Impact","value":""},{"id":150,"name":"Time of Event (Mountain Time)","value":"09:51:12"},{"id":151,"name":"Denver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4019 --day 2017-03-12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687</v>
      </c>
      <c r="B50" s="7">
        <v>4027</v>
      </c>
      <c r="C50" s="21" t="s">
        <v>242</v>
      </c>
      <c r="D50" s="21" t="s">
        <v>844</v>
      </c>
      <c r="E50" s="13">
        <v>42806.350636574076</v>
      </c>
      <c r="F50" s="13">
        <v>42806.3516087963</v>
      </c>
      <c r="G50" s="7">
        <v>1</v>
      </c>
      <c r="H50" s="21" t="s">
        <v>845</v>
      </c>
      <c r="I50" s="13">
        <v>42806.379062499997</v>
      </c>
      <c r="J50" s="7">
        <v>0</v>
      </c>
      <c r="K50" s="98" t="str">
        <f t="shared" si="0"/>
        <v>4027/4028</v>
      </c>
      <c r="L50" s="21" t="str">
        <f>VLOOKUP(A50,'Trips&amp;Operators'!$C$1:$G$99999,5,FALSE)</f>
        <v>DELGADO DIANAH</v>
      </c>
      <c r="M50" s="6">
        <f t="shared" si="1"/>
        <v>2.7453703696664888E-2</v>
      </c>
      <c r="N50" s="7">
        <f t="shared" si="2"/>
        <v>39.533333323197439</v>
      </c>
      <c r="O50" s="7"/>
      <c r="P50" s="7"/>
      <c r="Q50" s="22"/>
      <c r="R50" s="22"/>
      <c r="S50" s="31">
        <f t="shared" si="3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-12T07:24:55-600',mode:absolute,to:'2017-03-12T10:05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4.3099999999999999E-2</v>
      </c>
      <c r="Z50" s="62">
        <f t="shared" si="9"/>
        <v>23.3325</v>
      </c>
      <c r="AA50" s="62">
        <f t="shared" si="10"/>
        <v>23.289400000000001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0139-12</v>
      </c>
      <c r="AE50" s="85" t="str">
        <f t="shared" si="12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50" s="82" t="str">
        <f t="shared" si="13"/>
        <v>"C:\Program Files (x86)\AstroGrep\AstroGrep.exe" /e /r /s /spath="%USERPROFILE%\AppData\Local\Temp\OnboardLogs" /stypes="app*4027*20170312*"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139-12 --locoid 4027 --swversion DE.1.0.9.0 --startMP 204:431 --initTime 2017-03-12T08:24:55 --startdatetime 2017-03-12T08:26:19 --delay 1 --endMP 204:233325 --enddatetime 2017-03-12T09:05:51 --enforcementcount 0 &gt;&gt;C:\Users\stu\Documents\GitHub\eaglep3-reporting\EC\2017-03-12-refined-times.txt</v>
      </c>
      <c r="AI5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{"issue":{"subject":"","project_id":79,"tracker_id":40,"status_id":1,"priority_id":2,"assigned_to_id":23,"start_date":"2017-03-12","description":"","custom_fields":[{"id":1,"name":"Subdivision","value":"EC"},{"id":4,"name":"Milepost","value":"23.3325"},{"id":17,"name":"Train ID","value":"139-12"},{"id":16,"name":"Locomotive ID","value":"4027"},{"id":130,"name":"Impact","value":""},{"id":150,"name":"Time of Event (Mountain Time)","value":"09:05:51"},{"id":151,"name":"Denver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4027 --day 2017-03-12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693</v>
      </c>
      <c r="B51" s="7">
        <v>4028</v>
      </c>
      <c r="C51" s="21" t="s">
        <v>242</v>
      </c>
      <c r="D51" s="21" t="s">
        <v>267</v>
      </c>
      <c r="E51" s="13">
        <v>42806.382777777777</v>
      </c>
      <c r="F51" s="13">
        <v>42806.38380787037</v>
      </c>
      <c r="G51" s="7">
        <v>1</v>
      </c>
      <c r="H51" s="21" t="s">
        <v>192</v>
      </c>
      <c r="I51" s="13">
        <v>42806.420636574076</v>
      </c>
      <c r="J51" s="7">
        <v>0</v>
      </c>
      <c r="K51" s="98" t="str">
        <f t="shared" si="0"/>
        <v>4027/4028</v>
      </c>
      <c r="L51" s="21" t="str">
        <f>VLOOKUP(A51,'Trips&amp;Operators'!$C$1:$G$99999,5,FALSE)</f>
        <v>DELGADO DIANAH</v>
      </c>
      <c r="M51" s="6">
        <f t="shared" si="1"/>
        <v>3.6828703705396038E-2</v>
      </c>
      <c r="N51" s="7">
        <f t="shared" si="2"/>
        <v>53.033333335770294</v>
      </c>
      <c r="O51" s="7"/>
      <c r="P51" s="7"/>
      <c r="Q51" s="22"/>
      <c r="R51" s="22"/>
      <c r="S51" s="31">
        <f t="shared" si="3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-12T08:11:12-600',mode:absolute,to:'2017-03-12T11:05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23.3004</v>
      </c>
      <c r="Z51" s="62">
        <f t="shared" si="9"/>
        <v>1.4999999999999999E-2</v>
      </c>
      <c r="AA51" s="62">
        <f t="shared" si="10"/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0140-12</v>
      </c>
      <c r="AE51" s="85" t="str">
        <f t="shared" si="12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51" s="82" t="str">
        <f t="shared" si="13"/>
        <v>"C:\Program Files (x86)\AstroGrep\AstroGrep.exe" /e /r /s /spath="%USERPROFILE%\AppData\Local\Temp\OnboardLogs" /stypes="app*4028*20170312*" /stext=" 16:.+((SYSTEM_STATE.+slice.+state.+changed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140-12 --locoid 4028 --swversion DE.1.0.9.0 --startMP 204:233004 --initTime 2017-03-12T09:11:12 --startdatetime 2017-03-12T09:12:41 --delay 1 --endMP 204:150 --enddatetime 2017-03-12T10:05:43 --enforcementcount 0 &gt;&gt;C:\Users\stu\Documents\GitHub\eaglep3-reporting\EC\2017-03-12-refined-times.txt</v>
      </c>
      <c r="AI5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{"issue":{"subject":"","project_id":79,"tracker_id":40,"status_id":1,"priority_id":2,"assigned_to_id":23,"start_date":"2017-03-12","description":"","custom_fields":[{"id":1,"name":"Subdivision","value":"EC"},{"id":4,"name":"Milepost","value":"0.015"},{"id":17,"name":"Train ID","value":"140-12"},{"id":16,"name":"Locomotive ID","value":"4028"},{"id":130,"name":"Impact","value":""},{"id":150,"name":"Time of Event (Mountain Time)","value":"10:05:43"},{"id":151,"name":"Denver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4028 --day 2017-03-12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689</v>
      </c>
      <c r="B52" s="7">
        <v>4025</v>
      </c>
      <c r="C52" s="21" t="s">
        <v>242</v>
      </c>
      <c r="D52" s="21" t="s">
        <v>272</v>
      </c>
      <c r="E52" s="13">
        <v>42806.35900462963</v>
      </c>
      <c r="F52" s="13">
        <v>42806.360613425924</v>
      </c>
      <c r="G52" s="7">
        <v>2</v>
      </c>
      <c r="H52" s="21" t="s">
        <v>270</v>
      </c>
      <c r="I52" s="13">
        <v>42806.389374999999</v>
      </c>
      <c r="J52" s="7">
        <v>0</v>
      </c>
      <c r="K52" s="98" t="str">
        <f t="shared" si="0"/>
        <v>4025/4026</v>
      </c>
      <c r="L52" s="21" t="str">
        <f>VLOOKUP(A52,'Trips&amp;Operators'!$C$1:$G$99999,5,FALSE)</f>
        <v>SANTIZO D. EDY</v>
      </c>
      <c r="M52" s="6">
        <f t="shared" si="1"/>
        <v>2.8761574074451346E-2</v>
      </c>
      <c r="N52" s="7">
        <f t="shared" si="2"/>
        <v>41.416666667209938</v>
      </c>
      <c r="O52" s="7"/>
      <c r="P52" s="7"/>
      <c r="Q52" s="22"/>
      <c r="R52" s="22"/>
      <c r="S52" s="31">
        <f t="shared" si="3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-12T07:36:58-600',mode:absolute,to:'2017-03-12T10:20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4.4900000000000002E-2</v>
      </c>
      <c r="Z52" s="62">
        <f t="shared" si="9"/>
        <v>23.329499999999999</v>
      </c>
      <c r="AA52" s="62">
        <f t="shared" si="10"/>
        <v>23.284600000000001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0141-12</v>
      </c>
      <c r="AE52" s="85" t="str">
        <f t="shared" si="12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52" s="82" t="str">
        <f t="shared" si="13"/>
        <v>"C:\Program Files (x86)\AstroGrep\AstroGrep.exe" /e /r /s /spath="%USERPROFILE%\AppData\Local\Temp\OnboardLogs" /stypes="app*4025*20170312*"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141-12 --locoid 4025 --swversion DE.1.0.9.0 --startMP 204:449 --initTime 2017-03-12T08:36:58 --startdatetime 2017-03-12T08:39:17 --delay 2 --endMP 204:233295 --enddatetime 2017-03-12T09:20:42 --enforcementcount 0 &gt;&gt;C:\Users\stu\Documents\GitHub\eaglep3-reporting\EC\2017-03-12-refined-times.txt</v>
      </c>
      <c r="AI5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{"issue":{"subject":"","project_id":79,"tracker_id":40,"status_id":1,"priority_id":2,"assigned_to_id":23,"start_date":"2017-03-12","description":"","custom_fields":[{"id":1,"name":"Subdivision","value":"EC"},{"id":4,"name":"Milepost","value":"23.3295"},{"id":17,"name":"Train ID","value":"141-12"},{"id":16,"name":"Locomotive ID","value":"4025"},{"id":130,"name":"Impact","value":""},{"id":150,"name":"Time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4025 --day 2017-03-12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694</v>
      </c>
      <c r="B53" s="7">
        <v>4026</v>
      </c>
      <c r="C53" s="21" t="s">
        <v>242</v>
      </c>
      <c r="D53" s="21" t="s">
        <v>846</v>
      </c>
      <c r="E53" s="13">
        <v>42806.390486111108</v>
      </c>
      <c r="F53" s="13">
        <v>42806.391157407408</v>
      </c>
      <c r="G53" s="7">
        <v>0</v>
      </c>
      <c r="H53" s="21" t="s">
        <v>266</v>
      </c>
      <c r="I53" s="13">
        <v>42806.431666666664</v>
      </c>
      <c r="J53" s="7">
        <v>0</v>
      </c>
      <c r="K53" s="98" t="str">
        <f t="shared" si="0"/>
        <v>4025/4026</v>
      </c>
      <c r="L53" s="21" t="str">
        <f>VLOOKUP(A53,'Trips&amp;Operators'!$C$1:$G$99999,5,FALSE)</f>
        <v>SANTIZO D. EDY</v>
      </c>
      <c r="M53" s="6">
        <f t="shared" si="1"/>
        <v>4.050925925548654E-2</v>
      </c>
      <c r="N53" s="7">
        <f t="shared" si="2"/>
        <v>58.333333327900618</v>
      </c>
      <c r="O53" s="7"/>
      <c r="P53" s="7"/>
      <c r="Q53" s="22"/>
      <c r="R53" s="22"/>
      <c r="S53" s="31">
        <f t="shared" si="3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-12T08:22:18-600',mode:absolute,to:'2017-03-12T11:21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23.2973</v>
      </c>
      <c r="Z53" s="62">
        <f t="shared" si="9"/>
        <v>1.34E-2</v>
      </c>
      <c r="AA53" s="62">
        <f t="shared" si="10"/>
        <v>23.283899999999999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0142-12</v>
      </c>
      <c r="AE53" s="85" t="str">
        <f t="shared" si="12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53" s="82" t="str">
        <f t="shared" si="13"/>
        <v>"C:\Program Files (x86)\AstroGrep\AstroGrep.exe" /e /r /s /spath="%USERPROFILE%\AppData\Local\Temp\OnboardLogs" /stypes="app*4026*20170312*"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142-12 --locoid 4026 --swversion DE.1.0.9.0 --startMP 204:232973 --initTime 2017-03-12T09:22:18 --startdatetime 2017-03-12T09:23:16 --delay 0 --endMP 204:134 --enddatetime 2017-03-12T10:21:36 --enforcementcount 0 &gt;&gt;C:\Users\stu\Documents\GitHub\eaglep3-reporting\EC\2017-03-12-refined-times.txt</v>
      </c>
      <c r="AI53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{"issue":{"subject":"","project_id":79,"tracker_id":40,"status_id":1,"priority_id":2,"assigned_to_id":23,"start_date":"2017-03-12","description":"","custom_fields":[{"id":1,"name":"Subdivision","value":"EC"},{"id":4,"name":"Milepost","value":"0.0134"},{"id":17,"name":"Train ID","value":"142-12"},{"id":16,"name":"Locomotive ID","value":"4026"},{"id":130,"name":"Impact","value":""},{"id":150,"name":"Time of Event (Mountain Time)","value":"10:21:36"},{"id":151,"name":"Denver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4026 --day 2017-03-12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691</v>
      </c>
      <c r="B54" s="7">
        <v>4022</v>
      </c>
      <c r="C54" s="21" t="s">
        <v>242</v>
      </c>
      <c r="D54" s="21" t="s">
        <v>218</v>
      </c>
      <c r="E54" s="13">
        <v>42806.370625000003</v>
      </c>
      <c r="F54" s="13">
        <v>42806.372511574074</v>
      </c>
      <c r="G54" s="7">
        <v>2</v>
      </c>
      <c r="H54" s="21" t="s">
        <v>246</v>
      </c>
      <c r="I54" s="13">
        <v>42806.402233796296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SHOOK JOHN</v>
      </c>
      <c r="M54" s="6">
        <f t="shared" si="1"/>
        <v>2.9722222221607808E-2</v>
      </c>
      <c r="N54" s="7">
        <f t="shared" si="2"/>
        <v>42.799999999115244</v>
      </c>
      <c r="O54" s="7"/>
      <c r="P54" s="7"/>
      <c r="Q54" s="22"/>
      <c r="R54" s="22"/>
      <c r="S54" s="31">
        <f t="shared" si="3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-12T07:53:42-600',mode:absolute,to:'2017-03-12T10:39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4.5999999999999999E-2</v>
      </c>
      <c r="Z54" s="62">
        <f t="shared" si="9"/>
        <v>23.331399999999999</v>
      </c>
      <c r="AA54" s="62">
        <f t="shared" si="10"/>
        <v>23.285399999999999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0143-12</v>
      </c>
      <c r="AE54" s="85" t="str">
        <f t="shared" si="12"/>
        <v>aws s3 cp s3://rtdc.mdm.uploadarchive.raw/RTDC4022/ "%USERPROFILE%\AppData\Local\Temp\OnboardLogs"\RTDC4022\2017-03-12 --exclude "*" --recursive --include "*20170312*" &amp; "%USERPROFILE%\Documents\GitHub\mrs-test-scripts\Headless Mode &amp; Sideloading\WalkAndUnGZ.bat" "%USERPROFILE%\AppData\Local\Temp\OnboardLogs"\RTDC4022\2017-03-12 &amp; aws s3 cp s3://rtdc.mdm.uploadarchive.raw/RTDC4022/ "%USERPROFILE%\AppData\Local\Temp\OnboardLogs"\RTDC4022\2017-03-13 --exclude "*" --recursive --include "*20170313*" &amp; "%USERPROFILE%\Documents\GitHub\mrs-test-scripts\Headless Mode &amp; Sideloading\WalkAndUnGZ.bat" "%USERPROFILE%\AppData\Local\Temp\OnboardLogs"\RTDC4022\2017-03-13</v>
      </c>
      <c r="AF54" s="82" t="str">
        <f t="shared" si="13"/>
        <v>"C:\Program Files (x86)\AstroGrep\AstroGrep.exe" /e /r /s /spath="%USERPROFILE%\AppData\Local\Temp\OnboardLogs" /stypes="app*4022*20170312*"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143-12 --locoid 4022 --swversion DE.1.0.9.0 --startMP 204:460 --initTime 2017-03-12T08:53:42 --startdatetime 2017-03-12T08:56:25 --delay 2 --endMP 204:233314 --enddatetime 2017-03-12T09:39:13 --enforcementcount 0 &gt;&gt;C:\Users\stu\Documents\GitHub\eaglep3-reporting\EC\2017-03-12-refined-times.txt</v>
      </c>
      <c r="AI54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{"issue":{"subject":"","project_id":79,"tracker_id":40,"status_id":1,"priority_id":2,"assigned_to_id":23,"start_date":"2017-03-12","description":"","custom_fields":[{"id":1,"name":"Subdivision","value":"EC"},{"id":4,"name":"Milepost","value":"23.3314"},{"id":17,"name":"Train ID","value":"143-12"},{"id":16,"name":"Locomotive ID","value":"4022"},{"id":130,"name":"Impact","value":""},{"id":150,"name":"Time of Event (Mountain Time)","value":"09:39:13"},{"id":151,"name":"Denver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4022 --day 2017-03-12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"%USERPROFILE%\AppData\Local\Temp\OnboardLogs"\RTDC4022\*4022*20170312* | grep -SE "(Enforcement Action)|(\[TIMEOUT)|(CHR.+\|PRM\|1\|D.+(SWITCH|SIGNAL).+UNKNOWN)" - &gt;&gt; 2017-03-12-UncaughtWiMAX.txt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592</v>
      </c>
      <c r="B55" s="7">
        <v>4021</v>
      </c>
      <c r="C55" s="21" t="s">
        <v>242</v>
      </c>
      <c r="D55" s="21" t="s">
        <v>263</v>
      </c>
      <c r="E55" s="13">
        <v>42806.403784722221</v>
      </c>
      <c r="F55" s="13">
        <v>42806.404756944445</v>
      </c>
      <c r="G55" s="7">
        <v>1</v>
      </c>
      <c r="H55" s="21" t="s">
        <v>208</v>
      </c>
      <c r="I55" s="13">
        <v>42806.446747685186</v>
      </c>
      <c r="J55" s="7">
        <v>0</v>
      </c>
      <c r="K55" s="98" t="str">
        <f t="shared" si="0"/>
        <v>4021/4022</v>
      </c>
      <c r="L55" s="21" t="str">
        <f>VLOOKUP(A55,'Trips&amp;Operators'!$C$1:$G$99999,5,FALSE)</f>
        <v>SHOOK JOHN</v>
      </c>
      <c r="M55" s="6">
        <f t="shared" si="1"/>
        <v>4.1990740741312038E-2</v>
      </c>
      <c r="N55" s="7">
        <f t="shared" si="2"/>
        <v>60.466666667489335</v>
      </c>
      <c r="O55" s="7"/>
      <c r="P55" s="7"/>
      <c r="Q55" s="22"/>
      <c r="R55" s="22"/>
      <c r="S55" s="31">
        <f t="shared" si="3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-12T08:41:27-600',mode:absolute,to:'2017-03-12T11:43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23.3</v>
      </c>
      <c r="Z55" s="62">
        <f t="shared" si="9"/>
        <v>1.54E-2</v>
      </c>
      <c r="AA55" s="62">
        <f t="shared" si="10"/>
        <v>23.284600000000001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0144-12</v>
      </c>
      <c r="AE55" s="85" t="str">
        <f t="shared" si="12"/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AF55" s="82" t="str">
        <f t="shared" si="13"/>
        <v>"C:\Program Files (x86)\AstroGrep\AstroGrep.exe" /e /r /s /spath="%USERPROFILE%\AppData\Local\Temp\OnboardLogs" /stypes="app*4021*20170312*"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144-12 --locoid 4021 --swversion DE.1.0.9.0 --startMP 204:233000 --initTime 2017-03-12T09:41:27 --startdatetime 2017-03-12T09:42:51 --delay 1 --endMP 204:154 --enddatetime 2017-03-12T10:43:19 --enforcementcount 0 &gt;&gt;C:\Users\stu\Documents\GitHub\eaglep3-reporting\EC\2017-03-12-refined-times.txt</v>
      </c>
      <c r="AI5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{"issue":{"subject":"","project_id":79,"tracker_id":40,"status_id":1,"priority_id":2,"assigned_to_id":23,"start_date":"2017-03-12","description":"","custom_fields":[{"id":1,"name":"Subdivision","value":"EC"},{"id":4,"name":"Milepost","value":"0.0154"},{"id":17,"name":"Train ID","value":"144-12"},{"id":16,"name":"Locomotive ID","value":"4021"},{"id":130,"name":"Impact","value":""},{"id":150,"name":"Time of Event (Mountain Time)","value":"10:43:19"},{"id":151,"name":"Denver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4021 --day 2017-03-12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"%USERPROFILE%\AppData\Local\Temp\OnboardLogs"\RTDC4021\*4021*20170312* | grep -SE "(Enforcement Action)|(\[TIMEOUT)|(CHR.+\|PRM\|1\|D.+(SWITCH|SIGNAL).+UNKNOWN)" - &gt;&gt; 2017-03-12-UncaughtWiMAX.txt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692</v>
      </c>
      <c r="B56" s="7">
        <v>4042</v>
      </c>
      <c r="C56" s="21" t="s">
        <v>242</v>
      </c>
      <c r="D56" s="21" t="s">
        <v>500</v>
      </c>
      <c r="E56" s="13">
        <v>42806.381053240744</v>
      </c>
      <c r="F56" s="13">
        <v>42806.381886574076</v>
      </c>
      <c r="G56" s="7">
        <v>1</v>
      </c>
      <c r="H56" s="21" t="s">
        <v>247</v>
      </c>
      <c r="I56" s="13">
        <v>42806.411851851852</v>
      </c>
      <c r="J56" s="7">
        <v>0</v>
      </c>
      <c r="K56" s="98" t="str">
        <f t="shared" si="0"/>
        <v>4041/4042</v>
      </c>
      <c r="L56" s="21" t="str">
        <f>VLOOKUP(A56,'Trips&amp;Operators'!$C$1:$G$99999,5,FALSE)</f>
        <v>MAELZER KURT</v>
      </c>
      <c r="M56" s="6">
        <f t="shared" si="1"/>
        <v>2.9965277775772847E-2</v>
      </c>
      <c r="N56" s="7">
        <f t="shared" si="2"/>
        <v>43.1499999971129</v>
      </c>
      <c r="O56" s="7"/>
      <c r="P56" s="7"/>
      <c r="Q56" s="22"/>
      <c r="R56" s="22"/>
      <c r="S56" s="31">
        <f t="shared" si="3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-12T08:08:43-600',mode:absolute,to:'2017-03-12T10:53:04-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4.3799999999999999E-2</v>
      </c>
      <c r="Z56" s="62">
        <f t="shared" si="9"/>
        <v>23.329699999999999</v>
      </c>
      <c r="AA56" s="62">
        <f t="shared" si="10"/>
        <v>23.285899999999998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0145-12</v>
      </c>
      <c r="AE56" s="85" t="str">
        <f t="shared" si="12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56" s="82" t="str">
        <f t="shared" si="13"/>
        <v>"C:\Program Files (x86)\AstroGrep\AstroGrep.exe" /e /r /s /spath="%USERPROFILE%\AppData\Local\Temp\OnboardLogs" /stypes="app*4042*20170312*"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145-12 --locoid 4042 --swversion DE.1.0.9.0 --startMP 204:438 --initTime 2017-03-12T09:08:43 --startdatetime 2017-03-12T09:09:55 --delay 1 --endMP 204:233297 --enddatetime 2017-03-12T09:53:04 --enforcementcount 0 &gt;&gt;C:\Users\stu\Documents\GitHub\eaglep3-reporting\EC\2017-03-12-refined-times.txt</v>
      </c>
      <c r="AI56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{"issue":{"subject":"","project_id":79,"tracker_id":40,"status_id":1,"priority_id":2,"assigned_to_id":23,"start_date":"2017-03-12","description":"","custom_fields":[{"id":1,"name":"Subdivision","value":"EC"},{"id":4,"name":"Milepost","value":"23.3297"},{"id":17,"name":"Train ID","value":"145-12"},{"id":16,"name":"Locomotive ID","value":"4042"},{"id":130,"name":"Impact","value":""},{"id":150,"name":"Time of Event (Mountain Time)","value":"09:53:04"},{"id":151,"name":"Denver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4042 --day 2017-03-12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698</v>
      </c>
      <c r="B57" s="7">
        <v>4041</v>
      </c>
      <c r="C57" s="21" t="s">
        <v>242</v>
      </c>
      <c r="D57" s="21" t="s">
        <v>273</v>
      </c>
      <c r="E57" s="13">
        <v>42806.421678240738</v>
      </c>
      <c r="F57" s="13">
        <v>42806.422349537039</v>
      </c>
      <c r="G57" s="7">
        <v>0</v>
      </c>
      <c r="H57" s="21" t="s">
        <v>418</v>
      </c>
      <c r="I57" s="13">
        <v>42806.452777777777</v>
      </c>
      <c r="J57" s="7">
        <v>0</v>
      </c>
      <c r="K57" s="98" t="str">
        <f t="shared" si="0"/>
        <v>4041/4042</v>
      </c>
      <c r="L57" s="21" t="str">
        <f>VLOOKUP(A57,'Trips&amp;Operators'!$C$1:$G$99999,5,FALSE)</f>
        <v>MAELZER KURT</v>
      </c>
      <c r="M57" s="6">
        <f t="shared" si="1"/>
        <v>3.0428240737819578E-2</v>
      </c>
      <c r="N57" s="7">
        <f t="shared" si="2"/>
        <v>43.816666662460193</v>
      </c>
      <c r="O57" s="7"/>
      <c r="P57" s="7"/>
      <c r="Q57" s="22"/>
      <c r="R57" s="22"/>
      <c r="S57" s="31">
        <f t="shared" si="3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-12T09:07:13-600',mode:absolute,to:'2017-03-12T11:52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23.2971</v>
      </c>
      <c r="Z57" s="62">
        <f t="shared" si="9"/>
        <v>1.43E-2</v>
      </c>
      <c r="AA57" s="62">
        <f t="shared" si="10"/>
        <v>23.282800000000002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0146-12</v>
      </c>
      <c r="AE57" s="85" t="str">
        <f t="shared" si="12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57" s="82" t="str">
        <f t="shared" si="13"/>
        <v>"C:\Program Files (x86)\AstroGrep\AstroGrep.exe" /e /r /s /spath="%USERPROFILE%\AppData\Local\Temp\OnboardLogs" /stypes="app*4041*20170312*"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146-12 --locoid 4041 --swversion DE.1.0.9.0 --startMP 204:232971 --initTime 2017-03-12T10:07:13 --startdatetime 2017-03-12T10:08:11 --delay 0 --endMP 204:143 --enddatetime 2017-03-12T10:52:00 --enforcementcount 0 &gt;&gt;C:\Users\stu\Documents\GitHub\eaglep3-reporting\EC\2017-03-12-refined-times.txt</v>
      </c>
      <c r="AI5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{"issue":{"subject":"","project_id":79,"tracker_id":40,"status_id":1,"priority_id":2,"assigned_to_id":23,"start_date":"2017-03-12","description":"","custom_fields":[{"id":1,"name":"Subdivision","value":"EC"},{"id":4,"name":"Milepost","value":"0.0143"},{"id":17,"name":"Train ID","value":"146-12"},{"id":16,"name":"Locomotive ID","value":"4041"},{"id":130,"name":"Impact","value":""},{"id":150,"name":"Time of Event (Mountain Time)","value":"10:52:00"},{"id":151,"name":"Denver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4041 --day 2017-03-12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591</v>
      </c>
      <c r="B58" s="7">
        <v>4053</v>
      </c>
      <c r="C58" s="21" t="s">
        <v>242</v>
      </c>
      <c r="D58" s="21" t="s">
        <v>438</v>
      </c>
      <c r="E58" s="13">
        <v>42806.392824074072</v>
      </c>
      <c r="F58" s="13">
        <v>42806.394155092596</v>
      </c>
      <c r="G58" s="7">
        <v>1</v>
      </c>
      <c r="H58" s="21" t="s">
        <v>538</v>
      </c>
      <c r="I58" s="13">
        <v>42806.423229166663</v>
      </c>
      <c r="J58" s="7">
        <v>0</v>
      </c>
      <c r="K58" s="98" t="str">
        <f t="shared" si="0"/>
        <v>4053/4054</v>
      </c>
      <c r="L58" s="21" t="str">
        <f>VLOOKUP(A58,'Trips&amp;Operators'!$C$1:$G$99999,5,FALSE)</f>
        <v>BADERTSCHER DIANE</v>
      </c>
      <c r="M58" s="6">
        <f t="shared" si="1"/>
        <v>2.9074074067466427E-2</v>
      </c>
      <c r="N58" s="7">
        <f t="shared" si="2"/>
        <v>41.866666657151654</v>
      </c>
      <c r="O58" s="7"/>
      <c r="P58" s="7"/>
      <c r="Q58" s="22"/>
      <c r="R58" s="22"/>
      <c r="S58" s="31">
        <f t="shared" si="3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-12T08:25:40-600',mode:absolute,to:'2017-03-12T11:09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4.7500000000000001E-2</v>
      </c>
      <c r="Z58" s="62">
        <f t="shared" si="9"/>
        <v>23.3276</v>
      </c>
      <c r="AA58" s="62">
        <f t="shared" si="10"/>
        <v>23.280100000000001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11"/>
        <v>0147-12</v>
      </c>
      <c r="AE58" s="85" t="str">
        <f t="shared" si="12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58" s="82" t="str">
        <f t="shared" si="13"/>
        <v>"C:\Program Files (x86)\AstroGrep\AstroGrep.exe" /e /r /s /spath="%USERPROFILE%\AppData\Local\Temp\OnboardLogs" /stypes="app*4053*20170312*"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147-12 --locoid 4053 --swversion DE.1.0.9.0 --startMP 204:475 --initTime 2017-03-12T09:25:40 --startdatetime 2017-03-12T09:27:35 --delay 1 --endMP 204:233276 --enddatetime 2017-03-12T10:09:27 --enforcementcount 0 &gt;&gt;C:\Users\stu\Documents\GitHub\eaglep3-reporting\EC\2017-03-12-refined-times.txt</v>
      </c>
      <c r="AI5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{"issue":{"subject":"","project_id":79,"tracker_id":40,"status_id":1,"priority_id":2,"assigned_to_id":23,"start_date":"2017-03-12","description":"","custom_fields":[{"id":1,"name":"Subdivision","value":"EC"},{"id":4,"name":"Milepost","value":"23.3276"},{"id":17,"name":"Train ID","value":"147-12"},{"id":16,"name":"Locomotive ID","value":"4053"},{"id":130,"name":"Impact","value":""},{"id":150,"name":"Time of Event (Mountain Time)","value":"10:09:27"},{"id":151,"name":"Denver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4053 --day 2017-03-12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594</v>
      </c>
      <c r="B59" s="7">
        <v>4054</v>
      </c>
      <c r="C59" s="21" t="s">
        <v>242</v>
      </c>
      <c r="D59" s="21" t="s">
        <v>542</v>
      </c>
      <c r="E59" s="13">
        <v>42806.425532407404</v>
      </c>
      <c r="F59" s="13">
        <v>42806.426354166666</v>
      </c>
      <c r="G59" s="7">
        <v>1</v>
      </c>
      <c r="H59" s="21" t="s">
        <v>827</v>
      </c>
      <c r="I59" s="13">
        <v>42806.466979166667</v>
      </c>
      <c r="J59" s="7">
        <v>0</v>
      </c>
      <c r="K59" s="98" t="str">
        <f t="shared" si="0"/>
        <v>4053/4054</v>
      </c>
      <c r="L59" s="21" t="str">
        <f>VLOOKUP(A59,'Trips&amp;Operators'!$C$1:$G$99999,5,FALSE)</f>
        <v>BADERTSCHER DIANE</v>
      </c>
      <c r="M59" s="6">
        <f t="shared" si="1"/>
        <v>4.0625000001455192E-2</v>
      </c>
      <c r="N59" s="7">
        <f t="shared" si="2"/>
        <v>58.500000002095476</v>
      </c>
      <c r="O59" s="7"/>
      <c r="P59" s="7"/>
      <c r="Q59" s="22"/>
      <c r="R59" s="22"/>
      <c r="S59" s="31">
        <f t="shared" si="3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-12T09:12:46-600',mode:absolute,to:'2017-03-12T12:12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23.298500000000001</v>
      </c>
      <c r="Z59" s="62">
        <f t="shared" si="9"/>
        <v>1.2500000000000001E-2</v>
      </c>
      <c r="AA59" s="62">
        <f t="shared" si="10"/>
        <v>23.286000000000001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1"/>
        <v>0148-12</v>
      </c>
      <c r="AE59" s="85" t="str">
        <f t="shared" si="12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59" s="82" t="str">
        <f t="shared" si="13"/>
        <v>"C:\Program Files (x86)\AstroGrep\AstroGrep.exe" /e /r /s /spath="%USERPROFILE%\AppData\Local\Temp\OnboardLogs" /stypes="app*4054*20170312*" /stext=" 17:.+((SYSTEM_STATE.+slice.+state.+changed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148-12 --locoid 4054 --swversion DE.1.0.9.0 --startMP 204:232985 --initTime 2017-03-12T10:12:46 --startdatetime 2017-03-12T10:13:57 --delay 1 --endMP 204:125 --enddatetime 2017-03-12T11:12:27 --enforcementcount 0 &gt;&gt;C:\Users\stu\Documents\GitHub\eaglep3-reporting\EC\2017-03-12-refined-times.txt</v>
      </c>
      <c r="AI5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{"issue":{"subject":"","project_id":79,"tracker_id":40,"status_id":1,"priority_id":2,"assigned_to_id":23,"start_date":"2017-03-12","description":"","custom_fields":[{"id":1,"name":"Subdivision","value":"EC"},{"id":4,"name":"Milepost","value":"0.0125"},{"id":17,"name":"Train ID","value":"148-12"},{"id":16,"name":"Locomotive ID","value":"4054"},{"id":130,"name":"Impact","value":""},{"id":150,"name":"Time of Event (Mountain Time)","value":"11:12:27"},{"id":151,"name":"Denver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4054 --day 2017-03-12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696</v>
      </c>
      <c r="B60" s="7">
        <v>4006</v>
      </c>
      <c r="C60" s="21" t="s">
        <v>242</v>
      </c>
      <c r="D60" s="21" t="s">
        <v>217</v>
      </c>
      <c r="E60" s="13">
        <v>42806.402812499997</v>
      </c>
      <c r="F60" s="13">
        <v>42806.403726851851</v>
      </c>
      <c r="G60" s="7">
        <v>1</v>
      </c>
      <c r="H60" s="21" t="s">
        <v>498</v>
      </c>
      <c r="I60" s="13">
        <v>42806.43246527778</v>
      </c>
      <c r="J60" s="7">
        <v>0</v>
      </c>
      <c r="K60" s="98" t="str">
        <f t="shared" si="0"/>
        <v>4005/4006</v>
      </c>
      <c r="L60" s="21" t="str">
        <f>VLOOKUP(A60,'Trips&amp;Operators'!$C$1:$G$99999,5,FALSE)</f>
        <v>DAVIS WENDY</v>
      </c>
      <c r="M60" s="6">
        <f t="shared" si="1"/>
        <v>2.8738425928167999E-2</v>
      </c>
      <c r="N60" s="7">
        <f t="shared" si="2"/>
        <v>41.383333336561918</v>
      </c>
      <c r="O60" s="7"/>
      <c r="P60" s="7"/>
      <c r="Q60" s="22"/>
      <c r="R60" s="22"/>
      <c r="S60" s="31">
        <f t="shared" si="3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-12T08:40:03-600',mode:absolute,to:'2017-03-12T11:22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4.5699999999999998E-2</v>
      </c>
      <c r="Z60" s="62">
        <f t="shared" si="9"/>
        <v>23.3293</v>
      </c>
      <c r="AA60" s="62">
        <f t="shared" si="10"/>
        <v>23.2836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0149-12</v>
      </c>
      <c r="AE60" s="85" t="str">
        <f t="shared" si="12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60" s="82" t="str">
        <f t="shared" si="13"/>
        <v>"C:\Program Files (x86)\AstroGrep\AstroGrep.exe" /e /r /s /spath="%USERPROFILE%\AppData\Local\Temp\OnboardLogs" /stypes="app*4006*20170312*"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149-12 --locoid 4006 --swversion DE.1.0.9.0 --startMP 204:457 --initTime 2017-03-12T09:40:03 --startdatetime 2017-03-12T09:41:22 --delay 1 --endMP 204:233293 --enddatetime 2017-03-12T10:22:45 --enforcementcount 0 &gt;&gt;C:\Users\stu\Documents\GitHub\eaglep3-reporting\EC\2017-03-12-refined-times.txt</v>
      </c>
      <c r="AI6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{"issue":{"subject":"","project_id":79,"tracker_id":40,"status_id":1,"priority_id":2,"assigned_to_id":23,"start_date":"2017-03-12","description":"","custom_fields":[{"id":1,"name":"Subdivision","value":"EC"},{"id":4,"name":"Milepost","value":"23.3293"},{"id":17,"name":"Train ID","value":"149-12"},{"id":16,"name":"Locomotive ID","value":"4006"},{"id":130,"name":"Impact","value":""},{"id":150,"name":"Time of Event (Mountain Time)","value":"10:22:45"},{"id":151,"name":"Denver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4006 --day 2017-03-12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704</v>
      </c>
      <c r="B61" s="7">
        <v>4005</v>
      </c>
      <c r="C61" s="21" t="s">
        <v>242</v>
      </c>
      <c r="D61" s="21" t="s">
        <v>847</v>
      </c>
      <c r="E61" s="13">
        <v>42806.440462962964</v>
      </c>
      <c r="F61" s="13">
        <v>42806.441481481481</v>
      </c>
      <c r="G61" s="7">
        <v>1</v>
      </c>
      <c r="H61" s="21" t="s">
        <v>232</v>
      </c>
      <c r="I61" s="13">
        <v>42806.479247685187</v>
      </c>
      <c r="J61" s="7">
        <v>0</v>
      </c>
      <c r="K61" s="98" t="str">
        <f t="shared" si="0"/>
        <v>4005/4006</v>
      </c>
      <c r="L61" s="21" t="str">
        <f>VLOOKUP(A61,'Trips&amp;Operators'!$C$1:$G$99999,5,FALSE)</f>
        <v>DAVIS WENDY</v>
      </c>
      <c r="M61" s="6">
        <f t="shared" si="1"/>
        <v>3.7766203706269152E-2</v>
      </c>
      <c r="N61" s="7">
        <f t="shared" si="2"/>
        <v>54.38333333702758</v>
      </c>
      <c r="O61" s="7"/>
      <c r="P61" s="7"/>
      <c r="Q61" s="22"/>
      <c r="R61" s="22"/>
      <c r="S61" s="31">
        <f t="shared" si="3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-12T09:34:16-600',mode:absolute,to:'2017-03-12T12:30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23.297699999999999</v>
      </c>
      <c r="Z61" s="62">
        <f t="shared" si="9"/>
        <v>1.5599999999999999E-2</v>
      </c>
      <c r="AA61" s="62">
        <f t="shared" si="10"/>
        <v>23.2821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0150-12</v>
      </c>
      <c r="AE61" s="85" t="str">
        <f t="shared" si="12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61" s="82" t="str">
        <f t="shared" si="13"/>
        <v>"C:\Program Files (x86)\AstroGrep\AstroGrep.exe" /e /r /s /spath="%USERPROFILE%\AppData\Local\Temp\OnboardLogs" /stypes="app*4005*20170312*"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150-12 --locoid 4005 --swversion DE.1.0.9.0 --startMP 204:232977 --initTime 2017-03-12T10:34:16 --startdatetime 2017-03-12T10:35:44 --delay 1 --endMP 204:156 --enddatetime 2017-03-12T11:30:07 --enforcementcount 0 &gt;&gt;C:\Users\stu\Documents\GitHub\eaglep3-reporting\EC\2017-03-12-refined-times.txt</v>
      </c>
      <c r="AI6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{"issue":{"subject":"","project_id":79,"tracker_id":40,"status_id":1,"priority_id":2,"assigned_to_id":23,"start_date":"2017-03-12","description":"","custom_fields":[{"id":1,"name":"Subdivision","value":"EC"},{"id":4,"name":"Milepost","value":"0.0156"},{"id":17,"name":"Train ID","value":"150-12"},{"id":16,"name":"Locomotive ID","value":"4005"},{"id":130,"name":"Impact","value":""},{"id":150,"name":"Time of Event (Mountain Time)","value":"11:30:07"},{"id":151,"name":"Denver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4005 --day 2017-03-12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697</v>
      </c>
      <c r="B62" s="7">
        <v>4020</v>
      </c>
      <c r="C62" s="21" t="s">
        <v>242</v>
      </c>
      <c r="D62" s="21" t="s">
        <v>216</v>
      </c>
      <c r="E62" s="13">
        <v>42806.412141203706</v>
      </c>
      <c r="F62" s="13">
        <v>42806.413576388892</v>
      </c>
      <c r="G62" s="7">
        <v>2</v>
      </c>
      <c r="H62" s="21" t="s">
        <v>494</v>
      </c>
      <c r="I62" s="13">
        <v>42806.442453703705</v>
      </c>
      <c r="J62" s="7">
        <v>0</v>
      </c>
      <c r="K62" s="98" t="str">
        <f t="shared" si="0"/>
        <v>4019/4020</v>
      </c>
      <c r="L62" s="21" t="str">
        <f>VLOOKUP(A62,'Trips&amp;Operators'!$C$1:$G$99999,5,FALSE)</f>
        <v>ROBINSON KADDIBA</v>
      </c>
      <c r="M62" s="6">
        <f t="shared" si="1"/>
        <v>2.8877314813144039E-2</v>
      </c>
      <c r="N62" s="7">
        <f t="shared" si="2"/>
        <v>41.583333330927417</v>
      </c>
      <c r="O62" s="7"/>
      <c r="P62" s="7"/>
      <c r="Q62" s="22"/>
      <c r="R62" s="22"/>
      <c r="S62" s="31">
        <f t="shared" si="3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-12T08:53:29-600',mode:absolute,to:'2017-03-12T11:37:08-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4.5100000000000001E-2</v>
      </c>
      <c r="Z62" s="62">
        <f t="shared" si="9"/>
        <v>23.3306</v>
      </c>
      <c r="AA62" s="62">
        <f t="shared" si="10"/>
        <v>23.285499999999999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0151-12</v>
      </c>
      <c r="AE62" s="85" t="str">
        <f t="shared" si="12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62" s="82" t="str">
        <f t="shared" si="13"/>
        <v>"C:\Program Files (x86)\AstroGrep\AstroGrep.exe" /e /r /s /spath="%USERPROFILE%\AppData\Local\Temp\OnboardLogs" /stypes="app*4020*20170312*"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151-12 --locoid 4020 --swversion DE.1.0.9.0 --startMP 204:451 --initTime 2017-03-12T09:53:29 --startdatetime 2017-03-12T09:55:33 --delay 2 --endMP 204:233306 --enddatetime 2017-03-12T10:37:08 --enforcementcount 0 &gt;&gt;C:\Users\stu\Documents\GitHub\eaglep3-reporting\EC\2017-03-12-refined-times.txt</v>
      </c>
      <c r="AI6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{"issue":{"subject":"","project_id":79,"tracker_id":40,"status_id":1,"priority_id":2,"assigned_to_id":23,"start_date":"2017-03-12","description":"","custom_fields":[{"id":1,"name":"Subdivision","value":"EC"},{"id":4,"name":"Milepost","value":"23.3306"},{"id":17,"name":"Train ID","value":"151-12"},{"id":16,"name":"Locomotive ID","value":"4020"},{"id":130,"name":"Impact","value":""},{"id":150,"name":"Time of Event (Mountain Time)","value":"10:37:08"},{"id":151,"name":"Denver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4020 --day 2017-03-12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705</v>
      </c>
      <c r="B63" s="7">
        <v>4019</v>
      </c>
      <c r="C63" s="21" t="s">
        <v>242</v>
      </c>
      <c r="D63" s="21" t="s">
        <v>542</v>
      </c>
      <c r="E63" s="13">
        <v>42806.450578703705</v>
      </c>
      <c r="F63" s="13">
        <v>42806.451481481483</v>
      </c>
      <c r="G63" s="7">
        <v>1</v>
      </c>
      <c r="H63" s="21" t="s">
        <v>235</v>
      </c>
      <c r="I63" s="13">
        <v>42806.484282407408</v>
      </c>
      <c r="J63" s="7">
        <v>0</v>
      </c>
      <c r="K63" s="98" t="str">
        <f t="shared" si="0"/>
        <v>4019/4020</v>
      </c>
      <c r="L63" s="21" t="str">
        <f>VLOOKUP(A63,'Trips&amp;Operators'!$C$1:$G$99999,5,FALSE)</f>
        <v>ROBINSON KADDIBA</v>
      </c>
      <c r="M63" s="6">
        <f t="shared" si="1"/>
        <v>3.2800925924675539E-2</v>
      </c>
      <c r="N63" s="7">
        <f t="shared" si="2"/>
        <v>47.233333331532776</v>
      </c>
      <c r="O63" s="7"/>
      <c r="P63" s="7"/>
      <c r="Q63" s="22"/>
      <c r="R63" s="22"/>
      <c r="S63" s="31">
        <f t="shared" si="3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-12T09:48:50-600',mode:absolute,to:'2017-03-12T12:37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23.298500000000001</v>
      </c>
      <c r="Z63" s="62">
        <f t="shared" si="9"/>
        <v>1.47E-2</v>
      </c>
      <c r="AA63" s="62">
        <f t="shared" si="10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0152-12</v>
      </c>
      <c r="AE63" s="85" t="str">
        <f t="shared" si="12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63" s="82" t="str">
        <f t="shared" si="13"/>
        <v>"C:\Program Files (x86)\AstroGrep\AstroGrep.exe" /e /r /s /spath="%USERPROFILE%\AppData\Local\Temp\OnboardLogs" /stypes="app*4019*20170312*"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152-12 --locoid 4019 --swversion DE.1.0.9.0 --startMP 204:232985 --initTime 2017-03-12T10:48:50 --startdatetime 2017-03-12T10:50:08 --delay 1 --endMP 204:147 --enddatetime 2017-03-12T11:37:22 --enforcementcount 0 &gt;&gt;C:\Users\stu\Documents\GitHub\eaglep3-reporting\EC\2017-03-12-refined-times.txt</v>
      </c>
      <c r="AI63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{"issue":{"subject":"","project_id":79,"tracker_id":40,"status_id":1,"priority_id":2,"assigned_to_id":23,"start_date":"2017-03-12","description":"","custom_fields":[{"id":1,"name":"Subdivision","value":"EC"},{"id":4,"name":"Milepost","value":"0.0147"},{"id":17,"name":"Train ID","value":"152-12"},{"id":16,"name":"Locomotive ID","value":"4019"},{"id":130,"name":"Impact","value":""},{"id":150,"name":"Time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4019 --day 2017-03-12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699</v>
      </c>
      <c r="B64" s="7">
        <v>4027</v>
      </c>
      <c r="C64" s="21" t="s">
        <v>242</v>
      </c>
      <c r="D64" s="21" t="s">
        <v>556</v>
      </c>
      <c r="E64" s="13">
        <v>42806.422731481478</v>
      </c>
      <c r="F64" s="13">
        <v>42806.424583333333</v>
      </c>
      <c r="G64" s="7">
        <v>2</v>
      </c>
      <c r="H64" s="21" t="s">
        <v>437</v>
      </c>
      <c r="I64" s="13">
        <v>42806.45417824074</v>
      </c>
      <c r="J64" s="7">
        <v>0</v>
      </c>
      <c r="K64" s="98" t="str">
        <f t="shared" si="0"/>
        <v>4027/4028</v>
      </c>
      <c r="L64" s="21" t="str">
        <f>VLOOKUP(A64,'Trips&amp;Operators'!$C$1:$G$99999,5,FALSE)</f>
        <v>DELGADO DIANAH</v>
      </c>
      <c r="M64" s="6">
        <f t="shared" si="1"/>
        <v>2.9594907406135462E-2</v>
      </c>
      <c r="N64" s="7">
        <f t="shared" si="2"/>
        <v>42.616666664835066</v>
      </c>
      <c r="O64" s="7"/>
      <c r="P64" s="7"/>
      <c r="Q64" s="22"/>
      <c r="R64" s="22"/>
      <c r="S64" s="31">
        <f t="shared" si="3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-12T09:08:44-600',mode:absolute,to:'2017-03-12T11:54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4.6199999999999998E-2</v>
      </c>
      <c r="Z64" s="62">
        <f t="shared" si="9"/>
        <v>23.3307</v>
      </c>
      <c r="AA64" s="62">
        <f t="shared" si="10"/>
        <v>23.284500000000001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0153-12</v>
      </c>
      <c r="AE64" s="85" t="str">
        <f t="shared" si="12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64" s="82" t="str">
        <f t="shared" si="13"/>
        <v>"C:\Program Files (x86)\AstroGrep\AstroGrep.exe" /e /r /s /spath="%USERPROFILE%\AppData\Local\Temp\OnboardLogs" /stypes="app*4027*20170312*"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153-12 --locoid 4027 --swversion DE.1.0.9.0 --startMP 204:462 --initTime 2017-03-12T10:08:44 --startdatetime 2017-03-12T10:11:24 --delay 2 --endMP 204:233307 --enddatetime 2017-03-12T10:54:01 --enforcementcount 0 &gt;&gt;C:\Users\stu\Documents\GitHub\eaglep3-reporting\EC\2017-03-12-refined-times.txt</v>
      </c>
      <c r="AI64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{"issue":{"subject":"","project_id":79,"tracker_id":40,"status_id":1,"priority_id":2,"assigned_to_id":23,"start_date":"2017-03-12","description":"","custom_fields":[{"id":1,"name":"Subdivision","value":"EC"},{"id":4,"name":"Milepost","value":"23.3307"},{"id":17,"name":"Train ID","value":"153-12"},{"id":16,"name":"Locomotive ID","value":"4027"},{"id":130,"name":"Impact","value":""},{"id":150,"name":"Time of Event (Mountain Time)","value":"10:54:01"},{"id":151,"name":"Denver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4027 --day 2017-03-12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598</v>
      </c>
      <c r="B65" s="7">
        <v>4028</v>
      </c>
      <c r="C65" s="21" t="s">
        <v>242</v>
      </c>
      <c r="D65" s="21" t="s">
        <v>848</v>
      </c>
      <c r="E65" s="13">
        <v>42806.459548611114</v>
      </c>
      <c r="F65" s="13">
        <v>42806.460335648146</v>
      </c>
      <c r="G65" s="7">
        <v>1</v>
      </c>
      <c r="H65" s="21" t="s">
        <v>194</v>
      </c>
      <c r="I65" s="13">
        <v>42806.497210648151</v>
      </c>
      <c r="J65" s="7">
        <v>0</v>
      </c>
      <c r="K65" s="98" t="str">
        <f t="shared" si="0"/>
        <v>4027/4028</v>
      </c>
      <c r="L65" s="21" t="str">
        <f>VLOOKUP(A65,'Trips&amp;Operators'!$C$1:$G$99999,5,FALSE)</f>
        <v>DELGADO DIANAH</v>
      </c>
      <c r="M65" s="6">
        <f t="shared" si="1"/>
        <v>3.6875000005238689E-2</v>
      </c>
      <c r="N65" s="7">
        <f t="shared" si="2"/>
        <v>53.100000007543713</v>
      </c>
      <c r="O65" s="7"/>
      <c r="P65" s="7"/>
      <c r="Q65" s="22"/>
      <c r="R65" s="22"/>
      <c r="S65" s="31">
        <f t="shared" si="3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-12T10:01:45-600',mode:absolute,to:'2017-03-12T12:55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23.298999999999999</v>
      </c>
      <c r="Z65" s="62">
        <f t="shared" si="9"/>
        <v>1.4500000000000001E-2</v>
      </c>
      <c r="AA65" s="62">
        <f t="shared" si="10"/>
        <v>23.284499999999998</v>
      </c>
      <c r="AB65" s="59" t="str">
        <f>VLOOKUP(A65,Enforcements!$C$7:$K$13,8,0)</f>
        <v>Bulletin (2)</v>
      </c>
      <c r="AC65" s="55" t="str">
        <f>VLOOKUP(A65,Enforcements!$C$7:$E$13,3,0)</f>
        <v>GRADE CROSSING</v>
      </c>
      <c r="AD65" s="56" t="str">
        <f t="shared" si="11"/>
        <v>0154-12</v>
      </c>
      <c r="AE65" s="85" t="str">
        <f t="shared" si="12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65" s="82" t="str">
        <f t="shared" si="13"/>
        <v>"C:\Program Files (x86)\AstroGrep\AstroGrep.exe" /e /r /s /spath="%USERPROFILE%\AppData\Local\Temp\OnboardLogs" /stypes="app*4028*20170312*"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154-12 --locoid 4028 --swversion DE.1.0.9.0 --startMP 204:232990 --initTime 2017-03-12T11:01:45 --startdatetime 2017-03-12T11:02:53 --delay 1 --endMP 204:145 --enddatetime 2017-03-12T11:55:59 --enforcementcount 0 &gt;&gt;C:\Users\stu\Documents\GitHub\eaglep3-reporting\EC\2017-03-12-refined-times.txt</v>
      </c>
      <c r="AI6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{"issue":{"subject":"","project_id":79,"tracker_id":40,"status_id":1,"priority_id":2,"assigned_to_id":23,"start_date":"2017-03-12","description":"","custom_fields":[{"id":1,"name":"Subdivision","value":"EC"},{"id":4,"name":"Milepost","value":"0.0145"},{"id":17,"name":"Train ID","value":"154-12"},{"id":16,"name":"Locomotive ID","value":"4028"},{"id":130,"name":"Impact","value":""},{"id":150,"name":"Time of Event (Mountain Time)","value":"11:55:59"},{"id":151,"name":"Denver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4028 --day 2017-03-12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701</v>
      </c>
      <c r="B66" s="7">
        <v>4025</v>
      </c>
      <c r="C66" s="21" t="s">
        <v>242</v>
      </c>
      <c r="D66" s="21" t="s">
        <v>226</v>
      </c>
      <c r="E66" s="13">
        <v>42806.434490740743</v>
      </c>
      <c r="F66" s="13">
        <v>42806.43540509259</v>
      </c>
      <c r="G66" s="7">
        <v>1</v>
      </c>
      <c r="H66" s="21" t="s">
        <v>442</v>
      </c>
      <c r="I66" s="13">
        <v>42806.463750000003</v>
      </c>
      <c r="J66" s="7">
        <v>0</v>
      </c>
      <c r="K66" s="98" t="str">
        <f t="shared" si="0"/>
        <v>4025/4026</v>
      </c>
      <c r="L66" s="21" t="str">
        <f>VLOOKUP(A66,'Trips&amp;Operators'!$C$1:$G$99999,5,FALSE)</f>
        <v>ROMERO CHAD</v>
      </c>
      <c r="M66" s="6">
        <f t="shared" si="1"/>
        <v>2.8344907412247267E-2</v>
      </c>
      <c r="N66" s="7">
        <f t="shared" si="2"/>
        <v>40.816666673636064</v>
      </c>
      <c r="O66" s="7"/>
      <c r="P66" s="7"/>
      <c r="Q66" s="22"/>
      <c r="R66" s="22" t="s">
        <v>992</v>
      </c>
      <c r="S66" s="31">
        <f t="shared" si="3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-12T09:25:40-600',mode:absolute,to:'2017-03-12T12:07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4.4600000000000001E-2</v>
      </c>
      <c r="Z66" s="62">
        <f t="shared" si="9"/>
        <v>23.333600000000001</v>
      </c>
      <c r="AA66" s="62">
        <f t="shared" si="10"/>
        <v>23.289000000000001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0155-12</v>
      </c>
      <c r="AE66" s="85" t="str">
        <f t="shared" si="12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66" s="82" t="str">
        <f t="shared" si="13"/>
        <v>"C:\Program Files (x86)\AstroGrep\AstroGrep.exe" /e /r /s /spath="%USERPROFILE%\AppData\Local\Temp\OnboardLogs" /stypes="app*4025*20170312*"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155-12 --locoid 4025 --swversion DE.1.0.9.0 --startMP 204:446 --initTime 2017-03-12T10:25:40 --startdatetime 2017-03-12T10:26:59 --delay 1 --endMP 204:233336 --enddatetime 2017-03-12T11:07:48 --enforcementcount 0 &gt;&gt;C:\Users\stu\Documents\GitHub\eaglep3-reporting\EC\2017-03-12-refined-times.txt</v>
      </c>
      <c r="AI66" s="108" t="str">
        <f t="shared" si="19"/>
        <v>echo {"issue":{"subject":"Wi-MAX data drop, operator slowed to avoid enforcement","project_id":79,"tracker_id":40,"status_id":1,"priority_id":2,"assigned_to_id":23,"start_date":"2017-03-12","description":"","custom_fields":[{"id":1,"name":"Subdivision","value":"EC"},{"id":4,"name":"Milepost","value":"23.3336"},{"id":17,"name":"Train ID","value":"155-12"},{"id":16,"name":"Locomotive ID","value":"4025"},{"id":130,"name":"Impact","value":""},{"id":150,"name":"Time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4025 --day 2017-03-12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599</v>
      </c>
      <c r="B67" s="7">
        <v>4026</v>
      </c>
      <c r="C67" s="21" t="s">
        <v>242</v>
      </c>
      <c r="D67" s="21" t="s">
        <v>443</v>
      </c>
      <c r="E67" s="13">
        <v>42806.469293981485</v>
      </c>
      <c r="F67" s="13">
        <v>42806.470648148148</v>
      </c>
      <c r="G67" s="7">
        <v>1</v>
      </c>
      <c r="H67" s="21" t="s">
        <v>552</v>
      </c>
      <c r="I67" s="13">
        <v>42806.503252314818</v>
      </c>
      <c r="J67" s="7">
        <v>0</v>
      </c>
      <c r="K67" s="98" t="str">
        <f t="shared" si="0"/>
        <v>4025/4026</v>
      </c>
      <c r="L67" s="21" t="str">
        <f>VLOOKUP(A67,'Trips&amp;Operators'!$C$1:$G$99999,5,FALSE)</f>
        <v>ROMERO CHAD</v>
      </c>
      <c r="M67" s="6">
        <f t="shared" si="1"/>
        <v>3.2604166670353152E-2</v>
      </c>
      <c r="N67" s="7">
        <f t="shared" si="2"/>
        <v>46.950000005308539</v>
      </c>
      <c r="O67" s="7"/>
      <c r="P67" s="7"/>
      <c r="Q67" s="22"/>
      <c r="R67" s="22"/>
      <c r="S67" s="31">
        <f t="shared" si="3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-12T10:15:47-600',mode:absolute,to:'2017-03-12T13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23.303000000000001</v>
      </c>
      <c r="Z67" s="62">
        <f t="shared" si="9"/>
        <v>1.29E-2</v>
      </c>
      <c r="AA67" s="62">
        <f t="shared" si="10"/>
        <v>23.290100000000002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0156-12</v>
      </c>
      <c r="AE67" s="85" t="str">
        <f t="shared" si="12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67" s="82" t="str">
        <f t="shared" si="13"/>
        <v>"C:\Program Files (x86)\AstroGrep\AstroGrep.exe" /e /r /s /spath="%USERPROFILE%\AppData\Local\Temp\OnboardLogs" /stypes="app*4026*20170312*" /stext=" 18:.+((SYSTEM_STATE.+slice.+state.+changed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156-12 --locoid 4026 --swversion DE.1.0.9.0 --startMP 204:233030 --initTime 2017-03-12T11:15:47 --startdatetime 2017-03-12T11:17:44 --delay 1 --endMP 204:129 --enddatetime 2017-03-12T12:04:41 --enforcementcount 0 &gt;&gt;C:\Users\stu\Documents\GitHub\eaglep3-reporting\EC\2017-03-12-refined-times.txt</v>
      </c>
      <c r="AI6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{"issue":{"subject":"","project_id":79,"tracker_id":40,"status_id":1,"priority_id":2,"assigned_to_id":23,"start_date":"2017-03-12","description":"","custom_fields":[{"id":1,"name":"Subdivision","value":"EC"},{"id":4,"name":"Milepost","value":"0.0129"},{"id":17,"name":"Train ID","value":"156-12"},{"id":16,"name":"Locomotive ID","value":"4026"},{"id":130,"name":"Impact","value":""},{"id":150,"name":"Time of Event (Mountain Time)","value":"12:04:41"},{"id":151,"name":"Denver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4026 --day 2017-03-12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596</v>
      </c>
      <c r="B68" s="7">
        <v>4018</v>
      </c>
      <c r="C68" s="21" t="s">
        <v>242</v>
      </c>
      <c r="D68" s="21" t="s">
        <v>849</v>
      </c>
      <c r="E68" s="13">
        <v>42806.450590277775</v>
      </c>
      <c r="F68" s="13">
        <v>42806.451979166668</v>
      </c>
      <c r="G68" s="7">
        <v>1</v>
      </c>
      <c r="H68" s="21" t="s">
        <v>850</v>
      </c>
      <c r="I68" s="13">
        <v>42806.454328703701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SHOOK JOHN</v>
      </c>
      <c r="M68" s="6">
        <f t="shared" si="1"/>
        <v>2.3495370332966559E-3</v>
      </c>
      <c r="N68" s="7"/>
      <c r="O68" s="7"/>
      <c r="P68" s="7">
        <f>24*60*SUM($M68:$M69)</f>
        <v>38.566666661063209</v>
      </c>
      <c r="Q68" s="22"/>
      <c r="R68" s="22" t="s">
        <v>990</v>
      </c>
      <c r="S68" s="31">
        <f>SUM(U68:U69)/IF(AG68="EC",12,1)</f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-12T09:48:51-600',mode:absolute,to:'2017-03-12T11:54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87" t="str">
        <f t="shared" si="6"/>
        <v>Y</v>
      </c>
      <c r="X68" s="187">
        <f t="shared" si="7"/>
        <v>1</v>
      </c>
      <c r="Y68" s="62">
        <f t="shared" si="8"/>
        <v>0.14960000000000001</v>
      </c>
      <c r="Z68" s="62">
        <f t="shared" si="9"/>
        <v>0.184</v>
      </c>
      <c r="AA68" s="62">
        <f t="shared" si="10"/>
        <v>3.4399999999999986E-2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0157-12</v>
      </c>
      <c r="AE68" s="85" t="str">
        <f t="shared" si="12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68" s="82" t="str">
        <f t="shared" si="13"/>
        <v>"C:\Program Files (x86)\AstroGrep\AstroGrep.exe" /e /r /s /spath="%USERPROFILE%\AppData\Local\Temp\OnboardLogs" /stypes="app*4018*20170312*" /stext=" 16:.+((SYSTEM_STATE.+slice.+state.+changed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157-12 --locoid 4018 --swversion DE.1.0.9.0 --startMP 204:1496 --initTime 2017-03-12T10:48:51 --startdatetime 2017-03-12T10:50:51 --delay 1 --endMP 204:1840 --enddatetime 2017-03-12T10:54:14 --enforcementcount 0 &gt;&gt;C:\Users\stu\Documents\GitHub\eaglep3-reporting\EC\2017-03-12-refined-times.txt</v>
      </c>
      <c r="AI68" s="108" t="str">
        <f t="shared" si="19"/>
        <v>echo {"issue":{"subject":"Main 3 departure","project_id":79,"tracker_id":40,"status_id":1,"priority_id":2,"assigned_to_id":23,"start_date":"2017-03-12","description":"","custom_fields":[{"id":1,"name":"Subdivision","value":"EC"},{"id":4,"name":"Milepost","value":"0.184"},{"id":17,"name":"Train ID","value":"157-12"},{"id":16,"name":"Locomotive ID","value":"4018"},{"id":130,"name":"Impact","value":""},{"id":150,"name":"Time of Event (Mountain Time)","value":"10:54:14"},{"id":151,"name":"Denver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4018 --day 2017-03-12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"%USERPROFILE%\AppData\Local\Temp\OnboardLogs"\RTDC4018\*4018*20170312* | grep -SE "(Enforcement Action)|(\[TIMEOUT)|(CHR.+\|PRM\|1\|D.+(SWITCH|SIGNAL).+UNKNOWN)" - &gt;&gt; 2017-03-12-UncaughtWiMAX.txt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596</v>
      </c>
      <c r="B69" s="7">
        <v>4018</v>
      </c>
      <c r="C69" s="21" t="s">
        <v>242</v>
      </c>
      <c r="D69" s="21" t="s">
        <v>851</v>
      </c>
      <c r="E69" s="13">
        <v>42806.458692129629</v>
      </c>
      <c r="F69" s="13">
        <v>42806.459224537037</v>
      </c>
      <c r="G69" s="7">
        <v>0</v>
      </c>
      <c r="H69" s="21" t="s">
        <v>250</v>
      </c>
      <c r="I69" s="13">
        <v>42806.483657407407</v>
      </c>
      <c r="J69" s="7">
        <v>0</v>
      </c>
      <c r="K69" s="98" t="str">
        <f t="shared" si="0"/>
        <v>4017/4018</v>
      </c>
      <c r="L69" s="21" t="str">
        <f>VLOOKUP(A69,'Trips&amp;Operators'!$C$1:$G$99999,5,FALSE)</f>
        <v>SHOOK JOHN</v>
      </c>
      <c r="M69" s="6">
        <f t="shared" si="1"/>
        <v>2.4432870370219462E-2</v>
      </c>
      <c r="N69" s="7"/>
      <c r="O69" s="7"/>
      <c r="P69" s="7"/>
      <c r="Q69" s="22"/>
      <c r="R69" s="22"/>
      <c r="S69" s="31"/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-12T10:00:31-600',mode:absolute,to:'2017-03-12T12:36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187" t="str">
        <f t="shared" si="6"/>
        <v>Y</v>
      </c>
      <c r="X69" s="187">
        <f t="shared" si="7"/>
        <v>0</v>
      </c>
      <c r="Y69" s="62">
        <f t="shared" si="8"/>
        <v>1.9120999999999999</v>
      </c>
      <c r="Z69" s="62">
        <f t="shared" si="9"/>
        <v>23.329899999999999</v>
      </c>
      <c r="AA69" s="62">
        <f t="shared" si="10"/>
        <v>21.4178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0157-12</v>
      </c>
      <c r="AE69" s="85" t="str">
        <f t="shared" si="12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69" s="82" t="str">
        <f t="shared" si="13"/>
        <v>"C:\Program Files (x86)\AstroGrep\AstroGrep.exe" /e /r /s /spath="%USERPROFILE%\AppData\Local\Temp\OnboardLogs" /stypes="app*4018*20170312*"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157-12 --locoid 4018 --swversion DE.1.0.9.0 --startMP 204:19121 --initTime 2017-03-12T11:00:31 --startdatetime 2017-03-12T11:01:17 --delay 0 --endMP 204:233299 --enddatetime 2017-03-12T11:36:28 --enforcementcount 0 &gt;&gt;C:\Users\stu\Documents\GitHub\eaglep3-reporting\EC\2017-03-12-refined-times.txt</v>
      </c>
      <c r="AI6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{"issue":{"subject":"","project_id":79,"tracker_id":40,"status_id":1,"priority_id":2,"assigned_to_id":23,"start_date":"2017-03-12","description":"","custom_fields":[{"id":1,"name":"Subdivision","value":"EC"},{"id":4,"name":"Milepost","value":"23.3299"},{"id":17,"name":"Train ID","value":"157-12"},{"id":16,"name":"Locomotive ID","value":"4018"},{"id":130,"name":"Impact","value":""},{"id":150,"name":"Time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4018 --day 2017-03-12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"%USERPROFILE%\AppData\Local\Temp\OnboardLogs"\RTDC4018\*4018*20170312* | grep -SE "(Enforcement Action)|(\[TIMEOUT)|(CHR.+\|PRM\|1\|D.+(SWITCH|SIGNAL).+UNKNOWN)" - &gt;&gt; 2017-03-12-UncaughtWiMAX.txt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600</v>
      </c>
      <c r="B70" s="7">
        <v>4017</v>
      </c>
      <c r="C70" s="21" t="s">
        <v>242</v>
      </c>
      <c r="D70" s="21" t="s">
        <v>428</v>
      </c>
      <c r="E70" s="13">
        <v>42806.485011574077</v>
      </c>
      <c r="F70" s="13">
        <v>42806.486770833333</v>
      </c>
      <c r="G70" s="7">
        <v>2</v>
      </c>
      <c r="H70" s="21" t="s">
        <v>228</v>
      </c>
      <c r="I70" s="13">
        <v>42806.519155092596</v>
      </c>
      <c r="J70" s="7">
        <v>0</v>
      </c>
      <c r="K70" s="98" t="str">
        <f t="shared" si="0"/>
        <v>4017/4018</v>
      </c>
      <c r="L70" s="21" t="str">
        <f>VLOOKUP(A70,'Trips&amp;Operators'!$C$1:$G$99999,5,FALSE)</f>
        <v>SHOOK JOHN</v>
      </c>
      <c r="M70" s="6">
        <f t="shared" si="1"/>
        <v>3.238425926247146E-2</v>
      </c>
      <c r="N70" s="7">
        <f t="shared" si="2"/>
        <v>46.633333337958902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-12T10:38:25-600',mode:absolute,to:'2017-03-12T13:27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23.297999999999998</v>
      </c>
      <c r="Z70" s="62">
        <f t="shared" si="9"/>
        <v>1.3899999999999999E-2</v>
      </c>
      <c r="AA70" s="62">
        <f t="shared" si="10"/>
        <v>23.284099999999999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0158-12</v>
      </c>
      <c r="AE70" s="85" t="str">
        <f t="shared" si="12"/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AF70" s="82" t="str">
        <f t="shared" si="13"/>
        <v>"C:\Program Files (x86)\AstroGrep\AstroGrep.exe" /e /r /s /spath="%USERPROFILE%\AppData\Local\Temp\OnboardLogs" /stypes="app*4017*20170312*"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158-12 --locoid 4017 --swversion DE.1.0.9.0 --startMP 204:232980 --initTime 2017-03-12T11:38:25 --startdatetime 2017-03-12T11:40:57 --delay 2 --endMP 204:139 --enddatetime 2017-03-12T12:27:35 --enforcementcount 0 &gt;&gt;C:\Users\stu\Documents\GitHub\eaglep3-reporting\EC\2017-03-12-refined-times.txt</v>
      </c>
      <c r="AI7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{"issue":{"subject":"","project_id":79,"tracker_id":40,"status_id":1,"priority_id":2,"assigned_to_id":23,"start_date":"2017-03-12","description":"","custom_fields":[{"id":1,"name":"Subdivision","value":"EC"},{"id":4,"name":"Milepost","value":"0.0139"},{"id":17,"name":"Train ID","value":"158-12"},{"id":16,"name":"Locomotive ID","value":"4017"},{"id":130,"name":"Impact","value":""},{"id":150,"name":"Time of Event (Mountain Time)","value":"12:27:35"},{"id":151,"name":"Denver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4017 --day 2017-03-12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"%USERPROFILE%\AppData\Local\Temp\OnboardLogs"\RTDC4017\*4017*20170312* | grep -SE "(Enforcement Action)|(\[TIMEOUT)|(CHR.+\|PRM\|1\|D.+(SWITCH|SIGNAL).+UNKNOWN)" - &gt;&gt; 2017-03-12-UncaughtWiMAX.txt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706</v>
      </c>
      <c r="B71" s="7">
        <v>4042</v>
      </c>
      <c r="C71" s="21" t="s">
        <v>242</v>
      </c>
      <c r="D71" s="21" t="s">
        <v>217</v>
      </c>
      <c r="E71" s="13">
        <v>42806.454872685186</v>
      </c>
      <c r="F71" s="13">
        <v>42806.456342592595</v>
      </c>
      <c r="G71" s="7">
        <v>2</v>
      </c>
      <c r="H71" s="21" t="s">
        <v>852</v>
      </c>
      <c r="I71" s="13">
        <v>42806.490266203706</v>
      </c>
      <c r="J71" s="7">
        <v>0</v>
      </c>
      <c r="K71" s="98" t="str">
        <f t="shared" si="0"/>
        <v>4041/4042</v>
      </c>
      <c r="L71" s="21" t="str">
        <f>VLOOKUP(A71,'Trips&amp;Operators'!$C$1:$G$99999,5,FALSE)</f>
        <v>STEWART MICHAEL</v>
      </c>
      <c r="M71" s="6">
        <f t="shared" si="1"/>
        <v>3.3923611110367347E-2</v>
      </c>
      <c r="N71" s="7">
        <f t="shared" si="2"/>
        <v>48.849999998928979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-12T09:55:01-600',mode:absolute,to:'2017-03-12T12:45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4.5699999999999998E-2</v>
      </c>
      <c r="Z71" s="62">
        <f t="shared" si="9"/>
        <v>23.328299999999999</v>
      </c>
      <c r="AA71" s="62">
        <f t="shared" si="10"/>
        <v>23.282599999999999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0159-12</v>
      </c>
      <c r="AE71" s="85" t="str">
        <f t="shared" si="12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71" s="82" t="str">
        <f t="shared" si="13"/>
        <v>"C:\Program Files (x86)\AstroGrep\AstroGrep.exe" /e /r /s /spath="%USERPROFILE%\AppData\Local\Temp\OnboardLogs" /stypes="app*4042*20170312*"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159-12 --locoid 4042 --swversion DE.1.0.9.0 --startMP 204:457 --initTime 2017-03-12T10:55:01 --startdatetime 2017-03-12T10:57:08 --delay 2 --endMP 204:233283 --enddatetime 2017-03-12T11:45:59 --enforcementcount 0 &gt;&gt;C:\Users\stu\Documents\GitHub\eaglep3-reporting\EC\2017-03-12-refined-times.txt</v>
      </c>
      <c r="AI71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{"issue":{"subject":"","project_id":79,"tracker_id":40,"status_id":1,"priority_id":2,"assigned_to_id":23,"start_date":"2017-03-12","description":"","custom_fields":[{"id":1,"name":"Subdivision","value":"EC"},{"id":4,"name":"Milepost","value":"23.3283"},{"id":17,"name":"Train ID","value":"159-12"},{"id":16,"name":"Locomotive ID","value":"4042"},{"id":130,"name":"Impact","value":""},{"id":150,"name":"Time of Event (Mountain Time)","value":"11:45:59"},{"id":151,"name":"Denver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4042 --day 2017-03-12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715</v>
      </c>
      <c r="B72" s="7">
        <v>4041</v>
      </c>
      <c r="C72" s="21" t="s">
        <v>242</v>
      </c>
      <c r="D72" s="21" t="s">
        <v>271</v>
      </c>
      <c r="E72" s="13">
        <v>42806.494513888887</v>
      </c>
      <c r="F72" s="13">
        <v>42806.495995370373</v>
      </c>
      <c r="G72" s="7">
        <v>2</v>
      </c>
      <c r="H72" s="21" t="s">
        <v>853</v>
      </c>
      <c r="I72" s="13">
        <v>42806.524988425925</v>
      </c>
      <c r="J72" s="7">
        <v>0</v>
      </c>
      <c r="K72" s="98" t="str">
        <f t="shared" si="0"/>
        <v>4041/4042</v>
      </c>
      <c r="L72" s="21" t="str">
        <f>VLOOKUP(A72,'Trips&amp;Operators'!$C$1:$G$99999,5,FALSE)</f>
        <v>STEWART MICHAEL</v>
      </c>
      <c r="M72" s="6">
        <f t="shared" si="1"/>
        <v>2.8993055551836733E-2</v>
      </c>
      <c r="N72" s="7">
        <f t="shared" si="2"/>
        <v>41.749999994644895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-12T10:52:06-600',mode:absolute,to:'2017-03-12T13:35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23.299099999999999</v>
      </c>
      <c r="Z72" s="62">
        <f t="shared" si="9"/>
        <v>1.3599999999999999E-2</v>
      </c>
      <c r="AA72" s="62">
        <f t="shared" si="10"/>
        <v>23.285499999999999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0160-12</v>
      </c>
      <c r="AE72" s="85" t="str">
        <f t="shared" si="12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72" s="82" t="str">
        <f t="shared" si="13"/>
        <v>"C:\Program Files (x86)\AstroGrep\AstroGrep.exe" /e /r /s /spath="%USERPROFILE%\AppData\Local\Temp\OnboardLogs" /stypes="app*4041*20170312*"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160-12 --locoid 4041 --swversion DE.1.0.9.0 --startMP 204:232991 --initTime 2017-03-12T11:52:06 --startdatetime 2017-03-12T11:54:14 --delay 2 --endMP 204:136 --enddatetime 2017-03-12T12:35:59 --enforcementcount 0 &gt;&gt;C:\Users\stu\Documents\GitHub\eaglep3-reporting\EC\2017-03-12-refined-times.txt</v>
      </c>
      <c r="AI72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{"issue":{"subject":"","project_id":79,"tracker_id":40,"status_id":1,"priority_id":2,"assigned_to_id":23,"start_date":"2017-03-12","description":"","custom_fields":[{"id":1,"name":"Subdivision","value":"EC"},{"id":4,"name":"Milepost","value":"0.0136"},{"id":17,"name":"Train ID","value":"160-12"},{"id":16,"name":"Locomotive ID","value":"4041"},{"id":130,"name":"Impact","value":""},{"id":150,"name":"Time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4041 --day 2017-03-12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709</v>
      </c>
      <c r="B73" s="7">
        <v>4053</v>
      </c>
      <c r="C73" s="21" t="s">
        <v>242</v>
      </c>
      <c r="D73" s="21" t="s">
        <v>230</v>
      </c>
      <c r="E73" s="13">
        <v>42806.47</v>
      </c>
      <c r="F73" s="13">
        <v>42806.471655092595</v>
      </c>
      <c r="G73" s="7">
        <v>2</v>
      </c>
      <c r="H73" s="21" t="s">
        <v>854</v>
      </c>
      <c r="I73" s="13">
        <v>42806.489502314813</v>
      </c>
      <c r="J73" s="7">
        <v>0</v>
      </c>
      <c r="K73" s="98" t="str">
        <f t="shared" si="0"/>
        <v>4053/4054</v>
      </c>
      <c r="L73" s="21" t="str">
        <f>VLOOKUP(A73,'Trips&amp;Operators'!$C$1:$G$99999,5,FALSE)</f>
        <v>DAVIS MICHAEL</v>
      </c>
      <c r="M73" s="6">
        <f t="shared" si="1"/>
        <v>1.784722221782431E-2</v>
      </c>
      <c r="N73" s="7"/>
      <c r="O73" s="7"/>
      <c r="P73" s="7">
        <f t="shared" si="2"/>
        <v>25.699999993667006</v>
      </c>
      <c r="Q73" s="22"/>
      <c r="R73" s="22" t="s">
        <v>986</v>
      </c>
      <c r="S73" s="31">
        <f t="shared" si="3"/>
        <v>0.83333333333333337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10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-12T10:16:48-600',mode:absolute,to:'2017-03-12T12:44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187" t="str">
        <f t="shared" si="6"/>
        <v>Y</v>
      </c>
      <c r="X73" s="187">
        <f t="shared" si="7"/>
        <v>1</v>
      </c>
      <c r="Y73" s="62">
        <f t="shared" si="8"/>
        <v>4.3999999999999997E-2</v>
      </c>
      <c r="Z73" s="62">
        <f t="shared" si="9"/>
        <v>8.6373999999999995</v>
      </c>
      <c r="AA73" s="62">
        <f t="shared" si="10"/>
        <v>8.593399999999999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0161-12</v>
      </c>
      <c r="AE73" s="85" t="str">
        <f t="shared" si="12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73" s="82" t="str">
        <f t="shared" si="13"/>
        <v>"C:\Program Files (x86)\AstroGrep\AstroGrep.exe" /e /r /s /spath="%USERPROFILE%\AppData\Local\Temp\OnboardLogs" /stypes="app*4053*20170312*"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161-12 --locoid 4053 --swversion DE.1.0.9.0 --startMP 204:440 --initTime 2017-03-12T11:16:48 --startdatetime 2017-03-12T11:19:11 --delay 2 --endMP 204:86374 --enddatetime 2017-03-12T11:44:53 --enforcementcount 0 &gt;&gt;C:\Users\stu\Documents\GitHub\eaglep3-reporting\EC\2017-03-12-refined-times.txt</v>
      </c>
      <c r="AI73" s="108" t="str">
        <f t="shared" si="19"/>
        <v>echo {"issue":{"subject":"TMDS issue - read &amp; repeat opened before init complete","project_id":79,"tracker_id":40,"status_id":1,"priority_id":2,"assigned_to_id":23,"start_date":"2017-03-12","description":"","custom_fields":[{"id":1,"name":"Subdivision","value":"EC"},{"id":4,"name":"Milepost","value":"8.6374"},{"id":17,"name":"Train ID","value":"161-12"},{"id":16,"name":"Locomotive ID","value":"4053"},{"id":130,"name":"Impact","value":""},{"id":150,"name":"Time of Event (Mountain Time)","value":"11:44:53"},{"id":151,"name":"Denver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4053 --day 2017-03-12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718</v>
      </c>
      <c r="B74" s="7">
        <v>4054</v>
      </c>
      <c r="C74" s="21" t="s">
        <v>242</v>
      </c>
      <c r="D74" s="21" t="s">
        <v>855</v>
      </c>
      <c r="E74" s="13">
        <v>42806.531134259261</v>
      </c>
      <c r="F74" s="13">
        <v>42806.531944444447</v>
      </c>
      <c r="G74" s="7">
        <v>1</v>
      </c>
      <c r="H74" s="21" t="s">
        <v>202</v>
      </c>
      <c r="I74" s="13">
        <v>42806.55804398148</v>
      </c>
      <c r="J74" s="7">
        <v>0</v>
      </c>
      <c r="K74" s="98" t="str">
        <f t="shared" si="0"/>
        <v>4053/4054</v>
      </c>
      <c r="L74" s="21" t="str">
        <f>VLOOKUP(A74,'Trips&amp;Operators'!$C$1:$G$99999,5,FALSE)</f>
        <v>DAVIS MICHAEL</v>
      </c>
      <c r="M74" s="6">
        <f t="shared" si="1"/>
        <v>2.6099537033587694E-2</v>
      </c>
      <c r="N74" s="7"/>
      <c r="O74" s="7"/>
      <c r="P74" s="7">
        <f t="shared" si="2"/>
        <v>37.58333332836628</v>
      </c>
      <c r="Q74" s="22"/>
      <c r="R74" s="22" t="s">
        <v>994</v>
      </c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-12T11:44:50-600',mode:absolute,to:'2017-03-12T14:23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4" s="187" t="str">
        <f t="shared" si="6"/>
        <v>Y</v>
      </c>
      <c r="X74" s="187">
        <f t="shared" si="7"/>
        <v>1</v>
      </c>
      <c r="Y74" s="62">
        <f t="shared" si="8"/>
        <v>12.7874</v>
      </c>
      <c r="Z74" s="62">
        <f t="shared" si="9"/>
        <v>1.52E-2</v>
      </c>
      <c r="AA74" s="62">
        <f t="shared" si="10"/>
        <v>12.7722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0162-12</v>
      </c>
      <c r="AE74" s="85" t="str">
        <f t="shared" si="12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74" s="82" t="str">
        <f t="shared" si="13"/>
        <v>"C:\Program Files (x86)\AstroGrep\AstroGrep.exe" /e /r /s /spath="%USERPROFILE%\AppData\Local\Temp\OnboardLogs" /stypes="app*4054*20170312*" /stext=" 19:.+((SYSTEM_STATE.+slice.+state.+changed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162-12 --locoid 4054 --swversion DE.1.0.9.0 --startMP 204:127874 --initTime 2017-03-12T12:44:50 --startdatetime 2017-03-12T12:46:00 --delay 1 --endMP 204:152 --enddatetime 2017-03-12T13:23:35 --enforcementcount 0 &gt;&gt;C:\Users\stu\Documents\GitHub\eaglep3-reporting\EC\2017-03-12-refined-times.txt</v>
      </c>
      <c r="AI74" s="108" t="str">
        <f t="shared" si="19"/>
        <v>echo {"issue":{"subject":"Operator training issue (depart flag)","project_id":79,"tracker_id":40,"status_id":1,"priority_id":2,"assigned_to_id":23,"start_date":"2017-03-12","description":"","custom_fields":[{"id":1,"name":"Subdivision","value":"EC"},{"id":4,"name":"Milepost","value":"0.0152"},{"id":17,"name":"Train ID","value":"162-12"},{"id":16,"name":"Locomotive ID","value":"4054"},{"id":130,"name":"Impact","value":""},{"id":150,"name":"Time of Event (Mountain Time)","value":"13:23:35"},{"id":151,"name":"Denver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4054 --day 2017-03-12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710</v>
      </c>
      <c r="B75" s="7">
        <v>4006</v>
      </c>
      <c r="C75" s="21" t="s">
        <v>242</v>
      </c>
      <c r="D75" s="21" t="s">
        <v>237</v>
      </c>
      <c r="E75" s="13">
        <v>42806.48</v>
      </c>
      <c r="F75" s="13">
        <v>42806.481134259258</v>
      </c>
      <c r="G75" s="7">
        <v>1</v>
      </c>
      <c r="H75" s="21" t="s">
        <v>544</v>
      </c>
      <c r="I75" s="13">
        <v>42806.511006944442</v>
      </c>
      <c r="J75" s="7">
        <v>0</v>
      </c>
      <c r="K75" s="98" t="str">
        <f t="shared" si="0"/>
        <v>4005/4006</v>
      </c>
      <c r="L75" s="21" t="str">
        <f>VLOOKUP(A75,'Trips&amp;Operators'!$C$1:$G$99999,5,FALSE)</f>
        <v>LEVIN SCOTT</v>
      </c>
      <c r="M75" s="6">
        <f t="shared" si="1"/>
        <v>2.9872685183363501E-2</v>
      </c>
      <c r="N75" s="7">
        <f t="shared" si="2"/>
        <v>43.016666664043441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-12T10:31:12-600',mode:absolute,to:'2017-03-12T13:15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4.6600000000000003E-2</v>
      </c>
      <c r="Z75" s="62">
        <f t="shared" si="9"/>
        <v>23.331499999999998</v>
      </c>
      <c r="AA75" s="62">
        <f t="shared" si="10"/>
        <v>23.284899999999997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0163-12</v>
      </c>
      <c r="AE75" s="85" t="str">
        <f t="shared" si="12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75" s="82" t="str">
        <f t="shared" si="13"/>
        <v>"C:\Program Files (x86)\AstroGrep\AstroGrep.exe" /e /r /s /spath="%USERPROFILE%\AppData\Local\Temp\OnboardLogs" /stypes="app*4006*20170312*"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163-12 --locoid 4006 --swversion DE.1.0.9.0 --startMP 204:466 --initTime 2017-03-12T11:31:12 --startdatetime 2017-03-12T11:32:50 --delay 1 --endMP 204:233315 --enddatetime 2017-03-12T12:15:51 --enforcementcount 0 &gt;&gt;C:\Users\stu\Documents\GitHub\eaglep3-reporting\EC\2017-03-12-refined-times.txt</v>
      </c>
      <c r="AI75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{"issue":{"subject":"","project_id":79,"tracker_id":40,"status_id":1,"priority_id":2,"assigned_to_id":23,"start_date":"2017-03-12","description":"","custom_fields":[{"id":1,"name":"Subdivision","value":"EC"},{"id":4,"name":"Milepost","value":"23.3315"},{"id":17,"name":"Train ID","value":"163-12"},{"id":16,"name":"Locomotive ID","value":"4006"},{"id":130,"name":"Impact","value":""},{"id":150,"name":"Time of Event (Mountain Time)","value":"12:15:51"},{"id":151,"name":"Denver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4006 --day 2017-03-12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719</v>
      </c>
      <c r="B76" s="7">
        <v>4005</v>
      </c>
      <c r="C76" s="21" t="s">
        <v>242</v>
      </c>
      <c r="D76" s="21" t="s">
        <v>856</v>
      </c>
      <c r="E76" s="13">
        <v>42806.516412037039</v>
      </c>
      <c r="F76" s="13">
        <v>42806.517534722225</v>
      </c>
      <c r="G76" s="7">
        <v>1</v>
      </c>
      <c r="H76" s="21" t="s">
        <v>418</v>
      </c>
      <c r="I76" s="13">
        <v>42806.561550925922</v>
      </c>
      <c r="J76" s="7">
        <v>0</v>
      </c>
      <c r="K76" s="98" t="str">
        <f t="shared" si="0"/>
        <v>4005/4006</v>
      </c>
      <c r="L76" s="21" t="str">
        <f>VLOOKUP(A76,'Trips&amp;Operators'!$C$1:$G$99999,5,FALSE)</f>
        <v>LEVIN SCOTT</v>
      </c>
      <c r="M76" s="6">
        <f t="shared" si="1"/>
        <v>4.4016203697538003E-2</v>
      </c>
      <c r="N76" s="7">
        <f t="shared" si="2"/>
        <v>63.383333324454725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-12T11:23:38-600',mode:absolute,to:'2017-03-12T14:28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23.300799999999999</v>
      </c>
      <c r="Z76" s="62">
        <f t="shared" si="9"/>
        <v>1.43E-2</v>
      </c>
      <c r="AA76" s="62">
        <f t="shared" si="10"/>
        <v>23.2865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0164-12</v>
      </c>
      <c r="AE76" s="85" t="str">
        <f t="shared" si="12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76" s="82" t="str">
        <f t="shared" si="13"/>
        <v>"C:\Program Files (x86)\AstroGrep\AstroGrep.exe" /e /r /s /spath="%USERPROFILE%\AppData\Local\Temp\OnboardLogs" /stypes="app*4005*20170312*"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164-12 --locoid 4005 --swversion DE.1.0.9.0 --startMP 204:233008 --initTime 2017-03-12T12:23:38 --startdatetime 2017-03-12T12:25:15 --delay 1 --endMP 204:143 --enddatetime 2017-03-12T13:28:38 --enforcementcount 0 &gt;&gt;C:\Users\stu\Documents\GitHub\eaglep3-reporting\EC\2017-03-12-refined-times.txt</v>
      </c>
      <c r="AI76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{"issue":{"subject":"","project_id":79,"tracker_id":40,"status_id":1,"priority_id":2,"assigned_to_id":23,"start_date":"2017-03-12","description":"","custom_fields":[{"id":1,"name":"Subdivision","value":"EC"},{"id":4,"name":"Milepost","value":"0.0143"},{"id":17,"name":"Train ID","value":"164-12"},{"id":16,"name":"Locomotive ID","value":"4005"},{"id":130,"name":"Impact","value":""},{"id":150,"name":"Time of Event (Mountain Time)","value":"13:28:38"},{"id":151,"name":"Denver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4005 --day 2017-03-12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714</v>
      </c>
      <c r="B77" s="7">
        <v>4020</v>
      </c>
      <c r="C77" s="21" t="s">
        <v>242</v>
      </c>
      <c r="D77" s="21" t="s">
        <v>217</v>
      </c>
      <c r="E77" s="13">
        <v>42806.487314814818</v>
      </c>
      <c r="F77" s="13">
        <v>42806.489131944443</v>
      </c>
      <c r="G77" s="7">
        <v>2</v>
      </c>
      <c r="H77" s="21" t="s">
        <v>260</v>
      </c>
      <c r="I77" s="13">
        <v>42806.523784722223</v>
      </c>
      <c r="J77" s="7">
        <v>0</v>
      </c>
      <c r="K77" s="98" t="str">
        <f t="shared" si="0"/>
        <v>4019/4020</v>
      </c>
      <c r="L77" s="21" t="str">
        <f>VLOOKUP(A77,'Trips&amp;Operators'!$C$1:$G$99999,5,FALSE)</f>
        <v>BRUDER RICHARD</v>
      </c>
      <c r="M77" s="6">
        <f t="shared" si="1"/>
        <v>3.4652777780138422E-2</v>
      </c>
      <c r="N77" s="7">
        <f t="shared" si="2"/>
        <v>49.900000003399327</v>
      </c>
      <c r="O77" s="7"/>
      <c r="P77" s="7"/>
      <c r="Q77" s="22"/>
      <c r="R77" s="22"/>
      <c r="S77" s="31">
        <f t="shared" si="3"/>
        <v>1</v>
      </c>
      <c r="T77" s="46" t="str">
        <f t="shared" si="4"/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si="5"/>
        <v>https://d0f6bd738d7f1b3e5a7ca70fe4ff75f0.us-east-1.aws.found.io/app/kibana#/discover/Steve-Slow-Train-Analysis-(2080s-and-2083s)?_g=(refreshInterval:(display:Off,pause:!f,section:0,value:0),time:(from:'2017-03-12T10:41:44-600',mode:absolute,to:'2017-03-12T13:34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7" t="str">
        <f t="shared" si="6"/>
        <v>N</v>
      </c>
      <c r="X77" s="187">
        <f t="shared" si="7"/>
        <v>1</v>
      </c>
      <c r="Y77" s="62">
        <f t="shared" si="8"/>
        <v>4.5699999999999998E-2</v>
      </c>
      <c r="Z77" s="62">
        <f t="shared" si="9"/>
        <v>23.331199999999999</v>
      </c>
      <c r="AA77" s="62">
        <f t="shared" si="10"/>
        <v>23.285499999999999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11"/>
        <v>0165-12</v>
      </c>
      <c r="AE77" s="85" t="str">
        <f t="shared" si="12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77" s="82" t="str">
        <f t="shared" si="13"/>
        <v>"C:\Program Files (x86)\AstroGrep\AstroGrep.exe" /e /r /s /spath="%USERPROFILE%\AppData\Local\Temp\OnboardLogs" /stypes="app*4020*20170312*" /stext=" 18:.+((SYSTEM_STATE.+slice.+state.+changed )|(ment ac)|(multiple cpu faults)|(system.+state.+changed )|(\[timeout)|(PRM\|1\|D)|(kpr)|(kdp)|(\|lc)|(penalty))"</v>
      </c>
      <c r="AG77" s="1" t="str">
        <f t="shared" si="14"/>
        <v>EC</v>
      </c>
      <c r="AH77" s="86" t="str">
        <f t="shared" si="18"/>
        <v>"%USERPROFILE%\Documents\GitHub\eaglep3\Utilities\RefineRTDCRunTimes.py" --tripid 165-12 --locoid 4020 --swversion DE.1.0.9.0 --startMP 204:457 --initTime 2017-03-12T11:41:44 --startdatetime 2017-03-12T11:44:21 --delay 2 --endMP 204:233312 --enddatetime 2017-03-12T12:34:15 --enforcementcount 0 &gt;&gt;C:\Users\stu\Documents\GitHub\eaglep3-reporting\EC\2017-03-12-refined-times.txt</v>
      </c>
      <c r="AI77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{"issue":{"subject":"","project_id":79,"tracker_id":40,"status_id":1,"priority_id":2,"assigned_to_id":23,"start_date":"2017-03-12","description":"","custom_fields":[{"id":1,"name":"Subdivision","value":"EC"},{"id":4,"name":"Milepost","value":"23.3312"},{"id":17,"name":"Train ID","value":"165-12"},{"id":16,"name":"Locomotive ID","value":"4020"},{"id":130,"name":"Impact","value":""},{"id":150,"name":"Time of Event (Mountain Time)","value":"12:34:15"},{"id":151,"name":"Denver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4020 --day 2017-03-12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724</v>
      </c>
      <c r="B78" s="7">
        <v>4019</v>
      </c>
      <c r="C78" s="21" t="s">
        <v>242</v>
      </c>
      <c r="D78" s="21" t="s">
        <v>428</v>
      </c>
      <c r="E78" s="13">
        <v>42806.526180555556</v>
      </c>
      <c r="F78" s="13">
        <v>42806.528194444443</v>
      </c>
      <c r="G78" s="7">
        <v>2</v>
      </c>
      <c r="H78" s="21" t="s">
        <v>184</v>
      </c>
      <c r="I78" s="13">
        <v>42806.568877314814</v>
      </c>
      <c r="J78" s="7">
        <v>0</v>
      </c>
      <c r="K78" s="98" t="str">
        <f t="shared" si="0"/>
        <v>4019/4020</v>
      </c>
      <c r="L78" s="21" t="str">
        <f>VLOOKUP(A78,'Trips&amp;Operators'!$C$1:$G$99999,5,FALSE)</f>
        <v>BRUDER RICHARD</v>
      </c>
      <c r="M78" s="6">
        <f t="shared" si="1"/>
        <v>4.0682870370801538E-2</v>
      </c>
      <c r="N78" s="7">
        <f t="shared" si="2"/>
        <v>58.583333333954215</v>
      </c>
      <c r="O78" s="7"/>
      <c r="P78" s="7"/>
      <c r="Q78" s="22"/>
      <c r="R78" s="22"/>
      <c r="S78" s="31">
        <f t="shared" si="3"/>
        <v>1</v>
      </c>
      <c r="T78" s="46" t="str">
        <f t="shared" si="4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5"/>
        <v>https://d0f6bd738d7f1b3e5a7ca70fe4ff75f0.us-east-1.aws.found.io/app/kibana#/discover/Steve-Slow-Train-Analysis-(2080s-and-2083s)?_g=(refreshInterval:(display:Off,pause:!f,section:0,value:0),time:(from:'2017-03-12T11:37:42-600',mode:absolute,to:'2017-03-12T14:39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7" t="str">
        <f t="shared" si="6"/>
        <v>N</v>
      </c>
      <c r="X78" s="187">
        <f t="shared" si="7"/>
        <v>1</v>
      </c>
      <c r="Y78" s="62">
        <f t="shared" si="8"/>
        <v>23.297999999999998</v>
      </c>
      <c r="Z78" s="62">
        <f t="shared" si="9"/>
        <v>1.49E-2</v>
      </c>
      <c r="AA78" s="62">
        <f t="shared" si="10"/>
        <v>23.283099999999997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11"/>
        <v>0166-12</v>
      </c>
      <c r="AE78" s="85" t="str">
        <f t="shared" si="12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78" s="82" t="str">
        <f t="shared" si="13"/>
        <v>"C:\Program Files (x86)\AstroGrep\AstroGrep.exe" /e /r /s /spath="%USERPROFILE%\AppData\Local\Temp\OnboardLogs" /stypes="app*4019*20170312*" /stext=" 19:.+((SYSTEM_STATE.+slice.+state.+changed )|(ment ac)|(multiple cpu faults)|(system.+state.+changed )|(\[timeout)|(PRM\|1\|D)|(kpr)|(kdp)|(\|lc)|(penalty))"</v>
      </c>
      <c r="AG78" s="1" t="str">
        <f t="shared" si="14"/>
        <v>EC</v>
      </c>
      <c r="AH78" s="86" t="str">
        <f t="shared" si="18"/>
        <v>"%USERPROFILE%\Documents\GitHub\eaglep3\Utilities\RefineRTDCRunTimes.py" --tripid 166-12 --locoid 4019 --swversion DE.1.0.9.0 --startMP 204:232980 --initTime 2017-03-12T12:37:42 --startdatetime 2017-03-12T12:40:36 --delay 2 --endMP 204:149 --enddatetime 2017-03-12T13:39:11 --enforcementcount 0 &gt;&gt;C:\Users\stu\Documents\GitHub\eaglep3-reporting\EC\2017-03-12-refined-times.txt</v>
      </c>
      <c r="AI78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{"issue":{"subject":"","project_id":79,"tracker_id":40,"status_id":1,"priority_id":2,"assigned_to_id":23,"start_date":"2017-03-12","description":"","custom_fields":[{"id":1,"name":"Subdivision","value":"EC"},{"id":4,"name":"Milepost","value":"0.0149"},{"id":17,"name":"Train ID","value":"166-12"},{"id":16,"name":"Locomotive ID","value":"4019"},{"id":130,"name":"Impact","value":""},{"id":150,"name":"Time of Event (Mountain Time)","value":"13:39:11"},{"id":151,"name":"Denver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4019 --day 2017-03-12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716</v>
      </c>
      <c r="B79" s="7">
        <v>4027</v>
      </c>
      <c r="C79" s="21" t="s">
        <v>242</v>
      </c>
      <c r="D79" s="21" t="s">
        <v>237</v>
      </c>
      <c r="E79" s="13">
        <v>42806.498240740744</v>
      </c>
      <c r="F79" s="13">
        <v>42806.499768518515</v>
      </c>
      <c r="G79" s="7">
        <v>2</v>
      </c>
      <c r="H79" s="21" t="s">
        <v>857</v>
      </c>
      <c r="I79" s="13">
        <v>42806.530972222223</v>
      </c>
      <c r="J79" s="7">
        <v>0</v>
      </c>
      <c r="K79" s="98" t="str">
        <f t="shared" si="0"/>
        <v>4027/4028</v>
      </c>
      <c r="L79" s="21" t="str">
        <f>VLOOKUP(A79,'Trips&amp;Operators'!$C$1:$G$99999,5,FALSE)</f>
        <v>LOCKLEAR TRAVIS</v>
      </c>
      <c r="M79" s="6">
        <f t="shared" si="1"/>
        <v>3.1203703707433306E-2</v>
      </c>
      <c r="N79" s="7">
        <f t="shared" si="2"/>
        <v>44.93333333870396</v>
      </c>
      <c r="O79" s="7"/>
      <c r="P79" s="7"/>
      <c r="Q79" s="22"/>
      <c r="R79" s="22"/>
      <c r="S79" s="31">
        <f t="shared" si="3"/>
        <v>1</v>
      </c>
      <c r="T79" s="46" t="str">
        <f t="shared" si="4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5"/>
        <v>https://d0f6bd738d7f1b3e5a7ca70fe4ff75f0.us-east-1.aws.found.io/app/kibana#/discover/Steve-Slow-Train-Analysis-(2080s-and-2083s)?_g=(refreshInterval:(display:Off,pause:!f,section:0,value:0),time:(from:'2017-03-12T10:57:28-600',mode:absolute,to:'2017-03-12T13:44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87" t="str">
        <f t="shared" si="6"/>
        <v>N</v>
      </c>
      <c r="X79" s="187">
        <f t="shared" si="7"/>
        <v>1</v>
      </c>
      <c r="Y79" s="62">
        <f t="shared" si="8"/>
        <v>4.6600000000000003E-2</v>
      </c>
      <c r="Z79" s="62">
        <f t="shared" si="9"/>
        <v>23.333400000000001</v>
      </c>
      <c r="AA79" s="62">
        <f t="shared" si="10"/>
        <v>23.286799999999999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11"/>
        <v>0167-12</v>
      </c>
      <c r="AE79" s="85" t="str">
        <f t="shared" si="12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79" s="82" t="str">
        <f t="shared" si="13"/>
        <v>"C:\Program Files (x86)\AstroGrep\AstroGrep.exe" /e /r /s /spath="%USERPROFILE%\AppData\Local\Temp\OnboardLogs" /stypes="app*4027*20170312*" /stext=" 18:.+((SYSTEM_STATE.+slice.+state.+changed )|(ment ac)|(multiple cpu faults)|(system.+state.+changed )|(\[timeout)|(PRM\|1\|D)|(kpr)|(kdp)|(\|lc)|(penalty))"</v>
      </c>
      <c r="AG79" s="1" t="str">
        <f t="shared" si="14"/>
        <v>EC</v>
      </c>
      <c r="AH79" s="86" t="str">
        <f t="shared" si="18"/>
        <v>"%USERPROFILE%\Documents\GitHub\eaglep3\Utilities\RefineRTDCRunTimes.py" --tripid 167-12 --locoid 4027 --swversion DE.1.0.9.0 --startMP 204:466 --initTime 2017-03-12T11:57:28 --startdatetime 2017-03-12T11:59:40 --delay 2 --endMP 204:233334 --enddatetime 2017-03-12T12:44:36 --enforcementcount 0 &gt;&gt;C:\Users\stu\Documents\GitHub\eaglep3-reporting\EC\2017-03-12-refined-times.txt</v>
      </c>
      <c r="AI79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{"issue":{"subject":"","project_id":79,"tracker_id":40,"status_id":1,"priority_id":2,"assigned_to_id":23,"start_date":"2017-03-12","description":"","custom_fields":[{"id":1,"name":"Subdivision","value":"EC"},{"id":4,"name":"Milepost","value":"23.3334"},{"id":17,"name":"Train ID","value":"167-12"},{"id":16,"name":"Locomotive ID","value":"4027"},{"id":130,"name":"Impact","value":""},{"id":150,"name":"Time of Event (Mountain Time)","value":"12:44:36"},{"id":151,"name":"Denver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4027 --day 2017-03-12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603</v>
      </c>
      <c r="B80" s="7">
        <v>4028</v>
      </c>
      <c r="C80" s="21" t="s">
        <v>242</v>
      </c>
      <c r="D80" s="21" t="s">
        <v>858</v>
      </c>
      <c r="E80" s="13">
        <v>42806.532719907409</v>
      </c>
      <c r="F80" s="13">
        <v>42806.534282407411</v>
      </c>
      <c r="G80" s="7">
        <v>2</v>
      </c>
      <c r="H80" s="21" t="s">
        <v>859</v>
      </c>
      <c r="I80" s="13">
        <v>42806.572430555556</v>
      </c>
      <c r="J80" s="7">
        <v>0</v>
      </c>
      <c r="K80" s="98" t="str">
        <f t="shared" ref="K80:K143" si="54">IF(ISEVEN(B80),(B80-1)&amp;"/"&amp;B80,B80&amp;"/"&amp;(B80+1))</f>
        <v>4027/4028</v>
      </c>
      <c r="L80" s="21" t="str">
        <f>VLOOKUP(A80,'Trips&amp;Operators'!$C$1:$G$99999,5,FALSE)</f>
        <v>LOCKLEAR TRAVIS</v>
      </c>
      <c r="M80" s="6">
        <f t="shared" ref="M80:M143" si="55">I80-F80</f>
        <v>3.8148148145410232E-2</v>
      </c>
      <c r="N80" s="7">
        <f t="shared" ref="N80:N143" si="56">24*60*SUM($M80:$M80)</f>
        <v>54.933333329390734</v>
      </c>
      <c r="O80" s="7"/>
      <c r="P80" s="7"/>
      <c r="Q80" s="22"/>
      <c r="R80" s="22"/>
      <c r="S80" s="31">
        <f t="shared" ref="S80:S143" si="57">SUM(U80:U80)/IF(AG80="EC",12,1)</f>
        <v>1</v>
      </c>
      <c r="T80" s="46" t="str">
        <f t="shared" ref="T80:T143" si="58">IF(ISEVEN(LEFT(AD80,4)),"Southbound","NorthBound")</f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ref="V80:V143" si="59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-03-12T11:47:07-600',mode:absolute,to:'2017-03-12T14:44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87" t="str">
        <f t="shared" ref="W80:W143" si="60">IF(AA80&lt;IF(AG80="EC",23,5.65),"Y","N")</f>
        <v>N</v>
      </c>
      <c r="X80" s="187">
        <f t="shared" ref="X80:X143" si="61">VALUE(LEFT(AD80,4))-VALUE(LEFT(AD79,4))</f>
        <v>1</v>
      </c>
      <c r="Y80" s="62">
        <f t="shared" ref="Y80:Y143" si="62">RIGHT(D80,LEN(D80)-4)/10000</f>
        <v>23.3047</v>
      </c>
      <c r="Z80" s="62">
        <f t="shared" ref="Z80:Z143" si="63">RIGHT(H80,LEN(H80)-4)/10000</f>
        <v>0.10730000000000001</v>
      </c>
      <c r="AA80" s="62">
        <f t="shared" ref="AA80:AA143" si="64">ABS(Z80-Y80)</f>
        <v>23.197400000000002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ref="AD80:AD143" si="65">IF(LEN(A80)=6,"0"&amp;A80,A80)</f>
        <v>0168-12</v>
      </c>
      <c r="AE80" s="85" t="str">
        <f t="shared" ref="AE80:AE143" si="66"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80" s="82" t="str">
        <f t="shared" ref="AF80:AF143" si="67"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/stypes="app*4028*20170312*" /stext=" 19:.+((SYSTEM_STATE.+slice.+state.+changed )|(ment ac)|(multiple cpu faults)|(system.+state.+changed )|(\[timeout)|(PRM\|1\|D)|(kpr)|(kdp)|(\|lc)|(penalty))"</v>
      </c>
      <c r="AG80" s="1" t="str">
        <f t="shared" ref="AG80:AG143" si="68">IFERROR(IF(VALUE(LEFT(AD80,2))&lt;=2,"EC",IF(OR(VALUE(LEFT(AD80,2))=8,VALUE(LEFT(AD80,2))=18),"NW","Other")),"Other")</f>
        <v>EC</v>
      </c>
      <c r="AH80" s="86" t="str">
        <f t="shared" si="18"/>
        <v>"%USERPROFILE%\Documents\GitHub\eaglep3\Utilities\RefineRTDCRunTimes.py" --tripid 168-12 --locoid 4028 --swversion DE.1.0.9.0 --startMP 204:233047 --initTime 2017-03-12T12:47:07 --startdatetime 2017-03-12T12:49:22 --delay 2 --endMP 204:1073 --enddatetime 2017-03-12T13:44:18 --enforcementcount 0 &gt;&gt;C:\Users\stu\Documents\GitHub\eaglep3-reporting\EC\2017-03-12-refined-times.txt</v>
      </c>
      <c r="AI80" s="108" t="str">
        <f t="shared" si="19"/>
        <v>echo {"issue":{"subject":"","project_id":79,"tracker_id":40,"status_id":1,"priority_id":2,"assigned_to_id":23,"start_date":"2017-03-12","description":"","custom_fields":[{"id":1,"name":"Subdivision","value":"EC"},{"id":4,"name":"Milepost","value":"0.1073"},{"id":17,"name":"Train ID","value":"168-12"},{"id":16,"name":"Locomotive ID","value":"4028"},{"id":130,"name":"Impact","value":""},{"id":150,"name":"Time of Event (Mountain Time)","value":"13:44:18"},{"id":151,"name":"Denver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4028 --day 2017-03-12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602</v>
      </c>
      <c r="B81" s="7">
        <v>4025</v>
      </c>
      <c r="C81" s="21" t="s">
        <v>242</v>
      </c>
      <c r="D81" s="21" t="s">
        <v>236</v>
      </c>
      <c r="E81" s="13">
        <v>42806.505150462966</v>
      </c>
      <c r="F81" s="13">
        <v>42806.506076388891</v>
      </c>
      <c r="G81" s="7">
        <v>1</v>
      </c>
      <c r="H81" s="21" t="s">
        <v>860</v>
      </c>
      <c r="I81" s="13">
        <v>42806.538622685184</v>
      </c>
      <c r="J81" s="7">
        <v>0</v>
      </c>
      <c r="K81" s="98" t="str">
        <f t="shared" si="54"/>
        <v>4025/4026</v>
      </c>
      <c r="L81" s="21" t="str">
        <f>VLOOKUP(A81,'Trips&amp;Operators'!$C$1:$G$99999,5,FALSE)</f>
        <v>ROMERO CHAD</v>
      </c>
      <c r="M81" s="6">
        <f t="shared" si="55"/>
        <v>3.2546296293730848E-2</v>
      </c>
      <c r="N81" s="7">
        <f t="shared" si="56"/>
        <v>46.86666666297242</v>
      </c>
      <c r="O81" s="7"/>
      <c r="P81" s="7"/>
      <c r="Q81" s="22"/>
      <c r="R81" s="22"/>
      <c r="S81" s="31">
        <f t="shared" si="57"/>
        <v>1</v>
      </c>
      <c r="T81" s="46" t="str">
        <f t="shared" si="58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59"/>
        <v>https://d0f6bd738d7f1b3e5a7ca70fe4ff75f0.us-east-1.aws.found.io/app/kibana#/discover/Steve-Slow-Train-Analysis-(2080s-and-2083s)?_g=(refreshInterval:(display:Off,pause:!f,section:0,value:0),time:(from:'2017-03-12T11:07:25-600',mode:absolute,to:'2017-03-12T13:55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1" s="187" t="str">
        <f t="shared" si="60"/>
        <v>N</v>
      </c>
      <c r="X81" s="187">
        <f t="shared" si="61"/>
        <v>1</v>
      </c>
      <c r="Y81" s="62">
        <f t="shared" si="62"/>
        <v>4.4699999999999997E-2</v>
      </c>
      <c r="Z81" s="62">
        <f t="shared" si="63"/>
        <v>23.339700000000001</v>
      </c>
      <c r="AA81" s="62">
        <f t="shared" si="64"/>
        <v>23.295000000000002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65"/>
        <v>0169-12</v>
      </c>
      <c r="AE81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81" s="82" t="str">
        <f t="shared" si="67"/>
        <v>"C:\Program Files (x86)\AstroGrep\AstroGrep.exe" /e /r /s /spath="%USERPROFILE%\AppData\Local\Temp\OnboardLogs" /stypes="app*4025*20170312*" /stext=" 18:.+((SYSTEM_STATE.+slice.+state.+changed )|(ment ac)|(multiple cpu faults)|(system.+state.+changed )|(\[timeout)|(PRM\|1\|D)|(kpr)|(kdp)|(\|lc)|(penalty))"</v>
      </c>
      <c r="AG81" s="1" t="str">
        <f t="shared" si="68"/>
        <v>EC</v>
      </c>
      <c r="AH81" s="86" t="str">
        <f t="shared" ref="AH81:AH144" si="69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169-12 --locoid 4025 --swversion DE.1.0.9.0 --startMP 204:447 --initTime 2017-03-12T12:07:25 --startdatetime 2017-03-12T12:08:45 --delay 1 --endMP 204:233397 --enddatetime 2017-03-12T12:55:37 --enforcementcount 0 &gt;&gt;C:\Users\stu\Documents\GitHub\eaglep3-reporting\EC\2017-03-12-refined-times.txt</v>
      </c>
      <c r="AI81" s="108" t="str">
        <f t="shared" ref="AI81:AI144" si="70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{"issue":{"subject":"","project_id":79,"tracker_id":40,"status_id":1,"priority_id":2,"assigned_to_id":23,"start_date":"2017-03-12","description":"","custom_fields":[{"id":1,"name":"Subdivision","value":"EC"},{"id":4,"name":"Milepost","value":"23.3397"},{"id":17,"name":"Train ID","value":"169-12"},{"id":16,"name":"Locomotive ID","value":"4025"},{"id":130,"name":"Impact","value":""},{"id":150,"name":"Time of Event (Mountain Time)","value":"12:55:37"},{"id":151,"name":"Denver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4" si="71">"start /low /b "&amp;dls3logs&amp;" --loco "&amp;B81&amp;" --day "&amp;TEXT(F81,"YYYY-MM-DD")</f>
        <v>start /low /b %USERPROFILE%\Documents\GitHub\eaglep3\Utilities\DownloadLogsFromS3.py --loco 4025 --day 2017-03-12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604</v>
      </c>
      <c r="B82" s="7">
        <v>4026</v>
      </c>
      <c r="C82" s="21" t="s">
        <v>242</v>
      </c>
      <c r="D82" s="21" t="s">
        <v>861</v>
      </c>
      <c r="E82" s="13">
        <v>42806.540370370371</v>
      </c>
      <c r="F82" s="13">
        <v>42806.541215277779</v>
      </c>
      <c r="G82" s="7">
        <v>1</v>
      </c>
      <c r="H82" s="21" t="s">
        <v>418</v>
      </c>
      <c r="I82" s="13">
        <v>42806.577546296299</v>
      </c>
      <c r="J82" s="7">
        <v>0</v>
      </c>
      <c r="K82" s="98" t="str">
        <f t="shared" si="54"/>
        <v>4025/4026</v>
      </c>
      <c r="L82" s="21" t="str">
        <f>VLOOKUP(A82,'Trips&amp;Operators'!$C$1:$G$99999,5,FALSE)</f>
        <v>ROMERO CHAD</v>
      </c>
      <c r="M82" s="6">
        <f t="shared" si="55"/>
        <v>3.6331018520286307E-2</v>
      </c>
      <c r="N82" s="7">
        <f t="shared" si="56"/>
        <v>52.316666669212282</v>
      </c>
      <c r="O82" s="7"/>
      <c r="P82" s="7"/>
      <c r="Q82" s="22"/>
      <c r="R82" s="22"/>
      <c r="S82" s="31">
        <f t="shared" si="57"/>
        <v>1</v>
      </c>
      <c r="T82" s="46" t="str">
        <f t="shared" si="58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59"/>
        <v>https://d0f6bd738d7f1b3e5a7ca70fe4ff75f0.us-east-1.aws.found.io/app/kibana#/discover/Steve-Slow-Train-Analysis-(2080s-and-2083s)?_g=(refreshInterval:(display:Off,pause:!f,section:0,value:0),time:(from:'2017-03-12T11:58:08-600',mode:absolute,to:'2017-03-12T14:51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87" t="str">
        <f t="shared" si="60"/>
        <v>N</v>
      </c>
      <c r="X82" s="187">
        <f t="shared" si="61"/>
        <v>1</v>
      </c>
      <c r="Y82" s="62">
        <f t="shared" si="62"/>
        <v>23.308399999999999</v>
      </c>
      <c r="Z82" s="62">
        <f t="shared" si="63"/>
        <v>1.43E-2</v>
      </c>
      <c r="AA82" s="62">
        <f t="shared" si="64"/>
        <v>23.2941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 t="shared" si="65"/>
        <v>0170-12</v>
      </c>
      <c r="AE82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82" s="82" t="str">
        <f t="shared" si="67"/>
        <v>"C:\Program Files (x86)\AstroGrep\AstroGrep.exe" /e /r /s /spath="%USERPROFILE%\AppData\Local\Temp\OnboardLogs" /stypes="app*4026*20170312*" /stext=" 19:.+((SYSTEM_STATE.+slice.+state.+changed )|(ment ac)|(multiple cpu faults)|(system.+state.+changed )|(\[timeout)|(PRM\|1\|D)|(kpr)|(kdp)|(\|lc)|(penalty))"</v>
      </c>
      <c r="AG82" s="1" t="str">
        <f t="shared" si="68"/>
        <v>EC</v>
      </c>
      <c r="AH82" s="86" t="str">
        <f t="shared" si="69"/>
        <v>"%USERPROFILE%\Documents\GitHub\eaglep3\Utilities\RefineRTDCRunTimes.py" --tripid 170-12 --locoid 4026 --swversion DE.1.0.9.0 --startMP 204:233084 --initTime 2017-03-12T12:58:08 --startdatetime 2017-03-12T12:59:21 --delay 1 --endMP 204:143 --enddatetime 2017-03-12T13:51:40 --enforcementcount 0 &gt;&gt;C:\Users\stu\Documents\GitHub\eaglep3-reporting\EC\2017-03-12-refined-times.txt</v>
      </c>
      <c r="AI8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{"issue":{"subject":"","project_id":79,"tracker_id":40,"status_id":1,"priority_id":2,"assigned_to_id":23,"start_date":"2017-03-12","description":"","custom_fields":[{"id":1,"name":"Subdivision","value":"EC"},{"id":4,"name":"Milepost","value":"0.0143"},{"id":17,"name":"Train ID","value":"170-12"},{"id":16,"name":"Locomotive ID","value":"4026"},{"id":130,"name":"Impact","value":""},{"id":150,"name":"Time of Event (Mountain Time)","value":"13:51:40"},{"id":151,"name":"Denver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71"/>
        <v>start /low /b %USERPROFILE%\Documents\GitHub\eaglep3\Utilities\DownloadLogsFromS3.py --loco 4026 --day 2017-03-12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720</v>
      </c>
      <c r="B83" s="7">
        <v>4018</v>
      </c>
      <c r="C83" s="21" t="s">
        <v>242</v>
      </c>
      <c r="D83" s="21" t="s">
        <v>243</v>
      </c>
      <c r="E83" s="13">
        <v>42806.521006944444</v>
      </c>
      <c r="F83" s="13">
        <v>42806.522337962961</v>
      </c>
      <c r="G83" s="7">
        <v>1</v>
      </c>
      <c r="H83" s="21" t="s">
        <v>249</v>
      </c>
      <c r="I83" s="13">
        <v>42806.554340277777</v>
      </c>
      <c r="J83" s="7">
        <v>0</v>
      </c>
      <c r="K83" s="98" t="str">
        <f t="shared" si="54"/>
        <v>4017/4018</v>
      </c>
      <c r="L83" s="21" t="str">
        <f>VLOOKUP(A83,'Trips&amp;Operators'!$C$1:$G$99999,5,FALSE)</f>
        <v>MACDONALD THOMAS</v>
      </c>
      <c r="M83" s="6">
        <f t="shared" si="55"/>
        <v>3.2002314816054422E-2</v>
      </c>
      <c r="N83" s="7">
        <f t="shared" si="56"/>
        <v>46.083333335118368</v>
      </c>
      <c r="O83" s="7"/>
      <c r="P83" s="7"/>
      <c r="Q83" s="22"/>
      <c r="R83" s="22"/>
      <c r="S83" s="31">
        <f t="shared" si="57"/>
        <v>1</v>
      </c>
      <c r="T83" s="46" t="str">
        <f t="shared" si="58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59"/>
        <v>https://d0f6bd738d7f1b3e5a7ca70fe4ff75f0.us-east-1.aws.found.io/app/kibana#/discover/Steve-Slow-Train-Analysis-(2080s-and-2083s)?_g=(refreshInterval:(display:Off,pause:!f,section:0,value:0),time:(from:'2017-03-12T11:30:15-600',mode:absolute,to:'2017-03-12T14:18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187" t="str">
        <f t="shared" si="60"/>
        <v>N</v>
      </c>
      <c r="X83" s="187">
        <f t="shared" si="61"/>
        <v>1</v>
      </c>
      <c r="Y83" s="62">
        <f t="shared" si="62"/>
        <v>4.58E-2</v>
      </c>
      <c r="Z83" s="62">
        <f t="shared" si="63"/>
        <v>23.330400000000001</v>
      </c>
      <c r="AA83" s="62">
        <f t="shared" si="64"/>
        <v>23.284600000000001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65"/>
        <v>0171-12</v>
      </c>
      <c r="AE83" s="85" t="str">
        <f t="shared" si="66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83" s="82" t="str">
        <f t="shared" si="67"/>
        <v>"C:\Program Files (x86)\AstroGrep\AstroGrep.exe" /e /r /s /spath="%USERPROFILE%\AppData\Local\Temp\OnboardLogs" /stypes="app*4018*20170312*" /stext=" 19:.+((SYSTEM_STATE.+slice.+state.+changed )|(ment ac)|(multiple cpu faults)|(system.+state.+changed )|(\[timeout)|(PRM\|1\|D)|(kpr)|(kdp)|(\|lc)|(penalty))"</v>
      </c>
      <c r="AG83" s="1" t="str">
        <f t="shared" si="68"/>
        <v>EC</v>
      </c>
      <c r="AH83" s="86" t="str">
        <f t="shared" si="69"/>
        <v>"%USERPROFILE%\Documents\GitHub\eaglep3\Utilities\RefineRTDCRunTimes.py" --tripid 171-12 --locoid 4018 --swversion DE.1.0.9.0 --startMP 204:458 --initTime 2017-03-12T12:30:15 --startdatetime 2017-03-12T12:32:10 --delay 1 --endMP 204:233304 --enddatetime 2017-03-12T13:18:15 --enforcementcount 0 &gt;&gt;C:\Users\stu\Documents\GitHub\eaglep3-reporting\EC\2017-03-12-refined-times.txt</v>
      </c>
      <c r="AI8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{"issue":{"subject":"","project_id":79,"tracker_id":40,"status_id":1,"priority_id":2,"assigned_to_id":23,"start_date":"2017-03-12","description":"","custom_fields":[{"id":1,"name":"Subdivision","value":"EC"},{"id":4,"name":"Milepost","value":"23.3304"},{"id":17,"name":"Train ID","value":"171-12"},{"id":16,"name":"Locomotive ID","value":"4018"},{"id":130,"name":"Impact","value":""},{"id":150,"name":"Time of Event (Mountain Time)","value":"13:18:15"},{"id":151,"name":"Denver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71"/>
        <v>start /low /b %USERPROFILE%\Documents\GitHub\eaglep3\Utilities\DownloadLogsFromS3.py --loco 4018 --day 2017-03-12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"%USERPROFILE%\AppData\Local\Temp\OnboardLogs"\RTDC4018\*4018*20170312* | grep -SE "(Enforcement Action)|(\[TIMEOUT)|(CHR.+\|PRM\|1\|D.+(SWITCH|SIGNAL).+UNKNOWN)" - &gt;&gt; 2017-03-12-UncaughtWiMAX.txt</v>
      </c>
    </row>
    <row r="84" spans="1:91" s="20" customFormat="1" x14ac:dyDescent="0.25">
      <c r="A84" s="33" t="s">
        <v>730</v>
      </c>
      <c r="B84" s="7">
        <v>4017</v>
      </c>
      <c r="C84" s="21" t="s">
        <v>242</v>
      </c>
      <c r="D84" s="21" t="s">
        <v>271</v>
      </c>
      <c r="E84" s="13">
        <v>42806.555775462963</v>
      </c>
      <c r="F84" s="13">
        <v>42806.556944444441</v>
      </c>
      <c r="G84" s="7">
        <v>1</v>
      </c>
      <c r="H84" s="21" t="s">
        <v>853</v>
      </c>
      <c r="I84" s="13">
        <v>42806.592789351853</v>
      </c>
      <c r="J84" s="7">
        <v>0</v>
      </c>
      <c r="K84" s="98" t="str">
        <f t="shared" si="54"/>
        <v>4017/4018</v>
      </c>
      <c r="L84" s="21" t="str">
        <f>VLOOKUP(A84,'Trips&amp;Operators'!$C$1:$G$99999,5,FALSE)</f>
        <v>MACDONALD THOMAS</v>
      </c>
      <c r="M84" s="6">
        <f t="shared" si="55"/>
        <v>3.5844907411956228E-2</v>
      </c>
      <c r="N84" s="7">
        <f t="shared" si="56"/>
        <v>51.616666673216969</v>
      </c>
      <c r="O84" s="7"/>
      <c r="P84" s="7"/>
      <c r="Q84" s="22"/>
      <c r="R84" s="22"/>
      <c r="S84" s="31">
        <f t="shared" si="57"/>
        <v>1</v>
      </c>
      <c r="T84" s="46" t="str">
        <f t="shared" si="58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59"/>
        <v>https://d0f6bd738d7f1b3e5a7ca70fe4ff75f0.us-east-1.aws.found.io/app/kibana#/discover/Steve-Slow-Train-Analysis-(2080s-and-2083s)?_g=(refreshInterval:(display:Off,pause:!f,section:0,value:0),time:(from:'2017-03-12T12:20:19-600',mode:absolute,to:'2017-03-12T15:13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187" t="str">
        <f t="shared" si="60"/>
        <v>N</v>
      </c>
      <c r="X84" s="187">
        <f t="shared" si="61"/>
        <v>1</v>
      </c>
      <c r="Y84" s="62">
        <f t="shared" si="62"/>
        <v>23.299099999999999</v>
      </c>
      <c r="Z84" s="62">
        <f t="shared" si="63"/>
        <v>1.3599999999999999E-2</v>
      </c>
      <c r="AA84" s="62">
        <f t="shared" si="64"/>
        <v>23.285499999999999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65"/>
        <v>0172-12</v>
      </c>
      <c r="AE84" s="85" t="str">
        <f t="shared" si="66"/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AF84" s="82" t="str">
        <f t="shared" si="67"/>
        <v>"C:\Program Files (x86)\AstroGrep\AstroGrep.exe" /e /r /s /spath="%USERPROFILE%\AppData\Local\Temp\OnboardLogs" /stypes="app*4017*20170312*" /stext=" 20:.+((SYSTEM_STATE.+slice.+state.+changed )|(ment ac)|(multiple cpu faults)|(system.+state.+changed )|(\[timeout)|(PRM\|1\|D)|(kpr)|(kdp)|(\|lc)|(penalty))"</v>
      </c>
      <c r="AG84" s="1" t="str">
        <f t="shared" si="68"/>
        <v>EC</v>
      </c>
      <c r="AH84" s="86" t="str">
        <f t="shared" si="69"/>
        <v>"%USERPROFILE%\Documents\GitHub\eaglep3\Utilities\RefineRTDCRunTimes.py" --tripid 172-12 --locoid 4017 --swversion DE.1.0.9.0 --startMP 204:232991 --initTime 2017-03-12T13:20:19 --startdatetime 2017-03-12T13:22:00 --delay 1 --endMP 204:136 --enddatetime 2017-03-12T14:13:37 --enforcementcount 0 &gt;&gt;C:\Users\stu\Documents\GitHub\eaglep3-reporting\EC\2017-03-12-refined-times.txt</v>
      </c>
      <c r="AI8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{"issue":{"subject":"","project_id":79,"tracker_id":40,"status_id":1,"priority_id":2,"assigned_to_id":23,"start_date":"2017-03-12","description":"","custom_fields":[{"id":1,"name":"Subdivision","value":"EC"},{"id":4,"name":"Milepost","value":"0.0136"},{"id":17,"name":"Train ID","value":"172-12"},{"id":16,"name":"Locomotive ID","value":"4017"},{"id":130,"name":"Impact","value":""},{"id":150,"name":"Time of Event (Mountain Time)","value":"14:13:37"},{"id":151,"name":"Denver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71"/>
        <v>start /low /b %USERPROFILE%\Documents\GitHub\eaglep3\Utilities\DownloadLogsFromS3.py --loco 4017 --day 2017-03-12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"%USERPROFILE%\AppData\Local\Temp\OnboardLogs"\RTDC4017\*4017*20170312* | grep -SE "(Enforcement Action)|(\[TIMEOUT)|(CHR.+\|PRM\|1\|D.+(SWITCH|SIGNAL).+UNKNOWN)" - &gt;&gt; 2017-03-12-UncaughtWiMAX.txt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725</v>
      </c>
      <c r="B85" s="7">
        <v>4042</v>
      </c>
      <c r="C85" s="21" t="s">
        <v>242</v>
      </c>
      <c r="D85" s="21" t="s">
        <v>223</v>
      </c>
      <c r="E85" s="13">
        <v>42806.527916666666</v>
      </c>
      <c r="F85" s="13">
        <v>42806.52884259259</v>
      </c>
      <c r="G85" s="7">
        <v>1</v>
      </c>
      <c r="H85" s="21" t="s">
        <v>248</v>
      </c>
      <c r="I85" s="13">
        <v>42806.562708333331</v>
      </c>
      <c r="J85" s="7">
        <v>0</v>
      </c>
      <c r="K85" s="98" t="str">
        <f t="shared" si="54"/>
        <v>4041/4042</v>
      </c>
      <c r="L85" s="21" t="str">
        <f>VLOOKUP(A85,'Trips&amp;Operators'!$C$1:$G$99999,5,FALSE)</f>
        <v>STEWART MICHAEL</v>
      </c>
      <c r="M85" s="6">
        <f t="shared" si="55"/>
        <v>3.3865740741021E-2</v>
      </c>
      <c r="N85" s="7">
        <f t="shared" si="56"/>
        <v>48.76666666707024</v>
      </c>
      <c r="O85" s="7"/>
      <c r="P85" s="7"/>
      <c r="Q85" s="22"/>
      <c r="R85" s="22"/>
      <c r="S85" s="31">
        <f t="shared" si="57"/>
        <v>1</v>
      </c>
      <c r="T85" s="46" t="str">
        <f t="shared" si="58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59"/>
        <v>https://d0f6bd738d7f1b3e5a7ca70fe4ff75f0.us-east-1.aws.found.io/app/kibana#/discover/Steve-Slow-Train-Analysis-(2080s-and-2083s)?_g=(refreshInterval:(display:Off,pause:!f,section:0,value:0),time:(from:'2017-03-12T11:40:12-600',mode:absolute,to:'2017-03-12T14:30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87" t="str">
        <f t="shared" si="60"/>
        <v>N</v>
      </c>
      <c r="X85" s="187">
        <f t="shared" si="61"/>
        <v>1</v>
      </c>
      <c r="Y85" s="62">
        <f t="shared" si="62"/>
        <v>4.53E-2</v>
      </c>
      <c r="Z85" s="62">
        <f t="shared" si="63"/>
        <v>23.328900000000001</v>
      </c>
      <c r="AA85" s="62">
        <f t="shared" si="64"/>
        <v>23.2836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65"/>
        <v>0173-12</v>
      </c>
      <c r="AE85" s="85" t="str">
        <f t="shared" si="66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85" s="82" t="str">
        <f t="shared" si="67"/>
        <v>"C:\Program Files (x86)\AstroGrep\AstroGrep.exe" /e /r /s /spath="%USERPROFILE%\AppData\Local\Temp\OnboardLogs" /stypes="app*4042*20170312*" /stext=" 19:.+((SYSTEM_STATE.+slice.+state.+changed )|(ment ac)|(multiple cpu faults)|(system.+state.+changed )|(\[timeout)|(PRM\|1\|D)|(kpr)|(kdp)|(\|lc)|(penalty))"</v>
      </c>
      <c r="AG85" s="1" t="str">
        <f t="shared" si="68"/>
        <v>EC</v>
      </c>
      <c r="AH85" s="86" t="str">
        <f t="shared" si="69"/>
        <v>"%USERPROFILE%\Documents\GitHub\eaglep3\Utilities\RefineRTDCRunTimes.py" --tripid 173-12 --locoid 4042 --swversion DE.1.0.9.0 --startMP 204:453 --initTime 2017-03-12T12:40:12 --startdatetime 2017-03-12T12:41:32 --delay 1 --endMP 204:233289 --enddatetime 2017-03-12T13:30:18 --enforcementcount 0 &gt;&gt;C:\Users\stu\Documents\GitHub\eaglep3-reporting\EC\2017-03-12-refined-times.txt</v>
      </c>
      <c r="AI8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{"issue":{"subject":"","project_id":79,"tracker_id":40,"status_id":1,"priority_id":2,"assigned_to_id":23,"start_date":"2017-03-12","description":"","custom_fields":[{"id":1,"name":"Subdivision","value":"EC"},{"id":4,"name":"Milepost","value":"23.3289"},{"id":17,"name":"Train ID","value":"173-12"},{"id":16,"name":"Locomotive ID","value":"4042"},{"id":130,"name":"Impact","value":""},{"id":150,"name":"Time of Event (Mountain Time)","value":"13:30:18"},{"id":151,"name":"Denver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71"/>
        <v>start /low /b %USERPROFILE%\Documents\GitHub\eaglep3\Utilities\DownloadLogsFromS3.py --loco 4042 --day 2017-03-12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734</v>
      </c>
      <c r="B86" s="7">
        <v>4041</v>
      </c>
      <c r="C86" s="21" t="s">
        <v>242</v>
      </c>
      <c r="D86" s="21" t="s">
        <v>840</v>
      </c>
      <c r="E86" s="13">
        <v>42806.570810185185</v>
      </c>
      <c r="F86" s="13">
        <v>42806.571759259263</v>
      </c>
      <c r="G86" s="7">
        <v>1</v>
      </c>
      <c r="H86" s="21" t="s">
        <v>561</v>
      </c>
      <c r="I86" s="13">
        <v>42806.606782407405</v>
      </c>
      <c r="J86" s="7">
        <v>0</v>
      </c>
      <c r="K86" s="98" t="str">
        <f t="shared" si="54"/>
        <v>4041/4042</v>
      </c>
      <c r="L86" s="21" t="str">
        <f>VLOOKUP(A86,'Trips&amp;Operators'!$C$1:$G$99999,5,FALSE)</f>
        <v>STEWART MICHAEL</v>
      </c>
      <c r="M86" s="6">
        <f t="shared" si="55"/>
        <v>3.5023148142499849E-2</v>
      </c>
      <c r="N86" s="7">
        <f t="shared" si="56"/>
        <v>50.433333325199783</v>
      </c>
      <c r="O86" s="7"/>
      <c r="P86" s="7"/>
      <c r="Q86" s="22"/>
      <c r="R86" s="22"/>
      <c r="S86" s="31">
        <f t="shared" si="57"/>
        <v>1</v>
      </c>
      <c r="T86" s="46" t="str">
        <f t="shared" si="58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59"/>
        <v>https://d0f6bd738d7f1b3e5a7ca70fe4ff75f0.us-east-1.aws.found.io/app/kibana#/discover/Steve-Slow-Train-Analysis-(2080s-and-2083s)?_g=(refreshInterval:(display:Off,pause:!f,section:0,value:0),time:(from:'2017-03-12T12:41:58-600',mode:absolute,to:'2017-03-12T15:33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87" t="str">
        <f t="shared" si="60"/>
        <v>N</v>
      </c>
      <c r="X86" s="187">
        <f t="shared" si="61"/>
        <v>1</v>
      </c>
      <c r="Y86" s="62">
        <f t="shared" si="62"/>
        <v>23.297499999999999</v>
      </c>
      <c r="Z86" s="62">
        <f t="shared" si="63"/>
        <v>1.38E-2</v>
      </c>
      <c r="AA86" s="62">
        <f t="shared" si="64"/>
        <v>23.2837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65"/>
        <v>0174-12</v>
      </c>
      <c r="AE86" s="85" t="str">
        <f t="shared" si="66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86" s="82" t="str">
        <f t="shared" si="67"/>
        <v>"C:\Program Files (x86)\AstroGrep\AstroGrep.exe" /e /r /s /spath="%USERPROFILE%\AppData\Local\Temp\OnboardLogs" /stypes="app*4041*20170312*" /stext=" 20:.+((SYSTEM_STATE.+slice.+state.+changed )|(ment ac)|(multiple cpu faults)|(system.+state.+changed )|(\[timeout)|(PRM\|1\|D)|(kpr)|(kdp)|(\|lc)|(penalty))"</v>
      </c>
      <c r="AG86" s="1" t="str">
        <f t="shared" si="68"/>
        <v>EC</v>
      </c>
      <c r="AH86" s="86" t="str">
        <f t="shared" si="69"/>
        <v>"%USERPROFILE%\Documents\GitHub\eaglep3\Utilities\RefineRTDCRunTimes.py" --tripid 174-12 --locoid 4041 --swversion DE.1.0.9.0 --startMP 204:232975 --initTime 2017-03-12T13:41:58 --startdatetime 2017-03-12T13:43:20 --delay 1 --endMP 204:138 --enddatetime 2017-03-12T14:33:46 --enforcementcount 0 &gt;&gt;C:\Users\stu\Documents\GitHub\eaglep3-reporting\EC\2017-03-12-refined-times.txt</v>
      </c>
      <c r="AI8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{"issue":{"subject":"","project_id":79,"tracker_id":40,"status_id":1,"priority_id":2,"assigned_to_id":23,"start_date":"2017-03-12","description":"","custom_fields":[{"id":1,"name":"Subdivision","value":"EC"},{"id":4,"name":"Milepost","value":"0.0138"},{"id":17,"name":"Train ID","value":"174-12"},{"id":16,"name":"Locomotive ID","value":"4041"},{"id":130,"name":"Impact","value":""},{"id":150,"name":"Time of Event (Mountain Time)","value":"14:33:46"},{"id":151,"name":"Denver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71"/>
        <v>start /low /b %USERPROFILE%\Documents\GitHub\eaglep3\Utilities\DownloadLogsFromS3.py --loco 4041 --day 2017-03-12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605</v>
      </c>
      <c r="B87" s="7">
        <v>4003</v>
      </c>
      <c r="C87" s="21" t="s">
        <v>242</v>
      </c>
      <c r="D87" s="21" t="s">
        <v>862</v>
      </c>
      <c r="E87" s="13">
        <v>42806.544606481482</v>
      </c>
      <c r="F87" s="13">
        <v>42806.546041666668</v>
      </c>
      <c r="G87" s="7">
        <v>2</v>
      </c>
      <c r="H87" s="21" t="s">
        <v>863</v>
      </c>
      <c r="I87" s="13">
        <v>42806.585173611114</v>
      </c>
      <c r="J87" s="7">
        <v>0</v>
      </c>
      <c r="K87" s="98" t="str">
        <f t="shared" si="54"/>
        <v>4003/4004</v>
      </c>
      <c r="L87" s="21" t="str">
        <f>VLOOKUP(A87,'Trips&amp;Operators'!$C$1:$G$99999,5,FALSE)</f>
        <v>WHITED DUSTIN</v>
      </c>
      <c r="M87" s="6">
        <f t="shared" si="55"/>
        <v>3.9131944446125999E-2</v>
      </c>
      <c r="N87" s="7">
        <f t="shared" si="56"/>
        <v>56.350000002421439</v>
      </c>
      <c r="O87" s="7"/>
      <c r="P87" s="7"/>
      <c r="Q87" s="22"/>
      <c r="R87" s="22"/>
      <c r="S87" s="31">
        <f t="shared" si="57"/>
        <v>1</v>
      </c>
      <c r="T87" s="46" t="str">
        <f t="shared" si="58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59"/>
        <v>https://d0f6bd738d7f1b3e5a7ca70fe4ff75f0.us-east-1.aws.found.io/app/kibana#/discover/Steve-Slow-Train-Analysis-(2080s-and-2083s)?_g=(refreshInterval:(display:Off,pause:!f,section:0,value:0),time:(from:'2017-03-12T12:04:14-600',mode:absolute,to:'2017-03-12T15:02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7" s="187" t="str">
        <f t="shared" si="60"/>
        <v>N</v>
      </c>
      <c r="X87" s="187">
        <f t="shared" si="61"/>
        <v>1</v>
      </c>
      <c r="Y87" s="62">
        <f t="shared" si="62"/>
        <v>3.9300000000000002E-2</v>
      </c>
      <c r="Z87" s="62">
        <f t="shared" si="63"/>
        <v>23.334399999999999</v>
      </c>
      <c r="AA87" s="62">
        <f t="shared" si="64"/>
        <v>23.295099999999998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5"/>
        <v>0175-12</v>
      </c>
      <c r="AE87" s="85" t="str">
        <f t="shared" si="66"/>
        <v>aws s3 cp s3://rtdc.mdm.uploadarchive.raw/RTDC4003/ "%USERPROFILE%\AppData\Local\Temp\OnboardLogs"\RTDC4003\2017-03-12 --exclude "*" --recursive --include "*20170312*" &amp; "%USERPROFILE%\Documents\GitHub\mrs-test-scripts\Headless Mode &amp; Sideloading\WalkAndUnGZ.bat" "%USERPROFILE%\AppData\Local\Temp\OnboardLogs"\RTDC4003\2017-03-12 &amp; 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</v>
      </c>
      <c r="AF87" s="82" t="str">
        <f t="shared" si="67"/>
        <v>"C:\Program Files (x86)\AstroGrep\AstroGrep.exe" /e /r /s /spath="%USERPROFILE%\AppData\Local\Temp\OnboardLogs" /stypes="app*4003*20170312*" /stext=" 20:.+((SYSTEM_STATE.+slice.+state.+changed )|(ment ac)|(multiple cpu faults)|(system.+state.+changed )|(\[timeout)|(PRM\|1\|D)|(kpr)|(kdp)|(\|lc)|(penalty))"</v>
      </c>
      <c r="AG87" s="1" t="str">
        <f t="shared" si="68"/>
        <v>EC</v>
      </c>
      <c r="AH87" s="86" t="str">
        <f t="shared" si="69"/>
        <v>"%USERPROFILE%\Documents\GitHub\eaglep3\Utilities\RefineRTDCRunTimes.py" --tripid 175-12 --locoid 4003 --swversion DE.1.0.9.0 --startMP 204:393 --initTime 2017-03-12T13:04:14 --startdatetime 2017-03-12T13:06:18 --delay 2 --endMP 204:233344 --enddatetime 2017-03-12T14:02:39 --enforcementcount 0 &gt;&gt;C:\Users\stu\Documents\GitHub\eaglep3-reporting\EC\2017-03-12-refined-times.txt</v>
      </c>
      <c r="AI8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{"issue":{"subject":"","project_id":79,"tracker_id":40,"status_id":1,"priority_id":2,"assigned_to_id":23,"start_date":"2017-03-12","description":"","custom_fields":[{"id":1,"name":"Subdivision","value":"EC"},{"id":4,"name":"Milepost","value":"23.3344"},{"id":17,"name":"Train ID","value":"175-12"},{"id":16,"name":"Locomotive ID","value":"4003"},{"id":130,"name":"Impact","value":""},{"id":150,"name":"Time of Event (Mountain Time)","value":"14:02:39"},{"id":151,"name":"Denver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71"/>
        <v>start /low /b %USERPROFILE%\Documents\GitHub\eaglep3\Utilities\DownloadLogsFromS3.py --loco 4003 --day 2017-03-12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"%USERPROFILE%\AppData\Local\Temp\OnboardLogs"\RTDC4003\*4003*20170312* | grep -SE "(Enforcement Action)|(\[TIMEOUT)|(CHR.+\|PRM\|1\|D.+(SWITCH|SIGNAL).+UNKNOWN)" - &gt;&gt; 2017-03-12-UncaughtWiMAX.txt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607</v>
      </c>
      <c r="B88" s="7">
        <v>4004</v>
      </c>
      <c r="C88" s="21" t="s">
        <v>242</v>
      </c>
      <c r="D88" s="21" t="s">
        <v>864</v>
      </c>
      <c r="E88" s="13">
        <v>42806.586956018517</v>
      </c>
      <c r="F88" s="13">
        <v>42806.58866898148</v>
      </c>
      <c r="G88" s="7">
        <v>2</v>
      </c>
      <c r="H88" s="21" t="s">
        <v>865</v>
      </c>
      <c r="I88" s="13">
        <v>42806.627986111111</v>
      </c>
      <c r="J88" s="7">
        <v>0</v>
      </c>
      <c r="K88" s="98" t="str">
        <f t="shared" si="54"/>
        <v>4003/4004</v>
      </c>
      <c r="L88" s="21" t="str">
        <f>VLOOKUP(A88,'Trips&amp;Operators'!$C$1:$G$99999,5,FALSE)</f>
        <v>WHITED DUSTIN</v>
      </c>
      <c r="M88" s="6">
        <f t="shared" si="55"/>
        <v>3.9317129630944692E-2</v>
      </c>
      <c r="N88" s="7">
        <f t="shared" si="56"/>
        <v>56.616666668560356</v>
      </c>
      <c r="O88" s="7"/>
      <c r="P88" s="7"/>
      <c r="Q88" s="22"/>
      <c r="R88" s="22"/>
      <c r="S88" s="31">
        <f t="shared" si="57"/>
        <v>1</v>
      </c>
      <c r="T88" s="46" t="str">
        <f t="shared" si="58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59"/>
        <v>https://d0f6bd738d7f1b3e5a7ca70fe4ff75f0.us-east-1.aws.found.io/app/kibana#/discover/Steve-Slow-Train-Analysis-(2080s-and-2083s)?_g=(refreshInterval:(display:Off,pause:!f,section:0,value:0),time:(from:'2017-03-12T13:05:13-600',mode:absolute,to:'2017-03-12T16:04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87" t="str">
        <f t="shared" si="60"/>
        <v>N</v>
      </c>
      <c r="X88" s="187">
        <f t="shared" si="61"/>
        <v>3</v>
      </c>
      <c r="Y88" s="62">
        <f t="shared" si="62"/>
        <v>23.301100000000002</v>
      </c>
      <c r="Z88" s="62">
        <f t="shared" si="63"/>
        <v>9.2299999999999993E-2</v>
      </c>
      <c r="AA88" s="62">
        <f t="shared" si="64"/>
        <v>23.2088</v>
      </c>
      <c r="AB88" s="59" t="str">
        <f>VLOOKUP(A88,Enforcements!$C$7:$K$13,8,0)</f>
        <v>Bulletin (2)</v>
      </c>
      <c r="AC88" s="55" t="str">
        <f>VLOOKUP(A88,Enforcements!$C$7:$E$13,3,0)</f>
        <v>GRADE CROSSING</v>
      </c>
      <c r="AD88" s="56" t="str">
        <f t="shared" si="65"/>
        <v>0178-12</v>
      </c>
      <c r="AE88" s="85" t="str">
        <f t="shared" si="66"/>
        <v>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 &amp; 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</v>
      </c>
      <c r="AF88" s="82" t="str">
        <f t="shared" si="67"/>
        <v>"C:\Program Files (x86)\AstroGrep\AstroGrep.exe" /e /r /s /spath="%USERPROFILE%\AppData\Local\Temp\OnboardLogs" /stypes="app*4004*20170312*" /stext=" 21:.+((SYSTEM_STATE.+slice.+state.+changed )|(ment ac)|(multiple cpu faults)|(system.+state.+changed )|(\[timeout)|(PRM\|1\|D)|(kpr)|(kdp)|(\|lc)|(penalty))"</v>
      </c>
      <c r="AG88" s="1" t="str">
        <f t="shared" si="68"/>
        <v>EC</v>
      </c>
      <c r="AH88" s="86" t="str">
        <f t="shared" si="69"/>
        <v>"%USERPROFILE%\Documents\GitHub\eaglep3\Utilities\RefineRTDCRunTimes.py" --tripid 178-12 --locoid 4004 --swversion DE.1.0.9.0 --startMP 204:233011 --initTime 2017-03-12T14:05:13 --startdatetime 2017-03-12T14:07:41 --delay 2 --endMP 204:923 --enddatetime 2017-03-12T15:04:18 --enforcementcount 0 &gt;&gt;C:\Users\stu\Documents\GitHub\eaglep3-reporting\EC\2017-03-12-refined-times.txt</v>
      </c>
      <c r="AI8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{"issue":{"subject":"","project_id":79,"tracker_id":40,"status_id":1,"priority_id":2,"assigned_to_id":23,"start_date":"2017-03-12","description":"","custom_fields":[{"id":1,"name":"Subdivision","value":"EC"},{"id":4,"name":"Milepost","value":"0.0923"},{"id":17,"name":"Train ID","value":"178-12"},{"id":16,"name":"Locomotive ID","value":"4004"},{"id":130,"name":"Impact","value":""},{"id":150,"name":"Time of Event (Mountain Time)","value":"15:04:18"},{"id":151,"name":"Denver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71"/>
        <v>start /low /b %USERPROFILE%\Documents\GitHub\eaglep3\Utilities\DownloadLogsFromS3.py --loco 4004 --day 2017-03-12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"%USERPROFILE%\AppData\Local\Temp\OnboardLogs"\RTDC4004\*4004*20170312* | grep -SE "(Enforcement Action)|(\[TIMEOUT)|(CHR.+\|PRM\|1\|D.+(SWITCH|SIGNAL).+UNKNOWN)" - &gt;&gt; 2017-03-12-UncaughtWiMAX.txt</v>
      </c>
    </row>
    <row r="89" spans="1:91" s="20" customFormat="1" x14ac:dyDescent="0.25">
      <c r="A89" s="33" t="s">
        <v>731</v>
      </c>
      <c r="B89" s="7">
        <v>4053</v>
      </c>
      <c r="C89" s="21" t="s">
        <v>242</v>
      </c>
      <c r="D89" s="21" t="s">
        <v>218</v>
      </c>
      <c r="E89" s="13">
        <v>42806.560578703706</v>
      </c>
      <c r="F89" s="13">
        <v>42806.561828703707</v>
      </c>
      <c r="G89" s="7">
        <v>1</v>
      </c>
      <c r="H89" s="21" t="s">
        <v>281</v>
      </c>
      <c r="I89" s="13">
        <v>42806.593888888892</v>
      </c>
      <c r="J89" s="7">
        <v>0</v>
      </c>
      <c r="K89" s="98" t="str">
        <f t="shared" si="54"/>
        <v>4053/4054</v>
      </c>
      <c r="L89" s="21" t="str">
        <f>VLOOKUP(A89,'Trips&amp;Operators'!$C$1:$G$99999,5,FALSE)</f>
        <v>DAVIS MICHAEL</v>
      </c>
      <c r="M89" s="6">
        <f t="shared" si="55"/>
        <v>3.2060185185400769E-2</v>
      </c>
      <c r="N89" s="7">
        <f t="shared" si="56"/>
        <v>46.166666666977108</v>
      </c>
      <c r="O89" s="7"/>
      <c r="P89" s="7"/>
      <c r="Q89" s="22"/>
      <c r="R89" s="22"/>
      <c r="S89" s="31">
        <f t="shared" si="57"/>
        <v>1</v>
      </c>
      <c r="T89" s="46" t="str">
        <f t="shared" si="58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59"/>
        <v>https://d0f6bd738d7f1b3e5a7ca70fe4ff75f0.us-east-1.aws.found.io/app/kibana#/discover/Steve-Slow-Train-Analysis-(2080s-and-2083s)?_g=(refreshInterval:(display:Off,pause:!f,section:0,value:0),time:(from:'2017-03-12T12:27:14-600',mode:absolute,to:'2017-03-12T15:15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9" s="187" t="str">
        <f t="shared" si="60"/>
        <v>N</v>
      </c>
      <c r="X89" s="187">
        <f t="shared" si="61"/>
        <v>1</v>
      </c>
      <c r="Y89" s="62">
        <f t="shared" si="62"/>
        <v>4.5999999999999999E-2</v>
      </c>
      <c r="Z89" s="62">
        <f t="shared" si="63"/>
        <v>23.330300000000001</v>
      </c>
      <c r="AA89" s="62">
        <f t="shared" si="64"/>
        <v>23.284300000000002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65"/>
        <v>0179-12</v>
      </c>
      <c r="AE89" s="85" t="str">
        <f t="shared" si="66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89" s="82" t="str">
        <f t="shared" si="67"/>
        <v>"C:\Program Files (x86)\AstroGrep\AstroGrep.exe" /e /r /s /spath="%USERPROFILE%\AppData\Local\Temp\OnboardLogs" /stypes="app*4053*20170312*" /stext=" 20:.+((SYSTEM_STATE.+slice.+state.+changed )|(ment ac)|(multiple cpu faults)|(system.+state.+changed )|(\[timeout)|(PRM\|1\|D)|(kpr)|(kdp)|(\|lc)|(penalty))"</v>
      </c>
      <c r="AG89" s="1" t="str">
        <f t="shared" si="68"/>
        <v>EC</v>
      </c>
      <c r="AH89" s="86" t="str">
        <f t="shared" si="69"/>
        <v>"%USERPROFILE%\Documents\GitHub\eaglep3\Utilities\RefineRTDCRunTimes.py" --tripid 179-12 --locoid 4053 --swversion DE.1.0.9.0 --startMP 204:460 --initTime 2017-03-12T13:27:14 --startdatetime 2017-03-12T13:29:02 --delay 1 --endMP 204:233303 --enddatetime 2017-03-12T14:15:12 --enforcementcount 0 &gt;&gt;C:\Users\stu\Documents\GitHub\eaglep3-reporting\EC\2017-03-12-refined-times.txt</v>
      </c>
      <c r="AI89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{"issue":{"subject":"","project_id":79,"tracker_id":40,"status_id":1,"priority_id":2,"assigned_to_id":23,"start_date":"2017-03-12","description":"","custom_fields":[{"id":1,"name":"Subdivision","value":"EC"},{"id":4,"name":"Milepost","value":"23.3303"},{"id":17,"name":"Train ID","value":"179-12"},{"id":16,"name":"Locomotive ID","value":"4053"},{"id":130,"name":"Impact","value":""},{"id":150,"name":"Time of Event (Mountain Time)","value":"14:15:12"},{"id":151,"name":"Denver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71"/>
        <v>start /low /b %USERPROFILE%\Documents\GitHub\eaglep3\Utilities\DownloadLogsFromS3.py --loco 4053 --day 2017-03-12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608</v>
      </c>
      <c r="B90" s="7">
        <v>4054</v>
      </c>
      <c r="C90" s="21" t="s">
        <v>242</v>
      </c>
      <c r="D90" s="21" t="s">
        <v>417</v>
      </c>
      <c r="E90" s="13">
        <v>42806.598958333336</v>
      </c>
      <c r="F90" s="13">
        <v>42806.599733796298</v>
      </c>
      <c r="G90" s="7">
        <v>1</v>
      </c>
      <c r="H90" s="21" t="s">
        <v>866</v>
      </c>
      <c r="I90" s="13">
        <v>42806.638043981482</v>
      </c>
      <c r="J90" s="7">
        <v>0</v>
      </c>
      <c r="K90" s="98" t="str">
        <f t="shared" si="54"/>
        <v>4053/4054</v>
      </c>
      <c r="L90" s="21" t="str">
        <f>VLOOKUP(A90,'Trips&amp;Operators'!$C$1:$G$99999,5,FALSE)</f>
        <v>DAVIS MICHAEL</v>
      </c>
      <c r="M90" s="6">
        <f t="shared" si="55"/>
        <v>3.8310185183945578E-2</v>
      </c>
      <c r="N90" s="7">
        <f t="shared" si="56"/>
        <v>55.166666664881632</v>
      </c>
      <c r="O90" s="7"/>
      <c r="P90" s="7"/>
      <c r="Q90" s="22"/>
      <c r="R90" s="22"/>
      <c r="S90" s="31">
        <f t="shared" si="57"/>
        <v>1</v>
      </c>
      <c r="T90" s="46" t="str">
        <f t="shared" si="58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59"/>
        <v>https://d0f6bd738d7f1b3e5a7ca70fe4ff75f0.us-east-1.aws.found.io/app/kibana#/discover/Steve-Slow-Train-Analysis-(2080s-and-2083s)?_g=(refreshInterval:(display:Off,pause:!f,section:0,value:0),time:(from:'2017-03-12T13:22:30-600',mode:absolute,to:'2017-03-12T16:18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187" t="str">
        <f t="shared" si="60"/>
        <v>N</v>
      </c>
      <c r="X90" s="187">
        <f t="shared" si="61"/>
        <v>1</v>
      </c>
      <c r="Y90" s="62">
        <f t="shared" si="62"/>
        <v>23.298200000000001</v>
      </c>
      <c r="Z90" s="62">
        <f t="shared" si="63"/>
        <v>1.32E-2</v>
      </c>
      <c r="AA90" s="62">
        <f t="shared" si="64"/>
        <v>23.285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65"/>
        <v>0180-12</v>
      </c>
      <c r="AE90" s="85" t="str">
        <f t="shared" si="66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90" s="82" t="str">
        <f t="shared" si="67"/>
        <v>"C:\Program Files (x86)\AstroGrep\AstroGrep.exe" /e /r /s /spath="%USERPROFILE%\AppData\Local\Temp\OnboardLogs" /stypes="app*4054*20170312*" /stext=" 21:.+((SYSTEM_STATE.+slice.+state.+changed )|(ment ac)|(multiple cpu faults)|(system.+state.+changed )|(\[timeout)|(PRM\|1\|D)|(kpr)|(kdp)|(\|lc)|(penalty))"</v>
      </c>
      <c r="AG90" s="1" t="str">
        <f t="shared" si="68"/>
        <v>EC</v>
      </c>
      <c r="AH90" s="86" t="str">
        <f t="shared" si="69"/>
        <v>"%USERPROFILE%\Documents\GitHub\eaglep3\Utilities\RefineRTDCRunTimes.py" --tripid 180-12 --locoid 4054 --swversion DE.1.0.9.0 --startMP 204:232982 --initTime 2017-03-12T14:22:30 --startdatetime 2017-03-12T14:23:37 --delay 1 --endMP 204:132 --enddatetime 2017-03-12T15:18:47 --enforcementcount 0 &gt;&gt;C:\Users\stu\Documents\GitHub\eaglep3-reporting\EC\2017-03-12-refined-times.txt</v>
      </c>
      <c r="AI9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{"issue":{"subject":"","project_id":79,"tracker_id":40,"status_id":1,"priority_id":2,"assigned_to_id":23,"start_date":"2017-03-12","description":"","custom_fields":[{"id":1,"name":"Subdivision","value":"EC"},{"id":4,"name":"Milepost","value":"0.0132"},{"id":17,"name":"Train ID","value":"180-12"},{"id":16,"name":"Locomotive ID","value":"4054"},{"id":130,"name":"Impact","value":""},{"id":150,"name":"Time of Event (Mountain Time)","value":"15:18:47"},{"id":151,"name":"Denver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71"/>
        <v>start /low /b %USERPROFILE%\Documents\GitHub\eaglep3\Utilities\DownloadLogsFromS3.py --loco 4054 --day 2017-03-12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732</v>
      </c>
      <c r="B91" s="7">
        <v>4006</v>
      </c>
      <c r="C91" s="21" t="s">
        <v>242</v>
      </c>
      <c r="D91" s="21" t="s">
        <v>268</v>
      </c>
      <c r="E91" s="13">
        <v>42806.564039351855</v>
      </c>
      <c r="F91" s="13">
        <v>42806.56591435185</v>
      </c>
      <c r="G91" s="7">
        <v>2</v>
      </c>
      <c r="H91" s="21" t="s">
        <v>246</v>
      </c>
      <c r="I91" s="13">
        <v>42806.602939814817</v>
      </c>
      <c r="J91" s="7">
        <v>0</v>
      </c>
      <c r="K91" s="98" t="str">
        <f t="shared" si="54"/>
        <v>4005/4006</v>
      </c>
      <c r="L91" s="21" t="str">
        <f>VLOOKUP(A91,'Trips&amp;Operators'!$C$1:$G$99999,5,FALSE)</f>
        <v>MCREYNOLDS KYLE</v>
      </c>
      <c r="M91" s="6">
        <f t="shared" si="55"/>
        <v>3.7025462966994382E-2</v>
      </c>
      <c r="N91" s="7">
        <f t="shared" si="56"/>
        <v>53.316666672471911</v>
      </c>
      <c r="O91" s="7"/>
      <c r="P91" s="7"/>
      <c r="Q91" s="22"/>
      <c r="R91" s="22"/>
      <c r="S91" s="31">
        <f t="shared" si="57"/>
        <v>1</v>
      </c>
      <c r="T91" s="46" t="str">
        <f t="shared" si="58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59"/>
        <v>https://d0f6bd738d7f1b3e5a7ca70fe4ff75f0.us-east-1.aws.found.io/app/kibana#/discover/Steve-Slow-Train-Analysis-(2080s-and-2083s)?_g=(refreshInterval:(display:Off,pause:!f,section:0,value:0),time:(from:'2017-03-12T12:32:13-600',mode:absolute,to:'2017-03-12T15:28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187" t="str">
        <f t="shared" si="60"/>
        <v>N</v>
      </c>
      <c r="X91" s="187">
        <f t="shared" si="61"/>
        <v>1</v>
      </c>
      <c r="Y91" s="62">
        <f t="shared" si="62"/>
        <v>4.4200000000000003E-2</v>
      </c>
      <c r="Z91" s="62">
        <f t="shared" si="63"/>
        <v>23.331399999999999</v>
      </c>
      <c r="AA91" s="62">
        <f t="shared" si="64"/>
        <v>23.287199999999999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65"/>
        <v>0181-12</v>
      </c>
      <c r="AE91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91" s="82" t="str">
        <f t="shared" si="67"/>
        <v>"C:\Program Files (x86)\AstroGrep\AstroGrep.exe" /e /r /s /spath="%USERPROFILE%\AppData\Local\Temp\OnboardLogs" /stypes="app*4006*20170312*" /stext=" 20:.+((SYSTEM_STATE.+slice.+state.+changed )|(ment ac)|(multiple cpu faults)|(system.+state.+changed )|(\[timeout)|(PRM\|1\|D)|(kpr)|(kdp)|(\|lc)|(penalty))"</v>
      </c>
      <c r="AG91" s="1" t="str">
        <f t="shared" si="68"/>
        <v>EC</v>
      </c>
      <c r="AH91" s="86" t="str">
        <f t="shared" si="69"/>
        <v>"%USERPROFILE%\Documents\GitHub\eaglep3\Utilities\RefineRTDCRunTimes.py" --tripid 181-12 --locoid 4006 --swversion DE.1.0.9.0 --startMP 204:442 --initTime 2017-03-12T13:32:13 --startdatetime 2017-03-12T13:34:55 --delay 2 --endMP 204:233314 --enddatetime 2017-03-12T14:28:14 --enforcementcount 0 &gt;&gt;C:\Users\stu\Documents\GitHub\eaglep3-reporting\EC\2017-03-12-refined-times.txt</v>
      </c>
      <c r="AI9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{"issue":{"subject":"","project_id":79,"tracker_id":40,"status_id":1,"priority_id":2,"assigned_to_id":23,"start_date":"2017-03-12","description":"","custom_fields":[{"id":1,"name":"Subdivision","value":"EC"},{"id":4,"name":"Milepost","value":"23.3314"},{"id":17,"name":"Train ID","value":"181-12"},{"id":16,"name":"Locomotive ID","value":"4006"},{"id":130,"name":"Impact","value":""},{"id":150,"name":"Time of Event (Mountain Time)","value":"14:28:14"},{"id":151,"name":"Denver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71"/>
        <v>start /low /b %USERPROFILE%\Documents\GitHub\eaglep3\Utilities\DownloadLogsFromS3.py --loco 4006 --day 2017-03-12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609</v>
      </c>
      <c r="B92" s="7">
        <v>4005</v>
      </c>
      <c r="C92" s="21" t="s">
        <v>242</v>
      </c>
      <c r="D92" s="21" t="s">
        <v>549</v>
      </c>
      <c r="E92" s="13">
        <v>42806.608159722222</v>
      </c>
      <c r="F92" s="13">
        <v>42806.609398148146</v>
      </c>
      <c r="G92" s="7">
        <v>1</v>
      </c>
      <c r="H92" s="21" t="s">
        <v>841</v>
      </c>
      <c r="I92" s="13">
        <v>42806.643819444442</v>
      </c>
      <c r="J92" s="7">
        <v>0</v>
      </c>
      <c r="K92" s="98" t="str">
        <f t="shared" si="54"/>
        <v>4005/4006</v>
      </c>
      <c r="L92" s="21" t="str">
        <f>VLOOKUP(A92,'Trips&amp;Operators'!$C$1:$G$99999,5,FALSE)</f>
        <v>MCREYNOLDS KYLE</v>
      </c>
      <c r="M92" s="6">
        <f t="shared" si="55"/>
        <v>3.4421296295477077E-2</v>
      </c>
      <c r="N92" s="7">
        <f t="shared" si="56"/>
        <v>49.566666665486991</v>
      </c>
      <c r="O92" s="7"/>
      <c r="P92" s="7"/>
      <c r="Q92" s="22"/>
      <c r="R92" s="22"/>
      <c r="S92" s="31">
        <f t="shared" si="57"/>
        <v>1</v>
      </c>
      <c r="T92" s="46" t="str">
        <f t="shared" si="58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59"/>
        <v>https://d0f6bd738d7f1b3e5a7ca70fe4ff75f0.us-east-1.aws.found.io/app/kibana#/discover/Steve-Slow-Train-Analysis-(2080s-and-2083s)?_g=(refreshInterval:(display:Off,pause:!f,section:0,value:0),time:(from:'2017-03-12T13:35:45-600',mode:absolute,to:'2017-03-12T16:27:06-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187" t="str">
        <f t="shared" si="60"/>
        <v>N</v>
      </c>
      <c r="X92" s="187">
        <f t="shared" si="61"/>
        <v>1</v>
      </c>
      <c r="Y92" s="62">
        <f t="shared" si="62"/>
        <v>23.298300000000001</v>
      </c>
      <c r="Z92" s="62">
        <f t="shared" si="63"/>
        <v>1.6899999999999998E-2</v>
      </c>
      <c r="AA92" s="62">
        <f t="shared" si="64"/>
        <v>23.281400000000001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65"/>
        <v>0182-12</v>
      </c>
      <c r="AE92" s="85" t="str">
        <f t="shared" si="66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92" s="82" t="str">
        <f t="shared" si="67"/>
        <v>"C:\Program Files (x86)\AstroGrep\AstroGrep.exe" /e /r /s /spath="%USERPROFILE%\AppData\Local\Temp\OnboardLogs" /stypes="app*4005*20170312*" /stext=" 21:.+((SYSTEM_STATE.+slice.+state.+changed )|(ment ac)|(multiple cpu faults)|(system.+state.+changed )|(\[timeout)|(PRM\|1\|D)|(kpr)|(kdp)|(\|lc)|(penalty))"</v>
      </c>
      <c r="AG92" s="1" t="str">
        <f t="shared" si="68"/>
        <v>EC</v>
      </c>
      <c r="AH92" s="86" t="str">
        <f t="shared" si="69"/>
        <v>"%USERPROFILE%\Documents\GitHub\eaglep3\Utilities\RefineRTDCRunTimes.py" --tripid 182-12 --locoid 4005 --swversion DE.1.0.9.0 --startMP 204:232983 --initTime 2017-03-12T14:35:45 --startdatetime 2017-03-12T14:37:32 --delay 1 --endMP 204:169 --enddatetime 2017-03-12T15:27:06 --enforcementcount 0 &gt;&gt;C:\Users\stu\Documents\GitHub\eaglep3-reporting\EC\2017-03-12-refined-times.txt</v>
      </c>
      <c r="AI9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{"issue":{"subject":"","project_id":79,"tracker_id":40,"status_id":1,"priority_id":2,"assigned_to_id":23,"start_date":"2017-03-12","description":"","custom_fields":[{"id":1,"name":"Subdivision","value":"EC"},{"id":4,"name":"Milepost","value":"0.0169"},{"id":17,"name":"Train ID","value":"182-12"},{"id":16,"name":"Locomotive ID","value":"4005"},{"id":130,"name":"Impact","value":""},{"id":150,"name":"Time of Event (Mountain Time)","value":"15:27:06"},{"id":151,"name":"Denver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71"/>
        <v>start /low /b %USERPROFILE%\Documents\GitHub\eaglep3\Utilities\DownloadLogsFromS3.py --loco 4005 --day 2017-03-12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735</v>
      </c>
      <c r="B93" s="7">
        <v>4020</v>
      </c>
      <c r="C93" s="21" t="s">
        <v>242</v>
      </c>
      <c r="D93" s="21" t="s">
        <v>227</v>
      </c>
      <c r="E93" s="13">
        <v>42806.578761574077</v>
      </c>
      <c r="F93" s="13">
        <v>42806.581747685188</v>
      </c>
      <c r="G93" s="7">
        <v>4</v>
      </c>
      <c r="H93" s="21" t="s">
        <v>555</v>
      </c>
      <c r="I93" s="13">
        <v>42806.614953703705</v>
      </c>
      <c r="J93" s="7">
        <v>0</v>
      </c>
      <c r="K93" s="98" t="str">
        <f t="shared" si="54"/>
        <v>4019/4020</v>
      </c>
      <c r="L93" s="21" t="str">
        <f>VLOOKUP(A93,'Trips&amp;Operators'!$C$1:$G$99999,5,FALSE)</f>
        <v>NELSON ARIANE</v>
      </c>
      <c r="M93" s="6">
        <f t="shared" si="55"/>
        <v>3.3206018517375924E-2</v>
      </c>
      <c r="N93" s="7">
        <f t="shared" si="56"/>
        <v>47.81666666502133</v>
      </c>
      <c r="O93" s="7"/>
      <c r="P93" s="7"/>
      <c r="Q93" s="22"/>
      <c r="R93" s="22"/>
      <c r="S93" s="31">
        <f t="shared" si="57"/>
        <v>1</v>
      </c>
      <c r="T93" s="46" t="str">
        <f t="shared" si="58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59"/>
        <v>https://d0f6bd738d7f1b3e5a7ca70fe4ff75f0.us-east-1.aws.found.io/app/kibana#/discover/Steve-Slow-Train-Analysis-(2080s-and-2083s)?_g=(refreshInterval:(display:Off,pause:!f,section:0,value:0),time:(from:'2017-03-12T12:53:25-600',mode:absolute,to:'2017-03-12T15:45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3" s="187" t="str">
        <f t="shared" si="60"/>
        <v>N</v>
      </c>
      <c r="X93" s="187">
        <f t="shared" si="61"/>
        <v>1</v>
      </c>
      <c r="Y93" s="62">
        <f t="shared" si="62"/>
        <v>4.5499999999999999E-2</v>
      </c>
      <c r="Z93" s="62">
        <f t="shared" si="63"/>
        <v>23.3278</v>
      </c>
      <c r="AA93" s="62">
        <f t="shared" si="64"/>
        <v>23.282299999999999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65"/>
        <v>0183-12</v>
      </c>
      <c r="AE93" s="85" t="str">
        <f t="shared" si="66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93" s="82" t="str">
        <f t="shared" si="67"/>
        <v>"C:\Program Files (x86)\AstroGrep\AstroGrep.exe" /e /r /s /spath="%USERPROFILE%\AppData\Local\Temp\OnboardLogs" /stypes="app*4020*20170312*" /stext=" 20:.+((SYSTEM_STATE.+slice.+state.+changed )|(ment ac)|(multiple cpu faults)|(system.+state.+changed )|(\[timeout)|(PRM\|1\|D)|(kpr)|(kdp)|(\|lc)|(penalty))"</v>
      </c>
      <c r="AG93" s="1" t="str">
        <f t="shared" si="68"/>
        <v>EC</v>
      </c>
      <c r="AH93" s="86" t="str">
        <f t="shared" si="69"/>
        <v>"%USERPROFILE%\Documents\GitHub\eaglep3\Utilities\RefineRTDCRunTimes.py" --tripid 183-12 --locoid 4020 --swversion DE.1.0.9.0 --startMP 204:455 --initTime 2017-03-12T13:53:25 --startdatetime 2017-03-12T13:57:43 --delay 4 --endMP 204:233278 --enddatetime 2017-03-12T14:45:32 --enforcementcount 0 &gt;&gt;C:\Users\stu\Documents\GitHub\eaglep3-reporting\EC\2017-03-12-refined-times.txt</v>
      </c>
      <c r="AI9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{"issue":{"subject":"","project_id":79,"tracker_id":40,"status_id":1,"priority_id":2,"assigned_to_id":23,"start_date":"2017-03-12","description":"","custom_fields":[{"id":1,"name":"Subdivision","value":"EC"},{"id":4,"name":"Milepost","value":"23.3278"},{"id":17,"name":"Train ID","value":"183-12"},{"id":16,"name":"Locomotive ID","value":"4020"},{"id":130,"name":"Impact","value":""},{"id":150,"name":"Time of Event (Mountain Time)","value":"14:45:32"},{"id":151,"name":"Denver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71"/>
        <v>start /low /b %USERPROFILE%\Documents\GitHub\eaglep3\Utilities\DownloadLogsFromS3.py --loco 4020 --day 2017-03-12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740</v>
      </c>
      <c r="B94" s="7">
        <v>4019</v>
      </c>
      <c r="C94" s="21" t="s">
        <v>242</v>
      </c>
      <c r="D94" s="21" t="s">
        <v>901</v>
      </c>
      <c r="E94" s="13">
        <v>42806.61855324074</v>
      </c>
      <c r="F94" s="13">
        <v>42806.621423611112</v>
      </c>
      <c r="G94" s="7">
        <v>4</v>
      </c>
      <c r="H94" s="21" t="s">
        <v>229</v>
      </c>
      <c r="I94" s="13">
        <v>42806.654687499999</v>
      </c>
      <c r="J94" s="7">
        <v>0</v>
      </c>
      <c r="K94" s="98" t="str">
        <f t="shared" si="54"/>
        <v>4019/4020</v>
      </c>
      <c r="L94" s="21" t="str">
        <f>VLOOKUP(A94,'Trips&amp;Operators'!$C$1:$G$99999,5,FALSE)</f>
        <v>NELSON ARIANE</v>
      </c>
      <c r="M94" s="6">
        <f t="shared" si="55"/>
        <v>3.326388888672227E-2</v>
      </c>
      <c r="N94" s="7">
        <f t="shared" si="56"/>
        <v>47.899999996880069</v>
      </c>
      <c r="O94" s="7"/>
      <c r="P94" s="7"/>
      <c r="Q94" s="22"/>
      <c r="R94" s="22"/>
      <c r="S94" s="31">
        <f t="shared" si="57"/>
        <v>1</v>
      </c>
      <c r="T94" s="46" t="str">
        <f t="shared" si="58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59"/>
        <v>https://d0f6bd738d7f1b3e5a7ca70fe4ff75f0.us-east-1.aws.found.io/app/kibana#/discover/Steve-Slow-Train-Analysis-(2080s-and-2083s)?_g=(refreshInterval:(display:Off,pause:!f,section:0,value:0),time:(from:'2017-03-12T13:50:43-600',mode:absolute,to:'2017-03-12T16:42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4" s="187" t="str">
        <f t="shared" si="60"/>
        <v>N</v>
      </c>
      <c r="X94" s="187">
        <f t="shared" si="61"/>
        <v>1</v>
      </c>
      <c r="Y94" s="62">
        <f t="shared" si="62"/>
        <v>23.295300000000001</v>
      </c>
      <c r="Z94" s="62">
        <f t="shared" si="63"/>
        <v>1.41E-2</v>
      </c>
      <c r="AA94" s="62">
        <f t="shared" si="64"/>
        <v>23.281200000000002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65"/>
        <v>0184-12</v>
      </c>
      <c r="AE94" s="85" t="str">
        <f t="shared" si="66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94" s="82" t="str">
        <f t="shared" si="67"/>
        <v>"C:\Program Files (x86)\AstroGrep\AstroGrep.exe" /e /r /s /spath="%USERPROFILE%\AppData\Local\Temp\OnboardLogs" /stypes="app*4019*20170312*" /stext=" 21:.+((SYSTEM_STATE.+slice.+state.+changed )|(ment ac)|(multiple cpu faults)|(system.+state.+changed )|(\[timeout)|(PRM\|1\|D)|(kpr)|(kdp)|(\|lc)|(penalty))"</v>
      </c>
      <c r="AG94" s="1" t="str">
        <f t="shared" si="68"/>
        <v>EC</v>
      </c>
      <c r="AH94" s="86" t="str">
        <f t="shared" si="69"/>
        <v>"%USERPROFILE%\Documents\GitHub\eaglep3\Utilities\RefineRTDCRunTimes.py" --tripid 184-12 --locoid 4019 --swversion DE.1.0.9.0 --startMP 204:232953 --initTime 2017-03-12T14:50:43 --startdatetime 2017-03-12T14:54:51 --delay 4 --endMP 204:141 --enddatetime 2017-03-12T15:42:45 --enforcementcount 0 &gt;&gt;C:\Users\stu\Documents\GitHub\eaglep3-reporting\EC\2017-03-12-refined-times.txt</v>
      </c>
      <c r="AI9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{"issue":{"subject":"","project_id":79,"tracker_id":40,"status_id":1,"priority_id":2,"assigned_to_id":23,"start_date":"2017-03-12","description":"","custom_fields":[{"id":1,"name":"Subdivision","value":"EC"},{"id":4,"name":"Milepost","value":"0.0141"},{"id":17,"name":"Train ID","value":"184-12"},{"id":16,"name":"Locomotive ID","value":"4019"},{"id":130,"name":"Impact","value":""},{"id":150,"name":"Time of Event (Mountain Time)","value":"15:42:45"},{"id":151,"name":"Denver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71"/>
        <v>start /low /b %USERPROFILE%\Documents\GitHub\eaglep3\Utilities\DownloadLogsFromS3.py --loco 4019 --day 2017-03-12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736</v>
      </c>
      <c r="B95" s="7">
        <v>4025</v>
      </c>
      <c r="C95" s="21" t="s">
        <v>242</v>
      </c>
      <c r="D95" s="21" t="s">
        <v>237</v>
      </c>
      <c r="E95" s="13">
        <v>42806.579375000001</v>
      </c>
      <c r="F95" s="13">
        <v>42806.581793981481</v>
      </c>
      <c r="G95" s="7">
        <v>3</v>
      </c>
      <c r="H95" s="21" t="s">
        <v>902</v>
      </c>
      <c r="I95" s="13">
        <v>42806.62127314815</v>
      </c>
      <c r="J95" s="7">
        <v>0</v>
      </c>
      <c r="K95" s="98" t="str">
        <f t="shared" si="54"/>
        <v>4025/4026</v>
      </c>
      <c r="L95" s="21" t="str">
        <f>VLOOKUP(A95,'Trips&amp;Operators'!$C$1:$G$99999,5,FALSE)</f>
        <v>ROMERO CHAD</v>
      </c>
      <c r="M95" s="6">
        <f t="shared" si="55"/>
        <v>3.9479166669480037E-2</v>
      </c>
      <c r="N95" s="7">
        <f t="shared" si="56"/>
        <v>56.850000004051253</v>
      </c>
      <c r="O95" s="7"/>
      <c r="P95" s="7"/>
      <c r="Q95" s="22"/>
      <c r="R95" s="22"/>
      <c r="S95" s="31">
        <f t="shared" si="57"/>
        <v>1</v>
      </c>
      <c r="T95" s="46" t="str">
        <f t="shared" si="58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59"/>
        <v>https://d0f6bd738d7f1b3e5a7ca70fe4ff75f0.us-east-1.aws.found.io/app/kibana#/discover/Steve-Slow-Train-Analysis-(2080s-and-2083s)?_g=(refreshInterval:(display:Off,pause:!f,section:0,value:0),time:(from:'2017-03-12T12:54:18-600',mode:absolute,to:'2017-03-12T15:54:38-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187" t="str">
        <f t="shared" si="60"/>
        <v>N</v>
      </c>
      <c r="X95" s="187">
        <f t="shared" si="61"/>
        <v>1</v>
      </c>
      <c r="Y95" s="62">
        <f t="shared" si="62"/>
        <v>4.6600000000000003E-2</v>
      </c>
      <c r="Z95" s="62">
        <f t="shared" si="63"/>
        <v>23.342099999999999</v>
      </c>
      <c r="AA95" s="62">
        <f t="shared" si="64"/>
        <v>23.295499999999997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65"/>
        <v>0185-12</v>
      </c>
      <c r="AE95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95" s="82" t="str">
        <f t="shared" si="67"/>
        <v>"C:\Program Files (x86)\AstroGrep\AstroGrep.exe" /e /r /s /spath="%USERPROFILE%\AppData\Local\Temp\OnboardLogs" /stypes="app*4025*20170312*" /stext=" 20:.+((SYSTEM_STATE.+slice.+state.+changed )|(ment ac)|(multiple cpu faults)|(system.+state.+changed )|(\[timeout)|(PRM\|1\|D)|(kpr)|(kdp)|(\|lc)|(penalty))"</v>
      </c>
      <c r="AG95" s="1" t="str">
        <f t="shared" si="68"/>
        <v>EC</v>
      </c>
      <c r="AH95" s="86" t="str">
        <f t="shared" si="69"/>
        <v>"%USERPROFILE%\Documents\GitHub\eaglep3\Utilities\RefineRTDCRunTimes.py" --tripid 185-12 --locoid 4025 --swversion DE.1.0.9.0 --startMP 204:466 --initTime 2017-03-12T13:54:18 --startdatetime 2017-03-12T13:57:47 --delay 3 --endMP 204:233421 --enddatetime 2017-03-12T14:54:38 --enforcementcount 0 &gt;&gt;C:\Users\stu\Documents\GitHub\eaglep3-reporting\EC\2017-03-12-refined-times.txt</v>
      </c>
      <c r="AI9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{"issue":{"subject":"","project_id":79,"tracker_id":40,"status_id":1,"priority_id":2,"assigned_to_id":23,"start_date":"2017-03-12","description":"","custom_fields":[{"id":1,"name":"Subdivision","value":"EC"},{"id":4,"name":"Milepost","value":"23.3421"},{"id":17,"name":"Train ID","value":"185-12"},{"id":16,"name":"Locomotive ID","value":"4025"},{"id":130,"name":"Impact","value":""},{"id":150,"name":"Time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71"/>
        <v>start /low /b %USERPROFILE%\Documents\GitHub\eaglep3\Utilities\DownloadLogsFromS3.py --loco 4025 --day 2017-03-12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3" t="s">
        <v>742</v>
      </c>
      <c r="B96" s="7">
        <v>4026</v>
      </c>
      <c r="C96" s="21" t="s">
        <v>242</v>
      </c>
      <c r="D96" s="21" t="s">
        <v>903</v>
      </c>
      <c r="E96" s="13">
        <v>42806.627870370372</v>
      </c>
      <c r="F96" s="13">
        <v>42806.628738425927</v>
      </c>
      <c r="G96" s="7">
        <v>1</v>
      </c>
      <c r="H96" s="21" t="s">
        <v>561</v>
      </c>
      <c r="I96" s="13">
        <v>42806.660393518519</v>
      </c>
      <c r="J96" s="7">
        <v>0</v>
      </c>
      <c r="K96" s="98" t="str">
        <f t="shared" si="54"/>
        <v>4025/4026</v>
      </c>
      <c r="L96" s="21" t="str">
        <f>VLOOKUP(A96,'Trips&amp;Operators'!$C$1:$G$99999,5,FALSE)</f>
        <v>ROMERO CHAD</v>
      </c>
      <c r="M96" s="6">
        <f t="shared" si="55"/>
        <v>3.1655092592700385E-2</v>
      </c>
      <c r="N96" s="7">
        <f t="shared" si="56"/>
        <v>45.583333333488554</v>
      </c>
      <c r="O96" s="7"/>
      <c r="P96" s="7"/>
      <c r="Q96" s="22"/>
      <c r="R96" s="22"/>
      <c r="S96" s="31">
        <f t="shared" si="57"/>
        <v>1</v>
      </c>
      <c r="T96" s="46" t="str">
        <f t="shared" si="58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59"/>
        <v>https://d0f6bd738d7f1b3e5a7ca70fe4ff75f0.us-east-1.aws.found.io/app/kibana#/discover/Steve-Slow-Train-Analysis-(2080s-and-2083s)?_g=(refreshInterval:(display:Off,pause:!f,section:0,value:0),time:(from:'2017-03-12T14:04:08-600',mode:absolute,to:'2017-03-12T16:50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187" t="str">
        <f t="shared" si="60"/>
        <v>N</v>
      </c>
      <c r="X96" s="187">
        <f t="shared" si="61"/>
        <v>1</v>
      </c>
      <c r="Y96" s="62">
        <f t="shared" si="62"/>
        <v>23.31</v>
      </c>
      <c r="Z96" s="62">
        <f t="shared" si="63"/>
        <v>1.38E-2</v>
      </c>
      <c r="AA96" s="62">
        <f t="shared" si="64"/>
        <v>23.296199999999999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65"/>
        <v>0186-12</v>
      </c>
      <c r="AE96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96" s="82" t="str">
        <f t="shared" si="67"/>
        <v>"C:\Program Files (x86)\AstroGrep\AstroGrep.exe" /e /r /s /spath="%USERPROFILE%\AppData\Local\Temp\OnboardLogs" /stypes="app*4026*20170312*" /stext=" 21:.+((SYSTEM_STATE.+slice.+state.+changed )|(ment ac)|(multiple cpu faults)|(system.+state.+changed )|(\[timeout)|(PRM\|1\|D)|(kpr)|(kdp)|(\|lc)|(penalty))"</v>
      </c>
      <c r="AG96" s="1" t="str">
        <f t="shared" si="68"/>
        <v>EC</v>
      </c>
      <c r="AH96" s="86" t="str">
        <f t="shared" si="69"/>
        <v>"%USERPROFILE%\Documents\GitHub\eaglep3\Utilities\RefineRTDCRunTimes.py" --tripid 186-12 --locoid 4026 --swversion DE.1.0.9.0 --startMP 204:233100 --initTime 2017-03-12T15:04:08 --startdatetime 2017-03-12T15:05:23 --delay 1 --endMP 204:138 --enddatetime 2017-03-12T15:50:58 --enforcementcount 0 &gt;&gt;C:\Users\stu\Documents\GitHub\eaglep3-reporting\EC\2017-03-12-refined-times.txt</v>
      </c>
      <c r="AI9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{"issue":{"subject":"","project_id":79,"tracker_id":40,"status_id":1,"priority_id":2,"assigned_to_id":23,"start_date":"2017-03-12","description":"","custom_fields":[{"id":1,"name":"Subdivision","value":"EC"},{"id":4,"name":"Milepost","value":"0.0138"},{"id":17,"name":"Train ID","value":"186-12"},{"id":16,"name":"Locomotive ID","value":"4026"},{"id":130,"name":"Impact","value":""},{"id":150,"name":"Time of Event (Mountain Time)","value":"15:50:58"},{"id":151,"name":"Denver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71"/>
        <v>start /low /b %USERPROFILE%\Documents\GitHub\eaglep3\Utilities\DownloadLogsFromS3.py --loco 4026 --day 2017-03-12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</row>
    <row r="97" spans="1:91" s="20" customFormat="1" x14ac:dyDescent="0.25">
      <c r="A97" s="33" t="s">
        <v>737</v>
      </c>
      <c r="B97" s="7">
        <v>4018</v>
      </c>
      <c r="C97" s="21" t="s">
        <v>242</v>
      </c>
      <c r="D97" s="21" t="s">
        <v>227</v>
      </c>
      <c r="E97" s="13">
        <v>42806.603032407409</v>
      </c>
      <c r="F97" s="13">
        <v>42806.604189814818</v>
      </c>
      <c r="G97" s="7">
        <v>1</v>
      </c>
      <c r="H97" s="21" t="s">
        <v>437</v>
      </c>
      <c r="I97" s="13">
        <v>42806.633576388886</v>
      </c>
      <c r="J97" s="7">
        <v>0</v>
      </c>
      <c r="K97" s="98" t="str">
        <f t="shared" si="54"/>
        <v>4017/4018</v>
      </c>
      <c r="L97" s="21" t="str">
        <f>VLOOKUP(A97,'Trips&amp;Operators'!$C$1:$G$99999,5,FALSE)</f>
        <v>MACDONALD THOMAS</v>
      </c>
      <c r="M97" s="6">
        <f t="shared" si="55"/>
        <v>2.9386574067757465E-2</v>
      </c>
      <c r="N97" s="7">
        <f t="shared" si="56"/>
        <v>42.31666665757075</v>
      </c>
      <c r="O97" s="7"/>
      <c r="P97" s="7"/>
      <c r="Q97" s="22"/>
      <c r="R97" s="22"/>
      <c r="S97" s="31">
        <f t="shared" si="57"/>
        <v>1</v>
      </c>
      <c r="T97" s="46" t="str">
        <f t="shared" si="58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59"/>
        <v>https://d0f6bd738d7f1b3e5a7ca70fe4ff75f0.us-east-1.aws.found.io/app/kibana#/discover/Steve-Slow-Train-Analysis-(2080s-and-2083s)?_g=(refreshInterval:(display:Off,pause:!f,section:0,value:0),time:(from:'2017-03-12T13:28:22-600',mode:absolute,to:'2017-03-12T16:12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187" t="str">
        <f t="shared" si="60"/>
        <v>N</v>
      </c>
      <c r="X97" s="187">
        <f t="shared" si="61"/>
        <v>1</v>
      </c>
      <c r="Y97" s="62">
        <f t="shared" si="62"/>
        <v>4.5499999999999999E-2</v>
      </c>
      <c r="Z97" s="62">
        <f t="shared" si="63"/>
        <v>23.3307</v>
      </c>
      <c r="AA97" s="62">
        <f t="shared" si="64"/>
        <v>23.2852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65"/>
        <v>0187-12</v>
      </c>
      <c r="AE97" s="85" t="str">
        <f t="shared" si="66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97" s="82" t="str">
        <f t="shared" si="67"/>
        <v>"C:\Program Files (x86)\AstroGrep\AstroGrep.exe" /e /r /s /spath="%USERPROFILE%\AppData\Local\Temp\OnboardLogs" /stypes="app*4018*20170312*" /stext=" 21:.+((SYSTEM_STATE.+slice.+state.+changed )|(ment ac)|(multiple cpu faults)|(system.+state.+changed )|(\[timeout)|(PRM\|1\|D)|(kpr)|(kdp)|(\|lc)|(penalty))"</v>
      </c>
      <c r="AG97" s="1" t="str">
        <f t="shared" si="68"/>
        <v>EC</v>
      </c>
      <c r="AH97" s="86" t="str">
        <f t="shared" si="69"/>
        <v>"%USERPROFILE%\Documents\GitHub\eaglep3\Utilities\RefineRTDCRunTimes.py" --tripid 187-12 --locoid 4018 --swversion DE.1.0.9.0 --startMP 204:455 --initTime 2017-03-12T14:28:22 --startdatetime 2017-03-12T14:30:02 --delay 1 --endMP 204:233307 --enddatetime 2017-03-12T15:12:21 --enforcementcount 0 &gt;&gt;C:\Users\stu\Documents\GitHub\eaglep3-reporting\EC\2017-03-12-refined-times.txt</v>
      </c>
      <c r="AI9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{"issue":{"subject":"","project_id":79,"tracker_id":40,"status_id":1,"priority_id":2,"assigned_to_id":23,"start_date":"2017-03-12","description":"","custom_fields":[{"id":1,"name":"Subdivision","value":"EC"},{"id":4,"name":"Milepost","value":"23.3307"},{"id":17,"name":"Train ID","value":"187-12"},{"id":16,"name":"Locomotive ID","value":"4018"},{"id":130,"name":"Impact","value":""},{"id":150,"name":"Time of Event (Mountain Time)","value":"15:12:21"},{"id":151,"name":"Denver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71"/>
        <v>start /low /b %USERPROFILE%\Documents\GitHub\eaglep3\Utilities\DownloadLogsFromS3.py --loco 4018 --day 2017-03-12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"%USERPROFILE%\AppData\Local\Temp\OnboardLogs"\RTDC4018\*4018*20170312* | grep -SE "(Enforcement Action)|(\[TIMEOUT)|(CHR.+\|PRM\|1\|D.+(SWITCH|SIGNAL).+UNKNOWN)" - &gt;&gt; 2017-03-12-UncaughtWiMAX.txt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610</v>
      </c>
      <c r="B98" s="7">
        <v>4017</v>
      </c>
      <c r="C98" s="21" t="s">
        <v>242</v>
      </c>
      <c r="D98" s="21" t="s">
        <v>864</v>
      </c>
      <c r="E98" s="13">
        <v>42806.642638888887</v>
      </c>
      <c r="F98" s="13">
        <v>42806.643518518518</v>
      </c>
      <c r="G98" s="7">
        <v>1</v>
      </c>
      <c r="H98" s="21" t="s">
        <v>208</v>
      </c>
      <c r="I98" s="13">
        <v>42806.672685185185</v>
      </c>
      <c r="J98" s="7">
        <v>0</v>
      </c>
      <c r="K98" s="98" t="str">
        <f t="shared" si="54"/>
        <v>4017/4018</v>
      </c>
      <c r="L98" s="21" t="str">
        <f>VLOOKUP(A98,'Trips&amp;Operators'!$C$1:$G$99999,5,FALSE)</f>
        <v>MACDONALD THOMAS</v>
      </c>
      <c r="M98" s="6">
        <f t="shared" si="55"/>
        <v>2.9166666667151731E-2</v>
      </c>
      <c r="N98" s="7">
        <f t="shared" si="56"/>
        <v>42.000000000698492</v>
      </c>
      <c r="O98" s="7"/>
      <c r="P98" s="7"/>
      <c r="Q98" s="22"/>
      <c r="R98" s="22"/>
      <c r="S98" s="31">
        <f t="shared" si="57"/>
        <v>1</v>
      </c>
      <c r="T98" s="46" t="str">
        <f t="shared" si="58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59"/>
        <v>https://d0f6bd738d7f1b3e5a7ca70fe4ff75f0.us-east-1.aws.found.io/app/kibana#/discover/Steve-Slow-Train-Analysis-(2080s-and-2083s)?_g=(refreshInterval:(display:Off,pause:!f,section:0,value:0),time:(from:'2017-03-12T14:25:24-600',mode:absolute,to:'2017-03-12T17:08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187" t="str">
        <f t="shared" si="60"/>
        <v>N</v>
      </c>
      <c r="X98" s="187">
        <f t="shared" si="61"/>
        <v>1</v>
      </c>
      <c r="Y98" s="62">
        <f t="shared" si="62"/>
        <v>23.301100000000002</v>
      </c>
      <c r="Z98" s="62">
        <f t="shared" si="63"/>
        <v>1.54E-2</v>
      </c>
      <c r="AA98" s="62">
        <f t="shared" si="64"/>
        <v>23.285700000000002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65"/>
        <v>0188-12</v>
      </c>
      <c r="AE98" s="85" t="str">
        <f t="shared" si="66"/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AF98" s="82" t="str">
        <f t="shared" si="67"/>
        <v>"C:\Program Files (x86)\AstroGrep\AstroGrep.exe" /e /r /s /spath="%USERPROFILE%\AppData\Local\Temp\OnboardLogs" /stypes="app*4017*20170312*" /stext=" 22:.+((SYSTEM_STATE.+slice.+state.+changed )|(ment ac)|(multiple cpu faults)|(system.+state.+changed )|(\[timeout)|(PRM\|1\|D)|(kpr)|(kdp)|(\|lc)|(penalty))"</v>
      </c>
      <c r="AG98" s="1" t="str">
        <f t="shared" si="68"/>
        <v>EC</v>
      </c>
      <c r="AH98" s="86" t="str">
        <f t="shared" si="69"/>
        <v>"%USERPROFILE%\Documents\GitHub\eaglep3\Utilities\RefineRTDCRunTimes.py" --tripid 188-12 --locoid 4017 --swversion DE.1.0.9.0 --startMP 204:233011 --initTime 2017-03-12T15:25:24 --startdatetime 2017-03-12T15:26:40 --delay 1 --endMP 204:154 --enddatetime 2017-03-12T16:08:40 --enforcementcount 0 &gt;&gt;C:\Users\stu\Documents\GitHub\eaglep3-reporting\EC\2017-03-12-refined-times.txt</v>
      </c>
      <c r="AI9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{"issue":{"subject":"","project_id":79,"tracker_id":40,"status_id":1,"priority_id":2,"assigned_to_id":23,"start_date":"2017-03-12","description":"","custom_fields":[{"id":1,"name":"Subdivision","value":"EC"},{"id":4,"name":"Milepost","value":"0.0154"},{"id":17,"name":"Train ID","value":"188-12"},{"id":16,"name":"Locomotive ID","value":"4017"},{"id":130,"name":"Impact","value":""},{"id":150,"name":"Time of Event (Mountain Time)","value":"16:08:40"},{"id":151,"name":"Denver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71"/>
        <v>start /low /b %USERPROFILE%\Documents\GitHub\eaglep3\Utilities\DownloadLogsFromS3.py --loco 4017 --day 2017-03-12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"%USERPROFILE%\AppData\Local\Temp\OnboardLogs"\RTDC4017\*4017*20170312* | grep -SE "(Enforcement Action)|(\[TIMEOUT)|(CHR.+\|PRM\|1\|D.+(SWITCH|SIGNAL).+UNKNOWN)" - &gt;&gt; 2017-03-12-UncaughtWiMAX.txt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739</v>
      </c>
      <c r="B99" s="7">
        <v>4042</v>
      </c>
      <c r="C99" s="21" t="s">
        <v>242</v>
      </c>
      <c r="D99" s="21" t="s">
        <v>237</v>
      </c>
      <c r="E99" s="13">
        <v>42806.611851851849</v>
      </c>
      <c r="F99" s="13">
        <v>42806.613125000003</v>
      </c>
      <c r="G99" s="7">
        <v>1</v>
      </c>
      <c r="H99" s="21" t="s">
        <v>440</v>
      </c>
      <c r="I99" s="13">
        <v>42806.641608796293</v>
      </c>
      <c r="J99" s="7">
        <v>0</v>
      </c>
      <c r="K99" s="98" t="str">
        <f t="shared" si="54"/>
        <v>4041/4042</v>
      </c>
      <c r="L99" s="21" t="str">
        <f>VLOOKUP(A99,'Trips&amp;Operators'!$C$1:$G$99999,5,FALSE)</f>
        <v>STEWART MICHAEL</v>
      </c>
      <c r="M99" s="6">
        <f t="shared" si="55"/>
        <v>2.848379628994735E-2</v>
      </c>
      <c r="N99" s="7">
        <f t="shared" si="56"/>
        <v>41.016666657524183</v>
      </c>
      <c r="O99" s="7"/>
      <c r="P99" s="7"/>
      <c r="Q99" s="22"/>
      <c r="R99" s="22"/>
      <c r="S99" s="31">
        <f t="shared" si="57"/>
        <v>1</v>
      </c>
      <c r="T99" s="46" t="str">
        <f t="shared" si="58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59"/>
        <v>https://d0f6bd738d7f1b3e5a7ca70fe4ff75f0.us-east-1.aws.found.io/app/kibana#/discover/Steve-Slow-Train-Analysis-(2080s-and-2083s)?_g=(refreshInterval:(display:Off,pause:!f,section:0,value:0),time:(from:'2017-03-12T13:41:04-600',mode:absolute,to:'2017-03-12T16:23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87" t="str">
        <f t="shared" si="60"/>
        <v>N</v>
      </c>
      <c r="X99" s="187">
        <f t="shared" si="61"/>
        <v>1</v>
      </c>
      <c r="Y99" s="62">
        <f t="shared" si="62"/>
        <v>4.6600000000000003E-2</v>
      </c>
      <c r="Z99" s="62">
        <f t="shared" si="63"/>
        <v>23.3308</v>
      </c>
      <c r="AA99" s="62">
        <f t="shared" si="64"/>
        <v>23.284199999999998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65"/>
        <v>0189-12</v>
      </c>
      <c r="AE99" s="85" t="str">
        <f t="shared" si="66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99" s="82" t="str">
        <f t="shared" si="67"/>
        <v>"C:\Program Files (x86)\AstroGrep\AstroGrep.exe" /e /r /s /spath="%USERPROFILE%\AppData\Local\Temp\OnboardLogs" /stypes="app*4042*20170312*" /stext=" 21:.+((SYSTEM_STATE.+slice.+state.+changed )|(ment ac)|(multiple cpu faults)|(system.+state.+changed )|(\[timeout)|(PRM\|1\|D)|(kpr)|(kdp)|(\|lc)|(penalty))"</v>
      </c>
      <c r="AG99" s="1" t="str">
        <f t="shared" si="68"/>
        <v>EC</v>
      </c>
      <c r="AH99" s="86" t="str">
        <f t="shared" si="69"/>
        <v>"%USERPROFILE%\Documents\GitHub\eaglep3\Utilities\RefineRTDCRunTimes.py" --tripid 189-12 --locoid 4042 --swversion DE.1.0.9.0 --startMP 204:466 --initTime 2017-03-12T14:41:04 --startdatetime 2017-03-12T14:42:54 --delay 1 --endMP 204:233308 --enddatetime 2017-03-12T15:23:55 --enforcementcount 0 &gt;&gt;C:\Users\stu\Documents\GitHub\eaglep3-reporting\EC\2017-03-12-refined-times.txt</v>
      </c>
      <c r="AI99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{"issue":{"subject":"","project_id":79,"tracker_id":40,"status_id":1,"priority_id":2,"assigned_to_id":23,"start_date":"2017-03-12","description":"","custom_fields":[{"id":1,"name":"Subdivision","value":"EC"},{"id":4,"name":"Milepost","value":"23.3308"},{"id":17,"name":"Train ID","value":"189-12"},{"id":16,"name":"Locomotive ID","value":"4042"},{"id":130,"name":"Impact","value":""},{"id":150,"name":"Time of Event (Mountain Time)","value":"15:23:55"},{"id":151,"name":"Denver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71"/>
        <v>start /low /b %USERPROFILE%\Documents\GitHub\eaglep3\Utilities\DownloadLogsFromS3.py --loco 4042 --day 2017-03-12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747</v>
      </c>
      <c r="B100" s="7">
        <v>4041</v>
      </c>
      <c r="C100" s="21" t="s">
        <v>242</v>
      </c>
      <c r="D100" s="21" t="s">
        <v>904</v>
      </c>
      <c r="E100" s="13">
        <v>42806.651562500003</v>
      </c>
      <c r="F100" s="13">
        <v>42806.652511574073</v>
      </c>
      <c r="G100" s="7">
        <v>1</v>
      </c>
      <c r="H100" s="21" t="s">
        <v>194</v>
      </c>
      <c r="I100" s="13">
        <v>42806.682106481479</v>
      </c>
      <c r="J100" s="7">
        <v>0</v>
      </c>
      <c r="K100" s="98" t="str">
        <f t="shared" si="54"/>
        <v>4041/4042</v>
      </c>
      <c r="L100" s="21" t="str">
        <f>VLOOKUP(A100,'Trips&amp;Operators'!$C$1:$G$99999,5,FALSE)</f>
        <v>STEWART MICHAEL</v>
      </c>
      <c r="M100" s="6">
        <f t="shared" si="55"/>
        <v>2.9594907406135462E-2</v>
      </c>
      <c r="N100" s="7">
        <f t="shared" si="56"/>
        <v>42.616666664835066</v>
      </c>
      <c r="O100" s="7"/>
      <c r="P100" s="7"/>
      <c r="Q100" s="22"/>
      <c r="R100" s="22"/>
      <c r="S100" s="31">
        <f t="shared" si="57"/>
        <v>1</v>
      </c>
      <c r="T100" s="46" t="str">
        <f t="shared" si="58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59"/>
        <v>https://d0f6bd738d7f1b3e5a7ca70fe4ff75f0.us-east-1.aws.found.io/app/kibana#/discover/Steve-Slow-Train-Analysis-(2080s-and-2083s)?_g=(refreshInterval:(display:Off,pause:!f,section:0,value:0),time:(from:'2017-03-12T14:38:15-600',mode:absolute,to:'2017-03-12T17:22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187" t="str">
        <f t="shared" si="60"/>
        <v>N</v>
      </c>
      <c r="X100" s="187">
        <f t="shared" si="61"/>
        <v>1</v>
      </c>
      <c r="Y100" s="62">
        <f t="shared" si="62"/>
        <v>23.2987</v>
      </c>
      <c r="Z100" s="62">
        <f t="shared" si="63"/>
        <v>1.4500000000000001E-2</v>
      </c>
      <c r="AA100" s="62">
        <f t="shared" si="64"/>
        <v>23.284199999999998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5"/>
        <v>0190-12</v>
      </c>
      <c r="AE100" s="85" t="str">
        <f t="shared" si="66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00" s="82" t="str">
        <f t="shared" si="67"/>
        <v>"C:\Program Files (x86)\AstroGrep\AstroGrep.exe" /e /r /s /spath="%USERPROFILE%\AppData\Local\Temp\OnboardLogs" /stypes="app*4041*20170312*" /stext=" 22:.+((SYSTEM_STATE.+slice.+state.+changed )|(ment ac)|(multiple cpu faults)|(system.+state.+changed )|(\[timeout)|(PRM\|1\|D)|(kpr)|(kdp)|(\|lc)|(penalty))"</v>
      </c>
      <c r="AG100" s="1" t="str">
        <f t="shared" si="68"/>
        <v>EC</v>
      </c>
      <c r="AH100" s="86" t="str">
        <f t="shared" si="69"/>
        <v>"%USERPROFILE%\Documents\GitHub\eaglep3\Utilities\RefineRTDCRunTimes.py" --tripid 190-12 --locoid 4041 --swversion DE.1.0.9.0 --startMP 204:232987 --initTime 2017-03-12T15:38:15 --startdatetime 2017-03-12T15:39:37 --delay 1 --endMP 204:145 --enddatetime 2017-03-12T16:22:14 --enforcementcount 0 &gt;&gt;C:\Users\stu\Documents\GitHub\eaglep3-reporting\EC\2017-03-12-refined-times.txt</v>
      </c>
      <c r="AI10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{"issue":{"subject":"","project_id":79,"tracker_id":40,"status_id":1,"priority_id":2,"assigned_to_id":23,"start_date":"2017-03-12","description":"","custom_fields":[{"id":1,"name":"Subdivision","value":"EC"},{"id":4,"name":"Milepost","value":"0.0145"},{"id":17,"name":"Train ID","value":"190-12"},{"id":16,"name":"Locomotive ID","value":"4041"},{"id":130,"name":"Impact","value":""},{"id":150,"name":"Time of Event (Mountain Time)","value":"16:22:14"},{"id":151,"name":"Denver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71"/>
        <v>start /low /b %USERPROFILE%\Documents\GitHub\eaglep3\Utilities\DownloadLogsFromS3.py --loco 4041 --day 2017-03-12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741</v>
      </c>
      <c r="B101" s="7">
        <v>4027</v>
      </c>
      <c r="C101" s="21" t="s">
        <v>242</v>
      </c>
      <c r="D101" s="21" t="s">
        <v>907</v>
      </c>
      <c r="E101" s="13">
        <v>42806.620578703703</v>
      </c>
      <c r="F101" s="13">
        <v>42806.621458333335</v>
      </c>
      <c r="G101" s="7">
        <v>1</v>
      </c>
      <c r="H101" s="21" t="s">
        <v>908</v>
      </c>
      <c r="I101" s="13">
        <v>42806.651412037034</v>
      </c>
      <c r="J101" s="7">
        <v>0</v>
      </c>
      <c r="K101" s="98" t="str">
        <f t="shared" si="54"/>
        <v>4027/4028</v>
      </c>
      <c r="L101" s="21" t="str">
        <f>VLOOKUP(A101,'Trips&amp;Operators'!$C$1:$G$99999,5,FALSE)</f>
        <v>LEVIN SCOTT</v>
      </c>
      <c r="M101" s="6">
        <f t="shared" si="55"/>
        <v>2.9953703698993195E-2</v>
      </c>
      <c r="N101" s="7">
        <f t="shared" si="56"/>
        <v>43.133333326550201</v>
      </c>
      <c r="O101" s="7"/>
      <c r="P101" s="7"/>
      <c r="Q101" s="22"/>
      <c r="R101" s="22"/>
      <c r="S101" s="31">
        <f t="shared" si="57"/>
        <v>1</v>
      </c>
      <c r="T101" s="46" t="str">
        <f t="shared" si="58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59"/>
        <v>https://d0f6bd738d7f1b3e5a7ca70fe4ff75f0.us-east-1.aws.found.io/app/kibana#/discover/Steve-Slow-Train-Analysis-(2080s-and-2083s)?_g=(refreshInterval:(display:Off,pause:!f,section:0,value:0),time:(from:'2017-03-12T13:53:38-600',mode:absolute,to:'2017-03-12T16:38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1" s="187" t="str">
        <f t="shared" si="60"/>
        <v>N</v>
      </c>
      <c r="X101" s="187">
        <f t="shared" si="61"/>
        <v>1</v>
      </c>
      <c r="Y101" s="62">
        <f t="shared" si="62"/>
        <v>3.9100000000000003E-2</v>
      </c>
      <c r="Z101" s="62">
        <f t="shared" si="63"/>
        <v>23.337</v>
      </c>
      <c r="AA101" s="62">
        <f t="shared" si="64"/>
        <v>23.297899999999998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65"/>
        <v>0191-12</v>
      </c>
      <c r="AE101" s="85" t="str">
        <f t="shared" si="66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01" s="82" t="str">
        <f t="shared" si="67"/>
        <v>"C:\Program Files (x86)\AstroGrep\AstroGrep.exe" /e /r /s /spath="%USERPROFILE%\AppData\Local\Temp\OnboardLogs" /stypes="app*4027*20170312*" /stext=" 21:.+((SYSTEM_STATE.+slice.+state.+changed )|(ment ac)|(multiple cpu faults)|(system.+state.+changed )|(\[timeout)|(PRM\|1\|D)|(kpr)|(kdp)|(\|lc)|(penalty))"</v>
      </c>
      <c r="AG101" s="1" t="str">
        <f t="shared" si="68"/>
        <v>EC</v>
      </c>
      <c r="AH101" s="86" t="str">
        <f t="shared" si="69"/>
        <v>"%USERPROFILE%\Documents\GitHub\eaglep3\Utilities\RefineRTDCRunTimes.py" --tripid 191-12 --locoid 4027 --swversion DE.1.0.9.0 --startMP 204:391 --initTime 2017-03-12T14:53:38 --startdatetime 2017-03-12T14:54:54 --delay 1 --endMP 204:233370 --enddatetime 2017-03-12T15:38:02 --enforcementcount 0 &gt;&gt;C:\Users\stu\Documents\GitHub\eaglep3-reporting\EC\2017-03-12-refined-times.txt</v>
      </c>
      <c r="AI10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{"issue":{"subject":"","project_id":79,"tracker_id":40,"status_id":1,"priority_id":2,"assigned_to_id":23,"start_date":"2017-03-12","description":"","custom_fields":[{"id":1,"name":"Subdivision","value":"EC"},{"id":4,"name":"Milepost","value":"23.337"},{"id":17,"name":"Train ID","value":"191-12"},{"id":16,"name":"Locomotive ID","value":"4027"},{"id":130,"name":"Impact","value":""},{"id":150,"name":"Time of Event (Mountain Time)","value":"15:38:02"},{"id":151,"name":"Denver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71"/>
        <v>start /low /b %USERPROFILE%\Documents\GitHub\eaglep3\Utilities\DownloadLogsFromS3.py --loco 4027 --day 2017-03-12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749</v>
      </c>
      <c r="B102" s="7">
        <v>4028</v>
      </c>
      <c r="C102" s="21" t="s">
        <v>242</v>
      </c>
      <c r="D102" s="21" t="s">
        <v>830</v>
      </c>
      <c r="E102" s="13">
        <v>42806.660150462965</v>
      </c>
      <c r="F102" s="13">
        <v>42806.661354166667</v>
      </c>
      <c r="G102" s="7">
        <v>1</v>
      </c>
      <c r="H102" s="21" t="s">
        <v>866</v>
      </c>
      <c r="I102" s="13">
        <v>42806.692708333336</v>
      </c>
      <c r="J102" s="7">
        <v>0</v>
      </c>
      <c r="K102" s="98" t="str">
        <f t="shared" si="54"/>
        <v>4027/4028</v>
      </c>
      <c r="L102" s="21" t="str">
        <f>VLOOKUP(A102,'Trips&amp;Operators'!$C$1:$G$99999,5,FALSE)</f>
        <v>LEVIN SCOTT</v>
      </c>
      <c r="M102" s="6">
        <f t="shared" si="55"/>
        <v>3.1354166669188999E-2</v>
      </c>
      <c r="N102" s="7">
        <f t="shared" si="56"/>
        <v>45.150000003632158</v>
      </c>
      <c r="O102" s="7"/>
      <c r="P102" s="7"/>
      <c r="Q102" s="22"/>
      <c r="R102" s="22"/>
      <c r="S102" s="31">
        <f t="shared" si="57"/>
        <v>1</v>
      </c>
      <c r="T102" s="46" t="str">
        <f t="shared" si="58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59"/>
        <v>https://d0f6bd738d7f1b3e5a7ca70fe4ff75f0.us-east-1.aws.found.io/app/kibana#/discover/Steve-Slow-Train-Analysis-(2080s-and-2083s)?_g=(refreshInterval:(display:Off,pause:!f,section:0,value:0),time:(from:'2017-03-12T14:50:37-600',mode:absolute,to:'2017-03-12T17:37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7" t="str">
        <f t="shared" si="60"/>
        <v>N</v>
      </c>
      <c r="X102" s="187">
        <f t="shared" si="61"/>
        <v>1</v>
      </c>
      <c r="Y102" s="62">
        <f t="shared" si="62"/>
        <v>23.302800000000001</v>
      </c>
      <c r="Z102" s="62">
        <f t="shared" si="63"/>
        <v>1.32E-2</v>
      </c>
      <c r="AA102" s="62">
        <f t="shared" si="64"/>
        <v>23.2896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5"/>
        <v>0192-12</v>
      </c>
      <c r="AE102" s="85" t="str">
        <f t="shared" si="66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102" s="82" t="str">
        <f t="shared" si="67"/>
        <v>"C:\Program Files (x86)\AstroGrep\AstroGrep.exe" /e /r /s /spath="%USERPROFILE%\AppData\Local\Temp\OnboardLogs" /stypes="app*4028*20170312*" /stext=" 22:.+((SYSTEM_STATE.+slice.+state.+changed )|(ment ac)|(multiple cpu faults)|(system.+state.+changed )|(\[timeout)|(PRM\|1\|D)|(kpr)|(kdp)|(\|lc)|(penalty))"</v>
      </c>
      <c r="AG102" s="1" t="str">
        <f t="shared" si="68"/>
        <v>EC</v>
      </c>
      <c r="AH102" s="86" t="str">
        <f t="shared" si="69"/>
        <v>"%USERPROFILE%\Documents\GitHub\eaglep3\Utilities\RefineRTDCRunTimes.py" --tripid 192-12 --locoid 4028 --swversion DE.1.0.9.0 --startMP 204:233028 --initTime 2017-03-12T15:50:37 --startdatetime 2017-03-12T15:52:21 --delay 1 --endMP 204:132 --enddatetime 2017-03-12T16:37:30 --enforcementcount 0 &gt;&gt;C:\Users\stu\Documents\GitHub\eaglep3-reporting\EC\2017-03-12-refined-times.txt</v>
      </c>
      <c r="AI10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{"issue":{"subject":"","project_id":79,"tracker_id":40,"status_id":1,"priority_id":2,"assigned_to_id":23,"start_date":"2017-03-12","description":"","custom_fields":[{"id":1,"name":"Subdivision","value":"EC"},{"id":4,"name":"Milepost","value":"0.0132"},{"id":17,"name":"Train ID","value":"192-12"},{"id":16,"name":"Locomotive ID","value":"4028"},{"id":130,"name":"Impact","value":""},{"id":150,"name":"Time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71"/>
        <v>start /low /b %USERPROFILE%\Documents\GitHub\eaglep3\Utilities\DownloadLogsFromS3.py --loco 4028 --day 2017-03-12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744</v>
      </c>
      <c r="B103" s="7">
        <v>4053</v>
      </c>
      <c r="C103" s="21" t="s">
        <v>242</v>
      </c>
      <c r="D103" s="21" t="s">
        <v>909</v>
      </c>
      <c r="E103" s="13">
        <v>42806.639872685184</v>
      </c>
      <c r="F103" s="13">
        <v>42806.641875000001</v>
      </c>
      <c r="G103" s="7">
        <v>2</v>
      </c>
      <c r="H103" s="21" t="s">
        <v>547</v>
      </c>
      <c r="I103" s="13">
        <v>42806.668680555558</v>
      </c>
      <c r="J103" s="7">
        <v>0</v>
      </c>
      <c r="K103" s="98" t="str">
        <f t="shared" si="54"/>
        <v>4053/4054</v>
      </c>
      <c r="L103" s="21" t="str">
        <f>VLOOKUP(A103,'Trips&amp;Operators'!$C$1:$G$99999,5,FALSE)</f>
        <v>BRUDER RICHARD</v>
      </c>
      <c r="M103" s="6">
        <f t="shared" si="55"/>
        <v>2.6805555557075422E-2</v>
      </c>
      <c r="N103" s="7">
        <f t="shared" si="56"/>
        <v>38.600000002188608</v>
      </c>
      <c r="O103" s="7"/>
      <c r="P103" s="7"/>
      <c r="Q103" s="22"/>
      <c r="R103" s="22"/>
      <c r="S103" s="31">
        <f t="shared" si="57"/>
        <v>1</v>
      </c>
      <c r="T103" s="46" t="str">
        <f t="shared" si="58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59"/>
        <v>https://d0f6bd738d7f1b3e5a7ca70fe4ff75f0.us-east-1.aws.found.io/app/kibana#/discover/Steve-Slow-Train-Analysis-(2080s-and-2083s)?_g=(refreshInterval:(display:Off,pause:!f,section:0,value:0),time:(from:'2017-03-12T14:21:25-600',mode:absolute,to:'2017-03-12T17:02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87" t="str">
        <f t="shared" si="60"/>
        <v>N</v>
      </c>
      <c r="X103" s="187">
        <f t="shared" si="61"/>
        <v>1</v>
      </c>
      <c r="Y103" s="62">
        <f t="shared" si="62"/>
        <v>0.12529999999999999</v>
      </c>
      <c r="Z103" s="62">
        <f t="shared" si="63"/>
        <v>23.331700000000001</v>
      </c>
      <c r="AA103" s="62">
        <f t="shared" si="64"/>
        <v>23.206400000000002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5"/>
        <v>0193-12</v>
      </c>
      <c r="AE103" s="85" t="str">
        <f t="shared" si="66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103" s="82" t="str">
        <f t="shared" si="67"/>
        <v>"C:\Program Files (x86)\AstroGrep\AstroGrep.exe" /e /r /s /spath="%USERPROFILE%\AppData\Local\Temp\OnboardLogs" /stypes="app*4053*20170312*" /stext=" 22:.+((SYSTEM_STATE.+slice.+state.+changed )|(ment ac)|(multiple cpu faults)|(system.+state.+changed )|(\[timeout)|(PRM\|1\|D)|(kpr)|(kdp)|(\|lc)|(penalty))"</v>
      </c>
      <c r="AG103" s="1" t="str">
        <f t="shared" si="68"/>
        <v>EC</v>
      </c>
      <c r="AH103" s="86" t="str">
        <f t="shared" si="69"/>
        <v>"%USERPROFILE%\Documents\GitHub\eaglep3\Utilities\RefineRTDCRunTimes.py" --tripid 193-12 --locoid 4053 --swversion DE.1.0.9.0 --startMP 204:1253 --initTime 2017-03-12T15:21:25 --startdatetime 2017-03-12T15:24:18 --delay 2 --endMP 204:233317 --enddatetime 2017-03-12T16:02:54 --enforcementcount 0 &gt;&gt;C:\Users\stu\Documents\GitHub\eaglep3-reporting\EC\2017-03-12-refined-times.txt</v>
      </c>
      <c r="AI10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{"issue":{"subject":"","project_id":79,"tracker_id":40,"status_id":1,"priority_id":2,"assigned_to_id":23,"start_date":"2017-03-12","description":"","custom_fields":[{"id":1,"name":"Subdivision","value":"EC"},{"id":4,"name":"Milepost","value":"23.3317"},{"id":17,"name":"Train ID","value":"193-12"},{"id":16,"name":"Locomotive ID","value":"4053"},{"id":130,"name":"Impact","value":""},{"id":150,"name":"Time of Event (Mountain Time)","value":"16:02:54"},{"id":151,"name":"Denver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71"/>
        <v>start /low /b %USERPROFILE%\Documents\GitHub\eaglep3\Utilities\DownloadLogsFromS3.py --loco 4053 --day 2017-03-12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751</v>
      </c>
      <c r="B104" s="7">
        <v>4054</v>
      </c>
      <c r="C104" s="21" t="s">
        <v>242</v>
      </c>
      <c r="D104" s="21" t="s">
        <v>495</v>
      </c>
      <c r="E104" s="13">
        <v>42806.671620370369</v>
      </c>
      <c r="F104" s="13">
        <v>42806.67260416667</v>
      </c>
      <c r="G104" s="7">
        <v>1</v>
      </c>
      <c r="H104" s="21" t="s">
        <v>202</v>
      </c>
      <c r="I104" s="13">
        <v>42806.704305555555</v>
      </c>
      <c r="J104" s="7">
        <v>0</v>
      </c>
      <c r="K104" s="98" t="str">
        <f t="shared" si="54"/>
        <v>4053/4054</v>
      </c>
      <c r="L104" s="21" t="str">
        <f>VLOOKUP(A104,'Trips&amp;Operators'!$C$1:$G$99999,5,FALSE)</f>
        <v>BRUDER RICHARD</v>
      </c>
      <c r="M104" s="6">
        <f t="shared" si="55"/>
        <v>3.1701388885267079E-2</v>
      </c>
      <c r="N104" s="7">
        <f t="shared" si="56"/>
        <v>45.649999994784594</v>
      </c>
      <c r="O104" s="7"/>
      <c r="P104" s="7"/>
      <c r="Q104" s="22"/>
      <c r="R104" s="22"/>
      <c r="S104" s="31">
        <f t="shared" si="57"/>
        <v>1</v>
      </c>
      <c r="T104" s="46" t="str">
        <f t="shared" si="58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59"/>
        <v>https://d0f6bd738d7f1b3e5a7ca70fe4ff75f0.us-east-1.aws.found.io/app/kibana#/discover/Steve-Slow-Train-Analysis-(2080s-and-2083s)?_g=(refreshInterval:(display:Off,pause:!f,section:0,value:0),time:(from:'2017-03-12T15:07:08-600',mode:absolute,to:'2017-03-12T17:54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4" s="187" t="str">
        <f t="shared" si="60"/>
        <v>N</v>
      </c>
      <c r="X104" s="187">
        <f t="shared" si="61"/>
        <v>1</v>
      </c>
      <c r="Y104" s="62">
        <f t="shared" si="62"/>
        <v>23.3002</v>
      </c>
      <c r="Z104" s="62">
        <f t="shared" si="63"/>
        <v>1.52E-2</v>
      </c>
      <c r="AA104" s="62">
        <f t="shared" si="64"/>
        <v>23.285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5"/>
        <v>0194-12</v>
      </c>
      <c r="AE104" s="85" t="str">
        <f t="shared" si="66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104" s="82" t="str">
        <f t="shared" si="67"/>
        <v>"C:\Program Files (x86)\AstroGrep\AstroGrep.exe" /e /r /s /spath="%USERPROFILE%\AppData\Local\Temp\OnboardLogs" /stypes="app*4054*20170312*" /stext=" 22:.+((SYSTEM_STATE.+slice.+state.+changed )|(ment ac)|(multiple cpu faults)|(system.+state.+changed )|(\[timeout)|(PRM\|1\|D)|(kpr)|(kdp)|(\|lc)|(penalty))"</v>
      </c>
      <c r="AG104" s="1" t="str">
        <f t="shared" si="68"/>
        <v>EC</v>
      </c>
      <c r="AH104" s="86" t="str">
        <f t="shared" si="69"/>
        <v>"%USERPROFILE%\Documents\GitHub\eaglep3\Utilities\RefineRTDCRunTimes.py" --tripid 194-12 --locoid 4054 --swversion DE.1.0.9.0 --startMP 204:233002 --initTime 2017-03-12T16:07:08 --startdatetime 2017-03-12T16:08:33 --delay 1 --endMP 204:152 --enddatetime 2017-03-12T16:54:12 --enforcementcount 0 &gt;&gt;C:\Users\stu\Documents\GitHub\eaglep3-reporting\EC\2017-03-12-refined-times.txt</v>
      </c>
      <c r="AI10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{"issue":{"subject":"","project_id":79,"tracker_id":40,"status_id":1,"priority_id":2,"assigned_to_id":23,"start_date":"2017-03-12","description":"","custom_fields":[{"id":1,"name":"Subdivision","value":"EC"},{"id":4,"name":"Milepost","value":"0.0152"},{"id":17,"name":"Train ID","value":"194-12"},{"id":16,"name":"Locomotive ID","value":"4054"},{"id":130,"name":"Impact","value":""},{"id":150,"name":"Time of Event (Mountain Time)","value":"16:54:12"},{"id":151,"name":"Denver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71"/>
        <v>start /low /b %USERPROFILE%\Documents\GitHub\eaglep3\Utilities\DownloadLogsFromS3.py --loco 4054 --day 2017-03-12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"%USERPROFILE%\AppData\Local\Temp\OnboardLogs"\RTDC4054\*4054*20170312* | grep -SE "(Enforcement Action)|(\[TIMEOUT)|(CHR.+\|PRM\|1\|D.+(SWITCH|SIGNAL).+UNKNOWN)" - &gt;&gt; 2017-03-12-UncaughtWiMAX.txt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745</v>
      </c>
      <c r="B105" s="7">
        <v>4006</v>
      </c>
      <c r="C105" s="21" t="s">
        <v>242</v>
      </c>
      <c r="D105" s="21" t="s">
        <v>261</v>
      </c>
      <c r="E105" s="13">
        <v>42806.644502314812</v>
      </c>
      <c r="F105" s="13">
        <v>42806.645543981482</v>
      </c>
      <c r="G105" s="7">
        <v>1</v>
      </c>
      <c r="H105" s="21" t="s">
        <v>910</v>
      </c>
      <c r="I105" s="13">
        <v>42806.673541666663</v>
      </c>
      <c r="J105" s="7">
        <v>0</v>
      </c>
      <c r="K105" s="98" t="str">
        <f t="shared" si="54"/>
        <v>4005/4006</v>
      </c>
      <c r="L105" s="21" t="str">
        <f>VLOOKUP(A105,'Trips&amp;Operators'!$C$1:$G$99999,5,FALSE)</f>
        <v>LOCKLEAR TRAVIS</v>
      </c>
      <c r="M105" s="6">
        <f t="shared" si="55"/>
        <v>2.7997685181617271E-2</v>
      </c>
      <c r="N105" s="7">
        <f t="shared" si="56"/>
        <v>40.31666666152887</v>
      </c>
      <c r="O105" s="7"/>
      <c r="P105" s="7"/>
      <c r="Q105" s="22"/>
      <c r="R105" s="22"/>
      <c r="S105" s="31">
        <f t="shared" si="57"/>
        <v>1</v>
      </c>
      <c r="T105" s="46" t="str">
        <f t="shared" si="58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59"/>
        <v>https://d0f6bd738d7f1b3e5a7ca70fe4ff75f0.us-east-1.aws.found.io/app/kibana#/discover/Steve-Slow-Train-Analysis-(2080s-and-2083s)?_g=(refreshInterval:(display:Off,pause:!f,section:0,value:0),time:(from:'2017-03-12T14:28:05-600',mode:absolute,to:'2017-03-12T17:09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187" t="str">
        <f t="shared" si="60"/>
        <v>N</v>
      </c>
      <c r="X105" s="187">
        <f t="shared" si="61"/>
        <v>1</v>
      </c>
      <c r="Y105" s="62">
        <f t="shared" si="62"/>
        <v>4.6699999999999998E-2</v>
      </c>
      <c r="Z105" s="62">
        <f t="shared" si="63"/>
        <v>23.332999999999998</v>
      </c>
      <c r="AA105" s="62">
        <f t="shared" si="64"/>
        <v>23.286299999999997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5"/>
        <v>0195-12</v>
      </c>
      <c r="AE105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05" s="82" t="str">
        <f t="shared" si="67"/>
        <v>"C:\Program Files (x86)\AstroGrep\AstroGrep.exe" /e /r /s /spath="%USERPROFILE%\AppData\Local\Temp\OnboardLogs" /stypes="app*4006*20170312*" /stext=" 22:.+((SYSTEM_STATE.+slice.+state.+changed )|(ment ac)|(multiple cpu faults)|(system.+state.+changed )|(\[timeout)|(PRM\|1\|D)|(kpr)|(kdp)|(\|lc)|(penalty))"</v>
      </c>
      <c r="AG105" s="1" t="str">
        <f t="shared" si="68"/>
        <v>EC</v>
      </c>
      <c r="AH105" s="86" t="str">
        <f t="shared" si="69"/>
        <v>"%USERPROFILE%\Documents\GitHub\eaglep3\Utilities\RefineRTDCRunTimes.py" --tripid 195-12 --locoid 4006 --swversion DE.1.0.9.0 --startMP 204:467 --initTime 2017-03-12T15:28:05 --startdatetime 2017-03-12T15:29:35 --delay 1 --endMP 204:233330 --enddatetime 2017-03-12T16:09:54 --enforcementcount 0 &gt;&gt;C:\Users\stu\Documents\GitHub\eaglep3-reporting\EC\2017-03-12-refined-times.txt</v>
      </c>
      <c r="AI10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{"issue":{"subject":"","project_id":79,"tracker_id":40,"status_id":1,"priority_id":2,"assigned_to_id":23,"start_date":"2017-03-12","description":"","custom_fields":[{"id":1,"name":"Subdivision","value":"EC"},{"id":4,"name":"Milepost","value":"23.333"},{"id":17,"name":"Train ID","value":"195-12"},{"id":16,"name":"Locomotive ID","value":"4006"},{"id":130,"name":"Impact","value":""},{"id":150,"name":"Time of Event (Mountain Time)","value":"16:09:54"},{"id":151,"name":"Denver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71"/>
        <v>start /low /b %USERPROFILE%\Documents\GitHub\eaglep3\Utilities\DownloadLogsFromS3.py --loco 4006 --day 2017-03-12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754</v>
      </c>
      <c r="B106" s="7">
        <v>4005</v>
      </c>
      <c r="C106" s="21" t="s">
        <v>242</v>
      </c>
      <c r="D106" s="21" t="s">
        <v>911</v>
      </c>
      <c r="E106" s="13">
        <v>42806.681944444441</v>
      </c>
      <c r="F106" s="13">
        <v>42806.68310185185</v>
      </c>
      <c r="G106" s="7">
        <v>1</v>
      </c>
      <c r="H106" s="21" t="s">
        <v>499</v>
      </c>
      <c r="I106" s="13">
        <v>42806.71297453704</v>
      </c>
      <c r="J106" s="7">
        <v>0</v>
      </c>
      <c r="K106" s="98" t="str">
        <f t="shared" si="54"/>
        <v>4005/4006</v>
      </c>
      <c r="L106" s="21" t="str">
        <f>VLOOKUP(A106,'Trips&amp;Operators'!$C$1:$G$99999,5,FALSE)</f>
        <v>LOCKLEAR TRAVIS</v>
      </c>
      <c r="M106" s="6">
        <f t="shared" si="55"/>
        <v>2.9872685190639459E-2</v>
      </c>
      <c r="N106" s="7">
        <f t="shared" si="56"/>
        <v>43.01666667452082</v>
      </c>
      <c r="O106" s="7"/>
      <c r="P106" s="7"/>
      <c r="Q106" s="22"/>
      <c r="R106" s="22"/>
      <c r="S106" s="31">
        <f t="shared" si="57"/>
        <v>1</v>
      </c>
      <c r="T106" s="46" t="str">
        <f t="shared" si="58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59"/>
        <v>https://d0f6bd738d7f1b3e5a7ca70fe4ff75f0.us-east-1.aws.found.io/app/kibana#/discover/Steve-Slow-Train-Analysis-(2080s-and-2083s)?_g=(refreshInterval:(display:Off,pause:!f,section:0,value:0),time:(from:'2017-03-12T15:22:00-600',mode:absolute,to:'2017-03-12T18:06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187" t="str">
        <f t="shared" si="60"/>
        <v>N</v>
      </c>
      <c r="X106" s="187">
        <f t="shared" si="61"/>
        <v>1</v>
      </c>
      <c r="Y106" s="62">
        <f t="shared" si="62"/>
        <v>23.301500000000001</v>
      </c>
      <c r="Z106" s="62">
        <f t="shared" si="63"/>
        <v>1.6500000000000001E-2</v>
      </c>
      <c r="AA106" s="62">
        <f t="shared" si="64"/>
        <v>23.285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5"/>
        <v>0196-12</v>
      </c>
      <c r="AE106" s="85" t="str">
        <f t="shared" si="66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06" s="82" t="str">
        <f t="shared" si="67"/>
        <v>"C:\Program Files (x86)\AstroGrep\AstroGrep.exe" /e /r /s /spath="%USERPROFILE%\AppData\Local\Temp\OnboardLogs" /stypes="app*4005*20170312*" /stext=" 23:.+((SYSTEM_STATE.+slice.+state.+changed )|(ment ac)|(multiple cpu faults)|(system.+state.+changed )|(\[timeout)|(PRM\|1\|D)|(kpr)|(kdp)|(\|lc)|(penalty))"</v>
      </c>
      <c r="AG106" s="1" t="str">
        <f t="shared" si="68"/>
        <v>EC</v>
      </c>
      <c r="AH106" s="86" t="str">
        <f t="shared" si="69"/>
        <v>"%USERPROFILE%\Documents\GitHub\eaglep3\Utilities\RefineRTDCRunTimes.py" --tripid 196-12 --locoid 4005 --swversion DE.1.0.9.0 --startMP 204:233015 --initTime 2017-03-12T16:22:00 --startdatetime 2017-03-12T16:23:40 --delay 1 --endMP 204:165 --enddatetime 2017-03-12T17:06:41 --enforcementcount 0 &gt;&gt;C:\Users\stu\Documents\GitHub\eaglep3-reporting\EC\2017-03-12-refined-times.txt</v>
      </c>
      <c r="AI10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{"issue":{"subject":"","project_id":79,"tracker_id":40,"status_id":1,"priority_id":2,"assigned_to_id":23,"start_date":"2017-03-12","description":"","custom_fields":[{"id":1,"name":"Subdivision","value":"EC"},{"id":4,"name":"Milepost","value":"0.0165"},{"id":17,"name":"Train ID","value":"196-12"},{"id":16,"name":"Locomotive ID","value":"4005"},{"id":130,"name":"Impact","value":""},{"id":150,"name":"Time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71"/>
        <v>start /low /b %USERPROFILE%\Documents\GitHub\eaglep3\Utilities\DownloadLogsFromS3.py --loco 4005 --day 2017-03-12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748</v>
      </c>
      <c r="B107" s="7">
        <v>4020</v>
      </c>
      <c r="C107" s="21" t="s">
        <v>242</v>
      </c>
      <c r="D107" s="21" t="s">
        <v>272</v>
      </c>
      <c r="E107" s="13">
        <v>42806.656782407408</v>
      </c>
      <c r="F107" s="13">
        <v>42806.657997685186</v>
      </c>
      <c r="G107" s="7">
        <v>1</v>
      </c>
      <c r="H107" s="21" t="s">
        <v>912</v>
      </c>
      <c r="I107" s="13">
        <v>42806.685486111113</v>
      </c>
      <c r="J107" s="7">
        <v>0</v>
      </c>
      <c r="K107" s="98" t="str">
        <f t="shared" si="54"/>
        <v>4019/4020</v>
      </c>
      <c r="L107" s="21" t="str">
        <f>VLOOKUP(A107,'Trips&amp;Operators'!$C$1:$G$99999,5,FALSE)</f>
        <v>NELSON ARIANE</v>
      </c>
      <c r="M107" s="6">
        <f t="shared" si="55"/>
        <v>2.7488425927003846E-2</v>
      </c>
      <c r="N107" s="7">
        <f t="shared" si="56"/>
        <v>39.583333334885538</v>
      </c>
      <c r="O107" s="7"/>
      <c r="P107" s="7"/>
      <c r="Q107" s="22"/>
      <c r="R107" s="22"/>
      <c r="S107" s="31">
        <f t="shared" si="57"/>
        <v>1</v>
      </c>
      <c r="T107" s="46" t="str">
        <f t="shared" si="58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59"/>
        <v>https://d0f6bd738d7f1b3e5a7ca70fe4ff75f0.us-east-1.aws.found.io/app/kibana#/discover/Steve-Slow-Train-Analysis-(2080s-and-2083s)?_g=(refreshInterval:(display:Off,pause:!f,section:0,value:0),time:(from:'2017-03-12T14:45:46-600',mode:absolute,to:'2017-03-12T17:27:06-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7" s="187" t="str">
        <f t="shared" si="60"/>
        <v>N</v>
      </c>
      <c r="X107" s="187">
        <f t="shared" si="61"/>
        <v>1</v>
      </c>
      <c r="Y107" s="62">
        <f t="shared" si="62"/>
        <v>4.4900000000000002E-2</v>
      </c>
      <c r="Z107" s="62">
        <f t="shared" si="63"/>
        <v>23.334</v>
      </c>
      <c r="AA107" s="62">
        <f t="shared" si="64"/>
        <v>23.289100000000001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5"/>
        <v>0197-12</v>
      </c>
      <c r="AE107" s="85" t="str">
        <f t="shared" si="66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107" s="82" t="str">
        <f t="shared" si="67"/>
        <v>"C:\Program Files (x86)\AstroGrep\AstroGrep.exe" /e /r /s /spath="%USERPROFILE%\AppData\Local\Temp\OnboardLogs" /stypes="app*4020*20170312*" /stext=" 22:.+((SYSTEM_STATE.+slice.+state.+changed )|(ment ac)|(multiple cpu faults)|(system.+state.+changed )|(\[timeout)|(PRM\|1\|D)|(kpr)|(kdp)|(\|lc)|(penalty))"</v>
      </c>
      <c r="AG107" s="1" t="str">
        <f t="shared" si="68"/>
        <v>EC</v>
      </c>
      <c r="AH107" s="86" t="str">
        <f t="shared" si="69"/>
        <v>"%USERPROFILE%\Documents\GitHub\eaglep3\Utilities\RefineRTDCRunTimes.py" --tripid 197-12 --locoid 4020 --swversion DE.1.0.9.0 --startMP 204:449 --initTime 2017-03-12T15:45:46 --startdatetime 2017-03-12T15:47:31 --delay 1 --endMP 204:233340 --enddatetime 2017-03-12T16:27:06 --enforcementcount 0 &gt;&gt;C:\Users\stu\Documents\GitHub\eaglep3-reporting\EC\2017-03-12-refined-times.txt</v>
      </c>
      <c r="AI10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{"issue":{"subject":"","project_id":79,"tracker_id":40,"status_id":1,"priority_id":2,"assigned_to_id":23,"start_date":"2017-03-12","description":"","custom_fields":[{"id":1,"name":"Subdivision","value":"EC"},{"id":4,"name":"Milepost","value":"23.334"},{"id":17,"name":"Train ID","value":"197-12"},{"id":16,"name":"Locomotive ID","value":"4020"},{"id":130,"name":"Impact","value":""},{"id":150,"name":"Time of Event (Mountain Time)","value":"16:27:06"},{"id":151,"name":"Denver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71"/>
        <v>start /low /b %USERPROFILE%\Documents\GitHub\eaglep3\Utilities\DownloadLogsFromS3.py --loco 4020 --day 2017-03-12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611</v>
      </c>
      <c r="B108" s="7">
        <v>4019</v>
      </c>
      <c r="C108" s="21" t="s">
        <v>242</v>
      </c>
      <c r="D108" s="21" t="s">
        <v>540</v>
      </c>
      <c r="E108" s="13">
        <v>42806.694837962961</v>
      </c>
      <c r="F108" s="13">
        <v>42806.696006944447</v>
      </c>
      <c r="G108" s="7">
        <v>1</v>
      </c>
      <c r="H108" s="21" t="s">
        <v>425</v>
      </c>
      <c r="I108" s="13">
        <v>42806.726712962962</v>
      </c>
      <c r="J108" s="7">
        <v>0</v>
      </c>
      <c r="K108" s="98" t="str">
        <f t="shared" si="54"/>
        <v>4019/4020</v>
      </c>
      <c r="L108" s="21" t="str">
        <f>VLOOKUP(A108,'Trips&amp;Operators'!$C$1:$G$99999,5,FALSE)</f>
        <v>NELSON ARIANE</v>
      </c>
      <c r="M108" s="6">
        <f t="shared" si="55"/>
        <v>3.0706018515047617E-2</v>
      </c>
      <c r="N108" s="7">
        <f t="shared" si="56"/>
        <v>44.216666661668569</v>
      </c>
      <c r="O108" s="7"/>
      <c r="P108" s="7"/>
      <c r="Q108" s="22"/>
      <c r="R108" s="22"/>
      <c r="S108" s="31">
        <f t="shared" si="57"/>
        <v>1</v>
      </c>
      <c r="T108" s="46" t="str">
        <f t="shared" si="58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59"/>
        <v>https://d0f6bd738d7f1b3e5a7ca70fe4ff75f0.us-east-1.aws.found.io/app/kibana#/discover/Steve-Slow-Train-Analysis-(2080s-and-2083s)?_g=(refreshInterval:(display:Off,pause:!f,section:0,value:0),time:(from:'2017-03-12T15:40:34-600',mode:absolute,to:'2017-03-12T18:26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187" t="str">
        <f t="shared" si="60"/>
        <v>N</v>
      </c>
      <c r="X108" s="187">
        <f t="shared" si="61"/>
        <v>1</v>
      </c>
      <c r="Y108" s="62">
        <f t="shared" si="62"/>
        <v>23.300999999999998</v>
      </c>
      <c r="Z108" s="62">
        <f t="shared" si="63"/>
        <v>1.6E-2</v>
      </c>
      <c r="AA108" s="62">
        <f t="shared" si="64"/>
        <v>23.285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65"/>
        <v>0198-12</v>
      </c>
      <c r="AE108" s="85" t="str">
        <f t="shared" si="66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108" s="82" t="str">
        <f t="shared" si="67"/>
        <v>"C:\Program Files (x86)\AstroGrep\AstroGrep.exe" /e /r /s /spath="%USERPROFILE%\AppData\Local\Temp\OnboardLogs" /stypes="app*4019*20170312*" /stext=" 23:.+((SYSTEM_STATE.+slice.+state.+changed )|(ment ac)|(multiple cpu faults)|(system.+state.+changed )|(\[timeout)|(PRM\|1\|D)|(kpr)|(kdp)|(\|lc)|(penalty))"</v>
      </c>
      <c r="AG108" s="1" t="str">
        <f t="shared" si="68"/>
        <v>EC</v>
      </c>
      <c r="AH108" s="86" t="str">
        <f t="shared" si="69"/>
        <v>"%USERPROFILE%\Documents\GitHub\eaglep3\Utilities\RefineRTDCRunTimes.py" --tripid 198-12 --locoid 4019 --swversion DE.1.0.9.0 --startMP 204:233010 --initTime 2017-03-12T16:40:34 --startdatetime 2017-03-12T16:42:15 --delay 1 --endMP 204:160 --enddatetime 2017-03-12T17:26:28 --enforcementcount 0 &gt;&gt;C:\Users\stu\Documents\GitHub\eaglep3-reporting\EC\2017-03-12-refined-times.txt</v>
      </c>
      <c r="AI10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{"issue":{"subject":"","project_id":79,"tracker_id":40,"status_id":1,"priority_id":2,"assigned_to_id":23,"start_date":"2017-03-12","description":"","custom_fields":[{"id":1,"name":"Subdivision","value":"EC"},{"id":4,"name":"Milepost","value":"0.016"},{"id":17,"name":"Train ID","value":"198-12"},{"id":16,"name":"Locomotive ID","value":"4019"},{"id":130,"name":"Impact","value":""},{"id":150,"name":"Time of Event (Mountain Time)","value":"17:26:28"},{"id":151,"name":"Denver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71"/>
        <v>start /low /b %USERPROFILE%\Documents\GitHub\eaglep3\Utilities\DownloadLogsFromS3.py --loco 4019 --day 2017-03-12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"%USERPROFILE%\AppData\Local\Temp\OnboardLogs"\RTDC4019\*4019*20170312* | grep -SE "(Enforcement Action)|(\[TIMEOUT)|(CHR.+\|PRM\|1\|D.+(SWITCH|SIGNAL).+UNKNOWN)" - &gt;&gt; 2017-03-12-UncaughtWiMAX.txt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750</v>
      </c>
      <c r="B109" s="7">
        <v>4025</v>
      </c>
      <c r="C109" s="21" t="s">
        <v>242</v>
      </c>
      <c r="D109" s="21" t="s">
        <v>234</v>
      </c>
      <c r="E109" s="13">
        <v>42806.662557870368</v>
      </c>
      <c r="F109" s="13">
        <v>42806.664120370369</v>
      </c>
      <c r="G109" s="7">
        <v>2</v>
      </c>
      <c r="H109" s="21" t="s">
        <v>913</v>
      </c>
      <c r="I109" s="13">
        <v>42806.692511574074</v>
      </c>
      <c r="J109" s="7">
        <v>0</v>
      </c>
      <c r="K109" s="98" t="str">
        <f t="shared" si="54"/>
        <v>4025/4026</v>
      </c>
      <c r="L109" s="21" t="str">
        <f>VLOOKUP(A109,'Trips&amp;Operators'!$C$1:$G$99999,5,FALSE)</f>
        <v>ROMERO CHAD</v>
      </c>
      <c r="M109" s="6">
        <f t="shared" si="55"/>
        <v>2.8391203704813961E-2</v>
      </c>
      <c r="N109" s="7">
        <f t="shared" si="56"/>
        <v>40.883333334932104</v>
      </c>
      <c r="O109" s="7"/>
      <c r="P109" s="7"/>
      <c r="Q109" s="22"/>
      <c r="R109" s="22"/>
      <c r="S109" s="31">
        <f t="shared" si="57"/>
        <v>1</v>
      </c>
      <c r="T109" s="46" t="str">
        <f t="shared" si="58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59"/>
        <v>https://d0f6bd738d7f1b3e5a7ca70fe4ff75f0.us-east-1.aws.found.io/app/kibana#/discover/Steve-Slow-Train-Analysis-(2080s-and-2083s)?_g=(refreshInterval:(display:Off,pause:!f,section:0,value:0),time:(from:'2017-03-12T14:54:05-600',mode:absolute,to:'2017-03-12T17:37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9" s="187" t="str">
        <f t="shared" si="60"/>
        <v>N</v>
      </c>
      <c r="X109" s="187">
        <f t="shared" si="61"/>
        <v>1</v>
      </c>
      <c r="Y109" s="62">
        <f t="shared" si="62"/>
        <v>4.4400000000000002E-2</v>
      </c>
      <c r="Z109" s="62">
        <f t="shared" si="63"/>
        <v>23.341000000000001</v>
      </c>
      <c r="AA109" s="62">
        <f t="shared" si="64"/>
        <v>23.296600000000002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65"/>
        <v>0199-12</v>
      </c>
      <c r="AE109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109" s="82" t="str">
        <f t="shared" si="67"/>
        <v>"C:\Program Files (x86)\AstroGrep\AstroGrep.exe" /e /r /s /spath="%USERPROFILE%\AppData\Local\Temp\OnboardLogs" /stypes="app*4025*20170312*" /stext=" 22:.+((SYSTEM_STATE.+slice.+state.+changed )|(ment ac)|(multiple cpu faults)|(system.+state.+changed )|(\[timeout)|(PRM\|1\|D)|(kpr)|(kdp)|(\|lc)|(penalty))"</v>
      </c>
      <c r="AG109" s="1" t="str">
        <f t="shared" si="68"/>
        <v>EC</v>
      </c>
      <c r="AH109" s="86" t="str">
        <f t="shared" si="69"/>
        <v>"%USERPROFILE%\Documents\GitHub\eaglep3\Utilities\RefineRTDCRunTimes.py" --tripid 199-12 --locoid 4025 --swversion DE.1.0.9.0 --startMP 204:444 --initTime 2017-03-12T15:54:05 --startdatetime 2017-03-12T15:56:20 --delay 2 --endMP 204:233410 --enddatetime 2017-03-12T16:37:13 --enforcementcount 0 &gt;&gt;C:\Users\stu\Documents\GitHub\eaglep3-reporting\EC\2017-03-12-refined-times.txt</v>
      </c>
      <c r="AI109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{"issue":{"subject":"","project_id":79,"tracker_id":40,"status_id":1,"priority_id":2,"assigned_to_id":23,"start_date":"2017-03-12","description":"","custom_fields":[{"id":1,"name":"Subdivision","value":"EC"},{"id":4,"name":"Milepost","value":"23.341"},{"id":17,"name":"Train ID","value":"199-12"},{"id":16,"name":"Locomotive ID","value":"4025"},{"id":130,"name":"Impact","value":""},{"id":150,"name":"Time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71"/>
        <v>start /low /b %USERPROFILE%\Documents\GitHub\eaglep3\Utilities\DownloadLogsFromS3.py --loco 4025 --day 2017-03-12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"%USERPROFILE%\AppData\Local\Temp\OnboardLogs"\RTDC4025\*4025*20170312* | grep -SE "(Enforcement Action)|(\[TIMEOUT)|(CHR.+\|PRM\|1\|D.+(SWITCH|SIGNAL).+UNKNOWN)" - &gt;&gt; 2017-03-12-UncaughtWiMAX.txt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758</v>
      </c>
      <c r="B110" s="7">
        <v>4026</v>
      </c>
      <c r="C110" s="21" t="s">
        <v>242</v>
      </c>
      <c r="D110" s="21" t="s">
        <v>914</v>
      </c>
      <c r="E110" s="13">
        <v>42806.698298611111</v>
      </c>
      <c r="F110" s="13">
        <v>42806.699652777781</v>
      </c>
      <c r="G110" s="7">
        <v>1</v>
      </c>
      <c r="H110" s="21" t="s">
        <v>839</v>
      </c>
      <c r="I110" s="13">
        <v>42806.733877314815</v>
      </c>
      <c r="J110" s="7">
        <v>0</v>
      </c>
      <c r="K110" s="98" t="str">
        <f t="shared" si="54"/>
        <v>4025/4026</v>
      </c>
      <c r="L110" s="21" t="str">
        <f>VLOOKUP(A110,'Trips&amp;Operators'!$C$1:$G$99999,5,FALSE)</f>
        <v>ROMERO CHAD</v>
      </c>
      <c r="M110" s="6">
        <f t="shared" si="55"/>
        <v>3.4224537033878732E-2</v>
      </c>
      <c r="N110" s="7">
        <f t="shared" si="56"/>
        <v>49.283333328785375</v>
      </c>
      <c r="O110" s="7"/>
      <c r="P110" s="7"/>
      <c r="Q110" s="22"/>
      <c r="R110" s="22"/>
      <c r="S110" s="31">
        <f t="shared" si="57"/>
        <v>1</v>
      </c>
      <c r="T110" s="46" t="str">
        <f t="shared" si="58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59"/>
        <v>https://d0f6bd738d7f1b3e5a7ca70fe4ff75f0.us-east-1.aws.found.io/app/kibana#/discover/Steve-Slow-Train-Analysis-(2080s-and-2083s)?_g=(refreshInterval:(display:Off,pause:!f,section:0,value:0),time:(from:'2017-03-12T15:45:33-600',mode:absolute,to:'2017-03-12T18:36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0" s="187" t="str">
        <f t="shared" si="60"/>
        <v>N</v>
      </c>
      <c r="X110" s="187">
        <f t="shared" si="61"/>
        <v>1</v>
      </c>
      <c r="Y110" s="62">
        <f t="shared" si="62"/>
        <v>23.311499999999999</v>
      </c>
      <c r="Z110" s="62">
        <f t="shared" si="63"/>
        <v>1.6299999999999999E-2</v>
      </c>
      <c r="AA110" s="62">
        <f t="shared" si="64"/>
        <v>23.295199999999998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5"/>
        <v>0200-12</v>
      </c>
      <c r="AE110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10" s="82" t="str">
        <f t="shared" si="67"/>
        <v>"C:\Program Files (x86)\AstroGrep\AstroGrep.exe" /e /r /s /spath="%USERPROFILE%\AppData\Local\Temp\OnboardLogs" /stypes="app*4026*20170312*" /stext=" 23:.+((SYSTEM_STATE.+slice.+state.+changed )|(ment ac)|(multiple cpu faults)|(system.+state.+changed )|(\[timeout)|(PRM\|1\|D)|(kpr)|(kdp)|(\|lc)|(penalty))"</v>
      </c>
      <c r="AG110" s="1" t="str">
        <f t="shared" si="68"/>
        <v>EC</v>
      </c>
      <c r="AH110" s="86" t="str">
        <f t="shared" si="69"/>
        <v>"%USERPROFILE%\Documents\GitHub\eaglep3\Utilities\RefineRTDCRunTimes.py" --tripid 200-12 --locoid 4026 --swversion DE.1.0.9.0 --startMP 204:233115 --initTime 2017-03-12T16:45:33 --startdatetime 2017-03-12T16:47:30 --delay 1 --endMP 204:163 --enddatetime 2017-03-12T17:36:47 --enforcementcount 0 &gt;&gt;C:\Users\stu\Documents\GitHub\eaglep3-reporting\EC\2017-03-12-refined-times.txt</v>
      </c>
      <c r="AI11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{"issue":{"subject":"","project_id":79,"tracker_id":40,"status_id":1,"priority_id":2,"assigned_to_id":23,"start_date":"2017-03-12","description":"","custom_fields":[{"id":1,"name":"Subdivision","value":"EC"},{"id":4,"name":"Milepost","value":"0.0163"},{"id":17,"name":"Train ID","value":"200-12"},{"id":16,"name":"Locomotive ID","value":"4026"},{"id":130,"name":"Impact","value":""},{"id":150,"name":"Time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71"/>
        <v>start /low /b %USERPROFILE%\Documents\GitHub\eaglep3\Utilities\DownloadLogsFromS3.py --loco 4026 --day 2017-03-12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752</v>
      </c>
      <c r="B111" s="7">
        <v>4018</v>
      </c>
      <c r="C111" s="21" t="s">
        <v>242</v>
      </c>
      <c r="D111" s="21" t="s">
        <v>217</v>
      </c>
      <c r="E111" s="13">
        <v>42806.675509259258</v>
      </c>
      <c r="F111" s="13">
        <v>42806.676458333335</v>
      </c>
      <c r="G111" s="7">
        <v>1</v>
      </c>
      <c r="H111" s="21" t="s">
        <v>915</v>
      </c>
      <c r="I111" s="13">
        <v>42806.702881944446</v>
      </c>
      <c r="J111" s="7">
        <v>0</v>
      </c>
      <c r="K111" s="98" t="str">
        <f t="shared" si="54"/>
        <v>4017/4018</v>
      </c>
      <c r="L111" s="21" t="str">
        <f>VLOOKUP(A111,'Trips&amp;Operators'!$C$1:$G$99999,5,FALSE)</f>
        <v>LALONDE GREGORY</v>
      </c>
      <c r="M111" s="6">
        <f t="shared" si="55"/>
        <v>2.6423611110658385E-2</v>
      </c>
      <c r="N111" s="7">
        <f t="shared" si="56"/>
        <v>38.049999999348074</v>
      </c>
      <c r="O111" s="7"/>
      <c r="P111" s="7"/>
      <c r="Q111" s="22"/>
      <c r="R111" s="22"/>
      <c r="S111" s="31">
        <f t="shared" si="57"/>
        <v>1</v>
      </c>
      <c r="T111" s="46" t="str">
        <f t="shared" si="58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59"/>
        <v>https://d0f6bd738d7f1b3e5a7ca70fe4ff75f0.us-east-1.aws.found.io/app/kibana#/discover/Steve-Slow-Train-Analysis-(2080s-and-2083s)?_g=(refreshInterval:(display:Off,pause:!f,section:0,value:0),time:(from:'2017-03-12T15:12:44-600',mode:absolute,to:'2017-03-12T17:52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87" t="str">
        <f t="shared" si="60"/>
        <v>N</v>
      </c>
      <c r="X111" s="187">
        <f t="shared" si="61"/>
        <v>1</v>
      </c>
      <c r="Y111" s="62">
        <f t="shared" si="62"/>
        <v>4.5699999999999998E-2</v>
      </c>
      <c r="Z111" s="62">
        <f t="shared" si="63"/>
        <v>23.341899999999999</v>
      </c>
      <c r="AA111" s="62">
        <f t="shared" si="64"/>
        <v>23.296199999999999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5"/>
        <v>0201-12</v>
      </c>
      <c r="AE111" s="85" t="str">
        <f t="shared" si="66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111" s="82" t="str">
        <f t="shared" si="67"/>
        <v>"C:\Program Files (x86)\AstroGrep\AstroGrep.exe" /e /r /s /spath="%USERPROFILE%\AppData\Local\Temp\OnboardLogs" /stypes="app*4018*20170312*" /stext=" 22:.+((SYSTEM_STATE.+slice.+state.+changed )|(ment ac)|(multiple cpu faults)|(system.+state.+changed )|(\[timeout)|(PRM\|1\|D)|(kpr)|(kdp)|(\|lc)|(penalty))"</v>
      </c>
      <c r="AG111" s="1" t="str">
        <f t="shared" si="68"/>
        <v>EC</v>
      </c>
      <c r="AH111" s="86" t="str">
        <f t="shared" si="69"/>
        <v>"%USERPROFILE%\Documents\GitHub\eaglep3\Utilities\RefineRTDCRunTimes.py" --tripid 201-12 --locoid 4018 --swversion DE.1.0.9.0 --startMP 204:457 --initTime 2017-03-12T16:12:44 --startdatetime 2017-03-12T16:14:06 --delay 1 --endMP 204:233419 --enddatetime 2017-03-12T16:52:09 --enforcementcount 0 &gt;&gt;C:\Users\stu\Documents\GitHub\eaglep3-reporting\EC\2017-03-12-refined-times.txt</v>
      </c>
      <c r="AI11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{"issue":{"subject":"","project_id":79,"tracker_id":40,"status_id":1,"priority_id":2,"assigned_to_id":23,"start_date":"2017-03-12","description":"","custom_fields":[{"id":1,"name":"Subdivision","value":"EC"},{"id":4,"name":"Milepost","value":"23.3419"},{"id":17,"name":"Train ID","value":"201-12"},{"id":16,"name":"Locomotive ID","value":"4018"},{"id":130,"name":"Impact","value":""},{"id":150,"name":"Time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71"/>
        <v>start /low /b %USERPROFILE%\Documents\GitHub\eaglep3\Utilities\DownloadLogsFromS3.py --loco 4018 --day 2017-03-12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"%USERPROFILE%\AppData\Local\Temp\OnboardLogs"\RTDC4018\*4018*20170312* | grep -SE "(Enforcement Action)|(\[TIMEOUT)|(CHR.+\|PRM\|1\|D.+(SWITCH|SIGNAL).+UNKNOWN)" - &gt;&gt; 2017-03-12-UncaughtWiMAX.txt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760</v>
      </c>
      <c r="B112" s="7">
        <v>4017</v>
      </c>
      <c r="C112" s="21" t="s">
        <v>242</v>
      </c>
      <c r="D112" s="21" t="s">
        <v>916</v>
      </c>
      <c r="E112" s="13">
        <v>42806.706076388888</v>
      </c>
      <c r="F112" s="13">
        <v>42806.707141203704</v>
      </c>
      <c r="G112" s="7">
        <v>1</v>
      </c>
      <c r="H112" s="21" t="s">
        <v>228</v>
      </c>
      <c r="I112" s="13">
        <v>42806.742708333331</v>
      </c>
      <c r="J112" s="7">
        <v>0</v>
      </c>
      <c r="K112" s="98" t="str">
        <f t="shared" si="54"/>
        <v>4017/4018</v>
      </c>
      <c r="L112" s="21" t="str">
        <f>VLOOKUP(A112,'Trips&amp;Operators'!$C$1:$G$99999,5,FALSE)</f>
        <v>LALONDE GREGORY</v>
      </c>
      <c r="M112" s="6">
        <f t="shared" si="55"/>
        <v>3.5567129627452232E-2</v>
      </c>
      <c r="N112" s="7">
        <f t="shared" si="56"/>
        <v>51.216666663531214</v>
      </c>
      <c r="O112" s="7"/>
      <c r="P112" s="7"/>
      <c r="Q112" s="22"/>
      <c r="R112" s="22"/>
      <c r="S112" s="31">
        <f t="shared" si="57"/>
        <v>1</v>
      </c>
      <c r="T112" s="46" t="str">
        <f t="shared" si="58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59"/>
        <v>https://d0f6bd738d7f1b3e5a7ca70fe4ff75f0.us-east-1.aws.found.io/app/kibana#/discover/Steve-Slow-Train-Analysis-(2080s-and-2083s)?_g=(refreshInterval:(display:Off,pause:!f,section:0,value:0),time:(from:'2017-03-12T15:56:45-600',mode:absolute,to:'2017-03-12T18:49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87" t="str">
        <f t="shared" si="60"/>
        <v>N</v>
      </c>
      <c r="X112" s="187">
        <f t="shared" si="61"/>
        <v>1</v>
      </c>
      <c r="Y112" s="62">
        <f t="shared" si="62"/>
        <v>23.311699999999998</v>
      </c>
      <c r="Z112" s="62">
        <f t="shared" si="63"/>
        <v>1.3899999999999999E-2</v>
      </c>
      <c r="AA112" s="62">
        <f t="shared" si="64"/>
        <v>23.297799999999999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5"/>
        <v>0202-12</v>
      </c>
      <c r="AE112" s="85" t="str">
        <f t="shared" si="66"/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AF112" s="82" t="str">
        <f t="shared" si="67"/>
        <v>"C:\Program Files (x86)\AstroGrep\AstroGrep.exe" /e /r /s /spath="%USERPROFILE%\AppData\Local\Temp\OnboardLogs" /stypes="app*4017*20170312*" /stext=" 23:.+((SYSTEM_STATE.+slice.+state.+changed )|(ment ac)|(multiple cpu faults)|(system.+state.+changed )|(\[timeout)|(PRM\|1\|D)|(kpr)|(kdp)|(\|lc)|(penalty))"</v>
      </c>
      <c r="AG112" s="1" t="str">
        <f t="shared" si="68"/>
        <v>EC</v>
      </c>
      <c r="AH112" s="86" t="str">
        <f t="shared" si="69"/>
        <v>"%USERPROFILE%\Documents\GitHub\eaglep3\Utilities\RefineRTDCRunTimes.py" --tripid 202-12 --locoid 4017 --swversion DE.1.0.9.0 --startMP 204:233117 --initTime 2017-03-12T16:56:45 --startdatetime 2017-03-12T16:58:17 --delay 1 --endMP 204:139 --enddatetime 2017-03-12T17:49:30 --enforcementcount 0 &gt;&gt;C:\Users\stu\Documents\GitHub\eaglep3-reporting\EC\2017-03-12-refined-times.txt</v>
      </c>
      <c r="AI11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{"issue":{"subject":"","project_id":79,"tracker_id":40,"status_id":1,"priority_id":2,"assigned_to_id":23,"start_date":"2017-03-12","description":"","custom_fields":[{"id":1,"name":"Subdivision","value":"EC"},{"id":4,"name":"Milepost","value":"0.0139"},{"id":17,"name":"Train ID","value":"202-12"},{"id":16,"name":"Locomotive ID","value":"4017"},{"id":130,"name":"Impact","value":""},{"id":150,"name":"Time of Event (Mountain Time)","value":"17:49:30"},{"id":151,"name":"Denver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71"/>
        <v>start /low /b %USERPROFILE%\Documents\GitHub\eaglep3\Utilities\DownloadLogsFromS3.py --loco 4017 --day 2017-03-12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"%USERPROFILE%\AppData\Local\Temp\OnboardLogs"\RTDC4017\*4017*20170312* | grep -SE "(Enforcement Action)|(\[TIMEOUT)|(CHR.+\|PRM\|1\|D.+(SWITCH|SIGNAL).+UNKNOWN)" - &gt;&gt; 2017-03-12-UncaughtWiMAX.txt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755</v>
      </c>
      <c r="B113" s="7">
        <v>4042</v>
      </c>
      <c r="C113" s="21" t="s">
        <v>242</v>
      </c>
      <c r="D113" s="21" t="s">
        <v>262</v>
      </c>
      <c r="E113" s="13">
        <v>42806.684340277781</v>
      </c>
      <c r="F113" s="13">
        <v>42806.685624999998</v>
      </c>
      <c r="G113" s="7">
        <v>1</v>
      </c>
      <c r="H113" s="21" t="s">
        <v>281</v>
      </c>
      <c r="I113" s="13">
        <v>42806.716053240743</v>
      </c>
      <c r="J113" s="7">
        <v>0</v>
      </c>
      <c r="K113" s="98" t="str">
        <f t="shared" si="54"/>
        <v>4041/4042</v>
      </c>
      <c r="L113" s="21" t="str">
        <f>VLOOKUP(A113,'Trips&amp;Operators'!$C$1:$G$99999,5,FALSE)</f>
        <v>DAVIS MICHAEL</v>
      </c>
      <c r="M113" s="6">
        <f t="shared" si="55"/>
        <v>3.0428240745095536E-2</v>
      </c>
      <c r="N113" s="7">
        <f t="shared" si="56"/>
        <v>43.816666672937572</v>
      </c>
      <c r="O113" s="7"/>
      <c r="P113" s="7"/>
      <c r="Q113" s="22"/>
      <c r="R113" s="22"/>
      <c r="S113" s="31">
        <f t="shared" si="57"/>
        <v>1</v>
      </c>
      <c r="T113" s="46" t="str">
        <f t="shared" si="58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59"/>
        <v>https://d0f6bd738d7f1b3e5a7ca70fe4ff75f0.us-east-1.aws.found.io/app/kibana#/discover/Steve-Slow-Train-Analysis-(2080s-and-2083s)?_g=(refreshInterval:(display:Off,pause:!f,section:0,value:0),time:(from:'2017-03-12T15:25:27-600',mode:absolute,to:'2017-03-12T18:11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87" t="str">
        <f t="shared" si="60"/>
        <v>N</v>
      </c>
      <c r="X113" s="187">
        <f t="shared" si="61"/>
        <v>1</v>
      </c>
      <c r="Y113" s="62">
        <f t="shared" si="62"/>
        <v>4.7300000000000002E-2</v>
      </c>
      <c r="Z113" s="62">
        <f t="shared" si="63"/>
        <v>23.330300000000001</v>
      </c>
      <c r="AA113" s="62">
        <f t="shared" si="64"/>
        <v>23.283000000000001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5"/>
        <v>0203-12</v>
      </c>
      <c r="AE113" s="85" t="str">
        <f t="shared" si="66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113" s="82" t="str">
        <f t="shared" si="67"/>
        <v>"C:\Program Files (x86)\AstroGrep\AstroGrep.exe" /e /r /s /spath="%USERPROFILE%\AppData\Local\Temp\OnboardLogs" /stypes="app*4042*20170312*" /stext=" 23:.+((SYSTEM_STATE.+slice.+state.+changed )|(ment ac)|(multiple cpu faults)|(system.+state.+changed )|(\[timeout)|(PRM\|1\|D)|(kpr)|(kdp)|(\|lc)|(penalty))"</v>
      </c>
      <c r="AG113" s="1" t="str">
        <f t="shared" si="68"/>
        <v>EC</v>
      </c>
      <c r="AH113" s="86" t="str">
        <f t="shared" si="69"/>
        <v>"%USERPROFILE%\Documents\GitHub\eaglep3\Utilities\RefineRTDCRunTimes.py" --tripid 203-12 --locoid 4042 --swversion DE.1.0.9.0 --startMP 204:473 --initTime 2017-03-12T16:25:27 --startdatetime 2017-03-12T16:27:18 --delay 1 --endMP 204:233303 --enddatetime 2017-03-12T17:11:07 --enforcementcount 0 &gt;&gt;C:\Users\stu\Documents\GitHub\eaglep3-reporting\EC\2017-03-12-refined-times.txt</v>
      </c>
      <c r="AI11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{"issue":{"subject":"","project_id":79,"tracker_id":40,"status_id":1,"priority_id":2,"assigned_to_id":23,"start_date":"2017-03-12","description":"","custom_fields":[{"id":1,"name":"Subdivision","value":"EC"},{"id":4,"name":"Milepost","value":"23.3303"},{"id":17,"name":"Train ID","value":"203-12"},{"id":16,"name":"Locomotive ID","value":"4042"},{"id":130,"name":"Impact","value":""},{"id":150,"name":"Time of Event (Mountain Time)","value":"17:11:07"},{"id":151,"name":"Denver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71"/>
        <v>start /low /b %USERPROFILE%\Documents\GitHub\eaglep3\Utilities\DownloadLogsFromS3.py --loco 4042 --day 2017-03-12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"%USERPROFILE%\AppData\Local\Temp\OnboardLogs"\RTDC4042\*4042*20170312* | grep -SE "(Enforcement Action)|(\[TIMEOUT)|(CHR.+\|PRM\|1\|D.+(SWITCH|SIGNAL).+UNKNOWN)" - &gt;&gt; 2017-03-12-UncaughtWiMAX.txt</v>
      </c>
    </row>
    <row r="114" spans="1:91" s="20" customFormat="1" x14ac:dyDescent="0.25">
      <c r="A114" s="33" t="s">
        <v>764</v>
      </c>
      <c r="B114" s="7">
        <v>4041</v>
      </c>
      <c r="C114" s="21" t="s">
        <v>242</v>
      </c>
      <c r="D114" s="21" t="s">
        <v>417</v>
      </c>
      <c r="E114" s="13">
        <v>42806.723321759258</v>
      </c>
      <c r="F114" s="13">
        <v>42806.724444444444</v>
      </c>
      <c r="G114" s="7">
        <v>1</v>
      </c>
      <c r="H114" s="21" t="s">
        <v>269</v>
      </c>
      <c r="I114" s="13">
        <v>42806.756365740737</v>
      </c>
      <c r="J114" s="7">
        <v>0</v>
      </c>
      <c r="K114" s="98" t="str">
        <f t="shared" si="54"/>
        <v>4041/4042</v>
      </c>
      <c r="L114" s="21" t="str">
        <f>VLOOKUP(A114,'Trips&amp;Operators'!$C$1:$G$99999,5,FALSE)</f>
        <v>DAVIS MICHAEL</v>
      </c>
      <c r="M114" s="6">
        <f t="shared" si="55"/>
        <v>3.1921296293148771E-2</v>
      </c>
      <c r="N114" s="7">
        <f t="shared" si="56"/>
        <v>45.96666666213423</v>
      </c>
      <c r="O114" s="7"/>
      <c r="P114" s="7"/>
      <c r="Q114" s="22"/>
      <c r="R114" s="22"/>
      <c r="S114" s="31">
        <f t="shared" si="57"/>
        <v>1</v>
      </c>
      <c r="T114" s="46" t="str">
        <f t="shared" si="58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59"/>
        <v>https://d0f6bd738d7f1b3e5a7ca70fe4ff75f0.us-east-1.aws.found.io/app/kibana#/discover/Steve-Slow-Train-Analysis-(2080s-and-2083s)?_g=(refreshInterval:(display:Off,pause:!f,section:0,value:0),time:(from:'2017-03-12T16:21:35-600',mode:absolute,to:'2017-03-12T19:09:10-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87" t="str">
        <f t="shared" si="60"/>
        <v>N</v>
      </c>
      <c r="X114" s="187">
        <f t="shared" si="61"/>
        <v>1</v>
      </c>
      <c r="Y114" s="62">
        <f t="shared" si="62"/>
        <v>23.298200000000001</v>
      </c>
      <c r="Z114" s="62">
        <f t="shared" si="63"/>
        <v>1.61E-2</v>
      </c>
      <c r="AA114" s="62">
        <f t="shared" si="64"/>
        <v>23.2821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5"/>
        <v>0204-12</v>
      </c>
      <c r="AE114" s="85" t="str">
        <f t="shared" si="66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14" s="82" t="str">
        <f t="shared" si="67"/>
        <v>"C:\Program Files (x86)\AstroGrep\AstroGrep.exe" /e /r /s /spath="%USERPROFILE%\AppData\Local\Temp\OnboardLogs" /stypes="app*4041*20170313*" /stext=" 00:.+((SYSTEM_STATE.+slice.+state.+changed )|(ment ac)|(multiple cpu faults)|(system.+state.+changed )|(\[timeout)|(PRM\|1\|D)|(kpr)|(kdp)|(\|lc)|(penalty))"</v>
      </c>
      <c r="AG114" s="1" t="str">
        <f t="shared" si="68"/>
        <v>EC</v>
      </c>
      <c r="AH114" s="86" t="str">
        <f t="shared" si="69"/>
        <v>"%USERPROFILE%\Documents\GitHub\eaglep3\Utilities\RefineRTDCRunTimes.py" --tripid 204-12 --locoid 4041 --swversion DE.1.0.9.0 --startMP 204:232982 --initTime 2017-03-12T17:21:35 --startdatetime 2017-03-12T17:23:12 --delay 1 --endMP 204:161 --enddatetime 2017-03-12T18:09:10 --enforcementcount 0 &gt;&gt;C:\Users\stu\Documents\GitHub\eaglep3-reporting\EC\2017-03-12-refined-times.txt</v>
      </c>
      <c r="AI11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{"issue":{"subject":"","project_id":79,"tracker_id":40,"status_id":1,"priority_id":2,"assigned_to_id":23,"start_date":"2017-03-12","description":"","custom_fields":[{"id":1,"name":"Subdivision","value":"EC"},{"id":4,"name":"Milepost","value":"0.0161"},{"id":17,"name":"Train ID","value":"204-12"},{"id":16,"name":"Locomotive ID","value":"4041"},{"id":130,"name":"Impact","value":""},{"id":150,"name":"Time of Event (Mountain Time)","value":"18:09:10"},{"id":151,"name":"Denver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71"/>
        <v>start /low /b %USERPROFILE%\Documents\GitHub\eaglep3\Utilities\DownloadLogsFromS3.py --loco 4041 --day 2017-03-12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"%USERPROFILE%\AppData\Local\Temp\OnboardLogs"\RTDC4041\*4041*20170312* | grep -SE "(Enforcement Action)|(\[TIMEOUT)|(CHR.+\|PRM\|1\|D.+(SWITCH|SIGNAL).+UNKNOWN)" - &gt;&gt; 2017-03-12-UncaughtWiMAX.txt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757</v>
      </c>
      <c r="B115" s="7">
        <v>4027</v>
      </c>
      <c r="C115" s="21" t="s">
        <v>242</v>
      </c>
      <c r="D115" s="21" t="s">
        <v>227</v>
      </c>
      <c r="E115" s="13">
        <v>42806.694814814815</v>
      </c>
      <c r="F115" s="13">
        <v>42806.695509259262</v>
      </c>
      <c r="G115" s="7">
        <v>0</v>
      </c>
      <c r="H115" s="21" t="s">
        <v>917</v>
      </c>
      <c r="I115" s="13">
        <v>42806.723368055558</v>
      </c>
      <c r="J115" s="7">
        <v>0</v>
      </c>
      <c r="K115" s="98" t="str">
        <f t="shared" si="54"/>
        <v>4027/4028</v>
      </c>
      <c r="L115" s="21" t="str">
        <f>VLOOKUP(A115,'Trips&amp;Operators'!$C$1:$G$99999,5,FALSE)</f>
        <v>LEVIN SCOTT</v>
      </c>
      <c r="M115" s="6">
        <f t="shared" si="55"/>
        <v>2.7858796296641231E-2</v>
      </c>
      <c r="N115" s="7">
        <f t="shared" si="56"/>
        <v>40.116666667163372</v>
      </c>
      <c r="O115" s="7"/>
      <c r="P115" s="7"/>
      <c r="Q115" s="22"/>
      <c r="R115" s="22"/>
      <c r="S115" s="31">
        <f t="shared" si="57"/>
        <v>1</v>
      </c>
      <c r="T115" s="46" t="str">
        <f t="shared" si="58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59"/>
        <v>https://d0f6bd738d7f1b3e5a7ca70fe4ff75f0.us-east-1.aws.found.io/app/kibana#/discover/Steve-Slow-Train-Analysis-(2080s-and-2083s)?_g=(refreshInterval:(display:Off,pause:!f,section:0,value:0),time:(from:'2017-03-12T15:40:32-600',mode:absolute,to:'2017-03-12T18:21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187" t="str">
        <f t="shared" si="60"/>
        <v>N</v>
      </c>
      <c r="X115" s="187">
        <f t="shared" si="61"/>
        <v>1</v>
      </c>
      <c r="Y115" s="62">
        <f t="shared" si="62"/>
        <v>4.5499999999999999E-2</v>
      </c>
      <c r="Z115" s="62">
        <f t="shared" si="63"/>
        <v>23.3338</v>
      </c>
      <c r="AA115" s="62">
        <f t="shared" si="64"/>
        <v>23.2883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5"/>
        <v>0205-12</v>
      </c>
      <c r="AE115" s="85" t="str">
        <f t="shared" si="66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15" s="82" t="str">
        <f t="shared" si="67"/>
        <v>"C:\Program Files (x86)\AstroGrep\AstroGrep.exe" /e /r /s /spath="%USERPROFILE%\AppData\Local\Temp\OnboardLogs" /stypes="app*4027*20170312*" /stext=" 23:.+((SYSTEM_STATE.+slice.+state.+changed )|(ment ac)|(multiple cpu faults)|(system.+state.+changed )|(\[timeout)|(PRM\|1\|D)|(kpr)|(kdp)|(\|lc)|(penalty))"</v>
      </c>
      <c r="AG115" s="1" t="str">
        <f t="shared" si="68"/>
        <v>EC</v>
      </c>
      <c r="AH115" s="86" t="str">
        <f t="shared" si="69"/>
        <v>"%USERPROFILE%\Documents\GitHub\eaglep3\Utilities\RefineRTDCRunTimes.py" --tripid 205-12 --locoid 4027 --swversion DE.1.0.9.0 --startMP 204:455 --initTime 2017-03-12T16:40:32 --startdatetime 2017-03-12T16:41:32 --delay 0 --endMP 204:233338 --enddatetime 2017-03-12T17:21:39 --enforcementcount 0 &gt;&gt;C:\Users\stu\Documents\GitHub\eaglep3-reporting\EC\2017-03-12-refined-times.txt</v>
      </c>
      <c r="AI11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{"issue":{"subject":"","project_id":79,"tracker_id":40,"status_id":1,"priority_id":2,"assigned_to_id":23,"start_date":"2017-03-12","description":"","custom_fields":[{"id":1,"name":"Subdivision","value":"EC"},{"id":4,"name":"Milepost","value":"23.3338"},{"id":17,"name":"Train ID","value":"205-12"},{"id":16,"name":"Locomotive ID","value":"4027"},{"id":130,"name":"Impact","value":""},{"id":150,"name":"Time of Event (Mountain Time)","value":"17:21:39"},{"id":151,"name":"Denver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71"/>
        <v>start /low /b %USERPROFILE%\Documents\GitHub\eaglep3\Utilities\DownloadLogsFromS3.py --loco 4027 --day 2017-03-12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"%USERPROFILE%\AppData\Local\Temp\OnboardLogs"\RTDC4027\*4027*20170312* | grep -SE "(Enforcement Action)|(\[TIMEOUT)|(CHR.+\|PRM\|1\|D.+(SWITCH|SIGNAL).+UNKNOWN)" - &gt;&gt; 2017-03-12-UncaughtWiMAX.txt</v>
      </c>
    </row>
    <row r="116" spans="1:91" s="20" customFormat="1" x14ac:dyDescent="0.25">
      <c r="A116" s="33" t="s">
        <v>766</v>
      </c>
      <c r="B116" s="7">
        <v>4028</v>
      </c>
      <c r="C116" s="21" t="s">
        <v>242</v>
      </c>
      <c r="D116" s="21" t="s">
        <v>918</v>
      </c>
      <c r="E116" s="13">
        <v>42806.733136574076</v>
      </c>
      <c r="F116" s="13">
        <v>42806.734039351853</v>
      </c>
      <c r="G116" s="7">
        <v>1</v>
      </c>
      <c r="H116" s="21" t="s">
        <v>833</v>
      </c>
      <c r="I116" s="13">
        <v>42806.764687499999</v>
      </c>
      <c r="J116" s="7">
        <v>0</v>
      </c>
      <c r="K116" s="98" t="str">
        <f t="shared" si="54"/>
        <v>4027/4028</v>
      </c>
      <c r="L116" s="21" t="str">
        <f>VLOOKUP(A116,'Trips&amp;Operators'!$C$1:$G$99999,5,FALSE)</f>
        <v>LEVIN SCOTT</v>
      </c>
      <c r="M116" s="6">
        <f t="shared" si="55"/>
        <v>3.0648148145701271E-2</v>
      </c>
      <c r="N116" s="7">
        <f t="shared" si="56"/>
        <v>44.13333332980983</v>
      </c>
      <c r="O116" s="7"/>
      <c r="P116" s="7"/>
      <c r="Q116" s="22"/>
      <c r="R116" s="22"/>
      <c r="S116" s="31">
        <f t="shared" si="57"/>
        <v>1</v>
      </c>
      <c r="T116" s="46" t="str">
        <f t="shared" si="58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59"/>
        <v>https://d0f6bd738d7f1b3e5a7ca70fe4ff75f0.us-east-1.aws.found.io/app/kibana#/discover/Steve-Slow-Train-Analysis-(2080s-and-2083s)?_g=(refreshInterval:(display:Off,pause:!f,section:0,value:0),time:(from:'2017-03-12T16:35:43-600',mode:absolute,to:'2017-03-12T19:21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187" t="str">
        <f t="shared" si="60"/>
        <v>N</v>
      </c>
      <c r="X116" s="187">
        <f t="shared" si="61"/>
        <v>1</v>
      </c>
      <c r="Y116" s="62">
        <f t="shared" si="62"/>
        <v>23.3049</v>
      </c>
      <c r="Z116" s="62">
        <f t="shared" si="63"/>
        <v>1.2699999999999999E-2</v>
      </c>
      <c r="AA116" s="62">
        <f t="shared" si="64"/>
        <v>23.292200000000001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5"/>
        <v>0206-12</v>
      </c>
      <c r="AE116" s="85" t="str">
        <f t="shared" si="66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116" s="82" t="str">
        <f t="shared" si="67"/>
        <v>"C:\Program Files (x86)\AstroGrep\AstroGrep.exe" /e /r /s /spath="%USERPROFILE%\AppData\Local\Temp\OnboardLogs" /stypes="app*4028*20170313*" /stext=" 00:.+((SYSTEM_STATE.+slice.+state.+changed )|(ment ac)|(multiple cpu faults)|(system.+state.+changed )|(\[timeout)|(PRM\|1\|D)|(kpr)|(kdp)|(\|lc)|(penalty))"</v>
      </c>
      <c r="AG116" s="1" t="str">
        <f t="shared" si="68"/>
        <v>EC</v>
      </c>
      <c r="AH116" s="86" t="str">
        <f t="shared" si="69"/>
        <v>"%USERPROFILE%\Documents\GitHub\eaglep3\Utilities\RefineRTDCRunTimes.py" --tripid 206-12 --locoid 4028 --swversion DE.1.0.9.0 --startMP 204:233049 --initTime 2017-03-12T17:35:43 --startdatetime 2017-03-12T17:37:01 --delay 1 --endMP 204:127 --enddatetime 2017-03-12T18:21:09 --enforcementcount 0 &gt;&gt;C:\Users\stu\Documents\GitHub\eaglep3-reporting\EC\2017-03-12-refined-times.txt</v>
      </c>
      <c r="AI11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{"issue":{"subject":"","project_id":79,"tracker_id":40,"status_id":1,"priority_id":2,"assigned_to_id":23,"start_date":"2017-03-12","description":"","custom_fields":[{"id":1,"name":"Subdivision","value":"EC"},{"id":4,"name":"Milepost","value":"0.0127"},{"id":17,"name":"Train ID","value":"206-12"},{"id":16,"name":"Locomotive ID","value":"4028"},{"id":130,"name":"Impact","value":""},{"id":150,"name":"Time of Event (Mountain Time)","value":"18:21:09"},{"id":151,"name":"Denver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71"/>
        <v>start /low /b %USERPROFILE%\Documents\GitHub\eaglep3\Utilities\DownloadLogsFromS3.py --loco 4028 --day 2017-03-12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"%USERPROFILE%\AppData\Local\Temp\OnboardLogs"\RTDC4028\*4028*20170312* | grep -SE "(Enforcement Action)|(\[TIMEOUT)|(CHR.+\|PRM\|1\|D.+(SWITCH|SIGNAL).+UNKNOWN)" - &gt;&gt; 2017-03-12-UncaughtWiMAX.txt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759</v>
      </c>
      <c r="B117" s="7">
        <v>4053</v>
      </c>
      <c r="C117" s="21" t="s">
        <v>242</v>
      </c>
      <c r="D117" s="21" t="s">
        <v>546</v>
      </c>
      <c r="E117" s="13">
        <v>42806.705717592595</v>
      </c>
      <c r="F117" s="13">
        <v>42806.706782407404</v>
      </c>
      <c r="G117" s="7">
        <v>1</v>
      </c>
      <c r="H117" s="21" t="s">
        <v>919</v>
      </c>
      <c r="I117" s="13">
        <v>42806.734780092593</v>
      </c>
      <c r="J117" s="7">
        <v>0</v>
      </c>
      <c r="K117" s="98" t="str">
        <f t="shared" si="54"/>
        <v>4053/4054</v>
      </c>
      <c r="L117" s="21" t="str">
        <f>VLOOKUP(A117,'Trips&amp;Operators'!$C$1:$G$99999,5,FALSE)</f>
        <v>BRUDER RICHARD</v>
      </c>
      <c r="M117" s="6">
        <f t="shared" si="55"/>
        <v>2.7997685188893229E-2</v>
      </c>
      <c r="N117" s="7">
        <f t="shared" si="56"/>
        <v>40.316666672006249</v>
      </c>
      <c r="O117" s="7"/>
      <c r="P117" s="7"/>
      <c r="Q117" s="22"/>
      <c r="R117" s="22"/>
      <c r="S117" s="31">
        <f t="shared" si="57"/>
        <v>1</v>
      </c>
      <c r="T117" s="46" t="str">
        <f t="shared" si="58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59"/>
        <v>https://d0f6bd738d7f1b3e5a7ca70fe4ff75f0.us-east-1.aws.found.io/app/kibana#/discover/Steve-Slow-Train-Analysis-(2080s-and-2083s)?_g=(refreshInterval:(display:Off,pause:!f,section:0,value:0),time:(from:'2017-03-12T15:56:14-600',mode:absolute,to:'2017-03-12T18:38:05-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87" t="str">
        <f t="shared" si="60"/>
        <v>N</v>
      </c>
      <c r="X117" s="187">
        <f t="shared" si="61"/>
        <v>1</v>
      </c>
      <c r="Y117" s="62">
        <f t="shared" si="62"/>
        <v>4.8000000000000001E-2</v>
      </c>
      <c r="Z117" s="62">
        <f t="shared" si="63"/>
        <v>23.328199999999999</v>
      </c>
      <c r="AA117" s="62">
        <f t="shared" si="64"/>
        <v>23.280200000000001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5"/>
        <v>0207-12</v>
      </c>
      <c r="AE117" s="85" t="str">
        <f t="shared" si="66"/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AF117" s="82" t="str">
        <f t="shared" si="67"/>
        <v>"C:\Program Files (x86)\AstroGrep\AstroGrep.exe" /e /r /s /spath="%USERPROFILE%\AppData\Local\Temp\OnboardLogs" /stypes="app*4053*20170312*" /stext=" 23:.+((SYSTEM_STATE.+slice.+state.+changed )|(ment ac)|(multiple cpu faults)|(system.+state.+changed )|(\[timeout)|(PRM\|1\|D)|(kpr)|(kdp)|(\|lc)|(penalty))"</v>
      </c>
      <c r="AG117" s="1" t="str">
        <f t="shared" si="68"/>
        <v>EC</v>
      </c>
      <c r="AH117" s="86" t="str">
        <f t="shared" si="69"/>
        <v>"%USERPROFILE%\Documents\GitHub\eaglep3\Utilities\RefineRTDCRunTimes.py" --tripid 207-12 --locoid 4053 --swversion DE.1.0.9.0 --startMP 204:480 --initTime 2017-03-12T16:56:14 --startdatetime 2017-03-12T16:57:46 --delay 1 --endMP 204:233282 --enddatetime 2017-03-12T17:38:05 --enforcementcount 0 &gt;&gt;C:\Users\stu\Documents\GitHub\eaglep3-reporting\EC\2017-03-12-refined-times.txt</v>
      </c>
      <c r="AI11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{"issue":{"subject":"","project_id":79,"tracker_id":40,"status_id":1,"priority_id":2,"assigned_to_id":23,"start_date":"2017-03-12","description":"","custom_fields":[{"id":1,"name":"Subdivision","value":"EC"},{"id":4,"name":"Milepost","value":"23.3282"},{"id":17,"name":"Train ID","value":"207-12"},{"id":16,"name":"Locomotive ID","value":"4053"},{"id":130,"name":"Impact","value":""},{"id":150,"name":"Time of Event (Mountain Time)","value":"17:38:05"},{"id":151,"name":"Denver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71"/>
        <v>start /low /b %USERPROFILE%\Documents\GitHub\eaglep3\Utilities\DownloadLogsFromS3.py --loco 4053 --day 2017-03-12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"%USERPROFILE%\AppData\Local\Temp\OnboardLogs"\RTDC4053\*4053*20170312* | grep -SE "(Enforcement Action)|(\[TIMEOUT)|(CHR.+\|PRM\|1\|D.+(SWITCH|SIGNAL).+UNKNOWN)" - &gt;&gt; 2017-03-12-UncaughtWiMAX.txt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769</v>
      </c>
      <c r="B118" s="7">
        <v>4054</v>
      </c>
      <c r="C118" s="21" t="s">
        <v>242</v>
      </c>
      <c r="D118" s="21" t="s">
        <v>279</v>
      </c>
      <c r="E118" s="13">
        <v>42806.741342592592</v>
      </c>
      <c r="F118" s="13">
        <v>42806.742569444446</v>
      </c>
      <c r="G118" s="7">
        <v>1</v>
      </c>
      <c r="H118" s="21" t="s">
        <v>194</v>
      </c>
      <c r="I118" s="13">
        <v>42806.77484953704</v>
      </c>
      <c r="J118" s="7">
        <v>0</v>
      </c>
      <c r="K118" s="98" t="str">
        <f t="shared" si="54"/>
        <v>4053/4054</v>
      </c>
      <c r="L118" s="21" t="str">
        <f>VLOOKUP(A118,'Trips&amp;Operators'!$C$1:$G$99999,5,FALSE)</f>
        <v>BRUDER RICHARD</v>
      </c>
      <c r="M118" s="6">
        <f t="shared" si="55"/>
        <v>3.2280092593282461E-2</v>
      </c>
      <c r="N118" s="7">
        <f t="shared" si="56"/>
        <v>46.483333334326744</v>
      </c>
      <c r="O118" s="7"/>
      <c r="P118" s="7"/>
      <c r="Q118" s="22"/>
      <c r="R118" s="22"/>
      <c r="S118" s="31">
        <f t="shared" si="57"/>
        <v>1</v>
      </c>
      <c r="T118" s="46" t="str">
        <f t="shared" si="58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59"/>
        <v>https://d0f6bd738d7f1b3e5a7ca70fe4ff75f0.us-east-1.aws.found.io/app/kibana#/discover/Steve-Slow-Train-Analysis-(2080s-and-2083s)?_g=(refreshInterval:(display:Off,pause:!f,section:0,value:0),time:(from:'2017-03-12T16:47:32-600',mode:absolute,to:'2017-03-12T19:35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187" t="str">
        <f t="shared" si="60"/>
        <v>N</v>
      </c>
      <c r="X118" s="187">
        <f t="shared" si="61"/>
        <v>1</v>
      </c>
      <c r="Y118" s="62">
        <f t="shared" si="62"/>
        <v>23.297799999999999</v>
      </c>
      <c r="Z118" s="62">
        <f t="shared" si="63"/>
        <v>1.4500000000000001E-2</v>
      </c>
      <c r="AA118" s="62">
        <f t="shared" si="64"/>
        <v>23.283299999999997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65"/>
        <v>0208-12</v>
      </c>
      <c r="AE118" s="85" t="str">
        <f t="shared" si="66"/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AF118" s="82" t="str">
        <f t="shared" si="67"/>
        <v>"C:\Program Files (x86)\AstroGrep\AstroGrep.exe" /e /r /s /spath="%USERPROFILE%\AppData\Local\Temp\OnboardLogs" /stypes="app*4054*20170313*" /stext=" 00:.+((SYSTEM_STATE.+slice.+state.+changed )|(ment ac)|(multiple cpu faults)|(system.+state.+changed )|(\[timeout)|(PRM\|1\|D)|(kpr)|(kdp)|(\|lc)|(penalty))"</v>
      </c>
      <c r="AG118" s="1" t="str">
        <f t="shared" si="68"/>
        <v>EC</v>
      </c>
      <c r="AH118" s="86" t="str">
        <f t="shared" si="69"/>
        <v>"%USERPROFILE%\Documents\GitHub\eaglep3\Utilities\RefineRTDCRunTimes.py" --tripid 208-12 --locoid 4054 --swversion DE.1.0.9.0 --startMP 204:232978 --initTime 2017-03-12T17:47:32 --startdatetime 2017-03-12T17:49:18 --delay 1 --endMP 204:145 --enddatetime 2017-03-12T18:35:47 --enforcementcount 0 &gt;&gt;C:\Users\stu\Documents\GitHub\eaglep3-reporting\EC\2017-03-12-refined-times.txt</v>
      </c>
      <c r="AI11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{"issue":{"subject":"","project_id":79,"tracker_id":40,"status_id":1,"priority_id":2,"assigned_to_id":23,"start_date":"2017-03-12","description":"","custom_fields":[{"id":1,"name":"Subdivision","value":"EC"},{"id":4,"name":"Milepost","value":"0.0145"},{"id":17,"name":"Train ID","value":"208-12"},{"id":16,"name":"Locomotive ID","value":"4054"},{"id":130,"name":"Impact","value":""},{"id":150,"name":"Time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71"/>
        <v>start /low /b %USERPROFILE%\Documents\GitHub\eaglep3\Utilities\DownloadLogsFromS3.py --loco 4054 --day 2017-03-12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"%USERPROFILE%\AppData\Local\Temp\OnboardLogs"\RTDC4054\*4054*20170313* | grep -SE "(Enforcement Action)|(\[TIMEOUT)|(CHR.+\|PRM\|1\|D.+(SWITCH|SIGNAL).+UNKNOWN)" - &gt;&gt; 2017-03-12-UncaughtWiMAX.txt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761</v>
      </c>
      <c r="B119" s="7">
        <v>4006</v>
      </c>
      <c r="C119" s="21" t="s">
        <v>242</v>
      </c>
      <c r="D119" s="21" t="s">
        <v>223</v>
      </c>
      <c r="E119" s="13">
        <v>42806.717129629629</v>
      </c>
      <c r="F119" s="13">
        <v>42806.718148148146</v>
      </c>
      <c r="G119" s="7">
        <v>1</v>
      </c>
      <c r="H119" s="21" t="s">
        <v>920</v>
      </c>
      <c r="I119" s="13">
        <v>42806.745729166665</v>
      </c>
      <c r="J119" s="7">
        <v>0</v>
      </c>
      <c r="K119" s="98" t="str">
        <f t="shared" si="54"/>
        <v>4005/4006</v>
      </c>
      <c r="L119" s="21" t="str">
        <f>VLOOKUP(A119,'Trips&amp;Operators'!$C$1:$G$99999,5,FALSE)</f>
        <v>CHANDLER KELVIN</v>
      </c>
      <c r="M119" s="6">
        <f t="shared" si="55"/>
        <v>2.7581018519413192E-2</v>
      </c>
      <c r="N119" s="7">
        <f t="shared" si="56"/>
        <v>39.716666667954996</v>
      </c>
      <c r="O119" s="7"/>
      <c r="P119" s="7"/>
      <c r="Q119" s="22"/>
      <c r="R119" s="22"/>
      <c r="S119" s="31">
        <f t="shared" si="57"/>
        <v>1</v>
      </c>
      <c r="T119" s="46" t="str">
        <f t="shared" si="58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59"/>
        <v>https://d0f6bd738d7f1b3e5a7ca70fe4ff75f0.us-east-1.aws.found.io/app/kibana#/discover/Steve-Slow-Train-Analysis-(2080s-and-2083s)?_g=(refreshInterval:(display:Off,pause:!f,section:0,value:0),time:(from:'2017-03-12T16:12:40-600',mode:absolute,to:'2017-03-12T18:53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187" t="str">
        <f t="shared" si="60"/>
        <v>N</v>
      </c>
      <c r="X119" s="187">
        <f t="shared" si="61"/>
        <v>1</v>
      </c>
      <c r="Y119" s="62">
        <f t="shared" si="62"/>
        <v>4.53E-2</v>
      </c>
      <c r="Z119" s="62">
        <f t="shared" si="63"/>
        <v>23.328499999999998</v>
      </c>
      <c r="AA119" s="62">
        <f t="shared" si="64"/>
        <v>23.283199999999997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65"/>
        <v>0209-12</v>
      </c>
      <c r="AE119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19" s="82" t="str">
        <f t="shared" si="67"/>
        <v>"C:\Program Files (x86)\AstroGrep\AstroGrep.exe" /e /r /s /spath="%USERPROFILE%\AppData\Local\Temp\OnboardLogs" /stypes="app*4006*20170312*" /stext=" 23:.+((SYSTEM_STATE.+slice.+state.+changed )|(ment ac)|(multiple cpu faults)|(system.+state.+changed )|(\[timeout)|(PRM\|1\|D)|(kpr)|(kdp)|(\|lc)|(penalty))"</v>
      </c>
      <c r="AG119" s="1" t="str">
        <f t="shared" si="68"/>
        <v>EC</v>
      </c>
      <c r="AH119" s="86" t="str">
        <f t="shared" si="69"/>
        <v>"%USERPROFILE%\Documents\GitHub\eaglep3\Utilities\RefineRTDCRunTimes.py" --tripid 209-12 --locoid 4006 --swversion DE.1.0.9.0 --startMP 204:453 --initTime 2017-03-12T17:12:40 --startdatetime 2017-03-12T17:14:08 --delay 1 --endMP 204:233285 --enddatetime 2017-03-12T17:53:51 --enforcementcount 0 &gt;&gt;C:\Users\stu\Documents\GitHub\eaglep3-reporting\EC\2017-03-12-refined-times.txt</v>
      </c>
      <c r="AI119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{"issue":{"subject":"","project_id":79,"tracker_id":40,"status_id":1,"priority_id":2,"assigned_to_id":23,"start_date":"2017-03-12","description":"","custom_fields":[{"id":1,"name":"Subdivision","value":"EC"},{"id":4,"name":"Milepost","value":"23.3285"},{"id":17,"name":"Train ID","value":"209-12"},{"id":16,"name":"Locomotive ID","value":"4006"},{"id":130,"name":"Impact","value":""},{"id":150,"name":"Time of Event (Mountain Time)","value":"17:53:51"},{"id":151,"name":"Denver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71"/>
        <v>start /low /b %USERPROFILE%\Documents\GitHub\eaglep3\Utilities\DownloadLogsFromS3.py --loco 4006 --day 2017-03-12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"%USERPROFILE%\AppData\Local\Temp\OnboardLogs"\RTDC4006\*4006*20170312* | grep -SE "(Enforcement Action)|(\[TIMEOUT)|(CHR.+\|PRM\|1\|D.+(SWITCH|SIGNAL).+UNKNOWN)" - &gt;&gt; 2017-03-12-UncaughtWiMAX.txt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921</v>
      </c>
      <c r="B120" s="7">
        <v>4005</v>
      </c>
      <c r="C120" s="21" t="s">
        <v>242</v>
      </c>
      <c r="D120" s="21" t="s">
        <v>922</v>
      </c>
      <c r="E120" s="13">
        <v>42806.754780092589</v>
      </c>
      <c r="F120" s="13">
        <v>42806.755810185183</v>
      </c>
      <c r="G120" s="7">
        <v>1</v>
      </c>
      <c r="H120" s="21" t="s">
        <v>192</v>
      </c>
      <c r="I120" s="13">
        <v>42806.78875</v>
      </c>
      <c r="J120" s="7">
        <v>0</v>
      </c>
      <c r="K120" s="98" t="str">
        <f t="shared" si="54"/>
        <v>4005/4006</v>
      </c>
      <c r="L120" s="21" t="e">
        <f>VLOOKUP(A120,'Trips&amp;Operators'!$C$1:$G$99999,5,FALSE)</f>
        <v>#N/A</v>
      </c>
      <c r="M120" s="6">
        <f t="shared" si="55"/>
        <v>3.2939814816927537E-2</v>
      </c>
      <c r="N120" s="7">
        <f t="shared" si="56"/>
        <v>47.433333336375654</v>
      </c>
      <c r="O120" s="7"/>
      <c r="P120" s="7"/>
      <c r="Q120" s="22"/>
      <c r="R120" s="22"/>
      <c r="S120" s="31">
        <f t="shared" si="57"/>
        <v>1</v>
      </c>
      <c r="T120" s="46" t="str">
        <f t="shared" si="58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59"/>
        <v>https://d0f6bd738d7f1b3e5a7ca70fe4ff75f0.us-east-1.aws.found.io/app/kibana#/discover/Steve-Slow-Train-Analysis-(2080s-and-2083s)?_g=(refreshInterval:(display:Off,pause:!f,section:0,value:0),time:(from:'2017-03-12T17:06:53-600',mode:absolute,to:'2017-03-12T19:55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187" t="str">
        <f t="shared" si="60"/>
        <v>N</v>
      </c>
      <c r="X120" s="187">
        <f t="shared" si="61"/>
        <v>1</v>
      </c>
      <c r="Y120" s="62">
        <f t="shared" si="62"/>
        <v>23.296399999999998</v>
      </c>
      <c r="Z120" s="62">
        <f t="shared" si="63"/>
        <v>1.4999999999999999E-2</v>
      </c>
      <c r="AA120" s="62">
        <f t="shared" si="64"/>
        <v>23.281399999999998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65"/>
        <v>0210-12</v>
      </c>
      <c r="AE120" s="85" t="str">
        <f t="shared" si="66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20" s="82" t="str">
        <f t="shared" si="67"/>
        <v>"C:\Program Files (x86)\AstroGrep\AstroGrep.exe" /e /r /s /spath="%USERPROFILE%\AppData\Local\Temp\OnboardLogs" /stypes="app*4005*20170313*" /stext=" 00:.+((SYSTEM_STATE.+slice.+state.+changed )|(ment ac)|(multiple cpu faults)|(system.+state.+changed )|(\[timeout)|(PRM\|1\|D)|(kpr)|(kdp)|(\|lc)|(penalty))"</v>
      </c>
      <c r="AG120" s="1" t="str">
        <f t="shared" si="68"/>
        <v>EC</v>
      </c>
      <c r="AH120" s="86" t="str">
        <f t="shared" si="69"/>
        <v>"%USERPROFILE%\Documents\GitHub\eaglep3\Utilities\RefineRTDCRunTimes.py" --tripid 210-12 --locoid 4005 --swversion DE.1.0.9.0 --startMP 204:232964 --initTime 2017-03-12T18:06:53 --startdatetime 2017-03-12T18:08:22 --delay 1 --endMP 204:150 --enddatetime 2017-03-12T18:55:48 --enforcementcount 0 &gt;&gt;C:\Users\stu\Documents\GitHub\eaglep3-reporting\EC\2017-03-12-refined-times.txt</v>
      </c>
      <c r="AI12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{"issue":{"subject":"","project_id":79,"tracker_id":40,"status_id":1,"priority_id":2,"assigned_to_id":23,"start_date":"2017-03-12","description":"","custom_fields":[{"id":1,"name":"Subdivision","value":"EC"},{"id":4,"name":"Milepost","value":"0.015"},{"id":17,"name":"Train ID","value":"210-12"},{"id":16,"name":"Locomotive ID","value":"4005"},{"id":130,"name":"Impact","value":""},{"id":150,"name":"Time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71"/>
        <v>start /low /b %USERPROFILE%\Documents\GitHub\eaglep3\Utilities\DownloadLogsFromS3.py --loco 4005 --day 2017-03-12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"%USERPROFILE%\AppData\Local\Temp\OnboardLogs"\RTDC4005\*4005*20170313* | grep -SE "(Enforcement Action)|(\[TIMEOUT)|(CHR.+\|PRM\|1\|D.+(SWITCH|SIGNAL).+UNKNOWN)" - &gt;&gt; 2017-03-12-UncaughtWiMAX.txt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765</v>
      </c>
      <c r="B121" s="7">
        <v>4020</v>
      </c>
      <c r="C121" s="21" t="s">
        <v>242</v>
      </c>
      <c r="D121" s="21" t="s">
        <v>243</v>
      </c>
      <c r="E121" s="13">
        <v>42806.727777777778</v>
      </c>
      <c r="F121" s="13">
        <v>42806.728784722225</v>
      </c>
      <c r="G121" s="7">
        <v>1</v>
      </c>
      <c r="H121" s="21" t="s">
        <v>554</v>
      </c>
      <c r="I121" s="13">
        <v>42806.755949074075</v>
      </c>
      <c r="J121" s="7">
        <v>0</v>
      </c>
      <c r="K121" s="98" t="str">
        <f t="shared" si="54"/>
        <v>4019/4020</v>
      </c>
      <c r="L121" s="21" t="str">
        <f>VLOOKUP(A121,'Trips&amp;Operators'!$C$1:$G$99999,5,FALSE)</f>
        <v>LOCKLEAR TRAVIS</v>
      </c>
      <c r="M121" s="6">
        <f t="shared" si="55"/>
        <v>2.7164351849933155E-2</v>
      </c>
      <c r="N121" s="7">
        <f t="shared" si="56"/>
        <v>39.116666663903743</v>
      </c>
      <c r="O121" s="7"/>
      <c r="P121" s="7"/>
      <c r="Q121" s="22"/>
      <c r="R121" s="22"/>
      <c r="S121" s="31">
        <f t="shared" si="57"/>
        <v>1</v>
      </c>
      <c r="T121" s="46" t="str">
        <f t="shared" si="58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59"/>
        <v>https://d0f6bd738d7f1b3e5a7ca70fe4ff75f0.us-east-1.aws.found.io/app/kibana#/discover/Steve-Slow-Train-Analysis-(2080s-and-2083s)?_g=(refreshInterval:(display:Off,pause:!f,section:0,value:0),time:(from:'2017-03-12T16:28:00-600',mode:absolute,to:'2017-03-12T19:08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1" s="187" t="str">
        <f t="shared" si="60"/>
        <v>N</v>
      </c>
      <c r="X121" s="187">
        <f t="shared" si="61"/>
        <v>1</v>
      </c>
      <c r="Y121" s="62">
        <f t="shared" si="62"/>
        <v>4.58E-2</v>
      </c>
      <c r="Z121" s="62">
        <f t="shared" si="63"/>
        <v>23.3322</v>
      </c>
      <c r="AA121" s="62">
        <f t="shared" si="64"/>
        <v>23.2864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65"/>
        <v>0211-12</v>
      </c>
      <c r="AE121" s="85" t="str">
        <f t="shared" si="66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121" s="82" t="str">
        <f t="shared" si="67"/>
        <v>"C:\Program Files (x86)\AstroGrep\AstroGrep.exe" /e /r /s /spath="%USERPROFILE%\AppData\Local\Temp\OnboardLogs" /stypes="app*4020*20170313*" /stext=" 00:.+((SYSTEM_STATE.+slice.+state.+changed )|(ment ac)|(multiple cpu faults)|(system.+state.+changed )|(\[timeout)|(PRM\|1\|D)|(kpr)|(kdp)|(\|lc)|(penalty))"</v>
      </c>
      <c r="AG121" s="1" t="str">
        <f t="shared" si="68"/>
        <v>EC</v>
      </c>
      <c r="AH121" s="86" t="str">
        <f t="shared" si="69"/>
        <v>"%USERPROFILE%\Documents\GitHub\eaglep3\Utilities\RefineRTDCRunTimes.py" --tripid 211-12 --locoid 4020 --swversion DE.1.0.9.0 --startMP 204:458 --initTime 2017-03-12T17:28:00 --startdatetime 2017-03-12T17:29:27 --delay 1 --endMP 204:233322 --enddatetime 2017-03-12T18:08:34 --enforcementcount 0 &gt;&gt;C:\Users\stu\Documents\GitHub\eaglep3-reporting\EC\2017-03-12-refined-times.txt</v>
      </c>
      <c r="AI12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{"issue":{"subject":"","project_id":79,"tracker_id":40,"status_id":1,"priority_id":2,"assigned_to_id":23,"start_date":"2017-03-12","description":"","custom_fields":[{"id":1,"name":"Subdivision","value":"EC"},{"id":4,"name":"Milepost","value":"23.3322"},{"id":17,"name":"Train ID","value":"211-12"},{"id":16,"name":"Locomotive ID","value":"4020"},{"id":130,"name":"Impact","value":""},{"id":150,"name":"Time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71"/>
        <v>start /low /b %USERPROFILE%\Documents\GitHub\eaglep3\Utilities\DownloadLogsFromS3.py --loco 4020 --day 2017-03-12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"%USERPROFILE%\AppData\Local\Temp\OnboardLogs"\RTDC4020\*4020*20170312* | grep -SE "(Enforcement Action)|(\[TIMEOUT)|(CHR.+\|PRM\|1\|D.+(SWITCH|SIGNAL).+UNKNOWN)" - &gt;&gt; 2017-03-12-UncaughtWiMAX.txt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773</v>
      </c>
      <c r="B122" s="7">
        <v>4019</v>
      </c>
      <c r="C122" s="21" t="s">
        <v>242</v>
      </c>
      <c r="D122" s="21" t="s">
        <v>923</v>
      </c>
      <c r="E122" s="13">
        <v>42806.7653125</v>
      </c>
      <c r="F122" s="13">
        <v>42806.766215277778</v>
      </c>
      <c r="G122" s="7">
        <v>1</v>
      </c>
      <c r="H122" s="21" t="s">
        <v>194</v>
      </c>
      <c r="I122" s="13">
        <v>42806.7969212963</v>
      </c>
      <c r="J122" s="7">
        <v>0</v>
      </c>
      <c r="K122" s="98" t="str">
        <f t="shared" si="54"/>
        <v>4019/4020</v>
      </c>
      <c r="L122" s="21" t="str">
        <f>VLOOKUP(A122,'Trips&amp;Operators'!$C$1:$G$99999,5,FALSE)</f>
        <v>LOCKLEAR TRAVIS</v>
      </c>
      <c r="M122" s="6">
        <f t="shared" si="55"/>
        <v>3.0706018522323575E-2</v>
      </c>
      <c r="N122" s="7">
        <f t="shared" si="56"/>
        <v>44.216666672145948</v>
      </c>
      <c r="O122" s="7"/>
      <c r="P122" s="7"/>
      <c r="Q122" s="22"/>
      <c r="R122" s="22"/>
      <c r="S122" s="31">
        <f t="shared" si="57"/>
        <v>1</v>
      </c>
      <c r="T122" s="46" t="str">
        <f t="shared" si="58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59"/>
        <v>https://d0f6bd738d7f1b3e5a7ca70fe4ff75f0.us-east-1.aws.found.io/app/kibana#/discover/Steve-Slow-Train-Analysis-(2080s-and-2083s)?_g=(refreshInterval:(display:Off,pause:!f,section:0,value:0),time:(from:'2017-03-12T17:22:03-600',mode:absolute,to:'2017-03-12T20:07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2" s="187" t="str">
        <f t="shared" si="60"/>
        <v>N</v>
      </c>
      <c r="X122" s="187">
        <f t="shared" si="61"/>
        <v>1</v>
      </c>
      <c r="Y122" s="62">
        <f t="shared" si="62"/>
        <v>23.300699999999999</v>
      </c>
      <c r="Z122" s="62">
        <f t="shared" si="63"/>
        <v>1.4500000000000001E-2</v>
      </c>
      <c r="AA122" s="62">
        <f t="shared" si="64"/>
        <v>23.286199999999997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65"/>
        <v>0212-12</v>
      </c>
      <c r="AE122" s="85" t="str">
        <f t="shared" si="66"/>
        <v>aws s3 cp s3://rtdc.mdm.uploadarchive.raw/RTDC4019/ "%USERPROFILE%\AppData\Local\Temp\OnboardLogs"\RTDC4019\2017-03-12 --exclude "*" --recursive --include "*20170312*" &amp; "%USERPROFILE%\Documents\GitHub\mrs-test-scripts\Headless Mode &amp; Sideloading\WalkAndUnGZ.bat" "%USERPROFILE%\AppData\Local\Temp\OnboardLogs"\RTDC4019\2017-03-12 &amp; aws s3 cp s3://rtdc.mdm.uploadarchive.raw/RTDC4019/ "%USERPROFILE%\AppData\Local\Temp\OnboardLogs"\RTDC4019\2017-03-13 --exclude "*" --recursive --include "*20170313*" &amp; "%USERPROFILE%\Documents\GitHub\mrs-test-scripts\Headless Mode &amp; Sideloading\WalkAndUnGZ.bat" "%USERPROFILE%\AppData\Local\Temp\OnboardLogs"\RTDC4019\2017-03-13</v>
      </c>
      <c r="AF122" s="82" t="str">
        <f t="shared" si="67"/>
        <v>"C:\Program Files (x86)\AstroGrep\AstroGrep.exe" /e /r /s /spath="%USERPROFILE%\AppData\Local\Temp\OnboardLogs" /stypes="app*4019*20170313*" /stext=" 01:.+((SYSTEM_STATE.+slice.+state.+changed )|(ment ac)|(multiple cpu faults)|(system.+state.+changed )|(\[timeout)|(PRM\|1\|D)|(kpr)|(kdp)|(\|lc)|(penalty))"</v>
      </c>
      <c r="AG122" s="1" t="str">
        <f t="shared" si="68"/>
        <v>EC</v>
      </c>
      <c r="AH122" s="86" t="str">
        <f t="shared" si="69"/>
        <v>"%USERPROFILE%\Documents\GitHub\eaglep3\Utilities\RefineRTDCRunTimes.py" --tripid 212-12 --locoid 4019 --swversion DE.1.0.9.0 --startMP 204:233007 --initTime 2017-03-12T18:22:03 --startdatetime 2017-03-12T18:23:21 --delay 1 --endMP 204:145 --enddatetime 2017-03-12T19:07:34 --enforcementcount 0 &gt;&gt;C:\Users\stu\Documents\GitHub\eaglep3-reporting\EC\2017-03-12-refined-times.txt</v>
      </c>
      <c r="AI12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{"issue":{"subject":"","project_id":79,"tracker_id":40,"status_id":1,"priority_id":2,"assigned_to_id":23,"start_date":"2017-03-12","description":"","custom_fields":[{"id":1,"name":"Subdivision","value":"EC"},{"id":4,"name":"Milepost","value":"0.0145"},{"id":17,"name":"Train ID","value":"212-12"},{"id":16,"name":"Locomotive ID","value":"4019"},{"id":130,"name":"Impact","value":""},{"id":150,"name":"Time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71"/>
        <v>start /low /b %USERPROFILE%\Documents\GitHub\eaglep3\Utilities\DownloadLogsFromS3.py --loco 4019 --day 2017-03-12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"%USERPROFILE%\AppData\Local\Temp\OnboardLogs"\RTDC4019\*4019*20170313* | grep -SE "(Enforcement Action)|(\[TIMEOUT)|(CHR.+\|PRM\|1\|D.+(SWITCH|SIGNAL).+UNKNOWN)" - &gt;&gt; 2017-03-12-UncaughtWiMAX.txt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768</v>
      </c>
      <c r="B123" s="7">
        <v>4025</v>
      </c>
      <c r="C123" s="21" t="s">
        <v>242</v>
      </c>
      <c r="D123" s="21" t="s">
        <v>277</v>
      </c>
      <c r="E123" s="13">
        <v>42806.735335648147</v>
      </c>
      <c r="F123" s="13">
        <v>42806.736724537041</v>
      </c>
      <c r="G123" s="7">
        <v>1</v>
      </c>
      <c r="H123" s="21" t="s">
        <v>233</v>
      </c>
      <c r="I123" s="13">
        <v>42806.764699074076</v>
      </c>
      <c r="J123" s="7">
        <v>0</v>
      </c>
      <c r="K123" s="98" t="str">
        <f t="shared" si="54"/>
        <v>4025/4026</v>
      </c>
      <c r="L123" s="21" t="str">
        <f>VLOOKUP(A123,'Trips&amp;Operators'!$C$1:$G$99999,5,FALSE)</f>
        <v>NEWELL JAMES</v>
      </c>
      <c r="M123" s="6">
        <f t="shared" si="55"/>
        <v>2.7974537035333924E-2</v>
      </c>
      <c r="N123" s="7">
        <f t="shared" si="56"/>
        <v>40.283333330880851</v>
      </c>
      <c r="O123" s="7"/>
      <c r="P123" s="7"/>
      <c r="Q123" s="22"/>
      <c r="R123" s="22"/>
      <c r="S123" s="31">
        <f t="shared" si="57"/>
        <v>1</v>
      </c>
      <c r="T123" s="46" t="str">
        <f t="shared" si="58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59"/>
        <v>https://d0f6bd738d7f1b3e5a7ca70fe4ff75f0.us-east-1.aws.found.io/app/kibana#/discover/Steve-Slow-Train-Analysis-(2080s-and-2083s)?_g=(refreshInterval:(display:Off,pause:!f,section:0,value:0),time:(from:'2017-03-12T16:38:53-600',mode:absolute,to:'2017-03-12T19:21:10-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3" s="187" t="str">
        <f t="shared" si="60"/>
        <v>N</v>
      </c>
      <c r="X123" s="187">
        <f t="shared" si="61"/>
        <v>1</v>
      </c>
      <c r="Y123" s="62">
        <f t="shared" si="62"/>
        <v>4.7800000000000002E-2</v>
      </c>
      <c r="Z123" s="62">
        <f t="shared" si="63"/>
        <v>23.331</v>
      </c>
      <c r="AA123" s="62">
        <f t="shared" si="64"/>
        <v>23.283200000000001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65"/>
        <v>0213-12</v>
      </c>
      <c r="AE123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123" s="82" t="str">
        <f t="shared" si="67"/>
        <v>"C:\Program Files (x86)\AstroGrep\AstroGrep.exe" /e /r /s /spath="%USERPROFILE%\AppData\Local\Temp\OnboardLogs" /stypes="app*4025*20170313*" /stext=" 00:.+((SYSTEM_STATE.+slice.+state.+changed )|(ment ac)|(multiple cpu faults)|(system.+state.+changed )|(\[timeout)|(PRM\|1\|D)|(kpr)|(kdp)|(\|lc)|(penalty))"</v>
      </c>
      <c r="AG123" s="1" t="str">
        <f t="shared" si="68"/>
        <v>EC</v>
      </c>
      <c r="AH123" s="86" t="str">
        <f t="shared" si="69"/>
        <v>"%USERPROFILE%\Documents\GitHub\eaglep3\Utilities\RefineRTDCRunTimes.py" --tripid 213-12 --locoid 4025 --swversion DE.1.0.9.0 --startMP 204:478 --initTime 2017-03-12T17:38:53 --startdatetime 2017-03-12T17:40:53 --delay 1 --endMP 204:233310 --enddatetime 2017-03-12T18:21:10 --enforcementcount 0 &gt;&gt;C:\Users\stu\Documents\GitHub\eaglep3-reporting\EC\2017-03-12-refined-times.txt</v>
      </c>
      <c r="AI12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{"issue":{"subject":"","project_id":79,"tracker_id":40,"status_id":1,"priority_id":2,"assigned_to_id":23,"start_date":"2017-03-12","description":"","custom_fields":[{"id":1,"name":"Subdivision","value":"EC"},{"id":4,"name":"Milepost","value":"23.331"},{"id":17,"name":"Train ID","value":"213-12"},{"id":16,"name":"Locomotive ID","value":"4025"},{"id":130,"name":"Impact","value":""},{"id":150,"name":"Time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71"/>
        <v>start /low /b %USERPROFILE%\Documents\GitHub\eaglep3\Utilities\DownloadLogsFromS3.py --loco 4025 --day 2017-03-12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"%USERPROFILE%\AppData\Local\Temp\OnboardLogs"\RTDC4025\*4025*20170313* | grep -SE "(Enforcement Action)|(\[TIMEOUT)|(CHR.+\|PRM\|1\|D.+(SWITCH|SIGNAL).+UNKNOWN)" - &gt;&gt; 2017-03-12-UncaughtWiMAX.txt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776</v>
      </c>
      <c r="B124" s="7">
        <v>4026</v>
      </c>
      <c r="C124" s="21" t="s">
        <v>242</v>
      </c>
      <c r="D124" s="21" t="s">
        <v>496</v>
      </c>
      <c r="E124" s="13">
        <v>42806.769571759258</v>
      </c>
      <c r="F124" s="13">
        <v>42806.770474537036</v>
      </c>
      <c r="G124" s="7">
        <v>1</v>
      </c>
      <c r="H124" s="21" t="s">
        <v>924</v>
      </c>
      <c r="I124" s="13">
        <v>42806.805891203701</v>
      </c>
      <c r="J124" s="7">
        <v>0</v>
      </c>
      <c r="K124" s="98" t="str">
        <f t="shared" si="54"/>
        <v>4025/4026</v>
      </c>
      <c r="L124" s="21" t="str">
        <f>VLOOKUP(A124,'Trips&amp;Operators'!$C$1:$G$99999,5,FALSE)</f>
        <v>NEWELL JAMES</v>
      </c>
      <c r="M124" s="6">
        <f t="shared" si="55"/>
        <v>3.5416666665696539E-2</v>
      </c>
      <c r="N124" s="7">
        <f t="shared" si="56"/>
        <v>50.999999998603016</v>
      </c>
      <c r="O124" s="7"/>
      <c r="P124" s="7"/>
      <c r="Q124" s="22"/>
      <c r="R124" s="22"/>
      <c r="S124" s="31">
        <f t="shared" si="57"/>
        <v>1</v>
      </c>
      <c r="T124" s="46" t="str">
        <f t="shared" si="58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59"/>
        <v>https://d0f6bd738d7f1b3e5a7ca70fe4ff75f0.us-east-1.aws.found.io/app/kibana#/discover/Steve-Slow-Train-Analysis-(2080s-and-2083s)?_g=(refreshInterval:(display:Off,pause:!f,section:0,value:0),time:(from:'2017-03-12T17:28:11-600',mode:absolute,to:'2017-03-12T20:20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4" s="187" t="str">
        <f t="shared" si="60"/>
        <v>N</v>
      </c>
      <c r="X124" s="187">
        <f t="shared" si="61"/>
        <v>1</v>
      </c>
      <c r="Y124" s="62">
        <f t="shared" si="62"/>
        <v>23.299600000000002</v>
      </c>
      <c r="Z124" s="62">
        <f t="shared" si="63"/>
        <v>1.21E-2</v>
      </c>
      <c r="AA124" s="62">
        <f t="shared" si="64"/>
        <v>23.287500000000001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65"/>
        <v>0214-12</v>
      </c>
      <c r="AE124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24" s="82" t="str">
        <f t="shared" si="67"/>
        <v>"C:\Program Files (x86)\AstroGrep\AstroGrep.exe" /e /r /s /spath="%USERPROFILE%\AppData\Local\Temp\OnboardLogs" /stypes="app*4026*20170313*" /stext=" 01:.+((SYSTEM_STATE.+slice.+state.+changed )|(ment ac)|(multiple cpu faults)|(system.+state.+changed )|(\[timeout)|(PRM\|1\|D)|(kpr)|(kdp)|(\|lc)|(penalty))"</v>
      </c>
      <c r="AG124" s="1" t="str">
        <f t="shared" si="68"/>
        <v>EC</v>
      </c>
      <c r="AH124" s="86" t="str">
        <f t="shared" si="69"/>
        <v>"%USERPROFILE%\Documents\GitHub\eaglep3\Utilities\RefineRTDCRunTimes.py" --tripid 214-12 --locoid 4026 --swversion DE.1.0.9.0 --startMP 204:232996 --initTime 2017-03-12T18:28:11 --startdatetime 2017-03-12T18:29:29 --delay 1 --endMP 204:121 --enddatetime 2017-03-12T19:20:29 --enforcementcount 0 &gt;&gt;C:\Users\stu\Documents\GitHub\eaglep3-reporting\EC\2017-03-12-refined-times.txt</v>
      </c>
      <c r="AI12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{"issue":{"subject":"","project_id":79,"tracker_id":40,"status_id":1,"priority_id":2,"assigned_to_id":23,"start_date":"2017-03-12","description":"","custom_fields":[{"id":1,"name":"Subdivision","value":"EC"},{"id":4,"name":"Milepost","value":"0.0121"},{"id":17,"name":"Train ID","value":"214-12"},{"id":16,"name":"Locomotive ID","value":"4026"},{"id":130,"name":"Impact","value":""},{"id":150,"name":"Time of Event (Mountain Time)","value":"19:20:29"},{"id":151,"name":"Denver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71"/>
        <v>start /low /b %USERPROFILE%\Documents\GitHub\eaglep3\Utilities\DownloadLogsFromS3.py --loco 4026 --day 2017-03-12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"%USERPROFILE%\AppData\Local\Temp\OnboardLogs"\RTDC4026\*4026*20170313* | grep -SE "(Enforcement Action)|(\[TIMEOUT)|(CHR.+\|PRM\|1\|D.+(SWITCH|SIGNAL).+UNKNOWN)" - &gt;&gt; 2017-03-12-UncaughtWiMAX.txt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770</v>
      </c>
      <c r="B125" s="7">
        <v>4018</v>
      </c>
      <c r="C125" s="21" t="s">
        <v>242</v>
      </c>
      <c r="D125" s="21" t="s">
        <v>556</v>
      </c>
      <c r="E125" s="13">
        <v>42806.744849537034</v>
      </c>
      <c r="F125" s="13">
        <v>42806.746006944442</v>
      </c>
      <c r="G125" s="7">
        <v>1</v>
      </c>
      <c r="H125" s="21" t="s">
        <v>828</v>
      </c>
      <c r="I125" s="13">
        <v>42806.777083333334</v>
      </c>
      <c r="J125" s="7">
        <v>0</v>
      </c>
      <c r="K125" s="98" t="str">
        <f t="shared" si="54"/>
        <v>4017/4018</v>
      </c>
      <c r="L125" s="21" t="str">
        <f>VLOOKUP(A125,'Trips&amp;Operators'!$C$1:$G$99999,5,FALSE)</f>
        <v>MACDONALD THOMAS</v>
      </c>
      <c r="M125" s="6">
        <f t="shared" si="55"/>
        <v>3.107638889196096E-2</v>
      </c>
      <c r="N125" s="7">
        <f t="shared" si="56"/>
        <v>44.750000004423782</v>
      </c>
      <c r="O125" s="7"/>
      <c r="P125" s="7"/>
      <c r="Q125" s="22"/>
      <c r="R125" s="22"/>
      <c r="S125" s="31">
        <f t="shared" si="57"/>
        <v>1</v>
      </c>
      <c r="T125" s="46" t="str">
        <f t="shared" si="58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59"/>
        <v>https://d0f6bd738d7f1b3e5a7ca70fe4ff75f0.us-east-1.aws.found.io/app/kibana#/discover/Steve-Slow-Train-Analysis-(2080s-and-2083s)?_g=(refreshInterval:(display:Off,pause:!f,section:0,value:0),time:(from:'2017-03-12T16:52:35-600',mode:absolute,to:'2017-03-12T19:39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187" t="str">
        <f t="shared" si="60"/>
        <v>N</v>
      </c>
      <c r="X125" s="187">
        <f t="shared" si="61"/>
        <v>1</v>
      </c>
      <c r="Y125" s="62">
        <f t="shared" si="62"/>
        <v>4.6199999999999998E-2</v>
      </c>
      <c r="Z125" s="62">
        <f t="shared" si="63"/>
        <v>23.3324</v>
      </c>
      <c r="AA125" s="62">
        <f t="shared" si="64"/>
        <v>23.286200000000001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65"/>
        <v>0215-12</v>
      </c>
      <c r="AE125" s="85" t="str">
        <f t="shared" si="66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125" s="82" t="str">
        <f t="shared" si="67"/>
        <v>"C:\Program Files (x86)\AstroGrep\AstroGrep.exe" /e /r /s /spath="%USERPROFILE%\AppData\Local\Temp\OnboardLogs" /stypes="app*4018*20170313*" /stext=" 00:.+((SYSTEM_STATE.+slice.+state.+changed )|(ment ac)|(multiple cpu faults)|(system.+state.+changed )|(\[timeout)|(PRM\|1\|D)|(kpr)|(kdp)|(\|lc)|(penalty))"</v>
      </c>
      <c r="AG125" s="1" t="str">
        <f t="shared" si="68"/>
        <v>EC</v>
      </c>
      <c r="AH125" s="86" t="str">
        <f t="shared" si="69"/>
        <v>"%USERPROFILE%\Documents\GitHub\eaglep3\Utilities\RefineRTDCRunTimes.py" --tripid 215-12 --locoid 4018 --swversion DE.1.0.9.0 --startMP 204:462 --initTime 2017-03-12T17:52:35 --startdatetime 2017-03-12T17:54:15 --delay 1 --endMP 204:233324 --enddatetime 2017-03-12T18:39:00 --enforcementcount 0 &gt;&gt;C:\Users\stu\Documents\GitHub\eaglep3-reporting\EC\2017-03-12-refined-times.txt</v>
      </c>
      <c r="AI12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{"issue":{"subject":"","project_id":79,"tracker_id":40,"status_id":1,"priority_id":2,"assigned_to_id":23,"start_date":"2017-03-12","description":"","custom_fields":[{"id":1,"name":"Subdivision","value":"EC"},{"id":4,"name":"Milepost","value":"23.3324"},{"id":17,"name":"Train ID","value":"215-12"},{"id":16,"name":"Locomotive ID","value":"4018"},{"id":130,"name":"Impact","value":""},{"id":150,"name":"Time of Event (Mountain Time)","value":"18:39:00"},{"id":151,"name":"Denver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71"/>
        <v>start /low /b %USERPROFILE%\Documents\GitHub\eaglep3\Utilities\DownloadLogsFromS3.py --loco 4018 --day 2017-03-12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4017</v>
      </c>
      <c r="C126" s="21" t="s">
        <v>242</v>
      </c>
      <c r="D126" s="21" t="s">
        <v>539</v>
      </c>
      <c r="E126" s="13">
        <v>42806.786168981482</v>
      </c>
      <c r="F126" s="13">
        <v>42806.787048611113</v>
      </c>
      <c r="G126" s="7">
        <v>1</v>
      </c>
      <c r="H126" s="21" t="s">
        <v>203</v>
      </c>
      <c r="I126" s="13">
        <v>42806.817094907405</v>
      </c>
      <c r="J126" s="7">
        <v>0</v>
      </c>
      <c r="K126" s="98" t="str">
        <f t="shared" si="54"/>
        <v>4017/4018</v>
      </c>
      <c r="L126" s="21" t="str">
        <f>VLOOKUP(A126,'Trips&amp;Operators'!$C$1:$G$99999,5,FALSE)</f>
        <v>MACDONALD THOMAS</v>
      </c>
      <c r="M126" s="6">
        <f t="shared" si="55"/>
        <v>3.0046296291402541E-2</v>
      </c>
      <c r="N126" s="7">
        <f t="shared" si="56"/>
        <v>43.266666659619659</v>
      </c>
      <c r="O126" s="7"/>
      <c r="P126" s="7"/>
      <c r="Q126" s="22"/>
      <c r="R126" s="22"/>
      <c r="S126" s="31">
        <f t="shared" si="57"/>
        <v>1</v>
      </c>
      <c r="T126" s="46" t="str">
        <f t="shared" si="58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59"/>
        <v>https://d0f6bd738d7f1b3e5a7ca70fe4ff75f0.us-east-1.aws.found.io/app/kibana#/discover/Steve-Slow-Train-Analysis-(2080s-and-2083s)?_g=(refreshInterval:(display:Off,pause:!f,section:0,value:0),time:(from:'2017-03-12T17:52:05-600',mode:absolute,to:'2017-03-12T20:36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187" t="str">
        <f t="shared" si="60"/>
        <v>N</v>
      </c>
      <c r="X126" s="187">
        <f t="shared" si="61"/>
        <v>1</v>
      </c>
      <c r="Y126" s="62">
        <f t="shared" si="62"/>
        <v>23.2986</v>
      </c>
      <c r="Z126" s="62">
        <f t="shared" si="63"/>
        <v>1.5800000000000002E-2</v>
      </c>
      <c r="AA126" s="62">
        <f t="shared" si="64"/>
        <v>23.282800000000002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65"/>
        <v>0216-12</v>
      </c>
      <c r="AE126" s="85" t="str">
        <f t="shared" si="66"/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AF126" s="82" t="str">
        <f t="shared" si="67"/>
        <v>"C:\Program Files (x86)\AstroGrep\AstroGrep.exe" /e /r /s /spath="%USERPROFILE%\AppData\Local\Temp\OnboardLogs" /stypes="app*4017*20170313*" /stext=" 01:.+((SYSTEM_STATE.+slice.+state.+changed )|(ment ac)|(multiple cpu faults)|(system.+state.+changed )|(\[timeout)|(PRM\|1\|D)|(kpr)|(kdp)|(\|lc)|(penalty))"</v>
      </c>
      <c r="AG126" s="1" t="str">
        <f t="shared" si="68"/>
        <v>EC</v>
      </c>
      <c r="AH126" s="86" t="str">
        <f t="shared" si="69"/>
        <v>"%USERPROFILE%\Documents\GitHub\eaglep3\Utilities\RefineRTDCRunTimes.py" --tripid 216-12 --locoid 4017 --swversion DE.1.0.9.0 --startMP 204:232986 --initTime 2017-03-12T18:52:05 --startdatetime 2017-03-12T18:53:21 --delay 1 --endMP 204:158 --enddatetime 2017-03-12T19:36:37 --enforcementcount 0 &gt;&gt;C:\Users\stu\Documents\GitHub\eaglep3-reporting\EC\2017-03-12-refined-times.txt</v>
      </c>
      <c r="AI12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{"issue":{"subject":"","project_id":79,"tracker_id":40,"status_id":1,"priority_id":2,"assigned_to_id":23,"start_date":"2017-03-12","description":"","custom_fields":[{"id":1,"name":"Subdivision","value":"EC"},{"id":4,"name":"Milepost","value":"0.0158"},{"id":17,"name":"Train ID","value":"216-12"},{"id":16,"name":"Locomotive ID","value":"4017"},{"id":130,"name":"Impact","value":""},{"id":150,"name":"Time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71"/>
        <v>start /low /b %USERPROFILE%\Documents\GitHub\eaglep3\Utilities\DownloadLogsFromS3.py --loco 4017 --day 2017-03-12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"%USERPROFILE%\AppData\Local\Temp\OnboardLogs"\RTDC4017\*4017*20170313* | grep -SE "(Enforcement Action)|(\[TIMEOUT)|(CHR.+\|PRM\|1\|D.+(SWITCH|SIGNAL).+UNKNOWN)" - &gt;&gt; 2017-03-12-UncaughtWiMAX.txt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771</v>
      </c>
      <c r="B127" s="7">
        <v>4042</v>
      </c>
      <c r="C127" s="21" t="s">
        <v>242</v>
      </c>
      <c r="D127" s="21" t="s">
        <v>226</v>
      </c>
      <c r="E127" s="13">
        <v>42806.758668981478</v>
      </c>
      <c r="F127" s="13">
        <v>42806.759756944448</v>
      </c>
      <c r="G127" s="7">
        <v>1</v>
      </c>
      <c r="H127" s="21" t="s">
        <v>498</v>
      </c>
      <c r="I127" s="13">
        <v>42806.787268518521</v>
      </c>
      <c r="J127" s="7">
        <v>0</v>
      </c>
      <c r="K127" s="98" t="str">
        <f t="shared" si="54"/>
        <v>4041/4042</v>
      </c>
      <c r="L127" s="21" t="str">
        <f>VLOOKUP(A127,'Trips&amp;Operators'!$C$1:$G$99999,5,FALSE)</f>
        <v>SMITH MICHAEL</v>
      </c>
      <c r="M127" s="6">
        <f t="shared" si="55"/>
        <v>2.7511574073287193E-2</v>
      </c>
      <c r="N127" s="7">
        <f t="shared" si="56"/>
        <v>39.616666665533558</v>
      </c>
      <c r="O127" s="7"/>
      <c r="P127" s="7"/>
      <c r="Q127" s="22"/>
      <c r="R127" s="22"/>
      <c r="S127" s="31">
        <f t="shared" si="57"/>
        <v>1</v>
      </c>
      <c r="T127" s="46" t="str">
        <f t="shared" si="58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59"/>
        <v>https://d0f6bd738d7f1b3e5a7ca70fe4ff75f0.us-east-1.aws.found.io/app/kibana#/discover/Steve-Slow-Train-Analysis-(2080s-and-2083s)?_g=(refreshInterval:(display:Off,pause:!f,section:0,value:0),time:(from:'2017-03-12T17:12:29-600',mode:absolute,to:'2017-03-12T19:53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87" t="str">
        <f t="shared" si="60"/>
        <v>N</v>
      </c>
      <c r="X127" s="187">
        <f t="shared" si="61"/>
        <v>1</v>
      </c>
      <c r="Y127" s="62">
        <f t="shared" si="62"/>
        <v>4.4600000000000001E-2</v>
      </c>
      <c r="Z127" s="62">
        <f t="shared" si="63"/>
        <v>23.3293</v>
      </c>
      <c r="AA127" s="62">
        <f t="shared" si="64"/>
        <v>23.284700000000001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65"/>
        <v>0217-12</v>
      </c>
      <c r="AE127" s="85" t="str">
        <f t="shared" si="66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127" s="82" t="str">
        <f t="shared" si="67"/>
        <v>"C:\Program Files (x86)\AstroGrep\AstroGrep.exe" /e /r /s /spath="%USERPROFILE%\AppData\Local\Temp\OnboardLogs" /stypes="app*4042*20170313*" /stext=" 00:.+((SYSTEM_STATE.+slice.+state.+changed )|(ment ac)|(multiple cpu faults)|(system.+state.+changed )|(\[timeout)|(PRM\|1\|D)|(kpr)|(kdp)|(\|lc)|(penalty))"</v>
      </c>
      <c r="AG127" s="1" t="str">
        <f t="shared" si="68"/>
        <v>EC</v>
      </c>
      <c r="AH127" s="86" t="str">
        <f t="shared" si="69"/>
        <v>"%USERPROFILE%\Documents\GitHub\eaglep3\Utilities\RefineRTDCRunTimes.py" --tripid 217-12 --locoid 4042 --swversion DE.1.0.9.0 --startMP 204:446 --initTime 2017-03-12T18:12:29 --startdatetime 2017-03-12T18:14:03 --delay 1 --endMP 204:233293 --enddatetime 2017-03-12T18:53:40 --enforcementcount 0 &gt;&gt;C:\Users\stu\Documents\GitHub\eaglep3-reporting\EC\2017-03-12-refined-times.txt</v>
      </c>
      <c r="AI12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{"issue":{"subject":"","project_id":79,"tracker_id":40,"status_id":1,"priority_id":2,"assigned_to_id":23,"start_date":"2017-03-12","description":"","custom_fields":[{"id":1,"name":"Subdivision","value":"EC"},{"id":4,"name":"Milepost","value":"23.3293"},{"id":17,"name":"Train ID","value":"217-12"},{"id":16,"name":"Locomotive ID","value":"4042"},{"id":130,"name":"Impact","value":""},{"id":150,"name":"Time of Event (Mountain Time)","value":"18:53:40"},{"id":151,"name":"Denver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71"/>
        <v>start /low /b %USERPROFILE%\Documents\GitHub\eaglep3\Utilities\DownloadLogsFromS3.py --loco 4042 --day 2017-03-12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"%USERPROFILE%\AppData\Local\Temp\OnboardLogs"\RTDC4042\*4042*20170313* | grep -SE "(Enforcement Action)|(\[TIMEOUT)|(CHR.+\|PRM\|1\|D.+(SWITCH|SIGNAL).+UNKNOWN)" - &gt;&gt; 2017-03-12-UncaughtWiMAX.txt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4041</v>
      </c>
      <c r="C128" s="21" t="s">
        <v>242</v>
      </c>
      <c r="D128" s="21" t="s">
        <v>904</v>
      </c>
      <c r="E128" s="13">
        <v>42806.790462962963</v>
      </c>
      <c r="F128" s="13">
        <v>42806.791481481479</v>
      </c>
      <c r="G128" s="7">
        <v>1</v>
      </c>
      <c r="H128" s="21" t="s">
        <v>208</v>
      </c>
      <c r="I128" s="13">
        <v>42806.827719907407</v>
      </c>
      <c r="J128" s="7">
        <v>0</v>
      </c>
      <c r="K128" s="98" t="str">
        <f t="shared" si="54"/>
        <v>4041/4042</v>
      </c>
      <c r="L128" s="21" t="str">
        <f>VLOOKUP(A128,'Trips&amp;Operators'!$C$1:$G$99999,5,FALSE)</f>
        <v>SMITH MICHAEL</v>
      </c>
      <c r="M128" s="6">
        <f t="shared" si="55"/>
        <v>3.623842592787696E-2</v>
      </c>
      <c r="N128" s="7">
        <f t="shared" si="56"/>
        <v>52.183333336142823</v>
      </c>
      <c r="O128" s="7"/>
      <c r="P128" s="7"/>
      <c r="Q128" s="22"/>
      <c r="R128" s="22"/>
      <c r="S128" s="31">
        <f t="shared" si="57"/>
        <v>1</v>
      </c>
      <c r="T128" s="46" t="str">
        <f t="shared" si="58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59"/>
        <v>https://d0f6bd738d7f1b3e5a7ca70fe4ff75f0.us-east-1.aws.found.io/app/kibana#/discover/Steve-Slow-Train-Analysis-(2080s-and-2083s)?_g=(refreshInterval:(display:Off,pause:!f,section:0,value:0),time:(from:'2017-03-12T17:58:16-600',mode:absolute,to:'2017-03-12T20:51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87" t="str">
        <f t="shared" si="60"/>
        <v>N</v>
      </c>
      <c r="X128" s="187">
        <f t="shared" si="61"/>
        <v>1</v>
      </c>
      <c r="Y128" s="62">
        <f t="shared" si="62"/>
        <v>23.2987</v>
      </c>
      <c r="Z128" s="62">
        <f t="shared" si="63"/>
        <v>1.54E-2</v>
      </c>
      <c r="AA128" s="62">
        <f t="shared" si="64"/>
        <v>23.283300000000001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65"/>
        <v>0218-12</v>
      </c>
      <c r="AE128" s="85" t="str">
        <f t="shared" si="66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28" s="82" t="str">
        <f t="shared" si="67"/>
        <v>"C:\Program Files (x86)\AstroGrep\AstroGrep.exe" /e /r /s /spath="%USERPROFILE%\AppData\Local\Temp\OnboardLogs" /stypes="app*4041*20170313*" /stext=" 01:.+((SYSTEM_STATE.+slice.+state.+changed )|(ment ac)|(multiple cpu faults)|(system.+state.+changed )|(\[timeout)|(PRM\|1\|D)|(kpr)|(kdp)|(\|lc)|(penalty))"</v>
      </c>
      <c r="AG128" s="1" t="str">
        <f t="shared" si="68"/>
        <v>EC</v>
      </c>
      <c r="AH128" s="86" t="str">
        <f t="shared" si="69"/>
        <v>"%USERPROFILE%\Documents\GitHub\eaglep3\Utilities\RefineRTDCRunTimes.py" --tripid 218-12 --locoid 4041 --swversion DE.1.0.9.0 --startMP 204:232987 --initTime 2017-03-12T18:58:16 --startdatetime 2017-03-12T18:59:44 --delay 1 --endMP 204:154 --enddatetime 2017-03-12T19:51:55 --enforcementcount 0 &gt;&gt;C:\Users\stu\Documents\GitHub\eaglep3-reporting\EC\2017-03-12-refined-times.txt</v>
      </c>
      <c r="AI12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{"issue":{"subject":"","project_id":79,"tracker_id":40,"status_id":1,"priority_id":2,"assigned_to_id":23,"start_date":"2017-03-12","description":"","custom_fields":[{"id":1,"name":"Subdivision","value":"EC"},{"id":4,"name":"Milepost","value":"0.0154"},{"id":17,"name":"Train ID","value":"218-12"},{"id":16,"name":"Locomotive ID","value":"4041"},{"id":130,"name":"Impact","value":""},{"id":150,"name":"Time of Event (Mountain Time)","value":"19:51:55"},{"id":151,"name":"Denver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71"/>
        <v>start /low /b %USERPROFILE%\Documents\GitHub\eaglep3\Utilities\DownloadLogsFromS3.py --loco 4041 --day 2017-03-12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"%USERPROFILE%\AppData\Local\Temp\OnboardLogs"\RTDC4041\*4041*20170313* | grep -SE "(Enforcement Action)|(\[TIMEOUT)|(CHR.+\|PRM\|1\|D.+(SWITCH|SIGNAL).+UNKNOWN)" - &gt;&gt; 2017-03-12-UncaughtWiMAX.txt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774</v>
      </c>
      <c r="B129" s="7">
        <v>4027</v>
      </c>
      <c r="C129" s="21" t="s">
        <v>242</v>
      </c>
      <c r="D129" s="21" t="s">
        <v>537</v>
      </c>
      <c r="E129" s="13">
        <v>42806.766412037039</v>
      </c>
      <c r="F129" s="13">
        <v>42806.767997685187</v>
      </c>
      <c r="G129" s="7">
        <v>2</v>
      </c>
      <c r="H129" s="21" t="s">
        <v>925</v>
      </c>
      <c r="I129" s="13">
        <v>42806.799074074072</v>
      </c>
      <c r="J129" s="7">
        <v>0</v>
      </c>
      <c r="K129" s="98" t="str">
        <f t="shared" si="54"/>
        <v>4027/4028</v>
      </c>
      <c r="L129" s="21" t="str">
        <f>VLOOKUP(A129,'Trips&amp;Operators'!$C$1:$G$99999,5,FALSE)</f>
        <v>STAMBAUGH JAMES</v>
      </c>
      <c r="M129" s="6">
        <f t="shared" si="55"/>
        <v>3.1076388884685002E-2</v>
      </c>
      <c r="N129" s="7">
        <f t="shared" si="56"/>
        <v>44.749999993946403</v>
      </c>
      <c r="O129" s="7"/>
      <c r="P129" s="7"/>
      <c r="Q129" s="22"/>
      <c r="R129" s="22"/>
      <c r="S129" s="31">
        <f t="shared" si="57"/>
        <v>1</v>
      </c>
      <c r="T129" s="46" t="str">
        <f t="shared" si="58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59"/>
        <v>https://d0f6bd738d7f1b3e5a7ca70fe4ff75f0.us-east-1.aws.found.io/app/kibana#/discover/Steve-Slow-Train-Analysis-(2080s-and-2083s)?_g=(refreshInterval:(display:Off,pause:!f,section:0,value:0),time:(from:'2017-03-12T17:23:38-600',mode:absolute,to:'2017-03-12T20:10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9" s="187" t="str">
        <f t="shared" si="60"/>
        <v>N</v>
      </c>
      <c r="X129" s="187">
        <f t="shared" si="61"/>
        <v>1</v>
      </c>
      <c r="Y129" s="62">
        <f t="shared" si="62"/>
        <v>4.2599999999999999E-2</v>
      </c>
      <c r="Z129" s="62">
        <f t="shared" si="63"/>
        <v>23.335699999999999</v>
      </c>
      <c r="AA129" s="62">
        <f t="shared" si="64"/>
        <v>23.293099999999999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65"/>
        <v>0219-12</v>
      </c>
      <c r="AE129" s="85" t="str">
        <f t="shared" si="66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29" s="82" t="str">
        <f t="shared" si="67"/>
        <v>"C:\Program Files (x86)\AstroGrep\AstroGrep.exe" /e /r /s /spath="%USERPROFILE%\AppData\Local\Temp\OnboardLogs" /stypes="app*4027*20170313*" /stext=" 01:.+((SYSTEM_STATE.+slice.+state.+changed )|(ment ac)|(multiple cpu faults)|(system.+state.+changed )|(\[timeout)|(PRM\|1\|D)|(kpr)|(kdp)|(\|lc)|(penalty))"</v>
      </c>
      <c r="AG129" s="1" t="str">
        <f t="shared" si="68"/>
        <v>EC</v>
      </c>
      <c r="AH129" s="86" t="str">
        <f t="shared" si="69"/>
        <v>"%USERPROFILE%\Documents\GitHub\eaglep3\Utilities\RefineRTDCRunTimes.py" --tripid 219-12 --locoid 4027 --swversion DE.1.0.9.0 --startMP 204:426 --initTime 2017-03-12T18:23:38 --startdatetime 2017-03-12T18:25:55 --delay 2 --endMP 204:233357 --enddatetime 2017-03-12T19:10:40 --enforcementcount 0 &gt;&gt;C:\Users\stu\Documents\GitHub\eaglep3-reporting\EC\2017-03-12-refined-times.txt</v>
      </c>
      <c r="AI129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{"issue":{"subject":"","project_id":79,"tracker_id":40,"status_id":1,"priority_id":2,"assigned_to_id":23,"start_date":"2017-03-12","description":"","custom_fields":[{"id":1,"name":"Subdivision","value":"EC"},{"id":4,"name":"Milepost","value":"23.3357"},{"id":17,"name":"Train ID","value":"219-12"},{"id":16,"name":"Locomotive ID","value":"4027"},{"id":130,"name":"Impact","value":""},{"id":150,"name":"Time of Event (Mountain Time)","value":"19:10:40"},{"id":151,"name":"Denver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71"/>
        <v>start /low /b %USERPROFILE%\Documents\GitHub\eaglep3\Utilities\DownloadLogsFromS3.py --loco 4027 --day 2017-03-12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"%USERPROFILE%\AppData\Local\Temp\OnboardLogs"\RTDC4027\*4027*20170313* | grep -SE "(Enforcement Action)|(\[TIMEOUT)|(CHR.+\|PRM\|1\|D.+(SWITCH|SIGNAL).+UNKNOWN)" - &gt;&gt; 2017-03-12-UncaughtWiMAX.txt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783</v>
      </c>
      <c r="B130" s="7">
        <v>4028</v>
      </c>
      <c r="C130" s="21" t="s">
        <v>242</v>
      </c>
      <c r="D130" s="21" t="s">
        <v>926</v>
      </c>
      <c r="E130" s="13">
        <v>42806.801736111112</v>
      </c>
      <c r="F130" s="13">
        <v>42806.803043981483</v>
      </c>
      <c r="G130" s="7">
        <v>1</v>
      </c>
      <c r="H130" s="21" t="s">
        <v>866</v>
      </c>
      <c r="I130" s="13">
        <v>42806.837430555555</v>
      </c>
      <c r="J130" s="7">
        <v>0</v>
      </c>
      <c r="K130" s="98" t="str">
        <f t="shared" si="54"/>
        <v>4027/4028</v>
      </c>
      <c r="L130" s="21" t="str">
        <f>VLOOKUP(A130,'Trips&amp;Operators'!$C$1:$G$99999,5,FALSE)</f>
        <v>STAMBAUGH JAMES</v>
      </c>
      <c r="M130" s="6">
        <f t="shared" si="55"/>
        <v>3.4386574072414078E-2</v>
      </c>
      <c r="N130" s="7">
        <f t="shared" si="56"/>
        <v>49.516666664276272</v>
      </c>
      <c r="O130" s="7"/>
      <c r="P130" s="7"/>
      <c r="Q130" s="22"/>
      <c r="R130" s="22"/>
      <c r="S130" s="31">
        <f t="shared" si="57"/>
        <v>1</v>
      </c>
      <c r="T130" s="46" t="str">
        <f t="shared" si="58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59"/>
        <v>https://d0f6bd738d7f1b3e5a7ca70fe4ff75f0.us-east-1.aws.found.io/app/kibana#/discover/Steve-Slow-Train-Analysis-(2080s-and-2083s)?_g=(refreshInterval:(display:Off,pause:!f,section:0,value:0),time:(from:'2017-03-12T18:14:30-600',mode:absolute,to:'2017-03-12T21:05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187" t="str">
        <f t="shared" si="60"/>
        <v>N</v>
      </c>
      <c r="X130" s="187">
        <f t="shared" si="61"/>
        <v>1</v>
      </c>
      <c r="Y130" s="62">
        <f t="shared" si="62"/>
        <v>23.3017</v>
      </c>
      <c r="Z130" s="62">
        <f t="shared" si="63"/>
        <v>1.32E-2</v>
      </c>
      <c r="AA130" s="62">
        <f t="shared" si="64"/>
        <v>23.288499999999999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65"/>
        <v>0220-12</v>
      </c>
      <c r="AE130" s="85" t="str">
        <f t="shared" si="66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130" s="82" t="str">
        <f t="shared" si="67"/>
        <v>"C:\Program Files (x86)\AstroGrep\AstroGrep.exe" /e /r /s /spath="%USERPROFILE%\AppData\Local\Temp\OnboardLogs" /stypes="app*4028*20170313*" /stext=" 02:.+((SYSTEM_STATE.+slice.+state.+changed )|(ment ac)|(multiple cpu faults)|(system.+state.+changed )|(\[timeout)|(PRM\|1\|D)|(kpr)|(kdp)|(\|lc)|(penalty))"</v>
      </c>
      <c r="AG130" s="1" t="str">
        <f t="shared" si="68"/>
        <v>EC</v>
      </c>
      <c r="AH130" s="86" t="str">
        <f t="shared" si="69"/>
        <v>"%USERPROFILE%\Documents\GitHub\eaglep3\Utilities\RefineRTDCRunTimes.py" --tripid 220-12 --locoid 4028 --swversion DE.1.0.9.0 --startMP 204:233017 --initTime 2017-03-12T19:14:30 --startdatetime 2017-03-12T19:16:23 --delay 1 --endMP 204:132 --enddatetime 2017-03-12T20:05:54 --enforcementcount 0 &gt;&gt;C:\Users\stu\Documents\GitHub\eaglep3-reporting\EC\2017-03-12-refined-times.txt</v>
      </c>
      <c r="AI13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{"issue":{"subject":"","project_id":79,"tracker_id":40,"status_id":1,"priority_id":2,"assigned_to_id":23,"start_date":"2017-03-12","description":"","custom_fields":[{"id":1,"name":"Subdivision","value":"EC"},{"id":4,"name":"Milepost","value":"0.0132"},{"id":17,"name":"Train ID","value":"220-12"},{"id":16,"name":"Locomotive ID","value":"4028"},{"id":130,"name":"Impact","value":""},{"id":150,"name":"Time of Event (Mountain Time)","value":"20:05:54"},{"id":151,"name":"Denver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71"/>
        <v>start /low /b %USERPROFILE%\Documents\GitHub\eaglep3\Utilities\DownloadLogsFromS3.py --loco 4028 --day 2017-03-12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"%USERPROFILE%\AppData\Local\Temp\OnboardLogs"\RTDC4028\*4028*20170313* | grep -SE "(Enforcement Action)|(\[TIMEOUT)|(CHR.+\|PRM\|1\|D.+(SWITCH|SIGNAL).+UNKNOWN)" - &gt;&gt; 2017-03-12-UncaughtWiMAX.txt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781</v>
      </c>
      <c r="B131" s="7">
        <v>4006</v>
      </c>
      <c r="C131" s="21" t="s">
        <v>242</v>
      </c>
      <c r="D131" s="21" t="s">
        <v>217</v>
      </c>
      <c r="E131" s="13">
        <v>42806.791250000002</v>
      </c>
      <c r="F131" s="13">
        <v>42806.792037037034</v>
      </c>
      <c r="G131" s="7">
        <v>1</v>
      </c>
      <c r="H131" s="21" t="s">
        <v>541</v>
      </c>
      <c r="I131" s="13">
        <v>42806.818437499998</v>
      </c>
      <c r="J131" s="7">
        <v>0</v>
      </c>
      <c r="K131" s="98" t="str">
        <f t="shared" si="54"/>
        <v>4005/4006</v>
      </c>
      <c r="L131" s="21" t="str">
        <f>VLOOKUP(A131,'Trips&amp;Operators'!$C$1:$G$99999,5,FALSE)</f>
        <v>CHANDLER KELVIN</v>
      </c>
      <c r="M131" s="6">
        <f t="shared" si="55"/>
        <v>2.6400462964375038E-2</v>
      </c>
      <c r="N131" s="7">
        <f t="shared" si="56"/>
        <v>38.016666668700054</v>
      </c>
      <c r="O131" s="7"/>
      <c r="P131" s="7"/>
      <c r="Q131" s="22"/>
      <c r="R131" s="22"/>
      <c r="S131" s="31">
        <f t="shared" si="57"/>
        <v>1</v>
      </c>
      <c r="T131" s="46" t="str">
        <f t="shared" si="58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59"/>
        <v>https://d0f6bd738d7f1b3e5a7ca70fe4ff75f0.us-east-1.aws.found.io/app/kibana#/discover/Steve-Slow-Train-Analysis-(2080s-and-2083s)?_g=(refreshInterval:(display:Off,pause:!f,section:0,value:0),time:(from:'2017-03-12T17:59:24-600',mode:absolute,to:'2017-03-12T20:38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187" t="str">
        <f t="shared" si="60"/>
        <v>N</v>
      </c>
      <c r="X131" s="187">
        <f t="shared" si="61"/>
        <v>1</v>
      </c>
      <c r="Y131" s="62">
        <f t="shared" si="62"/>
        <v>4.5699999999999998E-2</v>
      </c>
      <c r="Z131" s="62">
        <f t="shared" si="63"/>
        <v>23.327999999999999</v>
      </c>
      <c r="AA131" s="62">
        <f t="shared" si="64"/>
        <v>23.282299999999999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65"/>
        <v>0221-12</v>
      </c>
      <c r="AE131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31" s="82" t="str">
        <f t="shared" si="67"/>
        <v>"C:\Program Files (x86)\AstroGrep\AstroGrep.exe" /e /r /s /spath="%USERPROFILE%\AppData\Local\Temp\OnboardLogs" /stypes="app*4006*20170313*" /stext=" 01:.+((SYSTEM_STATE.+slice.+state.+changed )|(ment ac)|(multiple cpu faults)|(system.+state.+changed )|(\[timeout)|(PRM\|1\|D)|(kpr)|(kdp)|(\|lc)|(penalty))"</v>
      </c>
      <c r="AG131" s="1" t="str">
        <f t="shared" si="68"/>
        <v>EC</v>
      </c>
      <c r="AH131" s="86" t="str">
        <f t="shared" si="69"/>
        <v>"%USERPROFILE%\Documents\GitHub\eaglep3\Utilities\RefineRTDCRunTimes.py" --tripid 221-12 --locoid 4006 --swversion DE.1.0.9.0 --startMP 204:457 --initTime 2017-03-12T18:59:24 --startdatetime 2017-03-12T19:00:32 --delay 1 --endMP 204:233280 --enddatetime 2017-03-12T19:38:33 --enforcementcount 0 &gt;&gt;C:\Users\stu\Documents\GitHub\eaglep3-reporting\EC\2017-03-12-refined-times.txt</v>
      </c>
      <c r="AI13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{"issue":{"subject":"","project_id":79,"tracker_id":40,"status_id":1,"priority_id":2,"assigned_to_id":23,"start_date":"2017-03-12","description":"","custom_fields":[{"id":1,"name":"Subdivision","value":"EC"},{"id":4,"name":"Milepost","value":"23.328"},{"id":17,"name":"Train ID","value":"221-12"},{"id":16,"name":"Locomotive ID","value":"4006"},{"id":130,"name":"Impact","value":""},{"id":150,"name":"Time of Event (Mountain Time)","value":"19:38:33"},{"id":151,"name":"Denver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71"/>
        <v>start /low /b %USERPROFILE%\Documents\GitHub\eaglep3\Utilities\DownloadLogsFromS3.py --loco 4006 --day 2017-03-12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"%USERPROFILE%\AppData\Local\Temp\OnboardLogs"\RTDC4006\*4006*20170313* | grep -SE "(Enforcement Action)|(\[TIMEOUT)|(CHR.+\|PRM\|1\|D.+(SWITCH|SIGNAL).+UNKNOWN)" - &gt;&gt; 2017-03-12-UncaughtWiMAX.txt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787</v>
      </c>
      <c r="B132" s="7">
        <v>4005</v>
      </c>
      <c r="C132" s="21" t="s">
        <v>242</v>
      </c>
      <c r="D132" s="21" t="s">
        <v>441</v>
      </c>
      <c r="E132" s="13">
        <v>42806.82708333333</v>
      </c>
      <c r="F132" s="13">
        <v>42806.827743055554</v>
      </c>
      <c r="G132" s="7">
        <v>0</v>
      </c>
      <c r="H132" s="21" t="s">
        <v>841</v>
      </c>
      <c r="I132" s="13">
        <v>42806.859722222223</v>
      </c>
      <c r="J132" s="7">
        <v>0</v>
      </c>
      <c r="K132" s="98" t="str">
        <f t="shared" si="54"/>
        <v>4005/4006</v>
      </c>
      <c r="L132" s="21" t="str">
        <f>VLOOKUP(A132,'Trips&amp;Operators'!$C$1:$G$99999,5,FALSE)</f>
        <v>CHANDLER KELVIN</v>
      </c>
      <c r="M132" s="6">
        <f t="shared" si="55"/>
        <v>3.1979166669771075E-2</v>
      </c>
      <c r="N132" s="7">
        <f t="shared" si="56"/>
        <v>46.050000004470348</v>
      </c>
      <c r="O132" s="7"/>
      <c r="P132" s="7"/>
      <c r="Q132" s="22"/>
      <c r="R132" s="22" t="s">
        <v>993</v>
      </c>
      <c r="S132" s="31">
        <f t="shared" si="57"/>
        <v>1</v>
      </c>
      <c r="T132" s="46" t="str">
        <f t="shared" si="58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59"/>
        <v>https://d0f6bd738d7f1b3e5a7ca70fe4ff75f0.us-east-1.aws.found.io/app/kibana#/discover/Steve-Slow-Train-Analysis-(2080s-and-2083s)?_g=(refreshInterval:(display:Off,pause:!f,section:0,value:0),time:(from:'2017-03-12T18:51:00-600',mode:absolute,to:'2017-03-12T21:38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187" t="str">
        <f t="shared" si="60"/>
        <v>N</v>
      </c>
      <c r="X132" s="187">
        <f t="shared" si="61"/>
        <v>1</v>
      </c>
      <c r="Y132" s="62">
        <f t="shared" si="62"/>
        <v>23.2974</v>
      </c>
      <c r="Z132" s="62">
        <f t="shared" si="63"/>
        <v>1.6899999999999998E-2</v>
      </c>
      <c r="AA132" s="62">
        <f t="shared" si="64"/>
        <v>23.2805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65"/>
        <v>0222-12</v>
      </c>
      <c r="AE132" s="85" t="str">
        <f t="shared" si="66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32" s="82" t="str">
        <f t="shared" si="67"/>
        <v>"C:\Program Files (x86)\AstroGrep\AstroGrep.exe" /e /r /s /spath="%USERPROFILE%\AppData\Local\Temp\OnboardLogs" /stypes="app*4005*20170313*" /stext=" 02:.+((SYSTEM_STATE.+slice.+state.+changed )|(ment ac)|(multiple cpu faults)|(system.+state.+changed )|(\[timeout)|(PRM\|1\|D)|(kpr)|(kdp)|(\|lc)|(penalty))"</v>
      </c>
      <c r="AG132" s="1" t="str">
        <f t="shared" si="68"/>
        <v>EC</v>
      </c>
      <c r="AH132" s="86" t="str">
        <f t="shared" si="69"/>
        <v>"%USERPROFILE%\Documents\GitHub\eaglep3\Utilities\RefineRTDCRunTimes.py" --tripid 222-12 --locoid 4005 --swversion DE.1.0.9.0 --startMP 204:232974 --initTime 2017-03-12T19:51:00 --startdatetime 2017-03-12T19:51:57 --delay 0 --endMP 204:169 --enddatetime 2017-03-12T20:38:00 --enforcementcount 0 &gt;&gt;C:\Users\stu\Documents\GitHub\eaglep3-reporting\EC\2017-03-12-refined-times.txt</v>
      </c>
      <c r="AI132" s="108" t="str">
        <f t="shared" si="70"/>
        <v>echo {"issue":{"subject":"Unhealthy @ Chambers due to train stop","project_id":79,"tracker_id":40,"status_id":1,"priority_id":2,"assigned_to_id":23,"start_date":"2017-03-12","description":"","custom_fields":[{"id":1,"name":"Subdivision","value":"EC"},{"id":4,"name":"Milepost","value":"0.0169"},{"id":17,"name":"Train ID","value":"222-12"},{"id":16,"name":"Locomotive ID","value":"4005"},{"id":130,"name":"Impact","value":""},{"id":150,"name":"Time of Event (Mountain Time)","value":"20:38:00"},{"id":151,"name":"Denver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71"/>
        <v>start /low /b %USERPROFILE%\Documents\GitHub\eaglep3\Utilities\DownloadLogsFromS3.py --loco 4005 --day 2017-03-12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"%USERPROFILE%\AppData\Local\Temp\OnboardLogs"\RTDC4005\*4005*20170313* | grep -SE "(Enforcement Action)|(\[TIMEOUT)|(CHR.+\|PRM\|1\|D.+(SWITCH|SIGNAL).+UNKNOWN)" - &gt;&gt; 2017-03-12-UncaughtWiMAX.txt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785</v>
      </c>
      <c r="B133" s="7">
        <v>4025</v>
      </c>
      <c r="C133" s="21" t="s">
        <v>242</v>
      </c>
      <c r="D133" s="21" t="s">
        <v>216</v>
      </c>
      <c r="E133" s="13">
        <v>42806.807557870372</v>
      </c>
      <c r="F133" s="13">
        <v>42806.808657407404</v>
      </c>
      <c r="G133" s="7">
        <v>1</v>
      </c>
      <c r="H133" s="21" t="s">
        <v>852</v>
      </c>
      <c r="I133" s="13">
        <v>42806.838206018518</v>
      </c>
      <c r="J133" s="7">
        <v>0</v>
      </c>
      <c r="K133" s="98" t="str">
        <f t="shared" si="54"/>
        <v>4025/4026</v>
      </c>
      <c r="L133" s="21" t="str">
        <f>VLOOKUP(A133,'Trips&amp;Operators'!$C$1:$G$99999,5,FALSE)</f>
        <v>NEWELL JAMES</v>
      </c>
      <c r="M133" s="6">
        <f t="shared" si="55"/>
        <v>2.9548611113568768E-2</v>
      </c>
      <c r="N133" s="7">
        <f t="shared" si="56"/>
        <v>42.550000003539026</v>
      </c>
      <c r="O133" s="7"/>
      <c r="P133" s="7"/>
      <c r="Q133" s="22"/>
      <c r="R133" s="22"/>
      <c r="S133" s="31">
        <f t="shared" si="57"/>
        <v>1</v>
      </c>
      <c r="T133" s="46" t="str">
        <f t="shared" si="58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59"/>
        <v>https://d0f6bd738d7f1b3e5a7ca70fe4ff75f0.us-east-1.aws.found.io/app/kibana#/discover/Steve-Slow-Train-Analysis-(2080s-and-2083s)?_g=(refreshInterval:(display:Off,pause:!f,section:0,value:0),time:(from:'2017-03-12T18:22:53-600',mode:absolute,to:'2017-03-12T21:07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187" t="str">
        <f t="shared" si="60"/>
        <v>N</v>
      </c>
      <c r="X133" s="187">
        <f t="shared" si="61"/>
        <v>1</v>
      </c>
      <c r="Y133" s="62">
        <f t="shared" si="62"/>
        <v>4.5100000000000001E-2</v>
      </c>
      <c r="Z133" s="62">
        <f t="shared" si="63"/>
        <v>23.328299999999999</v>
      </c>
      <c r="AA133" s="62">
        <f t="shared" si="64"/>
        <v>23.283199999999997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65"/>
        <v>0223-12</v>
      </c>
      <c r="AE133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133" s="82" t="str">
        <f t="shared" si="67"/>
        <v>"C:\Program Files (x86)\AstroGrep\AstroGrep.exe" /e /r /s /spath="%USERPROFILE%\AppData\Local\Temp\OnboardLogs" /stypes="app*4025*20170313*" /stext=" 02:.+((SYSTEM_STATE.+slice.+state.+changed )|(ment ac)|(multiple cpu faults)|(system.+state.+changed )|(\[timeout)|(PRM\|1\|D)|(kpr)|(kdp)|(\|lc)|(penalty))"</v>
      </c>
      <c r="AG133" s="1" t="str">
        <f t="shared" si="68"/>
        <v>EC</v>
      </c>
      <c r="AH133" s="86" t="str">
        <f t="shared" si="69"/>
        <v>"%USERPROFILE%\Documents\GitHub\eaglep3\Utilities\RefineRTDCRunTimes.py" --tripid 223-12 --locoid 4025 --swversion DE.1.0.9.0 --startMP 204:451 --initTime 2017-03-12T19:22:53 --startdatetime 2017-03-12T19:24:28 --delay 1 --endMP 204:233283 --enddatetime 2017-03-12T20:07:01 --enforcementcount 0 &gt;&gt;C:\Users\stu\Documents\GitHub\eaglep3-reporting\EC\2017-03-12-refined-times.txt</v>
      </c>
      <c r="AI13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{"issue":{"subject":"","project_id":79,"tracker_id":40,"status_id":1,"priority_id":2,"assigned_to_id":23,"start_date":"2017-03-12","description":"","custom_fields":[{"id":1,"name":"Subdivision","value":"EC"},{"id":4,"name":"Milepost","value":"23.3283"},{"id":17,"name":"Train ID","value":"223-12"},{"id":16,"name":"Locomotive ID","value":"4025"},{"id":130,"name":"Impact","value":""},{"id":150,"name":"Time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71"/>
        <v>start /low /b %USERPROFILE%\Documents\GitHub\eaglep3\Utilities\DownloadLogsFromS3.py --loco 4025 --day 2017-03-12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"%USERPROFILE%\AppData\Local\Temp\OnboardLogs"\RTDC4025\*4025*20170313* | grep -SE "(Enforcement Action)|(\[TIMEOUT)|(CHR.+\|PRM\|1\|D.+(SWITCH|SIGNAL).+UNKNOWN)" - &gt;&gt; 2017-03-12-UncaughtWiMAX.txt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790</v>
      </c>
      <c r="B134" s="7">
        <v>4026</v>
      </c>
      <c r="C134" s="21" t="s">
        <v>242</v>
      </c>
      <c r="D134" s="21" t="s">
        <v>429</v>
      </c>
      <c r="E134" s="13">
        <v>42806.83971064815</v>
      </c>
      <c r="F134" s="13">
        <v>42806.840671296297</v>
      </c>
      <c r="G134" s="7">
        <v>1</v>
      </c>
      <c r="H134" s="21" t="s">
        <v>269</v>
      </c>
      <c r="I134" s="13">
        <v>42806.878252314818</v>
      </c>
      <c r="J134" s="7">
        <v>0</v>
      </c>
      <c r="K134" s="98" t="str">
        <f t="shared" si="54"/>
        <v>4025/4026</v>
      </c>
      <c r="L134" s="21" t="str">
        <f>VLOOKUP(A134,'Trips&amp;Operators'!$C$1:$G$99999,5,FALSE)</f>
        <v>NEWELL JAMES</v>
      </c>
      <c r="M134" s="6">
        <f t="shared" si="55"/>
        <v>3.758101852145046E-2</v>
      </c>
      <c r="N134" s="7">
        <f t="shared" si="56"/>
        <v>54.116666670888662</v>
      </c>
      <c r="O134" s="7"/>
      <c r="P134" s="7"/>
      <c r="Q134" s="22"/>
      <c r="R134" s="22"/>
      <c r="S134" s="31">
        <f t="shared" si="57"/>
        <v>1</v>
      </c>
      <c r="T134" s="46" t="str">
        <f t="shared" si="58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59"/>
        <v>https://d0f6bd738d7f1b3e5a7ca70fe4ff75f0.us-east-1.aws.found.io/app/kibana#/discover/Steve-Slow-Train-Analysis-(2080s-and-2083s)?_g=(refreshInterval:(display:Off,pause:!f,section:0,value:0),time:(from:'2017-03-12T19:09:11-600',mode:absolute,to:'2017-03-12T22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187" t="str">
        <f t="shared" si="60"/>
        <v>N</v>
      </c>
      <c r="X134" s="187">
        <f t="shared" si="61"/>
        <v>1</v>
      </c>
      <c r="Y134" s="62">
        <f t="shared" si="62"/>
        <v>23.2989</v>
      </c>
      <c r="Z134" s="62">
        <f t="shared" si="63"/>
        <v>1.61E-2</v>
      </c>
      <c r="AA134" s="62">
        <f t="shared" si="64"/>
        <v>23.282799999999998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65"/>
        <v>0224-12</v>
      </c>
      <c r="AE134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34" s="82" t="str">
        <f t="shared" si="67"/>
        <v>"C:\Program Files (x86)\AstroGrep\AstroGrep.exe" /e /r /s /spath="%USERPROFILE%\AppData\Local\Temp\OnboardLogs" /stypes="app*4026*20170313*" /stext=" 03:.+((SYSTEM_STATE.+slice.+state.+changed )|(ment ac)|(multiple cpu faults)|(system.+state.+changed )|(\[timeout)|(PRM\|1\|D)|(kpr)|(kdp)|(\|lc)|(penalty))"</v>
      </c>
      <c r="AG134" s="1" t="str">
        <f t="shared" si="68"/>
        <v>EC</v>
      </c>
      <c r="AH134" s="86" t="str">
        <f t="shared" si="69"/>
        <v>"%USERPROFILE%\Documents\GitHub\eaglep3\Utilities\RefineRTDCRunTimes.py" --tripid 224-12 --locoid 4026 --swversion DE.1.0.9.0 --startMP 204:232989 --initTime 2017-03-12T20:09:11 --startdatetime 2017-03-12T20:10:34 --delay 1 --endMP 204:161 --enddatetime 2017-03-12T21:04:41 --enforcementcount 0 &gt;&gt;C:\Users\stu\Documents\GitHub\eaglep3-reporting\EC\2017-03-12-refined-times.txt</v>
      </c>
      <c r="AI13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{"issue":{"subject":"","project_id":79,"tracker_id":40,"status_id":1,"priority_id":2,"assigned_to_id":23,"start_date":"2017-03-12","description":"","custom_fields":[{"id":1,"name":"Subdivision","value":"EC"},{"id":4,"name":"Milepost","value":"0.0161"},{"id":17,"name":"Train ID","value":"224-12"},{"id":16,"name":"Locomotive ID","value":"4026"},{"id":130,"name":"Impact","value":""},{"id":150,"name":"Time of Event (Mountain Time)","value":"21:04:41"},{"id":151,"name":"Denver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71"/>
        <v>start /low /b %USERPROFILE%\Documents\GitHub\eaglep3\Utilities\DownloadLogsFromS3.py --loco 4026 --day 2017-03-12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"%USERPROFILE%\AppData\Local\Temp\OnboardLogs"\RTDC4026\*4026*20170313* | grep -SE "(Enforcement Action)|(\[TIMEOUT)|(CHR.+\|PRM\|1\|D.+(SWITCH|SIGNAL).+UNKNOWN)" - &gt;&gt; 2017-03-12-UncaughtWiMAX.txt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788</v>
      </c>
      <c r="B135" s="7">
        <v>4042</v>
      </c>
      <c r="C135" s="21" t="s">
        <v>242</v>
      </c>
      <c r="D135" s="21" t="s">
        <v>493</v>
      </c>
      <c r="E135" s="13">
        <v>42806.828888888886</v>
      </c>
      <c r="F135" s="13">
        <v>42806.830324074072</v>
      </c>
      <c r="G135" s="7">
        <v>2</v>
      </c>
      <c r="H135" s="21" t="s">
        <v>247</v>
      </c>
      <c r="I135" s="13">
        <v>42806.859722222223</v>
      </c>
      <c r="J135" s="7">
        <v>0</v>
      </c>
      <c r="K135" s="98" t="str">
        <f t="shared" si="54"/>
        <v>4041/4042</v>
      </c>
      <c r="L135" s="21" t="str">
        <f>VLOOKUP(A135,'Trips&amp;Operators'!$C$1:$G$99999,5,FALSE)</f>
        <v>SMITH MICHAEL</v>
      </c>
      <c r="M135" s="6">
        <f t="shared" si="55"/>
        <v>2.9398148151813075E-2</v>
      </c>
      <c r="N135" s="7">
        <f t="shared" si="56"/>
        <v>42.333333338610828</v>
      </c>
      <c r="O135" s="7"/>
      <c r="P135" s="7"/>
      <c r="Q135" s="22"/>
      <c r="R135" s="22"/>
      <c r="S135" s="31">
        <f t="shared" si="57"/>
        <v>1</v>
      </c>
      <c r="T135" s="46" t="str">
        <f t="shared" si="58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59"/>
        <v>https://d0f6bd738d7f1b3e5a7ca70fe4ff75f0.us-east-1.aws.found.io/app/kibana#/discover/Steve-Slow-Train-Analysis-(2080s-and-2083s)?_g=(refreshInterval:(display:Off,pause:!f,section:0,value:0),time:(from:'2017-03-12T18:53:36-600',mode:absolute,to:'2017-03-12T21:38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187" t="str">
        <f t="shared" si="60"/>
        <v>N</v>
      </c>
      <c r="X135" s="187">
        <f t="shared" si="61"/>
        <v>1</v>
      </c>
      <c r="Y135" s="62">
        <f t="shared" si="62"/>
        <v>4.6399999999999997E-2</v>
      </c>
      <c r="Z135" s="62">
        <f t="shared" si="63"/>
        <v>23.329699999999999</v>
      </c>
      <c r="AA135" s="62">
        <f t="shared" si="64"/>
        <v>23.283300000000001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65"/>
        <v>0225-12</v>
      </c>
      <c r="AE135" s="85" t="str">
        <f t="shared" si="66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135" s="82" t="str">
        <f t="shared" si="67"/>
        <v>"C:\Program Files (x86)\AstroGrep\AstroGrep.exe" /e /r /s /spath="%USERPROFILE%\AppData\Local\Temp\OnboardLogs" /stypes="app*4042*20170313*" /stext=" 02:.+((SYSTEM_STATE.+slice.+state.+changed )|(ment ac)|(multiple cpu faults)|(system.+state.+changed )|(\[timeout)|(PRM\|1\|D)|(kpr)|(kdp)|(\|lc)|(penalty))"</v>
      </c>
      <c r="AG135" s="1" t="str">
        <f t="shared" si="68"/>
        <v>EC</v>
      </c>
      <c r="AH135" s="86" t="str">
        <f t="shared" si="69"/>
        <v>"%USERPROFILE%\Documents\GitHub\eaglep3\Utilities\RefineRTDCRunTimes.py" --tripid 225-12 --locoid 4042 --swversion DE.1.0.9.0 --startMP 204:464 --initTime 2017-03-12T19:53:36 --startdatetime 2017-03-12T19:55:40 --delay 2 --endMP 204:233297 --enddatetime 2017-03-12T20:38:00 --enforcementcount 0 &gt;&gt;C:\Users\stu\Documents\GitHub\eaglep3-reporting\EC\2017-03-12-refined-times.txt</v>
      </c>
      <c r="AI135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{"issue":{"subject":"","project_id":79,"tracker_id":40,"status_id":1,"priority_id":2,"assigned_to_id":23,"start_date":"2017-03-12","description":"","custom_fields":[{"id":1,"name":"Subdivision","value":"EC"},{"id":4,"name":"Milepost","value":"23.3297"},{"id":17,"name":"Train ID","value":"225-12"},{"id":16,"name":"Locomotive ID","value":"4042"},{"id":130,"name":"Impact","value":""},{"id":150,"name":"Time of Event (Mountain Time)","value":"20:38:00"},{"id":151,"name":"Denver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71"/>
        <v>start /low /b %USERPROFILE%\Documents\GitHub\eaglep3\Utilities\DownloadLogsFromS3.py --loco 4042 --day 2017-03-12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"%USERPROFILE%\AppData\Local\Temp\OnboardLogs"\RTDC4042\*4042*20170313* | grep -SE "(Enforcement Action)|(\[TIMEOUT)|(CHR.+\|PRM\|1\|D.+(SWITCH|SIGNAL).+UNKNOWN)" - &gt;&gt; 2017-03-12-UncaughtWiMAX.txt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797</v>
      </c>
      <c r="B136" s="7">
        <v>4041</v>
      </c>
      <c r="C136" s="21" t="s">
        <v>242</v>
      </c>
      <c r="D136" s="21" t="s">
        <v>439</v>
      </c>
      <c r="E136" s="13">
        <v>42806.86314814815</v>
      </c>
      <c r="F136" s="13">
        <v>42806.863993055558</v>
      </c>
      <c r="G136" s="7">
        <v>1</v>
      </c>
      <c r="H136" s="21" t="s">
        <v>927</v>
      </c>
      <c r="I136" s="13">
        <v>42806.90152777778</v>
      </c>
      <c r="J136" s="7">
        <v>0</v>
      </c>
      <c r="K136" s="98" t="str">
        <f t="shared" si="54"/>
        <v>4041/4042</v>
      </c>
      <c r="L136" s="21" t="str">
        <f>VLOOKUP(A136,'Trips&amp;Operators'!$C$1:$G$99999,5,FALSE)</f>
        <v>SMITH MICHAEL</v>
      </c>
      <c r="M136" s="6">
        <f t="shared" si="55"/>
        <v>3.7534722221607808E-2</v>
      </c>
      <c r="N136" s="7">
        <f t="shared" si="56"/>
        <v>54.049999999115244</v>
      </c>
      <c r="O136" s="7"/>
      <c r="P136" s="7"/>
      <c r="Q136" s="22"/>
      <c r="R136" s="22"/>
      <c r="S136" s="31">
        <f t="shared" si="57"/>
        <v>1</v>
      </c>
      <c r="T136" s="46" t="str">
        <f t="shared" si="58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59"/>
        <v>https://d0f6bd738d7f1b3e5a7ca70fe4ff75f0.us-east-1.aws.found.io/app/kibana#/discover/Steve-Slow-Train-Analysis-(2080s-and-2083s)?_g=(refreshInterval:(display:Off,pause:!f,section:0,value:0),time:(from:'2017-03-12T19:42:56-600',mode:absolute,to:'2017-03-12T22:38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187" t="str">
        <f t="shared" si="60"/>
        <v>N</v>
      </c>
      <c r="X136" s="187">
        <f t="shared" si="61"/>
        <v>1</v>
      </c>
      <c r="Y136" s="62">
        <f t="shared" si="62"/>
        <v>23.298100000000002</v>
      </c>
      <c r="Z136" s="62">
        <f t="shared" si="63"/>
        <v>2.4199999999999999E-2</v>
      </c>
      <c r="AA136" s="62">
        <f t="shared" si="64"/>
        <v>23.273900000000001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65"/>
        <v>0226-12</v>
      </c>
      <c r="AE136" s="85" t="str">
        <f t="shared" si="66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36" s="82" t="str">
        <f t="shared" si="67"/>
        <v>"C:\Program Files (x86)\AstroGrep\AstroGrep.exe" /e /r /s /spath="%USERPROFILE%\AppData\Local\Temp\OnboardLogs" /stypes="app*4041*20170313*" /stext=" 03:.+((SYSTEM_STATE.+slice.+state.+changed )|(ment ac)|(multiple cpu faults)|(system.+state.+changed )|(\[timeout)|(PRM\|1\|D)|(kpr)|(kdp)|(\|lc)|(penalty))"</v>
      </c>
      <c r="AG136" s="1" t="str">
        <f t="shared" si="68"/>
        <v>EC</v>
      </c>
      <c r="AH136" s="86" t="str">
        <f t="shared" si="69"/>
        <v>"%USERPROFILE%\Documents\GitHub\eaglep3\Utilities\RefineRTDCRunTimes.py" --tripid 226-12 --locoid 4041 --swversion DE.1.0.9.0 --startMP 204:232981 --initTime 2017-03-12T20:42:56 --startdatetime 2017-03-12T20:44:09 --delay 1 --endMP 204:242 --enddatetime 2017-03-12T21:38:12 --enforcementcount 0 &gt;&gt;C:\Users\stu\Documents\GitHub\eaglep3-reporting\EC\2017-03-12-refined-times.txt</v>
      </c>
      <c r="AI136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{"issue":{"subject":"","project_id":79,"tracker_id":40,"status_id":1,"priority_id":2,"assigned_to_id":23,"start_date":"2017-03-12","description":"","custom_fields":[{"id":1,"name":"Subdivision","value":"EC"},{"id":4,"name":"Milepost","value":"0.0242"},{"id":17,"name":"Train ID","value":"226-12"},{"id":16,"name":"Locomotive ID","value":"4041"},{"id":130,"name":"Impact","value":""},{"id":150,"name":"Time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71"/>
        <v>start /low /b %USERPROFILE%\Documents\GitHub\eaglep3\Utilities\DownloadLogsFromS3.py --loco 4041 --day 2017-03-12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"%USERPROFILE%\AppData\Local\Temp\OnboardLogs"\RTDC4041\*4041*20170313* | grep -SE "(Enforcement Action)|(\[TIMEOUT)|(CHR.+\|PRM\|1\|D.+(SWITCH|SIGNAL).+UNKNOWN)" - &gt;&gt; 2017-03-12-UncaughtWiMAX.txt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791</v>
      </c>
      <c r="B137" s="7">
        <v>4027</v>
      </c>
      <c r="C137" s="21" t="s">
        <v>242</v>
      </c>
      <c r="D137" s="21" t="s">
        <v>234</v>
      </c>
      <c r="E137" s="13">
        <v>42806.845219907409</v>
      </c>
      <c r="F137" s="13">
        <v>42806.846354166664</v>
      </c>
      <c r="G137" s="7">
        <v>1</v>
      </c>
      <c r="H137" s="21" t="s">
        <v>246</v>
      </c>
      <c r="I137" s="13">
        <v>42806.881527777776</v>
      </c>
      <c r="J137" s="7">
        <v>0</v>
      </c>
      <c r="K137" s="98" t="str">
        <f t="shared" si="54"/>
        <v>4027/4028</v>
      </c>
      <c r="L137" s="21" t="str">
        <f>VLOOKUP(A137,'Trips&amp;Operators'!$C$1:$G$99999,5,FALSE)</f>
        <v>SAFIEF AEIMEN</v>
      </c>
      <c r="M137" s="6">
        <f t="shared" si="55"/>
        <v>3.51736111115315E-2</v>
      </c>
      <c r="N137" s="7">
        <f t="shared" si="56"/>
        <v>50.65000000060536</v>
      </c>
      <c r="O137" s="7"/>
      <c r="P137" s="7"/>
      <c r="Q137" s="22"/>
      <c r="R137" s="22"/>
      <c r="S137" s="31">
        <f t="shared" si="57"/>
        <v>1</v>
      </c>
      <c r="T137" s="46" t="str">
        <f t="shared" si="58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59"/>
        <v>https://d0f6bd738d7f1b3e5a7ca70fe4ff75f0.us-east-1.aws.found.io/app/kibana#/discover/Steve-Slow-Train-Analysis-(2080s-and-2083s)?_g=(refreshInterval:(display:Off,pause:!f,section:0,value:0),time:(from:'2017-03-12T19:17:07-600',mode:absolute,to:'2017-03-12T22:09:24-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87" t="str">
        <f t="shared" si="60"/>
        <v>N</v>
      </c>
      <c r="X137" s="187">
        <f t="shared" si="61"/>
        <v>1</v>
      </c>
      <c r="Y137" s="62">
        <f t="shared" si="62"/>
        <v>4.4400000000000002E-2</v>
      </c>
      <c r="Z137" s="62">
        <f t="shared" si="63"/>
        <v>23.331399999999999</v>
      </c>
      <c r="AA137" s="62">
        <f t="shared" si="64"/>
        <v>23.286999999999999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65"/>
        <v>0227-12</v>
      </c>
      <c r="AE137" s="85" t="str">
        <f t="shared" si="66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37" s="82" t="str">
        <f t="shared" si="67"/>
        <v>"C:\Program Files (x86)\AstroGrep\AstroGrep.exe" /e /r /s /spath="%USERPROFILE%\AppData\Local\Temp\OnboardLogs" /stypes="app*4027*20170313*" /stext=" 03:.+((SYSTEM_STATE.+slice.+state.+changed )|(ment ac)|(multiple cpu faults)|(system.+state.+changed )|(\[timeout)|(PRM\|1\|D)|(kpr)|(kdp)|(\|lc)|(penalty))"</v>
      </c>
      <c r="AG137" s="1" t="str">
        <f t="shared" si="68"/>
        <v>EC</v>
      </c>
      <c r="AH137" s="86" t="str">
        <f t="shared" si="69"/>
        <v>"%USERPROFILE%\Documents\GitHub\eaglep3\Utilities\RefineRTDCRunTimes.py" --tripid 227-12 --locoid 4027 --swversion DE.1.0.9.0 --startMP 204:444 --initTime 2017-03-12T20:17:07 --startdatetime 2017-03-12T20:18:45 --delay 1 --endMP 204:233314 --enddatetime 2017-03-12T21:09:24 --enforcementcount 0 &gt;&gt;C:\Users\stu\Documents\GitHub\eaglep3-reporting\EC\2017-03-12-refined-times.txt</v>
      </c>
      <c r="AI137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{"issue":{"subject":"","project_id":79,"tracker_id":40,"status_id":1,"priority_id":2,"assigned_to_id":23,"start_date":"2017-03-12","description":"","custom_fields":[{"id":1,"name":"Subdivision","value":"EC"},{"id":4,"name":"Milepost","value":"23.3314"},{"id":17,"name":"Train ID","value":"227-12"},{"id":16,"name":"Locomotive ID","value":"4027"},{"id":130,"name":"Impact","value":""},{"id":150,"name":"Time of Event (Mountain Time)","value":"21:09:24"},{"id":151,"name":"Denver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71"/>
        <v>start /low /b %USERPROFILE%\Documents\GitHub\eaglep3\Utilities\DownloadLogsFromS3.py --loco 4027 --day 2017-03-12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"%USERPROFILE%\AppData\Local\Temp\OnboardLogs"\RTDC4027\*4027*20170313* | grep -SE "(Enforcement Action)|(\[TIMEOUT)|(CHR.+\|PRM\|1\|D.+(SWITCH|SIGNAL).+UNKNOWN)" - &gt;&gt; 2017-03-12-UncaughtWiMAX.txt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800</v>
      </c>
      <c r="B138" s="7">
        <v>4028</v>
      </c>
      <c r="C138" s="21" t="s">
        <v>242</v>
      </c>
      <c r="D138" s="21" t="s">
        <v>904</v>
      </c>
      <c r="E138" s="13">
        <v>42806.883506944447</v>
      </c>
      <c r="F138" s="13">
        <v>42806.884571759256</v>
      </c>
      <c r="G138" s="7">
        <v>1</v>
      </c>
      <c r="H138" s="21" t="s">
        <v>269</v>
      </c>
      <c r="I138" s="13">
        <v>42806.921909722223</v>
      </c>
      <c r="J138" s="7">
        <v>0</v>
      </c>
      <c r="K138" s="98" t="str">
        <f t="shared" si="54"/>
        <v>4027/4028</v>
      </c>
      <c r="L138" s="21" t="str">
        <f>VLOOKUP(A138,'Trips&amp;Operators'!$C$1:$G$99999,5,FALSE)</f>
        <v>SAFIEF AEIMEN</v>
      </c>
      <c r="M138" s="6">
        <f t="shared" si="55"/>
        <v>3.7337962967285421E-2</v>
      </c>
      <c r="N138" s="7">
        <f t="shared" si="56"/>
        <v>53.766666672891006</v>
      </c>
      <c r="O138" s="7"/>
      <c r="P138" s="7"/>
      <c r="Q138" s="22"/>
      <c r="R138" s="22"/>
      <c r="S138" s="31">
        <f t="shared" si="57"/>
        <v>1</v>
      </c>
      <c r="T138" s="46" t="str">
        <f t="shared" si="58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59"/>
        <v>https://d0f6bd738d7f1b3e5a7ca70fe4ff75f0.us-east-1.aws.found.io/app/kibana#/discover/Steve-Slow-Train-Analysis-(2080s-and-2083s)?_g=(refreshInterval:(display:Off,pause:!f,section:0,value:0),time:(from:'2017-03-12T20:12:15-600',mode:absolute,to:'2017-03-12T23:07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187" t="str">
        <f t="shared" si="60"/>
        <v>N</v>
      </c>
      <c r="X138" s="187">
        <f t="shared" si="61"/>
        <v>1</v>
      </c>
      <c r="Y138" s="62">
        <f t="shared" si="62"/>
        <v>23.2987</v>
      </c>
      <c r="Z138" s="62">
        <f t="shared" si="63"/>
        <v>1.61E-2</v>
      </c>
      <c r="AA138" s="62">
        <f t="shared" si="64"/>
        <v>23.282599999999999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65"/>
        <v>0228-12</v>
      </c>
      <c r="AE138" s="85" t="str">
        <f t="shared" si="66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138" s="82" t="str">
        <f t="shared" si="67"/>
        <v>"C:\Program Files (x86)\AstroGrep\AstroGrep.exe" /e /r /s /spath="%USERPROFILE%\AppData\Local\Temp\OnboardLogs" /stypes="app*4028*20170313*" /stext=" 04:.+((SYSTEM_STATE.+slice.+state.+changed )|(ment ac)|(multiple cpu faults)|(system.+state.+changed )|(\[timeout)|(PRM\|1\|D)|(kpr)|(kdp)|(\|lc)|(penalty))"</v>
      </c>
      <c r="AG138" s="1" t="str">
        <f t="shared" si="68"/>
        <v>EC</v>
      </c>
      <c r="AH138" s="86" t="str">
        <f t="shared" si="69"/>
        <v>"%USERPROFILE%\Documents\GitHub\eaglep3\Utilities\RefineRTDCRunTimes.py" --tripid 228-12 --locoid 4028 --swversion DE.1.0.9.0 --startMP 204:232987 --initTime 2017-03-12T21:12:15 --startdatetime 2017-03-12T21:13:47 --delay 1 --endMP 204:161 --enddatetime 2017-03-12T22:07:33 --enforcementcount 0 &gt;&gt;C:\Users\stu\Documents\GitHub\eaglep3-reporting\EC\2017-03-12-refined-times.txt</v>
      </c>
      <c r="AI138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{"issue":{"subject":"","project_id":79,"tracker_id":40,"status_id":1,"priority_id":2,"assigned_to_id":23,"start_date":"2017-03-12","description":"","custom_fields":[{"id":1,"name":"Subdivision","value":"EC"},{"id":4,"name":"Milepost","value":"0.0161"},{"id":17,"name":"Train ID","value":"228-12"},{"id":16,"name":"Locomotive ID","value":"4028"},{"id":130,"name":"Impact","value":""},{"id":150,"name":"Time of Event (Mountain Time)","value":"22:07:33"},{"id":151,"name":"Denver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71"/>
        <v>start /low /b %USERPROFILE%\Documents\GitHub\eaglep3\Utilities\DownloadLogsFromS3.py --loco 4028 --day 2017-03-12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"%USERPROFILE%\AppData\Local\Temp\OnboardLogs"\RTDC4028\*4028*20170313* | grep -SE "(Enforcement Action)|(\[TIMEOUT)|(CHR.+\|PRM\|1\|D.+(SWITCH|SIGNAL).+UNKNOWN)" - &gt;&gt; 2017-03-12-UncaughtWiMAX.txt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798</v>
      </c>
      <c r="B139" s="7">
        <v>4006</v>
      </c>
      <c r="C139" s="21" t="s">
        <v>242</v>
      </c>
      <c r="D139" s="21" t="s">
        <v>928</v>
      </c>
      <c r="E139" s="13">
        <v>42806.887395833335</v>
      </c>
      <c r="F139" s="13">
        <v>42806.887974537036</v>
      </c>
      <c r="G139" s="7">
        <v>0</v>
      </c>
      <c r="H139" s="21" t="s">
        <v>929</v>
      </c>
      <c r="I139" s="13">
        <v>42806.910682870373</v>
      </c>
      <c r="J139" s="7">
        <v>0</v>
      </c>
      <c r="K139" s="98" t="str">
        <f t="shared" si="54"/>
        <v>4005/4006</v>
      </c>
      <c r="L139" s="21" t="str">
        <f>VLOOKUP(A139,'Trips&amp;Operators'!$C$1:$G$99999,5,FALSE)</f>
        <v>CHANDLER KELVIN</v>
      </c>
      <c r="M139" s="6">
        <f t="shared" si="55"/>
        <v>2.2708333337504882E-2</v>
      </c>
      <c r="N139" s="7"/>
      <c r="O139" s="7"/>
      <c r="P139" s="7">
        <f>24*60*SUM($M139:$M140)</f>
        <v>35.416666679084301</v>
      </c>
      <c r="Q139" s="22"/>
      <c r="R139" s="22" t="s">
        <v>987</v>
      </c>
      <c r="S139" s="31">
        <f t="shared" si="57"/>
        <v>0.75</v>
      </c>
      <c r="T139" s="46" t="str">
        <f t="shared" si="58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9</v>
      </c>
      <c r="V139" s="186" t="str">
        <f t="shared" si="59"/>
        <v>https://d0f6bd738d7f1b3e5a7ca70fe4ff75f0.us-east-1.aws.found.io/app/kibana#/discover/Steve-Slow-Train-Analysis-(2080s-and-2083s)?_g=(refreshInterval:(display:Off,pause:!f,section:0,value:0),time:(from:'2017-03-12T20:17:51-600',mode:absolute,to:'2017-03-12T22:51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187" t="str">
        <f t="shared" si="60"/>
        <v>Y</v>
      </c>
      <c r="X139" s="187">
        <f t="shared" si="61"/>
        <v>1</v>
      </c>
      <c r="Y139" s="62">
        <f t="shared" si="62"/>
        <v>3.7176999999999998</v>
      </c>
      <c r="Z139" s="62">
        <f t="shared" si="63"/>
        <v>23.329799999999999</v>
      </c>
      <c r="AA139" s="62">
        <f t="shared" si="64"/>
        <v>19.612099999999998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65"/>
        <v>0229-12</v>
      </c>
      <c r="AE139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39" s="82" t="str">
        <f t="shared" si="67"/>
        <v>"C:\Program Files (x86)\AstroGrep\AstroGrep.exe" /e /r /s /spath="%USERPROFILE%\AppData\Local\Temp\OnboardLogs" /stypes="app*4006*20170313*" /stext=" 03:.+((SYSTEM_STATE.+slice.+state.+changed )|(ment ac)|(multiple cpu faults)|(system.+state.+changed )|(\[timeout)|(PRM\|1\|D)|(kpr)|(kdp)|(\|lc)|(penalty))"</v>
      </c>
      <c r="AG139" s="1" t="str">
        <f t="shared" si="68"/>
        <v>EC</v>
      </c>
      <c r="AH139" s="86" t="str">
        <f t="shared" si="69"/>
        <v>"%USERPROFILE%\Documents\GitHub\eaglep3\Utilities\RefineRTDCRunTimes.py" --tripid 229-12 --locoid 4006 --swversion DE.1.0.9.0 --startMP 204:37177 --initTime 2017-03-12T21:17:51 --startdatetime 2017-03-12T21:18:41 --delay 0 --endMP 204:233298 --enddatetime 2017-03-12T21:51:23 --enforcementcount 0 &gt;&gt;C:\Users\stu\Documents\GitHub\eaglep3-reporting\EC\2017-03-12-refined-times.txt</v>
      </c>
      <c r="AI139" s="108" t="str">
        <f t="shared" si="70"/>
        <v>echo {"issue":{"subject":"Onboard in-route failure","project_id":79,"tracker_id":40,"status_id":1,"priority_id":2,"assigned_to_id":23,"start_date":"2017-03-12","description":"","custom_fields":[{"id":1,"name":"Subdivision","value":"EC"},{"id":4,"name":"Milepost","value":"23.3298"},{"id":17,"name":"Train ID","value":"229-12"},{"id":16,"name":"Locomotive ID","value":"4006"},{"id":130,"name":"Impact","value":""},{"id":150,"name":"Time of Event (Mountain Time)","value":"21:51:23"},{"id":151,"name":"Denver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71"/>
        <v>start /low /b %USERPROFILE%\Documents\GitHub\eaglep3\Utilities\DownloadLogsFromS3.py --loco 4006 --day 2017-03-12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"%USERPROFILE%\AppData\Local\Temp\OnboardLogs"\RTDC4006\*4006*20170313* | grep -SE "(Enforcement Action)|(\[TIMEOUT)|(CHR.+\|PRM\|1\|D.+(SWITCH|SIGNAL).+UNKNOWN)" - &gt;&gt; 2017-03-12-UncaughtWiMAX.txt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798</v>
      </c>
      <c r="B140" s="7">
        <v>4006</v>
      </c>
      <c r="C140" s="21" t="s">
        <v>242</v>
      </c>
      <c r="D140" s="21" t="s">
        <v>277</v>
      </c>
      <c r="E140" s="13">
        <v>42806.874131944445</v>
      </c>
      <c r="F140" s="13">
        <v>42806.874965277777</v>
      </c>
      <c r="G140" s="7">
        <v>1</v>
      </c>
      <c r="H140" s="21" t="s">
        <v>277</v>
      </c>
      <c r="I140" s="13">
        <v>42806.876851851855</v>
      </c>
      <c r="J140" s="7">
        <v>0</v>
      </c>
      <c r="K140" s="98" t="str">
        <f t="shared" si="54"/>
        <v>4005/4006</v>
      </c>
      <c r="L140" s="21" t="str">
        <f>VLOOKUP(A140,'Trips&amp;Operators'!$C$1:$G$99999,5,FALSE)</f>
        <v>CHANDLER KELVIN</v>
      </c>
      <c r="M140" s="6">
        <f t="shared" si="55"/>
        <v>1.8865740785258822E-3</v>
      </c>
      <c r="N140" s="7"/>
      <c r="O140" s="7"/>
      <c r="P140" s="7"/>
      <c r="Q140" s="22"/>
      <c r="R140" s="22"/>
      <c r="S140" s="31"/>
      <c r="T140" s="46" t="str">
        <f t="shared" si="58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86" t="str">
        <f t="shared" si="59"/>
        <v>https://d0f6bd738d7f1b3e5a7ca70fe4ff75f0.us-east-1.aws.found.io/app/kibana#/discover/Steve-Slow-Train-Analysis-(2080s-and-2083s)?_g=(refreshInterval:(display:Off,pause:!f,section:0,value:0),time:(from:'2017-03-12T19:58:45-600',mode:absolute,to:'2017-03-12T22:02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0" s="187" t="str">
        <f t="shared" si="60"/>
        <v>Y</v>
      </c>
      <c r="X140" s="187">
        <f t="shared" si="61"/>
        <v>0</v>
      </c>
      <c r="Y140" s="62">
        <f t="shared" si="62"/>
        <v>4.7800000000000002E-2</v>
      </c>
      <c r="Z140" s="62">
        <f t="shared" si="63"/>
        <v>4.7800000000000002E-2</v>
      </c>
      <c r="AA140" s="62">
        <f t="shared" si="64"/>
        <v>0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65"/>
        <v>0229-12</v>
      </c>
      <c r="AE140" s="85" t="str">
        <f t="shared" si="66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40" s="82" t="str">
        <f t="shared" si="67"/>
        <v>"C:\Program Files (x86)\AstroGrep\AstroGrep.exe" /e /r /s /spath="%USERPROFILE%\AppData\Local\Temp\OnboardLogs" /stypes="app*4006*20170313*" /stext=" 03:.+((SYSTEM_STATE.+slice.+state.+changed )|(ment ac)|(multiple cpu faults)|(system.+state.+changed )|(\[timeout)|(PRM\|1\|D)|(kpr)|(kdp)|(\|lc)|(penalty))"</v>
      </c>
      <c r="AG140" s="1" t="str">
        <f t="shared" si="68"/>
        <v>EC</v>
      </c>
      <c r="AH140" s="86" t="str">
        <f t="shared" si="69"/>
        <v>"%USERPROFILE%\Documents\GitHub\eaglep3\Utilities\RefineRTDCRunTimes.py" --tripid 229-12 --locoid 4006 --swversion DE.1.0.9.0 --startMP 204:478 --initTime 2017-03-12T20:58:45 --startdatetime 2017-03-12T20:59:57 --delay 1 --endMP 204:478 --enddatetime 2017-03-12T21:02:40 --enforcementcount 0 &gt;&gt;C:\Users\stu\Documents\GitHub\eaglep3-reporting\EC\2017-03-12-refined-times.txt</v>
      </c>
      <c r="AI140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{"issue":{"subject":"","project_id":79,"tracker_id":40,"status_id":1,"priority_id":2,"assigned_to_id":23,"start_date":"2017-03-12","description":"","custom_fields":[{"id":1,"name":"Subdivision","value":"EC"},{"id":4,"name":"Milepost","value":"0.0478"},{"id":17,"name":"Train ID","value":"229-12"},{"id":16,"name":"Locomotive ID","value":"4006"},{"id":130,"name":"Impact","value":""},{"id":150,"name":"Time of Event (Mountain Time)","value":"21:02:40"},{"id":151,"name":"Denver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71"/>
        <v>start /low /b %USERPROFILE%\Documents\GitHub\eaglep3\Utilities\DownloadLogsFromS3.py --loco 4006 --day 2017-03-12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"%USERPROFILE%\AppData\Local\Temp\OnboardLogs"\RTDC4006\*4006*20170313* | grep -SE "(Enforcement Action)|(\[TIMEOUT)|(CHR.+\|PRM\|1\|D.+(SWITCH|SIGNAL).+UNKNOWN)" - &gt;&gt; 2017-03-12-UncaughtWiMAX.txt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804</v>
      </c>
      <c r="B141" s="7">
        <v>4005</v>
      </c>
      <c r="C141" s="21" t="s">
        <v>242</v>
      </c>
      <c r="D141" s="21" t="s">
        <v>832</v>
      </c>
      <c r="E141" s="13">
        <v>42806.912858796299</v>
      </c>
      <c r="F141" s="13">
        <v>42806.913680555554</v>
      </c>
      <c r="G141" s="7">
        <v>1</v>
      </c>
      <c r="H141" s="21" t="s">
        <v>208</v>
      </c>
      <c r="I141" s="13">
        <v>42806.945069444446</v>
      </c>
      <c r="J141" s="7">
        <v>0</v>
      </c>
      <c r="K141" s="98" t="str">
        <f t="shared" si="54"/>
        <v>4005/4006</v>
      </c>
      <c r="L141" s="21" t="str">
        <f>VLOOKUP(A141,'Trips&amp;Operators'!$C$1:$G$99999,5,FALSE)</f>
        <v>CHANDLER KELVIN</v>
      </c>
      <c r="M141" s="6">
        <f t="shared" si="55"/>
        <v>3.1388888892251998E-2</v>
      </c>
      <c r="N141" s="7">
        <f t="shared" si="56"/>
        <v>45.200000004842877</v>
      </c>
      <c r="O141" s="7"/>
      <c r="P141" s="7"/>
      <c r="Q141" s="22"/>
      <c r="R141" s="22"/>
      <c r="S141" s="31">
        <f t="shared" si="57"/>
        <v>1</v>
      </c>
      <c r="T141" s="46" t="str">
        <f t="shared" si="58"/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59"/>
        <v>https://d0f6bd738d7f1b3e5a7ca70fe4ff75f0.us-east-1.aws.found.io/app/kibana#/discover/Steve-Slow-Train-Analysis-(2080s-and-2083s)?_g=(refreshInterval:(display:Off,pause:!f,section:0,value:0),time:(from:'2017-03-12T20:54:31-600',mode:absolute,to:'2017-03-12T23:40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1" s="187" t="str">
        <f t="shared" si="60"/>
        <v>N</v>
      </c>
      <c r="X141" s="187">
        <f t="shared" si="61"/>
        <v>1</v>
      </c>
      <c r="Y141" s="62">
        <f t="shared" si="62"/>
        <v>23.295999999999999</v>
      </c>
      <c r="Z141" s="62">
        <f t="shared" si="63"/>
        <v>1.54E-2</v>
      </c>
      <c r="AA141" s="62">
        <f t="shared" si="64"/>
        <v>23.2806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65"/>
        <v>0230-12</v>
      </c>
      <c r="AE141" s="85" t="str">
        <f t="shared" si="66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41" s="82" t="str">
        <f t="shared" si="67"/>
        <v>"C:\Program Files (x86)\AstroGrep\AstroGrep.exe" /e /r /s /spath="%USERPROFILE%\AppData\Local\Temp\OnboardLogs" /stypes="app*4005*20170313*" /stext=" 04:.+((SYSTEM_STATE.+slice.+state.+changed )|(ment ac)|(multiple cpu faults)|(system.+state.+changed )|(\[timeout)|(PRM\|1\|D)|(kpr)|(kdp)|(\|lc)|(penalty))"</v>
      </c>
      <c r="AG141" s="1" t="str">
        <f t="shared" si="68"/>
        <v>EC</v>
      </c>
      <c r="AH141" s="86" t="str">
        <f t="shared" si="69"/>
        <v>"%USERPROFILE%\Documents\GitHub\eaglep3\Utilities\RefineRTDCRunTimes.py" --tripid 230-12 --locoid 4005 --swversion DE.1.0.9.0 --startMP 204:232960 --initTime 2017-03-12T21:54:31 --startdatetime 2017-03-12T21:55:42 --delay 1 --endMP 204:154 --enddatetime 2017-03-12T22:40:54 --enforcementcount 0 &gt;&gt;C:\Users\stu\Documents\GitHub\eaglep3-reporting\EC\2017-03-12-refined-times.txt</v>
      </c>
      <c r="AI141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{"issue":{"subject":"","project_id":79,"tracker_id":40,"status_id":1,"priority_id":2,"assigned_to_id":23,"start_date":"2017-03-12","description":"","custom_fields":[{"id":1,"name":"Subdivision","value":"EC"},{"id":4,"name":"Milepost","value":"0.0154"},{"id":17,"name":"Train ID","value":"230-12"},{"id":16,"name":"Locomotive ID","value":"4005"},{"id":130,"name":"Impact","value":""},{"id":150,"name":"Time of Event (Mountain Time)","value":"22:40:54"},{"id":151,"name":"Denver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71"/>
        <v>start /low /b %USERPROFILE%\Documents\GitHub\eaglep3\Utilities\DownloadLogsFromS3.py --loco 4005 --day 2017-03-12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"%USERPROFILE%\AppData\Local\Temp\OnboardLogs"\RTDC4005\*4005*20170313* | grep -SE "(Enforcement Action)|(\[TIMEOUT)|(CHR.+\|PRM\|1\|D.+(SWITCH|SIGNAL).+UNKNOWN)" - &gt;&gt; 2017-03-12-UncaughtWiMAX.txt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799</v>
      </c>
      <c r="B142" s="7">
        <v>4025</v>
      </c>
      <c r="C142" s="21" t="s">
        <v>242</v>
      </c>
      <c r="D142" s="21" t="s">
        <v>217</v>
      </c>
      <c r="E142" s="13">
        <v>42806.87939814815</v>
      </c>
      <c r="F142" s="13">
        <v>42806.880300925928</v>
      </c>
      <c r="G142" s="7">
        <v>1</v>
      </c>
      <c r="H142" s="21" t="s">
        <v>547</v>
      </c>
      <c r="I142" s="13">
        <v>42806.921053240738</v>
      </c>
      <c r="J142" s="7">
        <v>0</v>
      </c>
      <c r="K142" s="98" t="str">
        <f t="shared" si="54"/>
        <v>4025/4026</v>
      </c>
      <c r="L142" s="21" t="str">
        <f>VLOOKUP(A142,'Trips&amp;Operators'!$C$1:$G$99999,5,FALSE)</f>
        <v>NEWELL JAMES</v>
      </c>
      <c r="M142" s="6">
        <f t="shared" si="55"/>
        <v>4.075231480965158E-2</v>
      </c>
      <c r="N142" s="7">
        <f t="shared" si="56"/>
        <v>58.683333325898275</v>
      </c>
      <c r="O142" s="7"/>
      <c r="P142" s="7"/>
      <c r="Q142" s="22"/>
      <c r="R142" s="22"/>
      <c r="S142" s="31">
        <f t="shared" si="57"/>
        <v>1</v>
      </c>
      <c r="T142" s="46" t="str">
        <f t="shared" si="58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9"/>
        <v>https://d0f6bd738d7f1b3e5a7ca70fe4ff75f0.us-east-1.aws.found.io/app/kibana#/discover/Steve-Slow-Train-Analysis-(2080s-and-2083s)?_g=(refreshInterval:(display:Off,pause:!f,section:0,value:0),time:(from:'2017-03-12T20:06:20-600',mode:absolute,to:'2017-03-12T23:06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87" t="str">
        <f t="shared" si="60"/>
        <v>N</v>
      </c>
      <c r="X142" s="187">
        <f t="shared" si="61"/>
        <v>1</v>
      </c>
      <c r="Y142" s="62">
        <f t="shared" si="62"/>
        <v>4.5699999999999998E-2</v>
      </c>
      <c r="Z142" s="62">
        <f t="shared" si="63"/>
        <v>23.331700000000001</v>
      </c>
      <c r="AA142" s="62">
        <f t="shared" si="64"/>
        <v>23.286000000000001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5"/>
        <v>0231-12</v>
      </c>
      <c r="AE142" s="85" t="str">
        <f t="shared" si="66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142" s="82" t="str">
        <f t="shared" si="67"/>
        <v>"C:\Program Files (x86)\AstroGrep\AstroGrep.exe" /e /r /s /spath="%USERPROFILE%\AppData\Local\Temp\OnboardLogs" /stypes="app*4025*20170313*" /stext=" 04:.+((SYSTEM_STATE.+slice.+state.+changed )|(ment ac)|(multiple cpu faults)|(system.+state.+changed )|(\[timeout)|(PRM\|1\|D)|(kpr)|(kdp)|(\|lc)|(penalty))"</v>
      </c>
      <c r="AG142" s="1" t="str">
        <f t="shared" si="68"/>
        <v>EC</v>
      </c>
      <c r="AH142" s="86" t="str">
        <f t="shared" si="69"/>
        <v>"%USERPROFILE%\Documents\GitHub\eaglep3\Utilities\RefineRTDCRunTimes.py" --tripid 231-12 --locoid 4025 --swversion DE.1.0.9.0 --startMP 204:457 --initTime 2017-03-12T21:06:20 --startdatetime 2017-03-12T21:07:38 --delay 1 --endMP 204:233317 --enddatetime 2017-03-12T22:06:19 --enforcementcount 0 &gt;&gt;C:\Users\stu\Documents\GitHub\eaglep3-reporting\EC\2017-03-12-refined-times.txt</v>
      </c>
      <c r="AI142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{"issue":{"subject":"","project_id":79,"tracker_id":40,"status_id":1,"priority_id":2,"assigned_to_id":23,"start_date":"2017-03-12","description":"","custom_fields":[{"id":1,"name":"Subdivision","value":"EC"},{"id":4,"name":"Milepost","value":"23.3317"},{"id":17,"name":"Train ID","value":"231-12"},{"id":16,"name":"Locomotive ID","value":"4025"},{"id":130,"name":"Impact","value":""},{"id":150,"name":"Time of Event (Mountain Time)","value":"22:06:19"},{"id":151,"name":"Denver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71"/>
        <v>start /low /b %USERPROFILE%\Documents\GitHub\eaglep3\Utilities\DownloadLogsFromS3.py --loco 4025 --day 2017-03-12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"%USERPROFILE%\AppData\Local\Temp\OnboardLogs"\RTDC4025\*4025*20170313* | grep -SE "(Enforcement Action)|(\[TIMEOUT)|(CHR.+\|PRM\|1\|D.+(SWITCH|SIGNAL).+UNKNOWN)" - &gt;&gt; 2017-03-12-UncaughtWiMAX.txt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807</v>
      </c>
      <c r="B143" s="7">
        <v>4026</v>
      </c>
      <c r="C143" s="21" t="s">
        <v>242</v>
      </c>
      <c r="D143" s="21" t="s">
        <v>271</v>
      </c>
      <c r="E143" s="13">
        <v>42806.931944444441</v>
      </c>
      <c r="F143" s="13">
        <v>42806.932708333334</v>
      </c>
      <c r="G143" s="7">
        <v>1</v>
      </c>
      <c r="H143" s="21" t="s">
        <v>184</v>
      </c>
      <c r="I143" s="13">
        <v>42806.962824074071</v>
      </c>
      <c r="J143" s="7">
        <v>0</v>
      </c>
      <c r="K143" s="98" t="str">
        <f t="shared" si="54"/>
        <v>4025/4026</v>
      </c>
      <c r="L143" s="21" t="str">
        <f>VLOOKUP(A143,'Trips&amp;Operators'!$C$1:$G$99999,5,FALSE)</f>
        <v>NEWELL JAMES</v>
      </c>
      <c r="M143" s="6">
        <f t="shared" si="55"/>
        <v>3.011574073752854E-2</v>
      </c>
      <c r="N143" s="7">
        <f t="shared" si="56"/>
        <v>43.366666662041098</v>
      </c>
      <c r="O143" s="7"/>
      <c r="P143" s="7"/>
      <c r="Q143" s="22"/>
      <c r="R143" s="22"/>
      <c r="S143" s="31">
        <f t="shared" si="57"/>
        <v>1</v>
      </c>
      <c r="T143" s="46" t="str">
        <f t="shared" si="58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9"/>
        <v>https://d0f6bd738d7f1b3e5a7ca70fe4ff75f0.us-east-1.aws.found.io/app/kibana#/discover/Steve-Slow-Train-Analysis-(2080s-and-2083s)?_g=(refreshInterval:(display:Off,pause:!f,section:0,value:0),time:(from:'2017-03-12T21:22:00-600',mode:absolute,to:'2017-03-13T00:06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187" t="str">
        <f t="shared" si="60"/>
        <v>N</v>
      </c>
      <c r="X143" s="187">
        <f t="shared" si="61"/>
        <v>1</v>
      </c>
      <c r="Y143" s="62">
        <f t="shared" si="62"/>
        <v>23.299099999999999</v>
      </c>
      <c r="Z143" s="62">
        <f t="shared" si="63"/>
        <v>1.49E-2</v>
      </c>
      <c r="AA143" s="62">
        <f t="shared" si="64"/>
        <v>23.284199999999998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5"/>
        <v>0232-12</v>
      </c>
      <c r="AE143" s="85" t="str">
        <f t="shared" si="66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43" s="82" t="str">
        <f t="shared" si="67"/>
        <v>"C:\Program Files (x86)\AstroGrep\AstroGrep.exe" /e /r /s /spath="%USERPROFILE%\AppData\Local\Temp\OnboardLogs" /stypes="app*4026*20170313*" /stext=" 05:.+((SYSTEM_STATE.+slice.+state.+changed )|(ment ac)|(multiple cpu faults)|(system.+state.+changed )|(\[timeout)|(PRM\|1\|D)|(kpr)|(kdp)|(\|lc)|(penalty))"</v>
      </c>
      <c r="AG143" s="1" t="str">
        <f t="shared" si="68"/>
        <v>EC</v>
      </c>
      <c r="AH143" s="86" t="str">
        <f t="shared" si="69"/>
        <v>"%USERPROFILE%\Documents\GitHub\eaglep3\Utilities\RefineRTDCRunTimes.py" --tripid 232-12 --locoid 4026 --swversion DE.1.0.9.0 --startMP 204:232991 --initTime 2017-03-12T22:22:00 --startdatetime 2017-03-12T22:23:06 --delay 1 --endMP 204:149 --enddatetime 2017-03-12T23:06:28 --enforcementcount 0 &gt;&gt;C:\Users\stu\Documents\GitHub\eaglep3-reporting\EC\2017-03-12-refined-times.txt</v>
      </c>
      <c r="AI143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{"issue":{"subject":"","project_id":79,"tracker_id":40,"status_id":1,"priority_id":2,"assigned_to_id":23,"start_date":"2017-03-12","description":"","custom_fields":[{"id":1,"name":"Subdivision","value":"EC"},{"id":4,"name":"Milepost","value":"0.0149"},{"id":17,"name":"Train ID","value":"232-12"},{"id":16,"name":"Locomotive ID","value":"4026"},{"id":130,"name":"Impact","value":""},{"id":150,"name":"Time of Event (Mountain Time)","value":"23:06:28"},{"id":151,"name":"Denver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71"/>
        <v>start /low /b %USERPROFILE%\Documents\GitHub\eaglep3\Utilities\DownloadLogsFromS3.py --loco 4026 --day 2017-03-12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"%USERPROFILE%\AppData\Local\Temp\OnboardLogs"\RTDC4026\*4026*20170313* | grep -SE "(Enforcement Action)|(\[TIMEOUT)|(CHR.+\|PRM\|1\|D.+(SWITCH|SIGNAL).+UNKNOWN)" - &gt;&gt; 2017-03-12-UncaughtWiMAX.txt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803</v>
      </c>
      <c r="B144" s="7">
        <v>4042</v>
      </c>
      <c r="C144" s="21" t="s">
        <v>242</v>
      </c>
      <c r="D144" s="21" t="s">
        <v>930</v>
      </c>
      <c r="E144" s="13">
        <v>42806.905046296299</v>
      </c>
      <c r="F144" s="13">
        <v>42806.906064814815</v>
      </c>
      <c r="G144" s="7">
        <v>1</v>
      </c>
      <c r="H144" s="21" t="s">
        <v>931</v>
      </c>
      <c r="I144" s="13">
        <v>42806.942881944444</v>
      </c>
      <c r="J144" s="7">
        <v>0</v>
      </c>
      <c r="K144" s="98" t="str">
        <f t="shared" ref="K144:K204" si="72">IF(ISEVEN(B144),(B144-1)&amp;"/"&amp;B144,B144&amp;"/"&amp;(B144+1))</f>
        <v>4041/4042</v>
      </c>
      <c r="L144" s="21" t="str">
        <f>VLOOKUP(A144,'Trips&amp;Operators'!$C$1:$G$99999,5,FALSE)</f>
        <v>SMITH MICHAEL</v>
      </c>
      <c r="M144" s="6">
        <f t="shared" ref="M144:M204" si="73">I144-F144</f>
        <v>3.6817129628616385E-2</v>
      </c>
      <c r="N144" s="7">
        <f t="shared" ref="N144:P204" si="74">24*60*SUM($M144:$M144)</f>
        <v>53.016666665207595</v>
      </c>
      <c r="O144" s="7"/>
      <c r="P144" s="7"/>
      <c r="Q144" s="22"/>
      <c r="R144" s="22"/>
      <c r="S144" s="31">
        <f t="shared" ref="S144:S204" si="75">SUM(U144:U144)/IF(AG144="EC",12,1)</f>
        <v>1</v>
      </c>
      <c r="T144" s="46" t="str">
        <f t="shared" ref="T144:T204" si="76">IF(ISEVEN(LEFT(AD144,4)),"Southbound","NorthBound")</f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ref="V144:V204" si="77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-03-12T20:43:16-600',mode:absolute,to:'2017-03-12T23:37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187" t="str">
        <f t="shared" ref="W144:W204" si="78">IF(AA144&lt;IF(AG144="EC",23,5.65),"Y","N")</f>
        <v>N</v>
      </c>
      <c r="X144" s="187">
        <f t="shared" ref="X144:X204" si="79">VALUE(LEFT(AD144,4))-VALUE(LEFT(AD143,4))</f>
        <v>1</v>
      </c>
      <c r="Y144" s="62">
        <f t="shared" ref="Y144:Y204" si="80">RIGHT(D144,LEN(D144)-4)/10000</f>
        <v>5.4600000000000003E-2</v>
      </c>
      <c r="Z144" s="62">
        <f t="shared" ref="Z144:Z204" si="81">RIGHT(H144,LEN(H144)-4)/10000</f>
        <v>23.3383</v>
      </c>
      <c r="AA144" s="62">
        <f t="shared" ref="AA144:AA204" si="82">ABS(Z144-Y144)</f>
        <v>23.2837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ref="AD144:AD204" si="83">IF(LEN(A144)=6,"0"&amp;A144,A144)</f>
        <v>0233-12</v>
      </c>
      <c r="AE144" s="85" t="str">
        <f t="shared" ref="AE144:AE204" si="84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144" s="82" t="str">
        <f t="shared" ref="AF144:AF204" si="85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/stypes="app*4042*20170313*" /stext=" 04:.+((SYSTEM_STATE.+slice.+state.+changed )|(ment ac)|(multiple cpu faults)|(system.+state.+changed )|(\[timeout)|(PRM\|1\|D)|(kpr)|(kdp)|(\|lc)|(penalty))"</v>
      </c>
      <c r="AG144" s="1" t="str">
        <f t="shared" ref="AG144:AG204" si="86">IFERROR(IF(VALUE(LEFT(AD144,2))&lt;=2,"EC",IF(OR(VALUE(LEFT(AD144,2))=8,VALUE(LEFT(AD144,2))=18),"NW","Other")),"Other")</f>
        <v>EC</v>
      </c>
      <c r="AH144" s="86" t="str">
        <f t="shared" si="69"/>
        <v>"%USERPROFILE%\Documents\GitHub\eaglep3\Utilities\RefineRTDCRunTimes.py" --tripid 233-12 --locoid 4042 --swversion DE.1.0.9.0 --startMP 204:546 --initTime 2017-03-12T21:43:16 --startdatetime 2017-03-12T21:44:44 --delay 1 --endMP 204:233383 --enddatetime 2017-03-12T22:37:45 --enforcementcount 0 &gt;&gt;C:\Users\stu\Documents\GitHub\eaglep3-reporting\EC\2017-03-12-refined-times.txt</v>
      </c>
      <c r="AI144" s="108" t="str">
        <f t="shared" si="70"/>
        <v>echo {"issue":{"subject":"","project_id":79,"tracker_id":40,"status_id":1,"priority_id":2,"assigned_to_id":23,"start_date":"2017-03-12","description":"","custom_fields":[{"id":1,"name":"Subdivision","value":"EC"},{"id":4,"name":"Milepost","value":"23.3383"},{"id":17,"name":"Train ID","value":"233-12"},{"id":16,"name":"Locomotive ID","value":"4042"},{"id":130,"name":"Impact","value":""},{"id":150,"name":"Time of Event (Mountain Time)","value":"22:37:45"},{"id":151,"name":"Denver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1"/>
        <v>start /low /b %USERPROFILE%\Documents\GitHub\eaglep3\Utilities\DownloadLogsFromS3.py --loco 4042 --day 2017-03-12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"%USERPROFILE%\AppData\Local\Temp\OnboardLogs"\RTDC4042\*4042*20170313* | grep -SE "(Enforcement Action)|(\[TIMEOUT)|(CHR.+\|PRM\|1\|D.+(SWITCH|SIGNAL).+UNKNOWN)" - &gt;&gt; 2017-03-12-UncaughtWiMAX.txt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809</v>
      </c>
      <c r="B145" s="7">
        <v>4041</v>
      </c>
      <c r="C145" s="21" t="s">
        <v>242</v>
      </c>
      <c r="D145" s="21" t="s">
        <v>932</v>
      </c>
      <c r="E145" s="13">
        <v>42806.948472222219</v>
      </c>
      <c r="F145" s="13">
        <v>42806.94940972222</v>
      </c>
      <c r="G145" s="7">
        <v>1</v>
      </c>
      <c r="H145" s="21" t="s">
        <v>418</v>
      </c>
      <c r="I145" s="13">
        <v>42806.984050925923</v>
      </c>
      <c r="J145" s="7">
        <v>0</v>
      </c>
      <c r="K145" s="98" t="str">
        <f t="shared" si="72"/>
        <v>4041/4042</v>
      </c>
      <c r="L145" s="21" t="str">
        <f>VLOOKUP(A145,'Trips&amp;Operators'!$C$1:$G$99999,5,FALSE)</f>
        <v>SMITH MICHAEL</v>
      </c>
      <c r="M145" s="6">
        <f t="shared" si="73"/>
        <v>3.4641203703358769E-2</v>
      </c>
      <c r="N145" s="7">
        <f t="shared" si="74"/>
        <v>49.883333332836628</v>
      </c>
      <c r="O145" s="7"/>
      <c r="P145" s="7"/>
      <c r="Q145" s="22"/>
      <c r="R145" s="22"/>
      <c r="S145" s="31">
        <f t="shared" si="75"/>
        <v>1</v>
      </c>
      <c r="T145" s="46" t="str">
        <f t="shared" si="76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77"/>
        <v>https://d0f6bd738d7f1b3e5a7ca70fe4ff75f0.us-east-1.aws.found.io/app/kibana#/discover/Steve-Slow-Train-Analysis-(2080s-and-2083s)?_g=(refreshInterval:(display:Off,pause:!f,section:0,value:0),time:(from:'2017-03-12T21:45:48-600',mode:absolute,to:'2017-03-13T00:37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187" t="str">
        <f t="shared" si="78"/>
        <v>N</v>
      </c>
      <c r="X145" s="187">
        <f t="shared" si="79"/>
        <v>1</v>
      </c>
      <c r="Y145" s="62">
        <f t="shared" si="80"/>
        <v>23.307200000000002</v>
      </c>
      <c r="Z145" s="62">
        <f t="shared" si="81"/>
        <v>1.43E-2</v>
      </c>
      <c r="AA145" s="62">
        <f t="shared" si="82"/>
        <v>23.292900000000003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83"/>
        <v>0234-12</v>
      </c>
      <c r="AE145" s="85" t="str">
        <f t="shared" si="84"/>
        <v>aws s3 cp s3://rtdc.mdm.uploadarchive.raw/RTDC4041/ "%USERPROFILE%\AppData\Local\Temp\OnboardLogs"\RTDC4041\2017-03-12 --exclude "*" --recursive --include "*20170312*" &amp; "%USERPROFILE%\Documents\GitHub\mrs-test-scripts\Headless Mode &amp; Sideloading\WalkAndUnGZ.bat" "%USERPROFILE%\AppData\Local\Temp\OnboardLogs"\RTDC4041\2017-03-12 &amp; 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</v>
      </c>
      <c r="AF145" s="82" t="str">
        <f t="shared" si="85"/>
        <v>"C:\Program Files (x86)\AstroGrep\AstroGrep.exe" /e /r /s /spath="%USERPROFILE%\AppData\Local\Temp\OnboardLogs" /stypes="app*4041*20170313*" /stext=" 05:.+((SYSTEM_STATE.+slice.+state.+changed )|(ment ac)|(multiple cpu faults)|(system.+state.+changed )|(\[timeout)|(PRM\|1\|D)|(kpr)|(kdp)|(\|lc)|(penalty))"</v>
      </c>
      <c r="AG145" s="1" t="str">
        <f t="shared" si="86"/>
        <v>EC</v>
      </c>
      <c r="AH145" s="86" t="str">
        <f t="shared" ref="AH145:AH205" si="87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234-12 --locoid 4041 --swversion DE.1.0.9.0 --startMP 204:233072 --initTime 2017-03-12T22:45:48 --startdatetime 2017-03-12T22:47:09 --delay 1 --endMP 204:143 --enddatetime 2017-03-12T23:37:02 --enforcementcount 0 &gt;&gt;C:\Users\stu\Documents\GitHub\eaglep3-reporting\EC\2017-03-12-refined-times.txt</v>
      </c>
      <c r="AI145" s="108" t="str">
        <f t="shared" ref="AI145:AI205" si="88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{"issue":{"subject":"","project_id":79,"tracker_id":40,"status_id":1,"priority_id":2,"assigned_to_id":23,"start_date":"2017-03-12","description":"","custom_fields":[{"id":1,"name":"Subdivision","value":"EC"},{"id":4,"name":"Milepost","value":"0.0143"},{"id":17,"name":"Train ID","value":"234-12"},{"id":16,"name":"Locomotive ID","value":"4041"},{"id":130,"name":"Impact","value":""},{"id":150,"name":"Time of Event (Mountain Time)","value":"23:37:02"},{"id":151,"name":"Denver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:AM205" si="89">"start /low /b "&amp;dls3logs&amp;" --loco "&amp;B145&amp;" --day "&amp;TEXT(F145,"YYYY-MM-DD")</f>
        <v>start /low /b %USERPROFILE%\Documents\GitHub\eaglep3\Utilities\DownloadLogsFromS3.py --loco 4041 --day 2017-03-12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"%USERPROFILE%\AppData\Local\Temp\OnboardLogs"\RTDC4041\*4041*20170313* | grep -SE "(Enforcement Action)|(\[TIMEOUT)|(CHR.+\|PRM\|1\|D.+(SWITCH|SIGNAL).+UNKNOWN)" - &gt;&gt; 2017-03-12-UncaughtWiMAX.txt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4027</v>
      </c>
      <c r="C146" s="21" t="s">
        <v>242</v>
      </c>
      <c r="D146" s="21" t="s">
        <v>556</v>
      </c>
      <c r="E146" s="13">
        <v>42806.924050925925</v>
      </c>
      <c r="F146" s="13">
        <v>42806.925115740742</v>
      </c>
      <c r="G146" s="7">
        <v>1</v>
      </c>
      <c r="H146" s="21" t="s">
        <v>912</v>
      </c>
      <c r="I146" s="13">
        <v>42806.964085648149</v>
      </c>
      <c r="J146" s="7">
        <v>0</v>
      </c>
      <c r="K146" s="98" t="str">
        <f t="shared" si="72"/>
        <v>4027/4028</v>
      </c>
      <c r="L146" s="21" t="str">
        <f>VLOOKUP(A146,'Trips&amp;Operators'!$C$1:$G$99999,5,FALSE)</f>
        <v>STAMBAUGH JAMES</v>
      </c>
      <c r="M146" s="6">
        <f t="shared" si="73"/>
        <v>3.8969907407590654E-2</v>
      </c>
      <c r="N146" s="7">
        <f t="shared" si="74"/>
        <v>56.116666666930541</v>
      </c>
      <c r="O146" s="7"/>
      <c r="P146" s="7"/>
      <c r="Q146" s="22"/>
      <c r="R146" s="22"/>
      <c r="S146" s="31">
        <f t="shared" si="75"/>
        <v>1</v>
      </c>
      <c r="T146" s="46" t="str">
        <f t="shared" si="76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77"/>
        <v>https://d0f6bd738d7f1b3e5a7ca70fe4ff75f0.us-east-1.aws.found.io/app/kibana#/discover/Steve-Slow-Train-Analysis-(2080s-and-2083s)?_g=(refreshInterval:(display:Off,pause:!f,section:0,value:0),time:(from:'2017-03-12T21:10:38-600',mode:absolute,to:'2017-03-13T00:08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7" t="str">
        <f t="shared" si="78"/>
        <v>N</v>
      </c>
      <c r="X146" s="187">
        <f t="shared" si="79"/>
        <v>1</v>
      </c>
      <c r="Y146" s="62">
        <f t="shared" si="80"/>
        <v>4.6199999999999998E-2</v>
      </c>
      <c r="Z146" s="62">
        <f t="shared" si="81"/>
        <v>23.334</v>
      </c>
      <c r="AA146" s="62">
        <f t="shared" si="82"/>
        <v>23.287800000000001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83"/>
        <v>0235-12</v>
      </c>
      <c r="AE146" s="85" t="str">
        <f t="shared" si="84"/>
        <v>aws s3 cp s3://rtdc.mdm.uploadarchive.raw/RTDC4027/ "%USERPROFILE%\AppData\Local\Temp\OnboardLogs"\RTDC4027\2017-03-12 --exclude "*" --recursive --include "*20170312*" &amp; "%USERPROFILE%\Documents\GitHub\mrs-test-scripts\Headless Mode &amp; Sideloading\WalkAndUnGZ.bat" "%USERPROFILE%\AppData\Local\Temp\OnboardLogs"\RTDC4027\2017-03-12 &amp; 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</v>
      </c>
      <c r="AF146" s="82" t="str">
        <f t="shared" si="85"/>
        <v>"C:\Program Files (x86)\AstroGrep\AstroGrep.exe" /e /r /s /spath="%USERPROFILE%\AppData\Local\Temp\OnboardLogs" /stypes="app*4027*20170313*" /stext=" 05:.+((SYSTEM_STATE.+slice.+state.+changed )|(ment ac)|(multiple cpu faults)|(system.+state.+changed )|(\[timeout)|(PRM\|1\|D)|(kpr)|(kdp)|(\|lc)|(penalty))"</v>
      </c>
      <c r="AG146" s="1" t="str">
        <f t="shared" si="86"/>
        <v>EC</v>
      </c>
      <c r="AH146" s="86" t="str">
        <f t="shared" si="87"/>
        <v>"%USERPROFILE%\Documents\GitHub\eaglep3\Utilities\RefineRTDCRunTimes.py" --tripid 235-12 --locoid 4027 --swversion DE.1.0.9.0 --startMP 204:462 --initTime 2017-03-12T22:10:38 --startdatetime 2017-03-12T22:12:10 --delay 1 --endMP 204:233340 --enddatetime 2017-03-12T23:08:17 --enforcementcount 0 &gt;&gt;C:\Users\stu\Documents\GitHub\eaglep3-reporting\EC\2017-03-12-refined-times.txt</v>
      </c>
      <c r="AI146" s="108" t="str">
        <f t="shared" si="88"/>
        <v>echo {"issue":{"subject":"","project_id":79,"tracker_id":40,"status_id":1,"priority_id":2,"assigned_to_id":23,"start_date":"2017-03-12","description":"","custom_fields":[{"id":1,"name":"Subdivision","value":"EC"},{"id":4,"name":"Milepost","value":"23.334"},{"id":17,"name":"Train ID","value":"235-12"},{"id":16,"name":"Locomotive ID","value":"4027"},{"id":130,"name":"Impact","value":""},{"id":150,"name":"Time of Event (Mountain Time)","value":"23:08:17"},{"id":151,"name":"Denver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89"/>
        <v>start /low /b %USERPROFILE%\Documents\GitHub\eaglep3\Utilities\DownloadLogsFromS3.py --loco 4027 --day 2017-03-12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"%USERPROFILE%\AppData\Local\Temp\OnboardLogs"\RTDC4027\*4027*20170313* | grep -SE "(Enforcement Action)|(\[TIMEOUT)|(CHR.+\|PRM\|1\|D.+(SWITCH|SIGNAL).+UNKNOWN)" - &gt;&gt; 2017-03-12-UncaughtWiMAX.txt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811</v>
      </c>
      <c r="B147" s="7">
        <v>4028</v>
      </c>
      <c r="C147" s="21" t="s">
        <v>242</v>
      </c>
      <c r="D147" s="21" t="s">
        <v>856</v>
      </c>
      <c r="E147" s="13">
        <v>42806.97488425926</v>
      </c>
      <c r="F147" s="13">
        <v>42806.975717592592</v>
      </c>
      <c r="G147" s="7">
        <v>1</v>
      </c>
      <c r="H147" s="21" t="s">
        <v>228</v>
      </c>
      <c r="I147" s="13">
        <v>42807.004548611112</v>
      </c>
      <c r="J147" s="7">
        <v>0</v>
      </c>
      <c r="K147" s="98" t="str">
        <f t="shared" si="72"/>
        <v>4027/4028</v>
      </c>
      <c r="L147" s="21" t="str">
        <f>VLOOKUP(A147,'Trips&amp;Operators'!$C$1:$G$99999,5,FALSE)</f>
        <v>STAMBAUGH JAMES</v>
      </c>
      <c r="M147" s="6">
        <f t="shared" si="73"/>
        <v>2.8831018520577345E-2</v>
      </c>
      <c r="N147" s="7">
        <f t="shared" si="74"/>
        <v>41.516666669631377</v>
      </c>
      <c r="O147" s="7"/>
      <c r="P147" s="7"/>
      <c r="Q147" s="22"/>
      <c r="R147" s="22"/>
      <c r="S147" s="31">
        <f t="shared" si="75"/>
        <v>1</v>
      </c>
      <c r="T147" s="46" t="str">
        <f t="shared" si="76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77"/>
        <v>https://d0f6bd738d7f1b3e5a7ca70fe4ff75f0.us-east-1.aws.found.io/app/kibana#/discover/Steve-Slow-Train-Analysis-(2080s-and-2083s)?_g=(refreshInterval:(display:Off,pause:!f,section:0,value:0),time:(from:'2017-03-12T22:23:50-600',mode:absolute,to:'2017-03-13T01:06:33-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7" t="str">
        <f t="shared" si="78"/>
        <v>N</v>
      </c>
      <c r="X147" s="187">
        <f t="shared" si="79"/>
        <v>1</v>
      </c>
      <c r="Y147" s="62">
        <f t="shared" si="80"/>
        <v>23.300799999999999</v>
      </c>
      <c r="Z147" s="62">
        <f t="shared" si="81"/>
        <v>1.3899999999999999E-2</v>
      </c>
      <c r="AA147" s="62">
        <f t="shared" si="82"/>
        <v>23.286899999999999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83"/>
        <v>0236-12</v>
      </c>
      <c r="AE147" s="85" t="str">
        <f t="shared" si="84"/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AF147" s="82" t="str">
        <f t="shared" si="85"/>
        <v>"C:\Program Files (x86)\AstroGrep\AstroGrep.exe" /e /r /s /spath="%USERPROFILE%\AppData\Local\Temp\OnboardLogs" /stypes="app*4028*20170313*" /stext=" 06:.+((SYSTEM_STATE.+slice.+state.+changed )|(ment ac)|(multiple cpu faults)|(system.+state.+changed )|(\[timeout)|(PRM\|1\|D)|(kpr)|(kdp)|(\|lc)|(penalty))"</v>
      </c>
      <c r="AG147" s="1" t="str">
        <f t="shared" si="86"/>
        <v>EC</v>
      </c>
      <c r="AH147" s="86" t="str">
        <f t="shared" si="87"/>
        <v>"%USERPROFILE%\Documents\GitHub\eaglep3\Utilities\RefineRTDCRunTimes.py" --tripid 236-12 --locoid 4028 --swversion DE.1.0.9.0 --startMP 204:233008 --initTime 2017-03-12T23:23:50 --startdatetime 2017-03-12T23:25:02 --delay 1 --endMP 204:139 --enddatetime 2017-03-13T00:06:33 --enforcementcount 0 &gt;&gt;C:\Users\stu\Documents\GitHub\eaglep3-reporting\EC\2017-03-12-refined-times.txt</v>
      </c>
      <c r="AI147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{"issue":{"subject":"","project_id":79,"tracker_id":40,"status_id":1,"priority_id":2,"assigned_to_id":23,"start_date":"2017-03-13","description":"","custom_fields":[{"id":1,"name":"Subdivision","value":"EC"},{"id":4,"name":"Milepost","value":"0.0139"},{"id":17,"name":"Train ID","value":"236-12"},{"id":16,"name":"Locomotive ID","value":"4028"},{"id":130,"name":"Impact","value":""},{"id":150,"name":"Time of Event (Mountain Time)","value":"00:06:33"},{"id":151,"name":"Denver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89"/>
        <v>start /low /b %USERPROFILE%\Documents\GitHub\eaglep3\Utilities\DownloadLogsFromS3.py --loco 4028 --day 2017-03-12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"%USERPROFILE%\AppData\Local\Temp\OnboardLogs"\RTDC4028\*4028*20170313* | grep -SE "(Enforcement Action)|(\[TIMEOUT)|(CHR.+\|PRM\|1\|D.+(SWITCH|SIGNAL).+UNKNOWN)" - &gt;&gt; 2017-03-12-UncaughtWiMAX.txt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810</v>
      </c>
      <c r="B148" s="7">
        <v>4006</v>
      </c>
      <c r="C148" s="21" t="s">
        <v>242</v>
      </c>
      <c r="D148" s="21" t="s">
        <v>502</v>
      </c>
      <c r="E148" s="13">
        <v>42806.956087962964</v>
      </c>
      <c r="F148" s="13">
        <v>42806.957152777781</v>
      </c>
      <c r="G148" s="7">
        <v>1</v>
      </c>
      <c r="H148" s="21" t="s">
        <v>555</v>
      </c>
      <c r="I148" s="13">
        <v>42806.984861111108</v>
      </c>
      <c r="J148" s="7">
        <v>0</v>
      </c>
      <c r="K148" s="98" t="str">
        <f t="shared" si="72"/>
        <v>4005/4006</v>
      </c>
      <c r="L148" s="21" t="str">
        <f>VLOOKUP(A148,'Trips&amp;Operators'!$C$1:$G$99999,5,FALSE)</f>
        <v>CHANDLER KELVIN</v>
      </c>
      <c r="M148" s="6">
        <f t="shared" si="73"/>
        <v>2.770833332760958E-2</v>
      </c>
      <c r="N148" s="7">
        <f t="shared" si="74"/>
        <v>39.899999991757795</v>
      </c>
      <c r="O148" s="7"/>
      <c r="P148" s="7"/>
      <c r="Q148" s="22"/>
      <c r="R148" s="22"/>
      <c r="S148" s="31">
        <f t="shared" si="75"/>
        <v>1</v>
      </c>
      <c r="T148" s="46" t="str">
        <f t="shared" si="76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77"/>
        <v>https://d0f6bd738d7f1b3e5a7ca70fe4ff75f0.us-east-1.aws.found.io/app/kibana#/discover/Steve-Slow-Train-Analysis-(2080s-and-2083s)?_g=(refreshInterval:(display:Off,pause:!f,section:0,value:0),time:(from:'2017-03-12T21:56:46-600',mode:absolute,to:'2017-03-13T00:38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187" t="str">
        <f t="shared" si="78"/>
        <v>N</v>
      </c>
      <c r="X148" s="187">
        <f t="shared" si="79"/>
        <v>1</v>
      </c>
      <c r="Y148" s="62">
        <f t="shared" si="80"/>
        <v>4.8599999999999997E-2</v>
      </c>
      <c r="Z148" s="62">
        <f t="shared" si="81"/>
        <v>23.3278</v>
      </c>
      <c r="AA148" s="62">
        <f t="shared" si="82"/>
        <v>23.279199999999999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83"/>
        <v>0237-12</v>
      </c>
      <c r="AE148" s="85" t="str">
        <f t="shared" si="84"/>
        <v>aws s3 cp s3://rtdc.mdm.uploadarchive.raw/RTDC4006/ "%USERPROFILE%\AppData\Local\Temp\OnboardLogs"\RTDC4006\2017-03-12 --exclude "*" --recursive --include "*20170312*" &amp; "%USERPROFILE%\Documents\GitHub\mrs-test-scripts\Headless Mode &amp; Sideloading\WalkAndUnGZ.bat" "%USERPROFILE%\AppData\Local\Temp\OnboardLogs"\RTDC4006\2017-03-12 &amp; 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</v>
      </c>
      <c r="AF148" s="82" t="str">
        <f t="shared" si="85"/>
        <v>"C:\Program Files (x86)\AstroGrep\AstroGrep.exe" /e /r /s /spath="%USERPROFILE%\AppData\Local\Temp\OnboardLogs" /stypes="app*4006*20170313*" /stext=" 05:.+((SYSTEM_STATE.+slice.+state.+changed )|(ment ac)|(multiple cpu faults)|(system.+state.+changed )|(\[timeout)|(PRM\|1\|D)|(kpr)|(kdp)|(\|lc)|(penalty))"</v>
      </c>
      <c r="AG148" s="1" t="str">
        <f t="shared" si="86"/>
        <v>EC</v>
      </c>
      <c r="AH148" s="86" t="str">
        <f t="shared" si="87"/>
        <v>"%USERPROFILE%\Documents\GitHub\eaglep3\Utilities\RefineRTDCRunTimes.py" --tripid 237-12 --locoid 4006 --swversion DE.1.0.9.0 --startMP 204:486 --initTime 2017-03-12T22:56:46 --startdatetime 2017-03-12T22:58:18 --delay 1 --endMP 204:233278 --enddatetime 2017-03-12T23:38:12 --enforcementcount 0 &gt;&gt;C:\Users\stu\Documents\GitHub\eaglep3-reporting\EC\2017-03-12-refined-times.txt</v>
      </c>
      <c r="AI148" s="108" t="str">
        <f t="shared" si="88"/>
        <v>echo {"issue":{"subject":"","project_id":79,"tracker_id":40,"status_id":1,"priority_id":2,"assigned_to_id":23,"start_date":"2017-03-12","description":"","custom_fields":[{"id":1,"name":"Subdivision","value":"EC"},{"id":4,"name":"Milepost","value":"23.3278"},{"id":17,"name":"Train ID","value":"237-12"},{"id":16,"name":"Locomotive ID","value":"4006"},{"id":130,"name":"Impact","value":""},{"id":150,"name":"Time of Event (Mountain Time)","value":"23:38:12"},{"id":151,"name":"Denver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89"/>
        <v>start /low /b %USERPROFILE%\Documents\GitHub\eaglep3\Utilities\DownloadLogsFromS3.py --loco 4006 --day 2017-03-12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"%USERPROFILE%\AppData\Local\Temp\OnboardLogs"\RTDC4006\*4006*20170313* | grep -SE "(Enforcement Action)|(\[TIMEOUT)|(CHR.+\|PRM\|1\|D.+(SWITCH|SIGNAL).+UNKNOWN)" - &gt;&gt; 2017-03-12-UncaughtWiMAX.txt</v>
      </c>
    </row>
    <row r="149" spans="1:91" s="20" customFormat="1" x14ac:dyDescent="0.25">
      <c r="A149" s="33" t="s">
        <v>814</v>
      </c>
      <c r="B149" s="7">
        <v>4005</v>
      </c>
      <c r="C149" s="21" t="s">
        <v>242</v>
      </c>
      <c r="D149" s="21" t="s">
        <v>273</v>
      </c>
      <c r="E149" s="13">
        <v>42806.994502314818</v>
      </c>
      <c r="F149" s="13">
        <v>42806.995127314818</v>
      </c>
      <c r="G149" s="7">
        <v>0</v>
      </c>
      <c r="H149" s="21" t="s">
        <v>933</v>
      </c>
      <c r="I149" s="13">
        <v>42807.025960648149</v>
      </c>
      <c r="J149" s="7">
        <v>0</v>
      </c>
      <c r="K149" s="98" t="str">
        <f t="shared" si="72"/>
        <v>4005/4006</v>
      </c>
      <c r="L149" s="21" t="str">
        <f>VLOOKUP(A149,'Trips&amp;Operators'!$C$1:$G$99999,5,FALSE)</f>
        <v>CHANDLER KELVIN</v>
      </c>
      <c r="M149" s="6">
        <f t="shared" si="73"/>
        <v>3.0833333330519963E-2</v>
      </c>
      <c r="N149" s="7">
        <f t="shared" si="74"/>
        <v>44.399999995948747</v>
      </c>
      <c r="O149" s="7"/>
      <c r="P149" s="7"/>
      <c r="Q149" s="22"/>
      <c r="R149" s="22"/>
      <c r="S149" s="31">
        <f t="shared" si="75"/>
        <v>1</v>
      </c>
      <c r="T149" s="46" t="str">
        <f t="shared" si="76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77"/>
        <v>https://d0f6bd738d7f1b3e5a7ca70fe4ff75f0.us-east-1.aws.found.io/app/kibana#/discover/Steve-Slow-Train-Analysis-(2080s-and-2083s)?_g=(refreshInterval:(display:Off,pause:!f,section:0,value:0),time:(from:'2017-03-12T22:52:05-600',mode:absolute,to:'2017-03-13T01:37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187" t="str">
        <f t="shared" si="78"/>
        <v>N</v>
      </c>
      <c r="X149" s="187">
        <f t="shared" si="79"/>
        <v>1</v>
      </c>
      <c r="Y149" s="62">
        <f t="shared" si="80"/>
        <v>23.2971</v>
      </c>
      <c r="Z149" s="62">
        <f t="shared" si="81"/>
        <v>1.72E-2</v>
      </c>
      <c r="AA149" s="62">
        <f t="shared" si="82"/>
        <v>23.279900000000001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83"/>
        <v>0238-12</v>
      </c>
      <c r="AE149" s="85" t="str">
        <f t="shared" si="84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49" s="82" t="str">
        <f t="shared" si="85"/>
        <v>"C:\Program Files (x86)\AstroGrep\AstroGrep.exe" /e /r /s /spath="%USERPROFILE%\AppData\Local\Temp\OnboardLogs" /stypes="app*4005*20170313*" /stext=" 06:.+((SYSTEM_STATE.+slice.+state.+changed )|(ment ac)|(multiple cpu faults)|(system.+state.+changed )|(\[timeout)|(PRM\|1\|D)|(kpr)|(kdp)|(\|lc)|(penalty))"</v>
      </c>
      <c r="AG149" s="1" t="str">
        <f t="shared" si="86"/>
        <v>EC</v>
      </c>
      <c r="AH149" s="86" t="str">
        <f t="shared" si="87"/>
        <v>"%USERPROFILE%\Documents\GitHub\eaglep3\Utilities\RefineRTDCRunTimes.py" --tripid 238-12 --locoid 4005 --swversion DE.1.0.9.0 --startMP 204:232971 --initTime 2017-03-12T23:52:05 --startdatetime 2017-03-12T23:52:59 --delay 0 --endMP 204:172 --enddatetime 2017-03-13T00:37:23 --enforcementcount 0 &gt;&gt;C:\Users\stu\Documents\GitHub\eaglep3-reporting\EC\2017-03-12-refined-times.txt</v>
      </c>
      <c r="AI149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{"issue":{"subject":"","project_id":79,"tracker_id":40,"status_id":1,"priority_id":2,"assigned_to_id":23,"start_date":"2017-03-13","description":"","custom_fields":[{"id":1,"name":"Subdivision","value":"EC"},{"id":4,"name":"Milepost","value":"0.0172"},{"id":17,"name":"Train ID","value":"238-12"},{"id":16,"name":"Locomotive ID","value":"4005"},{"id":130,"name":"Impact","value":""},{"id":150,"name":"Time of Event (Mountain Time)","value":"00:37:23"},{"id":151,"name":"Denver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89"/>
        <v>start /low /b %USERPROFILE%\Documents\GitHub\eaglep3\Utilities\DownloadLogsFromS3.py --loco 4005 --day 2017-03-12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"%USERPROFILE%\AppData\Local\Temp\OnboardLogs"\RTDC4005\*4005*20170313* | grep -SE "(Enforcement Action)|(\[TIMEOUT)|(CHR.+\|PRM\|1\|D.+(SWITCH|SIGNAL).+UNKNOWN)" - &gt;&gt; 2017-03-12-UncaughtWiMAX.txt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812</v>
      </c>
      <c r="B150" s="7">
        <v>4025</v>
      </c>
      <c r="C150" s="21" t="s">
        <v>242</v>
      </c>
      <c r="D150" s="21" t="s">
        <v>227</v>
      </c>
      <c r="E150" s="13">
        <v>42806.976990740739</v>
      </c>
      <c r="F150" s="13">
        <v>42806.977858796294</v>
      </c>
      <c r="G150" s="7">
        <v>1</v>
      </c>
      <c r="H150" s="21" t="s">
        <v>246</v>
      </c>
      <c r="I150" s="13">
        <v>42807.004120370373</v>
      </c>
      <c r="J150" s="7">
        <v>0</v>
      </c>
      <c r="K150" s="98" t="str">
        <f t="shared" si="72"/>
        <v>4025/4026</v>
      </c>
      <c r="L150" s="21" t="str">
        <f>VLOOKUP(A150,'Trips&amp;Operators'!$C$1:$G$99999,5,FALSE)</f>
        <v>NEWELL JAMES</v>
      </c>
      <c r="M150" s="6">
        <f t="shared" si="73"/>
        <v>2.6261574079398997E-2</v>
      </c>
      <c r="N150" s="7">
        <f t="shared" si="74"/>
        <v>37.816666674334556</v>
      </c>
      <c r="O150" s="7"/>
      <c r="P150" s="7"/>
      <c r="Q150" s="22"/>
      <c r="R150" s="22"/>
      <c r="S150" s="31">
        <f t="shared" si="75"/>
        <v>1</v>
      </c>
      <c r="T150" s="46" t="str">
        <f t="shared" si="76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77"/>
        <v>https://d0f6bd738d7f1b3e5a7ca70fe4ff75f0.us-east-1.aws.found.io/app/kibana#/discover/Steve-Slow-Train-Analysis-(2080s-and-2083s)?_g=(refreshInterval:(display:Off,pause:!f,section:0,value:0),time:(from:'2017-03-12T22:26:52-600',mode:absolute,to:'2017-03-13T01:05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87" t="str">
        <f t="shared" si="78"/>
        <v>N</v>
      </c>
      <c r="X150" s="187">
        <f t="shared" si="79"/>
        <v>1</v>
      </c>
      <c r="Y150" s="62">
        <f t="shared" si="80"/>
        <v>4.5499999999999999E-2</v>
      </c>
      <c r="Z150" s="62">
        <f t="shared" si="81"/>
        <v>23.331399999999999</v>
      </c>
      <c r="AA150" s="62">
        <f t="shared" si="82"/>
        <v>23.285899999999998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83"/>
        <v>0239-12</v>
      </c>
      <c r="AE150" s="85" t="str">
        <f t="shared" si="84"/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AF150" s="82" t="str">
        <f t="shared" si="85"/>
        <v>"C:\Program Files (x86)\AstroGrep\AstroGrep.exe" /e /r /s /spath="%USERPROFILE%\AppData\Local\Temp\OnboardLogs" /stypes="app*4025*20170313*" /stext=" 06:.+((SYSTEM_STATE.+slice.+state.+changed )|(ment ac)|(multiple cpu faults)|(system.+state.+changed )|(\[timeout)|(PRM\|1\|D)|(kpr)|(kdp)|(\|lc)|(penalty))"</v>
      </c>
      <c r="AG150" s="1" t="str">
        <f t="shared" si="86"/>
        <v>EC</v>
      </c>
      <c r="AH150" s="86" t="str">
        <f t="shared" si="87"/>
        <v>"%USERPROFILE%\Documents\GitHub\eaglep3\Utilities\RefineRTDCRunTimes.py" --tripid 239-12 --locoid 4025 --swversion DE.1.0.9.0 --startMP 204:455 --initTime 2017-03-12T23:26:52 --startdatetime 2017-03-12T23:28:07 --delay 1 --endMP 204:233314 --enddatetime 2017-03-13T00:05:56 --enforcementcount 0 &gt;&gt;C:\Users\stu\Documents\GitHub\eaglep3-reporting\EC\2017-03-12-refined-times.txt</v>
      </c>
      <c r="AI150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{"issue":{"subject":"","project_id":79,"tracker_id":40,"status_id":1,"priority_id":2,"assigned_to_id":23,"start_date":"2017-03-13","description":"","custom_fields":[{"id":1,"name":"Subdivision","value":"EC"},{"id":4,"name":"Milepost","value":"23.3314"},{"id":17,"name":"Train ID","value":"239-12"},{"id":16,"name":"Locomotive ID","value":"4025"},{"id":130,"name":"Impact","value":""},{"id":150,"name":"Time of Event (Mountain Time)","value":"00:05:56"},{"id":151,"name":"Denver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89"/>
        <v>start /low /b %USERPROFILE%\Documents\GitHub\eaglep3\Utilities\DownloadLogsFromS3.py --loco 4025 --day 2017-03-12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"%USERPROFILE%\AppData\Local\Temp\OnboardLogs"\RTDC4025\*4025*20170313* | grep -SE "(Enforcement Action)|(\[TIMEOUT)|(CHR.+\|PRM\|1\|D.+(SWITCH|SIGNAL).+UNKNOWN)" - &gt;&gt; 2017-03-12-UncaughtWiMAX.txt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816</v>
      </c>
      <c r="B151" s="7">
        <v>4026</v>
      </c>
      <c r="C151" s="21" t="s">
        <v>242</v>
      </c>
      <c r="D151" s="21" t="s">
        <v>934</v>
      </c>
      <c r="E151" s="13">
        <v>42807.015601851854</v>
      </c>
      <c r="F151" s="13">
        <v>42807.031273148146</v>
      </c>
      <c r="G151" s="7">
        <v>22</v>
      </c>
      <c r="H151" s="21" t="s">
        <v>235</v>
      </c>
      <c r="I151" s="13">
        <v>42807.049317129633</v>
      </c>
      <c r="J151" s="7">
        <v>0</v>
      </c>
      <c r="K151" s="98" t="str">
        <f t="shared" si="72"/>
        <v>4025/4026</v>
      </c>
      <c r="L151" s="21" t="str">
        <f>VLOOKUP(A151,'Trips&amp;Operators'!$C$1:$G$99999,5,FALSE)</f>
        <v>NEWELL JAMES</v>
      </c>
      <c r="M151" s="6">
        <f t="shared" si="73"/>
        <v>1.8043981486698613E-2</v>
      </c>
      <c r="N151" s="7"/>
      <c r="O151" s="7"/>
      <c r="P151" s="7">
        <f t="shared" si="74"/>
        <v>25.983333340846002</v>
      </c>
      <c r="Q151" s="22"/>
      <c r="R151" s="22" t="s">
        <v>987</v>
      </c>
      <c r="S151" s="31">
        <f t="shared" si="75"/>
        <v>1</v>
      </c>
      <c r="T151" s="46" t="str">
        <f t="shared" si="76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77"/>
        <v>https://d0f6bd738d7f1b3e5a7ca70fe4ff75f0.us-east-1.aws.found.io/app/kibana#/discover/Steve-Slow-Train-Analysis-(2080s-and-2083s)?_g=(refreshInterval:(display:Off,pause:!f,section:0,value:0),time:(from:'2017-03-12T23:22:28-600',mode:absolute,to:'2017-03-13T02:11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187" t="str">
        <f t="shared" si="78"/>
        <v>Y</v>
      </c>
      <c r="X151" s="187">
        <f t="shared" si="79"/>
        <v>1</v>
      </c>
      <c r="Y151" s="62">
        <f t="shared" si="80"/>
        <v>12.7857</v>
      </c>
      <c r="Z151" s="62">
        <f t="shared" si="81"/>
        <v>1.47E-2</v>
      </c>
      <c r="AA151" s="62">
        <f t="shared" si="82"/>
        <v>12.771000000000001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83"/>
        <v>0240-12</v>
      </c>
      <c r="AE151" s="85" t="str">
        <f t="shared" si="84"/>
        <v>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 &amp; aws s3 cp s3://rtdc.mdm.uploadarchive.raw/RTDC4026/ "%USERPROFILE%\AppData\Local\Temp\OnboardLogs"\RTDC4026\2017-03-14 --exclude "*" --recursive --include "*20170314*" &amp; "%USERPROFILE%\Documents\GitHub\mrs-test-scripts\Headless Mode &amp; Sideloading\WalkAndUnGZ.bat" "%USERPROFILE%\AppData\Local\Temp\OnboardLogs"\RTDC4026\2017-03-14</v>
      </c>
      <c r="AF151" s="82" t="str">
        <f t="shared" si="85"/>
        <v>"C:\Program Files (x86)\AstroGrep\AstroGrep.exe" /e /r /s /spath="%USERPROFILE%\AppData\Local\Temp\OnboardLogs" /stypes="app*4026*20170313*" /stext=" 07:.+((SYSTEM_STATE.+slice.+state.+changed )|(ment ac)|(multiple cpu faults)|(system.+state.+changed )|(\[timeout)|(PRM\|1\|D)|(kpr)|(kdp)|(\|lc)|(penalty))"</v>
      </c>
      <c r="AG151" s="1" t="str">
        <f t="shared" si="86"/>
        <v>EC</v>
      </c>
      <c r="AH151" s="86" t="str">
        <f t="shared" si="87"/>
        <v>"%USERPROFILE%\Documents\GitHub\eaglep3\Utilities\RefineRTDCRunTimes.py" --tripid 240-12 --locoid 4026 --swversion DE.1.0.9.0 --startMP 204:127857 --initTime 2017-03-13T00:22:28 --startdatetime 2017-03-13T00:45:02 --delay 22 --endMP 204:147 --enddatetime 2017-03-13T01:11:01 --enforcementcount 0 &gt;&gt;C:\Users\stu\Documents\GitHub\eaglep3-reporting\EC\2017-03-12-refined-times.txt</v>
      </c>
      <c r="AI151" s="108" t="str">
        <f t="shared" si="88"/>
        <v>echo {"issue":{"subject":"Onboard in-route failure","project_id":79,"tracker_id":40,"status_id":1,"priority_id":2,"assigned_to_id":23,"start_date":"2017-03-13","description":"","custom_fields":[{"id":1,"name":"Subdivision","value":"EC"},{"id":4,"name":"Milepost","value":"0.0147"},{"id":17,"name":"Train ID","value":"240-12"},{"id":16,"name":"Locomotive ID","value":"4026"},{"id":130,"name":"Impact","value":""},{"id":150,"name":"Time of Event (Mountain Time)","value":"01:11:01"},{"id":151,"name":"Denver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89"/>
        <v>start /low /b %USERPROFILE%\Documents\GitHub\eaglep3\Utilities\DownloadLogsFromS3.py --loco 4026 --day 2017-03-13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"%USERPROFILE%\AppData\Local\Temp\OnboardLogs"\RTDC4026\*4026*20170313* | grep -SE "(Enforcement Action)|(\[TIMEOUT)|(CHR.+\|PRM\|1\|D.+(SWITCH|SIGNAL).+UNKNOWN)" - &gt;&gt; 2017-03-12-UncaughtWiMAX.txt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816</v>
      </c>
      <c r="B152" s="7">
        <v>4026</v>
      </c>
      <c r="C152" s="21" t="s">
        <v>242</v>
      </c>
      <c r="D152" s="21" t="s">
        <v>439</v>
      </c>
      <c r="E152" s="13">
        <v>42807.015601851854</v>
      </c>
      <c r="F152" s="13">
        <v>42807.016655092593</v>
      </c>
      <c r="G152" s="7">
        <v>1</v>
      </c>
      <c r="H152" s="21" t="s">
        <v>235</v>
      </c>
      <c r="I152" s="13">
        <v>42807.049317129633</v>
      </c>
      <c r="J152" s="7">
        <v>0</v>
      </c>
      <c r="K152" s="98" t="str">
        <f t="shared" si="72"/>
        <v>4025/4026</v>
      </c>
      <c r="L152" s="21" t="str">
        <f>VLOOKUP(A152,'Trips&amp;Operators'!$C$1:$G$99999,5,FALSE)</f>
        <v>NEWELL JAMES</v>
      </c>
      <c r="M152" s="6">
        <f t="shared" si="73"/>
        <v>3.2662037039699499E-2</v>
      </c>
      <c r="N152" s="7"/>
      <c r="O152" s="7"/>
      <c r="P152" s="7"/>
      <c r="Q152" s="22"/>
      <c r="R152" s="22"/>
      <c r="S152" s="31"/>
      <c r="T152" s="46" t="str">
        <f t="shared" si="7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77"/>
        <v>https://d0f6bd738d7f1b3e5a7ca70fe4ff75f0.us-east-1.aws.found.io/app/kibana#/discover/Steve-Slow-Train-Analysis-(2080s-and-2083s)?_g=(refreshInterval:(display:Off,pause:!f,section:0,value:0),time:(from:'2017-03-12T23:22:28-600',mode:absolute,to:'2017-03-13T02:11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2" s="187" t="str">
        <f t="shared" si="78"/>
        <v>N</v>
      </c>
      <c r="X152" s="187">
        <f t="shared" si="79"/>
        <v>0</v>
      </c>
      <c r="Y152" s="62">
        <f t="shared" si="80"/>
        <v>23.298100000000002</v>
      </c>
      <c r="Z152" s="62">
        <f t="shared" si="81"/>
        <v>1.47E-2</v>
      </c>
      <c r="AA152" s="62">
        <f t="shared" si="82"/>
        <v>23.2834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83"/>
        <v>0240-12</v>
      </c>
      <c r="AE152" s="85" t="str">
        <f t="shared" si="84"/>
        <v>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 &amp; aws s3 cp s3://rtdc.mdm.uploadarchive.raw/RTDC4026/ "%USERPROFILE%\AppData\Local\Temp\OnboardLogs"\RTDC4026\2017-03-14 --exclude "*" --recursive --include "*20170314*" &amp; "%USERPROFILE%\Documents\GitHub\mrs-test-scripts\Headless Mode &amp; Sideloading\WalkAndUnGZ.bat" "%USERPROFILE%\AppData\Local\Temp\OnboardLogs"\RTDC4026\2017-03-14</v>
      </c>
      <c r="AF152" s="82" t="str">
        <f t="shared" si="85"/>
        <v>"C:\Program Files (x86)\AstroGrep\AstroGrep.exe" /e /r /s /spath="%USERPROFILE%\AppData\Local\Temp\OnboardLogs" /stypes="app*4026*20170313*" /stext=" 07:.+((SYSTEM_STATE.+slice.+state.+changed )|(ment ac)|(multiple cpu faults)|(system.+state.+changed )|(\[timeout)|(PRM\|1\|D)|(kpr)|(kdp)|(\|lc)|(penalty))"</v>
      </c>
      <c r="AG152" s="1" t="str">
        <f t="shared" si="86"/>
        <v>EC</v>
      </c>
      <c r="AH152" s="86" t="str">
        <f t="shared" si="87"/>
        <v>"%USERPROFILE%\Documents\GitHub\eaglep3\Utilities\RefineRTDCRunTimes.py" --tripid 240-12 --locoid 4026 --swversion DE.1.0.9.0 --startMP 204:232981 --initTime 2017-03-13T00:22:28 --startdatetime 2017-03-13T00:23:59 --delay 1 --endMP 204:147 --enddatetime 2017-03-13T01:11:01 --enforcementcount 0 &gt;&gt;C:\Users\stu\Documents\GitHub\eaglep3-reporting\EC\2017-03-12-refined-times.txt</v>
      </c>
      <c r="AI152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{"issue":{"subject":"","project_id":79,"tracker_id":40,"status_id":1,"priority_id":2,"assigned_to_id":23,"start_date":"2017-03-13","description":"","custom_fields":[{"id":1,"name":"Subdivision","value":"EC"},{"id":4,"name":"Milepost","value":"0.0147"},{"id":17,"name":"Train ID","value":"240-12"},{"id":16,"name":"Locomotive ID","value":"4026"},{"id":130,"name":"Impact","value":""},{"id":150,"name":"Time of Event (Mountain Time)","value":"01:11:01"},{"id":151,"name":"Denver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89"/>
        <v>start /low /b %USERPROFILE%\Documents\GitHub\eaglep3\Utilities\DownloadLogsFromS3.py --loco 4026 --day 2017-03-13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"%USERPROFILE%\AppData\Local\Temp\OnboardLogs"\RTDC4026\*4026*20170313* | grep -SE "(Enforcement Action)|(\[TIMEOUT)|(CHR.+\|PRM\|1\|D.+(SWITCH|SIGNAL).+UNKNOWN)" - &gt;&gt; 2017-03-12-UncaughtWiMAX.txt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813</v>
      </c>
      <c r="B153" s="7">
        <v>4042</v>
      </c>
      <c r="C153" s="21" t="s">
        <v>242</v>
      </c>
      <c r="D153" s="21" t="s">
        <v>493</v>
      </c>
      <c r="E153" s="13">
        <v>42806.986122685186</v>
      </c>
      <c r="F153" s="13">
        <v>42806.98709490741</v>
      </c>
      <c r="G153" s="7">
        <v>1</v>
      </c>
      <c r="H153" s="21" t="s">
        <v>281</v>
      </c>
      <c r="I153" s="13">
        <v>42807.026053240741</v>
      </c>
      <c r="J153" s="7">
        <v>0</v>
      </c>
      <c r="K153" s="98" t="str">
        <f t="shared" si="72"/>
        <v>4041/4042</v>
      </c>
      <c r="L153" s="21" t="str">
        <f>VLOOKUP(A153,'Trips&amp;Operators'!$C$1:$G$99999,5,FALSE)</f>
        <v>SMITH MICHAEL</v>
      </c>
      <c r="M153" s="6">
        <f t="shared" si="73"/>
        <v>3.8958333330811001E-2</v>
      </c>
      <c r="N153" s="7">
        <f t="shared" si="74"/>
        <v>56.099999996367842</v>
      </c>
      <c r="O153" s="7"/>
      <c r="P153" s="7"/>
      <c r="Q153" s="22"/>
      <c r="R153" s="22"/>
      <c r="S153" s="31">
        <f t="shared" si="75"/>
        <v>1</v>
      </c>
      <c r="T153" s="46" t="str">
        <f t="shared" si="7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77"/>
        <v>https://d0f6bd738d7f1b3e5a7ca70fe4ff75f0.us-east-1.aws.found.io/app/kibana#/discover/Steve-Slow-Train-Analysis-(2080s-and-2083s)?_g=(refreshInterval:(display:Off,pause:!f,section:0,value:0),time:(from:'2017-03-12T22:40:01-600',mode:absolute,to:'2017-03-13T01:37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87" t="str">
        <f t="shared" si="78"/>
        <v>N</v>
      </c>
      <c r="X153" s="187">
        <f t="shared" si="79"/>
        <v>1</v>
      </c>
      <c r="Y153" s="62">
        <f t="shared" si="80"/>
        <v>4.6399999999999997E-2</v>
      </c>
      <c r="Z153" s="62">
        <f t="shared" si="81"/>
        <v>23.330300000000001</v>
      </c>
      <c r="AA153" s="62">
        <f t="shared" si="82"/>
        <v>23.283900000000003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83"/>
        <v>0241-12</v>
      </c>
      <c r="AE153" s="85" t="str">
        <f t="shared" si="84"/>
        <v>aws s3 cp s3://rtdc.mdm.uploadarchive.raw/RTDC4042/ "%USERPROFILE%\AppData\Local\Temp\OnboardLogs"\RTDC4042\2017-03-12 --exclude "*" --recursive --include "*20170312*" &amp; "%USERPROFILE%\Documents\GitHub\mrs-test-scripts\Headless Mode &amp; Sideloading\WalkAndUnGZ.bat" "%USERPROFILE%\AppData\Local\Temp\OnboardLogs"\RTDC4042\2017-03-12 &amp; 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</v>
      </c>
      <c r="AF153" s="82" t="str">
        <f t="shared" si="85"/>
        <v>"C:\Program Files (x86)\AstroGrep\AstroGrep.exe" /e /r /s /spath="%USERPROFILE%\AppData\Local\Temp\OnboardLogs" /stypes="app*4042*20170313*" /stext=" 06:.+((SYSTEM_STATE.+slice.+state.+changed )|(ment ac)|(multiple cpu faults)|(system.+state.+changed )|(\[timeout)|(PRM\|1\|D)|(kpr)|(kdp)|(\|lc)|(penalty))"</v>
      </c>
      <c r="AG153" s="1" t="str">
        <f t="shared" si="86"/>
        <v>EC</v>
      </c>
      <c r="AH153" s="86" t="str">
        <f t="shared" si="87"/>
        <v>"%USERPROFILE%\Documents\GitHub\eaglep3\Utilities\RefineRTDCRunTimes.py" --tripid 241-12 --locoid 4042 --swversion DE.1.0.9.0 --startMP 204:464 --initTime 2017-03-12T23:40:01 --startdatetime 2017-03-12T23:41:25 --delay 1 --endMP 204:233303 --enddatetime 2017-03-13T00:37:31 --enforcementcount 0 &gt;&gt;C:\Users\stu\Documents\GitHub\eaglep3-reporting\EC\2017-03-12-refined-times.txt</v>
      </c>
      <c r="AI153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{"issue":{"subject":"","project_id":79,"tracker_id":40,"status_id":1,"priority_id":2,"assigned_to_id":23,"start_date":"2017-03-13","description":"","custom_fields":[{"id":1,"name":"Subdivision","value":"EC"},{"id":4,"name":"Milepost","value":"23.3303"},{"id":17,"name":"Train ID","value":"241-12"},{"id":16,"name":"Locomotive ID","value":"4042"},{"id":130,"name":"Impact","value":""},{"id":150,"name":"Time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89"/>
        <v>start /low /b %USERPROFILE%\Documents\GitHub\eaglep3\Utilities\DownloadLogsFromS3.py --loco 4042 --day 2017-03-12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"%USERPROFILE%\AppData\Local\Temp\OnboardLogs"\RTDC4042\*4042*20170313* | grep -SE "(Enforcement Action)|(\[TIMEOUT)|(CHR.+\|PRM\|1\|D.+(SWITCH|SIGNAL).+UNKNOWN)" - &gt;&gt; 2017-03-12-UncaughtWiMAX.txt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817</v>
      </c>
      <c r="B154" s="7">
        <v>4041</v>
      </c>
      <c r="C154" s="21" t="s">
        <v>242</v>
      </c>
      <c r="D154" s="21" t="s">
        <v>273</v>
      </c>
      <c r="E154" s="13">
        <v>42807.028425925928</v>
      </c>
      <c r="F154" s="13">
        <v>42807.029340277775</v>
      </c>
      <c r="G154" s="7">
        <v>1</v>
      </c>
      <c r="H154" s="21" t="s">
        <v>501</v>
      </c>
      <c r="I154" s="13">
        <v>42807.06758101852</v>
      </c>
      <c r="J154" s="7">
        <v>0</v>
      </c>
      <c r="K154" s="98" t="str">
        <f t="shared" si="72"/>
        <v>4041/4042</v>
      </c>
      <c r="L154" s="21" t="str">
        <f>VLOOKUP(A154,'Trips&amp;Operators'!$C$1:$G$99999,5,FALSE)</f>
        <v>SMITH MICHAEL</v>
      </c>
      <c r="M154" s="6">
        <f t="shared" si="73"/>
        <v>3.8240740745095536E-2</v>
      </c>
      <c r="N154" s="7">
        <f t="shared" si="74"/>
        <v>55.066666672937572</v>
      </c>
      <c r="O154" s="7"/>
      <c r="P154" s="7"/>
      <c r="Q154" s="22"/>
      <c r="R154" s="22"/>
      <c r="S154" s="31">
        <f t="shared" si="75"/>
        <v>1</v>
      </c>
      <c r="T154" s="46" t="str">
        <f t="shared" si="76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77"/>
        <v>https://d0f6bd738d7f1b3e5a7ca70fe4ff75f0.us-east-1.aws.found.io/app/kibana#/discover/Steve-Slow-Train-Analysis-(2080s-and-2083s)?_g=(refreshInterval:(display:Off,pause:!f,section:0,value:0),time:(from:'2017-03-12T23:40:56-600',mode:absolute,to:'2017-03-13T02:37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87" t="str">
        <f t="shared" si="78"/>
        <v>N</v>
      </c>
      <c r="X154" s="187">
        <f t="shared" si="79"/>
        <v>1</v>
      </c>
      <c r="Y154" s="62">
        <f t="shared" si="80"/>
        <v>23.2971</v>
      </c>
      <c r="Z154" s="62">
        <f t="shared" si="81"/>
        <v>1.7000000000000001E-2</v>
      </c>
      <c r="AA154" s="62">
        <f t="shared" si="82"/>
        <v>23.280100000000001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83"/>
        <v>0242-12</v>
      </c>
      <c r="AE154" s="85" t="str">
        <f t="shared" si="84"/>
        <v>aws s3 cp s3://rtdc.mdm.uploadarchive.raw/RTDC4041/ "%USERPROFILE%\AppData\Local\Temp\OnboardLogs"\RTDC4041\2017-03-13 --exclude "*" --recursive --include "*20170313*" &amp; "%USERPROFILE%\Documents\GitHub\mrs-test-scripts\Headless Mode &amp; Sideloading\WalkAndUnGZ.bat" "%USERPROFILE%\AppData\Local\Temp\OnboardLogs"\RTDC4041\2017-03-13 &amp; aws s3 cp s3://rtdc.mdm.uploadarchive.raw/RTDC4041/ "%USERPROFILE%\AppData\Local\Temp\OnboardLogs"\RTDC4041\2017-03-14 --exclude "*" --recursive --include "*20170314*" &amp; "%USERPROFILE%\Documents\GitHub\mrs-test-scripts\Headless Mode &amp; Sideloading\WalkAndUnGZ.bat" "%USERPROFILE%\AppData\Local\Temp\OnboardLogs"\RTDC4041\2017-03-14</v>
      </c>
      <c r="AF154" s="82" t="str">
        <f t="shared" si="85"/>
        <v>"C:\Program Files (x86)\AstroGrep\AstroGrep.exe" /e /r /s /spath="%USERPROFILE%\AppData\Local\Temp\OnboardLogs" /stypes="app*4041*20170313*" /stext=" 07:.+((SYSTEM_STATE.+slice.+state.+changed )|(ment ac)|(multiple cpu faults)|(system.+state.+changed )|(\[timeout)|(PRM\|1\|D)|(kpr)|(kdp)|(\|lc)|(penalty))"</v>
      </c>
      <c r="AG154" s="1" t="str">
        <f t="shared" si="86"/>
        <v>EC</v>
      </c>
      <c r="AH154" s="86" t="str">
        <f t="shared" si="87"/>
        <v>"%USERPROFILE%\Documents\GitHub\eaglep3\Utilities\RefineRTDCRunTimes.py" --tripid 242-12 --locoid 4041 --swversion DE.1.0.9.0 --startMP 204:232971 --initTime 2017-03-13T00:40:56 --startdatetime 2017-03-13T00:42:15 --delay 1 --endMP 204:170 --enddatetime 2017-03-13T01:37:19 --enforcementcount 0 &gt;&gt;C:\Users\stu\Documents\GitHub\eaglep3-reporting\EC\2017-03-12-refined-times.txt</v>
      </c>
      <c r="AI154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{"issue":{"subject":"","project_id":79,"tracker_id":40,"status_id":1,"priority_id":2,"assigned_to_id":23,"start_date":"2017-03-13","description":"","custom_fields":[{"id":1,"name":"Subdivision","value":"EC"},{"id":4,"name":"Milepost","value":"0.017"},{"id":17,"name":"Train ID","value":"242-12"},{"id":16,"name":"Locomotive ID","value":"4041"},{"id":130,"name":"Impact","value":""},{"id":150,"name":"Time of Event (Mountain Time)","value":"01:37:19"},{"id":151,"name":"Denver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89"/>
        <v>start /low /b %USERPROFILE%\Documents\GitHub\eaglep3\Utilities\DownloadLogsFromS3.py --loco 4041 --day 2017-03-13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"%USERPROFILE%\AppData\Local\Temp\OnboardLogs"\RTDC4041\*4041*20170313* | grep -SE "(Enforcement Action)|(\[TIMEOUT)|(CHR.+\|PRM\|1\|D.+(SWITCH|SIGNAL).+UNKNOWN)" - &gt;&gt; 2017-03-12-UncaughtWiMAX.txt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815</v>
      </c>
      <c r="B155" s="7">
        <v>4027</v>
      </c>
      <c r="C155" s="21" t="s">
        <v>242</v>
      </c>
      <c r="D155" s="21" t="s">
        <v>218</v>
      </c>
      <c r="E155" s="13">
        <v>42807.006608796299</v>
      </c>
      <c r="F155" s="13">
        <v>42807.007557870369</v>
      </c>
      <c r="G155" s="7">
        <v>1</v>
      </c>
      <c r="H155" s="21" t="s">
        <v>935</v>
      </c>
      <c r="I155" s="13">
        <v>42807.046365740738</v>
      </c>
      <c r="J155" s="7">
        <v>0</v>
      </c>
      <c r="K155" s="98" t="str">
        <f t="shared" si="72"/>
        <v>4027/4028</v>
      </c>
      <c r="L155" s="21" t="str">
        <f>VLOOKUP(A155,'Trips&amp;Operators'!$C$1:$G$99999,5,FALSE)</f>
        <v>STAMBAUGH JAMES</v>
      </c>
      <c r="M155" s="6">
        <f t="shared" si="73"/>
        <v>3.8807870369055308E-2</v>
      </c>
      <c r="N155" s="7">
        <f t="shared" si="74"/>
        <v>55.883333331439644</v>
      </c>
      <c r="O155" s="7"/>
      <c r="P155" s="7"/>
      <c r="Q155" s="22"/>
      <c r="R155" s="22"/>
      <c r="S155" s="31">
        <f t="shared" si="75"/>
        <v>1</v>
      </c>
      <c r="T155" s="46" t="str">
        <f t="shared" si="76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77"/>
        <v>https://d0f6bd738d7f1b3e5a7ca70fe4ff75f0.us-east-1.aws.found.io/app/kibana#/discover/Steve-Slow-Train-Analysis-(2080s-and-2083s)?_g=(refreshInterval:(display:Off,pause:!f,section:0,value:0),time:(from:'2017-03-12T23:09:31-600',mode:absolute,to:'2017-03-13T02:06:46-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187" t="str">
        <f t="shared" si="78"/>
        <v>N</v>
      </c>
      <c r="X155" s="187">
        <f t="shared" si="79"/>
        <v>1</v>
      </c>
      <c r="Y155" s="62">
        <f t="shared" si="80"/>
        <v>4.5999999999999999E-2</v>
      </c>
      <c r="Z155" s="62">
        <f t="shared" si="81"/>
        <v>23.334499999999998</v>
      </c>
      <c r="AA155" s="62">
        <f t="shared" si="82"/>
        <v>23.288499999999999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83"/>
        <v>0243-12</v>
      </c>
      <c r="AE155" s="85" t="str">
        <f t="shared" si="84"/>
        <v>aws s3 cp s3://rtdc.mdm.uploadarchive.raw/RTDC4027/ "%USERPROFILE%\AppData\Local\Temp\OnboardLogs"\RTDC4027\2017-03-13 --exclude "*" --recursive --include "*20170313*" &amp; "%USERPROFILE%\Documents\GitHub\mrs-test-scripts\Headless Mode &amp; Sideloading\WalkAndUnGZ.bat" "%USERPROFILE%\AppData\Local\Temp\OnboardLogs"\RTDC4027\2017-03-13 &amp; aws s3 cp s3://rtdc.mdm.uploadarchive.raw/RTDC4027/ "%USERPROFILE%\AppData\Local\Temp\OnboardLogs"\RTDC4027\2017-03-14 --exclude "*" --recursive --include "*20170314*" &amp; "%USERPROFILE%\Documents\GitHub\mrs-test-scripts\Headless Mode &amp; Sideloading\WalkAndUnGZ.bat" "%USERPROFILE%\AppData\Local\Temp\OnboardLogs"\RTDC4027\2017-03-14</v>
      </c>
      <c r="AF155" s="82" t="str">
        <f t="shared" si="85"/>
        <v>"C:\Program Files (x86)\AstroGrep\AstroGrep.exe" /e /r /s /spath="%USERPROFILE%\AppData\Local\Temp\OnboardLogs" /stypes="app*4027*20170313*" /stext=" 07:.+((SYSTEM_STATE.+slice.+state.+changed )|(ment ac)|(multiple cpu faults)|(system.+state.+changed )|(\[timeout)|(PRM\|1\|D)|(kpr)|(kdp)|(\|lc)|(penalty))"</v>
      </c>
      <c r="AG155" s="1" t="str">
        <f t="shared" si="86"/>
        <v>EC</v>
      </c>
      <c r="AH155" s="86" t="str">
        <f t="shared" si="87"/>
        <v>"%USERPROFILE%\Documents\GitHub\eaglep3\Utilities\RefineRTDCRunTimes.py" --tripid 243-12 --locoid 4027 --swversion DE.1.0.9.0 --startMP 204:460 --initTime 2017-03-13T00:09:31 --startdatetime 2017-03-13T00:10:53 --delay 1 --endMP 204:233345 --enddatetime 2017-03-13T01:06:46 --enforcementcount 0 &gt;&gt;C:\Users\stu\Documents\GitHub\eaglep3-reporting\EC\2017-03-12-refined-times.txt</v>
      </c>
      <c r="AI155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{"issue":{"subject":"","project_id":79,"tracker_id":40,"status_id":1,"priority_id":2,"assigned_to_id":23,"start_date":"2017-03-13","description":"","custom_fields":[{"id":1,"name":"Subdivision","value":"EC"},{"id":4,"name":"Milepost","value":"23.3345"},{"id":17,"name":"Train ID","value":"243-12"},{"id":16,"name":"Locomotive ID","value":"4027"},{"id":130,"name":"Impact","value":""},{"id":150,"name":"Time of Event (Mountain Time)","value":"01:06:46"},{"id":151,"name":"Denver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89"/>
        <v>start /low /b %USERPROFILE%\Documents\GitHub\eaglep3\Utilities\DownloadLogsFromS3.py --loco 4027 --day 2017-03-13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"%USERPROFILE%\AppData\Local\Temp\OnboardLogs"\RTDC4027\*4027*20170313* | grep -SE "(Enforcement Action)|(\[TIMEOUT)|(CHR.+\|PRM\|1\|D.+(SWITCH|SIGNAL).+UNKNOWN)" - &gt;&gt; 2017-03-12-UncaughtWiMAX.txt</v>
      </c>
    </row>
    <row r="156" spans="1:91" s="20" customFormat="1" x14ac:dyDescent="0.25">
      <c r="A156" s="33" t="s">
        <v>615</v>
      </c>
      <c r="B156" s="7">
        <v>4028</v>
      </c>
      <c r="C156" s="21" t="s">
        <v>242</v>
      </c>
      <c r="D156" s="21" t="s">
        <v>936</v>
      </c>
      <c r="E156" s="13">
        <v>42807.058506944442</v>
      </c>
      <c r="F156" s="13">
        <v>42807.059166666666</v>
      </c>
      <c r="G156" s="7">
        <v>0</v>
      </c>
      <c r="H156" s="21" t="s">
        <v>418</v>
      </c>
      <c r="I156" s="13">
        <v>42807.087384259263</v>
      </c>
      <c r="J156" s="7">
        <v>0</v>
      </c>
      <c r="K156" s="98" t="str">
        <f t="shared" si="72"/>
        <v>4027/4028</v>
      </c>
      <c r="L156" s="21" t="str">
        <f>VLOOKUP(A156,'Trips&amp;Operators'!$C$1:$G$99999,5,FALSE)</f>
        <v>STAMBAUGH JAMES</v>
      </c>
      <c r="M156" s="6">
        <f t="shared" si="73"/>
        <v>2.8217592596774921E-2</v>
      </c>
      <c r="N156" s="7">
        <f t="shared" si="74"/>
        <v>40.633333339355886</v>
      </c>
      <c r="O156" s="7"/>
      <c r="P156" s="7"/>
      <c r="Q156" s="22"/>
      <c r="R156" s="22"/>
      <c r="S156" s="31">
        <f t="shared" si="75"/>
        <v>1</v>
      </c>
      <c r="T156" s="46" t="str">
        <f t="shared" si="76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77"/>
        <v>https://d0f6bd738d7f1b3e5a7ca70fe4ff75f0.us-east-1.aws.found.io/app/kibana#/discover/Steve-Slow-Train-Analysis-(2080s-and-2083s)?_g=(refreshInterval:(display:Off,pause:!f,section:0,value:0),time:(from:'2017-03-13T00:24:15-600',mode:absolute,to:'2017-03-13T03:05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87" t="str">
        <f t="shared" si="78"/>
        <v>N</v>
      </c>
      <c r="X156" s="187">
        <f t="shared" si="79"/>
        <v>1</v>
      </c>
      <c r="Y156" s="62">
        <f t="shared" si="80"/>
        <v>23.3048</v>
      </c>
      <c r="Z156" s="62">
        <f t="shared" si="81"/>
        <v>1.43E-2</v>
      </c>
      <c r="AA156" s="62">
        <f t="shared" si="82"/>
        <v>23.290500000000002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83"/>
        <v>0244-12</v>
      </c>
      <c r="AE156" s="85" t="str">
        <f t="shared" si="84"/>
        <v>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 &amp; aws s3 cp s3://rtdc.mdm.uploadarchive.raw/RTDC4028/ "%USERPROFILE%\AppData\Local\Temp\OnboardLogs"\RTDC4028\2017-03-14 --exclude "*" --recursive --include "*20170314*" &amp; "%USERPROFILE%\Documents\GitHub\mrs-test-scripts\Headless Mode &amp; Sideloading\WalkAndUnGZ.bat" "%USERPROFILE%\AppData\Local\Temp\OnboardLogs"\RTDC4028\2017-03-14</v>
      </c>
      <c r="AF156" s="82" t="str">
        <f t="shared" si="85"/>
        <v>"C:\Program Files (x86)\AstroGrep\AstroGrep.exe" /e /r /s /spath="%USERPROFILE%\AppData\Local\Temp\OnboardLogs" /stypes="app*4028*20170313*" /stext=" 08:.+((SYSTEM_STATE.+slice.+state.+changed )|(ment ac)|(multiple cpu faults)|(system.+state.+changed )|(\[timeout)|(PRM\|1\|D)|(kpr)|(kdp)|(\|lc)|(penalty))"</v>
      </c>
      <c r="AG156" s="1" t="str">
        <f t="shared" si="86"/>
        <v>EC</v>
      </c>
      <c r="AH156" s="86" t="str">
        <f t="shared" si="87"/>
        <v>"%USERPROFILE%\Documents\GitHub\eaglep3\Utilities\RefineRTDCRunTimes.py" --tripid 244-12 --locoid 4028 --swversion DE.1.0.9.0 --startMP 204:233048 --initTime 2017-03-13T01:24:15 --startdatetime 2017-03-13T01:25:12 --delay 0 --endMP 204:143 --enddatetime 2017-03-13T02:05:50 --enforcementcount 0 &gt;&gt;C:\Users\stu\Documents\GitHub\eaglep3-reporting\EC\2017-03-12-refined-times.txt</v>
      </c>
      <c r="AI156" s="108" t="str">
        <f t="shared" si="88"/>
        <v>echo {"issue":{"subject":"","project_id":79,"tracker_id":40,"status_id":1,"priority_id":2,"assigned_to_id":23,"start_date":"2017-03-13","description":"","custom_fields":[{"id":1,"name":"Subdivision","value":"EC"},{"id":4,"name":"Milepost","value":"0.0143"},{"id":17,"name":"Train ID","value":"244-12"},{"id":16,"name":"Locomotive ID","value":"4028"},{"id":130,"name":"Impact","value":""},{"id":150,"name":"Time of Event (Mountain Time)","value":"02:05:50"},{"id":151,"name":"Denver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89"/>
        <v>start /low /b %USERPROFILE%\Documents\GitHub\eaglep3\Utilities\DownloadLogsFromS3.py --loco 4028 --day 2017-03-13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"%USERPROFILE%\AppData\Local\Temp\OnboardLogs"\RTDC4028\*4028*20170313* | grep -SE "(Enforcement Action)|(\[TIMEOUT)|(CHR.+\|PRM\|1\|D.+(SWITCH|SIGNAL).+UNKNOWN)" - &gt;&gt; 2017-03-12-UncaughtWiMAX.txt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663</v>
      </c>
      <c r="B157" s="7">
        <v>4052</v>
      </c>
      <c r="C157" s="21" t="s">
        <v>242</v>
      </c>
      <c r="D157" s="21" t="s">
        <v>508</v>
      </c>
      <c r="E157" s="13">
        <v>42806.236944444441</v>
      </c>
      <c r="F157" s="13">
        <v>42806.238009259258</v>
      </c>
      <c r="G157" s="7">
        <v>1</v>
      </c>
      <c r="H157" s="21" t="s">
        <v>444</v>
      </c>
      <c r="I157" s="13">
        <v>42806.247824074075</v>
      </c>
      <c r="J157" s="7">
        <v>0</v>
      </c>
      <c r="K157" s="98" t="str">
        <f t="shared" si="72"/>
        <v>4051/4052</v>
      </c>
      <c r="L157" s="21" t="str">
        <f>VLOOKUP(A157,'Trips&amp;Operators'!$C$1:$G$99999,5,FALSE)</f>
        <v>HOLCOMB KAMDEN</v>
      </c>
      <c r="M157" s="6">
        <f t="shared" si="73"/>
        <v>9.8148148172185756E-3</v>
      </c>
      <c r="N157" s="7">
        <f t="shared" si="74"/>
        <v>14.133333336794749</v>
      </c>
      <c r="O157" s="7"/>
      <c r="P157" s="7"/>
      <c r="Q157" s="22"/>
      <c r="R157" s="22"/>
      <c r="S157" s="31">
        <f t="shared" si="75"/>
        <v>1</v>
      </c>
      <c r="T157" s="46" t="str">
        <f t="shared" si="76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77"/>
        <v>https://d0f6bd738d7f1b3e5a7ca70fe4ff75f0.us-east-1.aws.found.io/app/kibana#/discover/Steve-Slow-Train-Analysis-(2080s-and-2083s)?_g=(refreshInterval:(display:Off,pause:!f,section:0,value:0),time:(from:'2017-03-12T04:41:12-600',mode:absolute,to:'2017-03-12T06:56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87" t="str">
        <f t="shared" si="78"/>
        <v>N</v>
      </c>
      <c r="X157" s="187">
        <f t="shared" si="79"/>
        <v>1556</v>
      </c>
      <c r="Y157" s="62">
        <f t="shared" si="80"/>
        <v>5.8625999999999996</v>
      </c>
      <c r="Z157" s="62">
        <f t="shared" si="81"/>
        <v>6.8199999999999997E-2</v>
      </c>
      <c r="AA157" s="62">
        <f t="shared" si="82"/>
        <v>5.7943999999999996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83"/>
        <v>1800-12</v>
      </c>
      <c r="AE157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57" s="82" t="str">
        <f t="shared" si="85"/>
        <v>"C:\Program Files (x86)\AstroGrep\AstroGrep.exe" /e /r /s /spath="%USERPROFILE%\AppData\Local\Temp\OnboardLogs" /stypes="app*4052*20170312*" /stext=" 11:.+((SYSTEM_STATE.+slice.+state.+changed )|(ment ac)|(multiple cpu faults)|(system.+state.+changed )|(\[timeout)|(PRM\|1\|D)|(kpr)|(kdp)|(\|lc)|(penalty))"</v>
      </c>
      <c r="AG157" s="1" t="str">
        <f t="shared" si="86"/>
        <v>NW</v>
      </c>
      <c r="AH157" s="86" t="str">
        <f t="shared" si="87"/>
        <v>"%USERPROFILE%\Documents\GitHub\eaglep3\Utilities\RefineRTDCRunTimes.py" --tripid 1800-12 --locoid 4052 --swversion DE.1.0.9.0 --startMP 300:58626 --initTime 2017-03-12T05:41:12 --startdatetime 2017-03-12T05:42:44 --delay 1 --endMP 204:682 --enddatetime 2017-03-12T05:56:52 --enforcementcount 0 &gt;&gt;C:\Users\stu\Documents\GitHub\eaglep3-reporting\EC\2017-03-12-refined-times.txt</v>
      </c>
      <c r="AI157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{"issue":{"subject":"","project_id":79,"tracker_id":40,"status_id":1,"priority_id":2,"assigned_to_id":23,"start_date":"2017-03-12","description":"","custom_fields":[{"id":1,"name":"Subdivision","value":"NW"},{"id":4,"name":"Milepost","value":"0.0682"},{"id":17,"name":"Train ID","value":"1800-12"},{"id":16,"name":"Locomotive ID","value":"4052"},{"id":130,"name":"Impact","value":""},{"id":150,"name":"Time of Event (Mountain Time)","value":"05:56:52"},{"id":151,"name":"Denver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89"/>
        <v>start /low /b %USERPROFILE%\Documents\GitHub\eaglep3\Utilities\DownloadLogsFromS3.py --loco 4052 --day 2017-03-12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668</v>
      </c>
      <c r="B158" s="7">
        <v>4051</v>
      </c>
      <c r="C158" s="21" t="s">
        <v>242</v>
      </c>
      <c r="D158" s="21" t="s">
        <v>867</v>
      </c>
      <c r="E158" s="13">
        <v>42806.261030092595</v>
      </c>
      <c r="F158" s="13">
        <v>42806.261990740742</v>
      </c>
      <c r="G158" s="7">
        <v>1</v>
      </c>
      <c r="H158" s="21" t="s">
        <v>570</v>
      </c>
      <c r="I158" s="13">
        <v>42806.274386574078</v>
      </c>
      <c r="J158" s="7">
        <v>0</v>
      </c>
      <c r="K158" s="98" t="str">
        <f t="shared" si="72"/>
        <v>4051/4052</v>
      </c>
      <c r="L158" s="21" t="str">
        <f>VLOOKUP(A158,'Trips&amp;Operators'!$C$1:$G$99999,5,FALSE)</f>
        <v>HOLCOMB KAMDEN</v>
      </c>
      <c r="M158" s="6">
        <f t="shared" si="73"/>
        <v>1.2395833335176576E-2</v>
      </c>
      <c r="N158" s="7">
        <f t="shared" si="74"/>
        <v>17.850000002654269</v>
      </c>
      <c r="O158" s="7"/>
      <c r="P158" s="7"/>
      <c r="Q158" s="22"/>
      <c r="R158" s="22"/>
      <c r="S158" s="31">
        <f t="shared" si="75"/>
        <v>1</v>
      </c>
      <c r="T158" s="46" t="str">
        <f t="shared" si="76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77"/>
        <v>https://d0f6bd738d7f1b3e5a7ca70fe4ff75f0.us-east-1.aws.found.io/app/kibana#/discover/Steve-Slow-Train-Analysis-(2080s-and-2083s)?_g=(refreshInterval:(display:Off,pause:!f,section:0,value:0),time:(from:'2017-03-12T05:15:53-600',mode:absolute,to:'2017-03-12T07:35:07-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187" t="str">
        <f t="shared" si="78"/>
        <v>N</v>
      </c>
      <c r="X158" s="187">
        <f t="shared" si="79"/>
        <v>1</v>
      </c>
      <c r="Y158" s="62">
        <f t="shared" si="80"/>
        <v>9.4799999999999995E-2</v>
      </c>
      <c r="Z158" s="62">
        <f t="shared" si="81"/>
        <v>5.8945999999999996</v>
      </c>
      <c r="AA158" s="62">
        <f t="shared" si="82"/>
        <v>5.7997999999999994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83"/>
        <v>1801-12</v>
      </c>
      <c r="AE158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58" s="82" t="str">
        <f t="shared" si="85"/>
        <v>"C:\Program Files (x86)\AstroGrep\AstroGrep.exe" /e /r /s /spath="%USERPROFILE%\AppData\Local\Temp\OnboardLogs" /stypes="app*4051*20170312*" /stext=" 12:.+((SYSTEM_STATE.+slice.+state.+changed )|(ment ac)|(multiple cpu faults)|(system.+state.+changed )|(\[timeout)|(PRM\|1\|D)|(kpr)|(kdp)|(\|lc)|(penalty))"</v>
      </c>
      <c r="AG158" s="1" t="str">
        <f t="shared" si="86"/>
        <v>NW</v>
      </c>
      <c r="AH158" s="86" t="str">
        <f t="shared" si="87"/>
        <v>"%USERPROFILE%\Documents\GitHub\eaglep3\Utilities\RefineRTDCRunTimes.py" --tripid 1801-12 --locoid 4051 --swversion DE.1.0.9.0 --startMP 204:948 --initTime 2017-03-12T06:15:53 --startdatetime 2017-03-12T06:17:16 --delay 1 --endMP 300:58946 --enddatetime 2017-03-12T06:35:07 --enforcementcount 0 &gt;&gt;C:\Users\stu\Documents\GitHub\eaglep3-reporting\EC\2017-03-12-refined-times.txt</v>
      </c>
      <c r="AI158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{"issue":{"subject":"","project_id":79,"tracker_id":40,"status_id":1,"priority_id":2,"assigned_to_id":23,"start_date":"2017-03-12","description":"","custom_fields":[{"id":1,"name":"Subdivision","value":"NW"},{"id":4,"name":"Milepost","value":"5.8946"},{"id":17,"name":"Train ID","value":"1801-12"},{"id":16,"name":"Locomotive ID","value":"4051"},{"id":130,"name":"Impact","value":""},{"id":150,"name":"Time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89"/>
        <v>start /low /b %USERPROFILE%\Documents\GitHub\eaglep3\Utilities\DownloadLogsFromS3.py --loco 4051 --day 2017-03-12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59" spans="1:91" x14ac:dyDescent="0.25">
      <c r="A159" s="33" t="s">
        <v>581</v>
      </c>
      <c r="B159" s="7">
        <v>4052</v>
      </c>
      <c r="C159" s="21" t="s">
        <v>242</v>
      </c>
      <c r="D159" s="21" t="s">
        <v>868</v>
      </c>
      <c r="E159" s="13">
        <v>42806.27548611111</v>
      </c>
      <c r="F159" s="13">
        <v>42806.276192129626</v>
      </c>
      <c r="G159" s="7">
        <v>1</v>
      </c>
      <c r="H159" s="21" t="s">
        <v>569</v>
      </c>
      <c r="I159" s="13">
        <v>42806.288437499999</v>
      </c>
      <c r="J159" s="7">
        <v>0</v>
      </c>
      <c r="K159" s="98" t="str">
        <f t="shared" si="72"/>
        <v>4051/4052</v>
      </c>
      <c r="L159" s="21" t="str">
        <f>VLOOKUP(A159,'Trips&amp;Operators'!$C$1:$G$99999,5,FALSE)</f>
        <v>HOLCOMB KAMDEN</v>
      </c>
      <c r="M159" s="6">
        <f t="shared" si="73"/>
        <v>1.2245370373420883E-2</v>
      </c>
      <c r="N159" s="7">
        <f t="shared" si="74"/>
        <v>17.633333337726071</v>
      </c>
      <c r="O159" s="7"/>
      <c r="P159" s="7"/>
      <c r="Q159" s="22"/>
      <c r="R159" s="22"/>
      <c r="S159" s="31">
        <f t="shared" si="75"/>
        <v>1</v>
      </c>
      <c r="T159" s="46" t="str">
        <f t="shared" si="76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77"/>
        <v>https://d0f6bd738d7f1b3e5a7ca70fe4ff75f0.us-east-1.aws.found.io/app/kibana#/discover/Steve-Slow-Train-Analysis-(2080s-and-2083s)?_g=(refreshInterval:(display:Off,pause:!f,section:0,value:0),time:(from:'2017-03-12T05:36:42-600',mode:absolute,to:'2017-03-12T07:55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9" s="187" t="str">
        <f t="shared" si="78"/>
        <v>N</v>
      </c>
      <c r="X159" s="187">
        <f t="shared" si="79"/>
        <v>1</v>
      </c>
      <c r="Y159" s="62">
        <f t="shared" si="80"/>
        <v>5.8619000000000003</v>
      </c>
      <c r="Z159" s="62">
        <f t="shared" si="81"/>
        <v>6.6799999999999998E-2</v>
      </c>
      <c r="AA159" s="62">
        <f t="shared" si="82"/>
        <v>5.7951000000000006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83"/>
        <v>1802-12</v>
      </c>
      <c r="AE159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59" s="82" t="str">
        <f t="shared" si="85"/>
        <v>"C:\Program Files (x86)\AstroGrep\AstroGrep.exe" /e /r /s /spath="%USERPROFILE%\AppData\Local\Temp\OnboardLogs" /stypes="app*4052*20170312*" /stext=" 12:.+((SYSTEM_STATE.+slice.+state.+changed )|(ment ac)|(multiple cpu faults)|(system.+state.+changed )|(\[timeout)|(PRM\|1\|D)|(kpr)|(kdp)|(\|lc)|(penalty))"</v>
      </c>
      <c r="AG159" s="1" t="str">
        <f t="shared" si="86"/>
        <v>NW</v>
      </c>
      <c r="AH159" s="86" t="str">
        <f t="shared" si="87"/>
        <v>"%USERPROFILE%\Documents\GitHub\eaglep3\Utilities\RefineRTDCRunTimes.py" --tripid 1802-12 --locoid 4052 --swversion DE.1.0.9.0 --startMP 300:58619 --initTime 2017-03-12T06:36:42 --startdatetime 2017-03-12T06:37:43 --delay 1 --endMP 204:668 --enddatetime 2017-03-12T06:55:21 --enforcementcount 0 &gt;&gt;C:\Users\stu\Documents\GitHub\eaglep3-reporting\EC\2017-03-12-refined-times.txt</v>
      </c>
      <c r="AI159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{"issue":{"subject":"","project_id":79,"tracker_id":40,"status_id":1,"priority_id":2,"assigned_to_id":23,"start_date":"2017-03-12","description":"","custom_fields":[{"id":1,"name":"Subdivision","value":"NW"},{"id":4,"name":"Milepost","value":"0.0668"},{"id":17,"name":"Train ID","value":"1802-12"},{"id":16,"name":"Locomotive ID","value":"4052"},{"id":130,"name":"Impact","value":""},{"id":150,"name":"Time of Event (Mountain Time)","value":"06:55:21"},{"id":151,"name":"Denver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89"/>
        <v>start /low /b %USERPROFILE%\Documents\GitHub\eaglep3\Utilities\DownloadLogsFromS3.py --loco 4052 --day 2017-03-12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60" spans="1:91" x14ac:dyDescent="0.25">
      <c r="A160" s="33" t="s">
        <v>582</v>
      </c>
      <c r="B160" s="7">
        <v>4051</v>
      </c>
      <c r="C160" s="21" t="s">
        <v>242</v>
      </c>
      <c r="D160" s="21" t="s">
        <v>869</v>
      </c>
      <c r="E160" s="13">
        <v>42806.294363425928</v>
      </c>
      <c r="F160" s="13">
        <v>42806.295219907406</v>
      </c>
      <c r="G160" s="7">
        <v>1</v>
      </c>
      <c r="H160" s="21" t="s">
        <v>445</v>
      </c>
      <c r="I160" s="13">
        <v>42806.316666666666</v>
      </c>
      <c r="J160" s="7">
        <v>0</v>
      </c>
      <c r="K160" s="98" t="str">
        <f t="shared" si="72"/>
        <v>4051/4052</v>
      </c>
      <c r="L160" s="21" t="str">
        <f>VLOOKUP(A160,'Trips&amp;Operators'!$C$1:$G$99999,5,FALSE)</f>
        <v>HOLCOMB KAMDEN</v>
      </c>
      <c r="M160" s="6">
        <f t="shared" si="73"/>
        <v>2.1446759259561077E-2</v>
      </c>
      <c r="N160" s="7">
        <f t="shared" si="74"/>
        <v>30.883333333767951</v>
      </c>
      <c r="O160" s="7"/>
      <c r="P160" s="7"/>
      <c r="Q160" s="22"/>
      <c r="R160" s="22"/>
      <c r="S160" s="31">
        <f t="shared" si="75"/>
        <v>1</v>
      </c>
      <c r="T160" s="46" t="str">
        <f t="shared" si="76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77"/>
        <v>https://d0f6bd738d7f1b3e5a7ca70fe4ff75f0.us-east-1.aws.found.io/app/kibana#/discover/Steve-Slow-Train-Analysis-(2080s-and-2083s)?_g=(refreshInterval:(display:Off,pause:!f,section:0,value:0),time:(from:'2017-03-12T06:03:53-600',mode:absolute,to:'2017-03-12T08:36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187" t="str">
        <f t="shared" si="78"/>
        <v>N</v>
      </c>
      <c r="X160" s="187">
        <f t="shared" si="79"/>
        <v>1</v>
      </c>
      <c r="Y160" s="62">
        <f t="shared" si="80"/>
        <v>9.6699999999999994E-2</v>
      </c>
      <c r="Z160" s="62">
        <f t="shared" si="81"/>
        <v>5.8949999999999996</v>
      </c>
      <c r="AA160" s="62">
        <f t="shared" si="82"/>
        <v>5.7982999999999993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83"/>
        <v>1803-12</v>
      </c>
      <c r="AE160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60" s="82" t="str">
        <f t="shared" si="85"/>
        <v>"C:\Program Files (x86)\AstroGrep\AstroGrep.exe" /e /r /s /spath="%USERPROFILE%\AppData\Local\Temp\OnboardLogs" /stypes="app*4051*20170312*" /stext=" 13:.+((SYSTEM_STATE.+slice.+state.+changed )|(ment ac)|(multiple cpu faults)|(system.+state.+changed )|(\[timeout)|(PRM\|1\|D)|(kpr)|(kdp)|(\|lc)|(penalty))"</v>
      </c>
      <c r="AG160" s="1" t="str">
        <f t="shared" si="86"/>
        <v>NW</v>
      </c>
      <c r="AH160" s="86" t="str">
        <f t="shared" si="87"/>
        <v>"%USERPROFILE%\Documents\GitHub\eaglep3\Utilities\RefineRTDCRunTimes.py" --tripid 1803-12 --locoid 4051 --swversion DE.1.0.9.0 --startMP 204:967 --initTime 2017-03-12T07:03:53 --startdatetime 2017-03-12T07:05:07 --delay 1 --endMP 300:58950 --enddatetime 2017-03-12T07:36:00 --enforcementcount 0 &gt;&gt;C:\Users\stu\Documents\GitHub\eaglep3-reporting\EC\2017-03-12-refined-times.txt</v>
      </c>
      <c r="AI160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{"issue":{"subject":"","project_id":79,"tracker_id":40,"status_id":1,"priority_id":2,"assigned_to_id":23,"start_date":"2017-03-12","description":"","custom_fields":[{"id":1,"name":"Subdivision","value":"NW"},{"id":4,"name":"Milepost","value":"5.895"},{"id":17,"name":"Train ID","value":"1803-12"},{"id":16,"name":"Locomotive ID","value":"4051"},{"id":130,"name":"Impact","value":""},{"id":150,"name":"Time of Event (Mountain Time)","value":"07:36:00"},{"id":151,"name":"Denver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89"/>
        <v>start /low /b %USERPROFILE%\Documents\GitHub\eaglep3\Utilities\DownloadLogsFromS3.py --loco 4051 --day 2017-03-12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61" spans="1:91" x14ac:dyDescent="0.25">
      <c r="A161" s="33" t="s">
        <v>681</v>
      </c>
      <c r="B161" s="7">
        <v>4052</v>
      </c>
      <c r="C161" s="21" t="s">
        <v>242</v>
      </c>
      <c r="D161" s="21" t="s">
        <v>567</v>
      </c>
      <c r="E161" s="13">
        <v>42806.317731481482</v>
      </c>
      <c r="F161" s="13">
        <v>42806.31863425926</v>
      </c>
      <c r="G161" s="7">
        <v>1</v>
      </c>
      <c r="H161" s="21" t="s">
        <v>870</v>
      </c>
      <c r="I161" s="13">
        <v>42806.329965277779</v>
      </c>
      <c r="J161" s="7">
        <v>0</v>
      </c>
      <c r="K161" s="98" t="str">
        <f t="shared" si="72"/>
        <v>4051/4052</v>
      </c>
      <c r="L161" s="21" t="str">
        <f>VLOOKUP(A161,'Trips&amp;Operators'!$C$1:$G$99999,5,FALSE)</f>
        <v>HOLCOMB KAMDEN</v>
      </c>
      <c r="M161" s="6">
        <f t="shared" si="73"/>
        <v>1.1331018518831115E-2</v>
      </c>
      <c r="N161" s="7">
        <f t="shared" si="74"/>
        <v>16.316666667116806</v>
      </c>
      <c r="O161" s="7"/>
      <c r="P161" s="7"/>
      <c r="Q161" s="22"/>
      <c r="R161" s="22"/>
      <c r="S161" s="31">
        <f t="shared" si="75"/>
        <v>1</v>
      </c>
      <c r="T161" s="46" t="str">
        <f t="shared" si="76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77"/>
        <v>https://d0f6bd738d7f1b3e5a7ca70fe4ff75f0.us-east-1.aws.found.io/app/kibana#/discover/Steve-Slow-Train-Analysis-(2080s-and-2083s)?_g=(refreshInterval:(display:Off,pause:!f,section:0,value:0),time:(from:'2017-03-12T06:37:32-600',mode:absolute,to:'2017-03-12T08:55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187" t="str">
        <f t="shared" si="78"/>
        <v>N</v>
      </c>
      <c r="X161" s="187">
        <f t="shared" si="79"/>
        <v>1</v>
      </c>
      <c r="Y161" s="62">
        <f t="shared" si="80"/>
        <v>5.8638000000000003</v>
      </c>
      <c r="Z161" s="62">
        <f t="shared" si="81"/>
        <v>6.5199999999999994E-2</v>
      </c>
      <c r="AA161" s="62">
        <f t="shared" si="82"/>
        <v>5.7986000000000004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83"/>
        <v>1804-12</v>
      </c>
      <c r="AE161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61" s="82" t="str">
        <f t="shared" si="85"/>
        <v>"C:\Program Files (x86)\AstroGrep\AstroGrep.exe" /e /r /s /spath="%USERPROFILE%\AppData\Local\Temp\OnboardLogs" /stypes="app*4052*20170312*" /stext=" 13:.+((SYSTEM_STATE.+slice.+state.+changed )|(ment ac)|(multiple cpu faults)|(system.+state.+changed )|(\[timeout)|(PRM\|1\|D)|(kpr)|(kdp)|(\|lc)|(penalty))"</v>
      </c>
      <c r="AG161" s="1" t="str">
        <f t="shared" si="86"/>
        <v>NW</v>
      </c>
      <c r="AH161" s="86" t="str">
        <f t="shared" si="87"/>
        <v>"%USERPROFILE%\Documents\GitHub\eaglep3\Utilities\RefineRTDCRunTimes.py" --tripid 1804-12 --locoid 4052 --swversion DE.1.0.9.0 --startMP 300:58638 --initTime 2017-03-12T07:37:32 --startdatetime 2017-03-12T07:38:50 --delay 1 --endMP 204:652 --enddatetime 2017-03-12T07:55:09 --enforcementcount 0 &gt;&gt;C:\Users\stu\Documents\GitHub\eaglep3-reporting\EC\2017-03-12-refined-times.txt</v>
      </c>
      <c r="AI161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{"issue":{"subject":"","project_id":79,"tracker_id":40,"status_id":1,"priority_id":2,"assigned_to_id":23,"start_date":"2017-03-12","description":"","custom_fields":[{"id":1,"name":"Subdivision","value":"NW"},{"id":4,"name":"Milepost","value":"0.0652"},{"id":17,"name":"Train ID","value":"1804-12"},{"id":16,"name":"Locomotive ID","value":"4052"},{"id":130,"name":"Impact","value":""},{"id":150,"name":"Time of Event (Mountain Time)","value":"07:55:09"},{"id":151,"name":"Denver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89"/>
        <v>start /low /b %USERPROFILE%\Documents\GitHub\eaglep3\Utilities\DownloadLogsFromS3.py --loco 4052 --day 2017-03-12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62" spans="1:91" x14ac:dyDescent="0.25">
      <c r="A162" s="33" t="s">
        <v>583</v>
      </c>
      <c r="B162" s="7">
        <v>4051</v>
      </c>
      <c r="C162" s="21" t="s">
        <v>242</v>
      </c>
      <c r="D162" s="21" t="s">
        <v>871</v>
      </c>
      <c r="E162" s="13">
        <v>42806.342881944445</v>
      </c>
      <c r="F162" s="13">
        <v>42806.343599537038</v>
      </c>
      <c r="G162" s="7">
        <v>1</v>
      </c>
      <c r="H162" s="21" t="s">
        <v>872</v>
      </c>
      <c r="I162" s="13">
        <v>42806.35728009259</v>
      </c>
      <c r="J162" s="7">
        <v>0</v>
      </c>
      <c r="K162" s="98" t="str">
        <f t="shared" si="72"/>
        <v>4051/4052</v>
      </c>
      <c r="L162" s="21" t="str">
        <f>VLOOKUP(A162,'Trips&amp;Operators'!$C$1:$G$99999,5,FALSE)</f>
        <v>HOLCOMB KAMDEN</v>
      </c>
      <c r="M162" s="6">
        <f t="shared" si="73"/>
        <v>1.3680555552127771E-2</v>
      </c>
      <c r="N162" s="7">
        <f t="shared" si="74"/>
        <v>19.69999999506399</v>
      </c>
      <c r="O162" s="7"/>
      <c r="P162" s="7"/>
      <c r="Q162" s="22"/>
      <c r="R162" s="22"/>
      <c r="S162" s="31">
        <f t="shared" si="75"/>
        <v>1</v>
      </c>
      <c r="T162" s="46" t="str">
        <f t="shared" si="76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77"/>
        <v>https://d0f6bd738d7f1b3e5a7ca70fe4ff75f0.us-east-1.aws.found.io/app/kibana#/discover/Steve-Slow-Train-Analysis-(2080s-and-2083s)?_g=(refreshInterval:(display:Off,pause:!f,section:0,value:0),time:(from:'2017-03-12T07:13:45-600',mode:absolute,to:'2017-03-12T09:34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187" t="str">
        <f t="shared" si="78"/>
        <v>N</v>
      </c>
      <c r="X162" s="187">
        <f t="shared" si="79"/>
        <v>1</v>
      </c>
      <c r="Y162" s="62">
        <f t="shared" si="80"/>
        <v>9.3899999999999997E-2</v>
      </c>
      <c r="Z162" s="62">
        <f t="shared" si="81"/>
        <v>5.8940999999999999</v>
      </c>
      <c r="AA162" s="62">
        <f t="shared" si="82"/>
        <v>5.8002000000000002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83"/>
        <v>1805-12</v>
      </c>
      <c r="AE162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62" s="82" t="str">
        <f t="shared" si="85"/>
        <v>"C:\Program Files (x86)\AstroGrep\AstroGrep.exe" /e /r /s /spath="%USERPROFILE%\AppData\Local\Temp\OnboardLogs" /stypes="app*4051*20170312*" /stext=" 14:.+((SYSTEM_STATE.+slice.+state.+changed )|(ment ac)|(multiple cpu faults)|(system.+state.+changed )|(\[timeout)|(PRM\|1\|D)|(kpr)|(kdp)|(\|lc)|(penalty))"</v>
      </c>
      <c r="AG162" s="1" t="str">
        <f t="shared" si="86"/>
        <v>NW</v>
      </c>
      <c r="AH162" s="86" t="str">
        <f t="shared" si="87"/>
        <v>"%USERPROFILE%\Documents\GitHub\eaglep3\Utilities\RefineRTDCRunTimes.py" --tripid 1805-12 --locoid 4051 --swversion DE.1.0.9.0 --startMP 204:939 --initTime 2017-03-12T08:13:45 --startdatetime 2017-03-12T08:14:47 --delay 1 --endMP 300:58941 --enddatetime 2017-03-12T08:34:29 --enforcementcount 0 &gt;&gt;C:\Users\stu\Documents\GitHub\eaglep3-reporting\EC\2017-03-12-refined-times.txt</v>
      </c>
      <c r="AI162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{"issue":{"subject":"","project_id":79,"tracker_id":40,"status_id":1,"priority_id":2,"assigned_to_id":23,"start_date":"2017-03-12","description":"","custom_fields":[{"id":1,"name":"Subdivision","value":"NW"},{"id":4,"name":"Milepost","value":"5.8941"},{"id":17,"name":"Train ID","value":"1805-12"},{"id":16,"name":"Locomotive ID","value":"4051"},{"id":130,"name":"Impact","value":""},{"id":150,"name":"Time of Event (Mountain Time)","value":"08:34:29"},{"id":151,"name":"Denver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89"/>
        <v>start /low /b %USERPROFILE%\Documents\GitHub\eaglep3\Utilities\DownloadLogsFromS3.py --loco 4051 --day 2017-03-12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63" spans="1:91" x14ac:dyDescent="0.25">
      <c r="A163" s="33" t="s">
        <v>586</v>
      </c>
      <c r="B163" s="7">
        <v>4052</v>
      </c>
      <c r="C163" s="21" t="s">
        <v>242</v>
      </c>
      <c r="D163" s="21" t="s">
        <v>868</v>
      </c>
      <c r="E163" s="13">
        <v>42806.358356481483</v>
      </c>
      <c r="F163" s="13">
        <v>42806.359259259261</v>
      </c>
      <c r="G163" s="7">
        <v>1</v>
      </c>
      <c r="H163" s="21" t="s">
        <v>509</v>
      </c>
      <c r="I163" s="13">
        <v>42806.373182870368</v>
      </c>
      <c r="J163" s="7">
        <v>0</v>
      </c>
      <c r="K163" s="98" t="str">
        <f t="shared" si="72"/>
        <v>4051/4052</v>
      </c>
      <c r="L163" s="21" t="str">
        <f>VLOOKUP(A163,'Trips&amp;Operators'!$C$1:$G$99999,5,FALSE)</f>
        <v>HOLCOMB KAMDEN</v>
      </c>
      <c r="M163" s="6">
        <f t="shared" si="73"/>
        <v>1.392361110629281E-2</v>
      </c>
      <c r="N163" s="7">
        <f t="shared" si="74"/>
        <v>20.049999993061647</v>
      </c>
      <c r="O163" s="7"/>
      <c r="P163" s="7"/>
      <c r="Q163" s="22"/>
      <c r="R163" s="22"/>
      <c r="S163" s="31">
        <f t="shared" si="75"/>
        <v>1</v>
      </c>
      <c r="T163" s="46" t="str">
        <f t="shared" si="76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77"/>
        <v>https://d0f6bd738d7f1b3e5a7ca70fe4ff75f0.us-east-1.aws.found.io/app/kibana#/discover/Steve-Slow-Train-Analysis-(2080s-and-2083s)?_g=(refreshInterval:(display:Off,pause:!f,section:0,value:0),time:(from:'2017-03-12T07:36:02-600',mode:absolute,to:'2017-03-12T09:57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187" t="str">
        <f t="shared" si="78"/>
        <v>N</v>
      </c>
      <c r="X163" s="187">
        <f t="shared" si="79"/>
        <v>1</v>
      </c>
      <c r="Y163" s="62">
        <f t="shared" si="80"/>
        <v>5.8619000000000003</v>
      </c>
      <c r="Z163" s="62">
        <f t="shared" si="81"/>
        <v>6.9400000000000003E-2</v>
      </c>
      <c r="AA163" s="62">
        <f t="shared" si="82"/>
        <v>5.7925000000000004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83"/>
        <v>1806-12</v>
      </c>
      <c r="AE163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63" s="82" t="str">
        <f t="shared" si="85"/>
        <v>"C:\Program Files (x86)\AstroGrep\AstroGrep.exe" /e /r /s /spath="%USERPROFILE%\AppData\Local\Temp\OnboardLogs" /stypes="app*4052*20170312*" /stext=" 14:.+((SYSTEM_STATE.+slice.+state.+changed )|(ment ac)|(multiple cpu faults)|(system.+state.+changed )|(\[timeout)|(PRM\|1\|D)|(kpr)|(kdp)|(\|lc)|(penalty))"</v>
      </c>
      <c r="AG163" s="1" t="str">
        <f t="shared" si="86"/>
        <v>NW</v>
      </c>
      <c r="AH163" s="86" t="str">
        <f t="shared" si="87"/>
        <v>"%USERPROFILE%\Documents\GitHub\eaglep3\Utilities\RefineRTDCRunTimes.py" --tripid 1806-12 --locoid 4052 --swversion DE.1.0.9.0 --startMP 300:58619 --initTime 2017-03-12T08:36:02 --startdatetime 2017-03-12T08:37:20 --delay 1 --endMP 204:694 --enddatetime 2017-03-12T08:57:23 --enforcementcount 0 &gt;&gt;C:\Users\stu\Documents\GitHub\eaglep3-reporting\EC\2017-03-12-refined-times.txt</v>
      </c>
      <c r="AI163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{"issue":{"subject":"","project_id":79,"tracker_id":40,"status_id":1,"priority_id":2,"assigned_to_id":23,"start_date":"2017-03-12","description":"","custom_fields":[{"id":1,"name":"Subdivision","value":"NW"},{"id":4,"name":"Milepost","value":"0.0694"},{"id":17,"name":"Train ID","value":"1806-12"},{"id":16,"name":"Locomotive ID","value":"4052"},{"id":130,"name":"Impact","value":""},{"id":150,"name":"Time of Event (Mountain Time)","value":"08:57:23"},{"id":151,"name":"Denver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89"/>
        <v>start /low /b %USERPROFILE%\Documents\GitHub\eaglep3\Utilities\DownloadLogsFromS3.py --loco 4052 --day 2017-03-12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64" spans="1:91" x14ac:dyDescent="0.25">
      <c r="A164" s="33" t="s">
        <v>589</v>
      </c>
      <c r="B164" s="7">
        <v>4051</v>
      </c>
      <c r="C164" s="21" t="s">
        <v>242</v>
      </c>
      <c r="D164" s="21" t="s">
        <v>565</v>
      </c>
      <c r="E164" s="13">
        <v>42806.387361111112</v>
      </c>
      <c r="F164" s="13">
        <v>42806.388229166667</v>
      </c>
      <c r="G164" s="7">
        <v>1</v>
      </c>
      <c r="H164" s="21" t="s">
        <v>873</v>
      </c>
      <c r="I164" s="13">
        <v>42806.399826388886</v>
      </c>
      <c r="J164" s="7">
        <v>0</v>
      </c>
      <c r="K164" s="98" t="str">
        <f t="shared" si="72"/>
        <v>4051/4052</v>
      </c>
      <c r="L164" s="21" t="str">
        <f>VLOOKUP(A164,'Trips&amp;Operators'!$C$1:$G$99999,5,FALSE)</f>
        <v>HOLCOMB KAMDEN</v>
      </c>
      <c r="M164" s="6">
        <f t="shared" si="73"/>
        <v>1.1597222219279502E-2</v>
      </c>
      <c r="N164" s="7">
        <f t="shared" si="74"/>
        <v>16.699999995762482</v>
      </c>
      <c r="O164" s="7"/>
      <c r="P164" s="7"/>
      <c r="Q164" s="22"/>
      <c r="R164" s="22"/>
      <c r="S164" s="31">
        <f t="shared" si="75"/>
        <v>1</v>
      </c>
      <c r="T164" s="46" t="str">
        <f t="shared" si="76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77"/>
        <v>https://d0f6bd738d7f1b3e5a7ca70fe4ff75f0.us-east-1.aws.found.io/app/kibana#/discover/Steve-Slow-Train-Analysis-(2080s-and-2083s)?_g=(refreshInterval:(display:Off,pause:!f,section:0,value:0),time:(from:'2017-03-12T08:17:48-600',mode:absolute,to:'2017-03-12T10:35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187" t="str">
        <f t="shared" si="78"/>
        <v>N</v>
      </c>
      <c r="X164" s="187">
        <f t="shared" si="79"/>
        <v>1</v>
      </c>
      <c r="Y164" s="62">
        <f t="shared" si="80"/>
        <v>9.7600000000000006E-2</v>
      </c>
      <c r="Z164" s="62">
        <f t="shared" si="81"/>
        <v>5.8948</v>
      </c>
      <c r="AA164" s="62">
        <f t="shared" si="82"/>
        <v>5.7972000000000001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83"/>
        <v>1807-12</v>
      </c>
      <c r="AE164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64" s="82" t="str">
        <f t="shared" si="85"/>
        <v>"C:\Program Files (x86)\AstroGrep\AstroGrep.exe" /e /r /s /spath="%USERPROFILE%\AppData\Local\Temp\OnboardLogs" /stypes="app*4051*20170312*" /stext=" 15:.+((SYSTEM_STATE.+slice.+state.+changed )|(ment ac)|(multiple cpu faults)|(system.+state.+changed )|(\[timeout)|(PRM\|1\|D)|(kpr)|(kdp)|(\|lc)|(penalty))"</v>
      </c>
      <c r="AG164" s="1" t="str">
        <f t="shared" si="86"/>
        <v>NW</v>
      </c>
      <c r="AH164" s="86" t="str">
        <f t="shared" si="87"/>
        <v>"%USERPROFILE%\Documents\GitHub\eaglep3\Utilities\RefineRTDCRunTimes.py" --tripid 1807-12 --locoid 4051 --swversion DE.1.0.9.0 --startMP 204:976 --initTime 2017-03-12T09:17:48 --startdatetime 2017-03-12T09:19:03 --delay 1 --endMP 300:58948 --enddatetime 2017-03-12T09:35:45 --enforcementcount 0 &gt;&gt;C:\Users\stu\Documents\GitHub\eaglep3-reporting\EC\2017-03-12-refined-times.txt</v>
      </c>
      <c r="AI164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{"issue":{"subject":"","project_id":79,"tracker_id":40,"status_id":1,"priority_id":2,"assigned_to_id":23,"start_date":"2017-03-12","description":"","custom_fields":[{"id":1,"name":"Subdivision","value":"NW"},{"id":4,"name":"Milepost","value":"5.8948"},{"id":17,"name":"Train ID","value":"1807-12"},{"id":16,"name":"Locomotive ID","value":"4051"},{"id":130,"name":"Impact","value":""},{"id":150,"name":"Time of Event (Mountain Time)","value":"09:35:45"},{"id":151,"name":"Denver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89"/>
        <v>start /low /b %USERPROFILE%\Documents\GitHub\eaglep3\Utilities\DownloadLogsFromS3.py --loco 4051 --day 2017-03-12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65" spans="1:91" x14ac:dyDescent="0.25">
      <c r="A165" s="33" t="s">
        <v>695</v>
      </c>
      <c r="B165" s="7">
        <v>4052</v>
      </c>
      <c r="C165" s="21" t="s">
        <v>242</v>
      </c>
      <c r="D165" s="21" t="s">
        <v>566</v>
      </c>
      <c r="E165" s="13">
        <v>42806.400694444441</v>
      </c>
      <c r="F165" s="13">
        <v>42806.401388888888</v>
      </c>
      <c r="G165" s="7">
        <v>0</v>
      </c>
      <c r="H165" s="21" t="s">
        <v>874</v>
      </c>
      <c r="I165" s="13">
        <v>42806.413090277776</v>
      </c>
      <c r="J165" s="7">
        <v>0</v>
      </c>
      <c r="K165" s="98" t="str">
        <f t="shared" si="72"/>
        <v>4051/4052</v>
      </c>
      <c r="L165" s="21" t="str">
        <f>VLOOKUP(A165,'Trips&amp;Operators'!$C$1:$G$99999,5,FALSE)</f>
        <v>HOLCOMB KAMDEN</v>
      </c>
      <c r="M165" s="6">
        <f t="shared" si="73"/>
        <v>1.17013888884685E-2</v>
      </c>
      <c r="N165" s="7">
        <f t="shared" si="74"/>
        <v>16.84999999939464</v>
      </c>
      <c r="O165" s="7"/>
      <c r="P165" s="7"/>
      <c r="Q165" s="22"/>
      <c r="R165" s="22"/>
      <c r="S165" s="31">
        <f t="shared" si="75"/>
        <v>1</v>
      </c>
      <c r="T165" s="46" t="str">
        <f t="shared" si="76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77"/>
        <v>https://d0f6bd738d7f1b3e5a7ca70fe4ff75f0.us-east-1.aws.found.io/app/kibana#/discover/Steve-Slow-Train-Analysis-(2080s-and-2083s)?_g=(refreshInterval:(display:Off,pause:!f,section:0,value:0),time:(from:'2017-03-12T08:37:00-600',mode:absolute,to:'2017-03-12T10:54:51-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187" t="str">
        <f t="shared" si="78"/>
        <v>N</v>
      </c>
      <c r="X165" s="187">
        <f t="shared" si="79"/>
        <v>1</v>
      </c>
      <c r="Y165" s="62">
        <f t="shared" si="80"/>
        <v>5.8640999999999996</v>
      </c>
      <c r="Z165" s="62">
        <f t="shared" si="81"/>
        <v>6.7000000000000004E-2</v>
      </c>
      <c r="AA165" s="62">
        <f t="shared" si="82"/>
        <v>5.7970999999999995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83"/>
        <v>1808-12</v>
      </c>
      <c r="AE165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65" s="82" t="str">
        <f t="shared" si="85"/>
        <v>"C:\Program Files (x86)\AstroGrep\AstroGrep.exe" /e /r /s /spath="%USERPROFILE%\AppData\Local\Temp\OnboardLogs" /stypes="app*4052*20170312*" /stext=" 15:.+((SYSTEM_STATE.+slice.+state.+changed )|(ment ac)|(multiple cpu faults)|(system.+state.+changed )|(\[timeout)|(PRM\|1\|D)|(kpr)|(kdp)|(\|lc)|(penalty))"</v>
      </c>
      <c r="AG165" s="1" t="str">
        <f t="shared" si="86"/>
        <v>NW</v>
      </c>
      <c r="AH165" s="86" t="str">
        <f t="shared" si="87"/>
        <v>"%USERPROFILE%\Documents\GitHub\eaglep3\Utilities\RefineRTDCRunTimes.py" --tripid 1808-12 --locoid 4052 --swversion DE.1.0.9.0 --startMP 300:58641 --initTime 2017-03-12T09:37:00 --startdatetime 2017-03-12T09:38:00 --delay 0 --endMP 204:670 --enddatetime 2017-03-12T09:54:51 --enforcementcount 0 &gt;&gt;C:\Users\stu\Documents\GitHub\eaglep3-reporting\EC\2017-03-12-refined-times.txt</v>
      </c>
      <c r="AI165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{"issue":{"subject":"","project_id":79,"tracker_id":40,"status_id":1,"priority_id":2,"assigned_to_id":23,"start_date":"2017-03-12","description":"","custom_fields":[{"id":1,"name":"Subdivision","value":"NW"},{"id":4,"name":"Milepost","value":"0.067"},{"id":17,"name":"Train ID","value":"1808-12"},{"id":16,"name":"Locomotive ID","value":"4052"},{"id":130,"name":"Impact","value":""},{"id":150,"name":"Time of Event (Mountain Time)","value":"09:54:51"},{"id":151,"name":"Denver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89"/>
        <v>start /low /b %USERPROFILE%\Documents\GitHub\eaglep3\Utilities\DownloadLogsFromS3.py --loco 4052 --day 2017-03-12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66" spans="1:91" s="20" customFormat="1" x14ac:dyDescent="0.25">
      <c r="A166" s="33" t="s">
        <v>700</v>
      </c>
      <c r="B166" s="7">
        <v>4051</v>
      </c>
      <c r="C166" s="21" t="s">
        <v>242</v>
      </c>
      <c r="D166" s="21" t="s">
        <v>875</v>
      </c>
      <c r="E166" s="13">
        <v>42806.426539351851</v>
      </c>
      <c r="F166" s="13">
        <v>42806.427430555559</v>
      </c>
      <c r="G166" s="7">
        <v>1</v>
      </c>
      <c r="H166" s="21" t="s">
        <v>506</v>
      </c>
      <c r="I166" s="13">
        <v>42806.440729166665</v>
      </c>
      <c r="J166" s="7">
        <v>0</v>
      </c>
      <c r="K166" s="98" t="str">
        <f t="shared" si="72"/>
        <v>4051/4052</v>
      </c>
      <c r="L166" s="21" t="str">
        <f>VLOOKUP(A166,'Trips&amp;Operators'!$C$1:$G$99999,5,FALSE)</f>
        <v>HOLCOMB KAMDEN</v>
      </c>
      <c r="M166" s="6">
        <f t="shared" si="73"/>
        <v>1.3298611105710734E-2</v>
      </c>
      <c r="N166" s="7">
        <f t="shared" si="74"/>
        <v>19.149999992223457</v>
      </c>
      <c r="O166" s="7"/>
      <c r="P166" s="7"/>
      <c r="Q166" s="22"/>
      <c r="R166" s="22"/>
      <c r="S166" s="31">
        <f t="shared" si="75"/>
        <v>1</v>
      </c>
      <c r="T166" s="46" t="str">
        <f t="shared" si="76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77"/>
        <v>https://d0f6bd738d7f1b3e5a7ca70fe4ff75f0.us-east-1.aws.found.io/app/kibana#/discover/Steve-Slow-Train-Analysis-(2080s-and-2083s)?_g=(refreshInterval:(display:Off,pause:!f,section:0,value:0),time:(from:'2017-03-12T09:14:13-600',mode:absolute,to:'2017-03-12T11:34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87" t="str">
        <f t="shared" si="78"/>
        <v>N</v>
      </c>
      <c r="X166" s="187">
        <f t="shared" si="79"/>
        <v>1</v>
      </c>
      <c r="Y166" s="62">
        <f t="shared" si="80"/>
        <v>9.4600000000000004E-2</v>
      </c>
      <c r="Z166" s="62">
        <f t="shared" si="81"/>
        <v>5.8958000000000004</v>
      </c>
      <c r="AA166" s="62">
        <f t="shared" si="82"/>
        <v>5.8012000000000006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83"/>
        <v>1809-12</v>
      </c>
      <c r="AE166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66" s="82" t="str">
        <f t="shared" si="85"/>
        <v>"C:\Program Files (x86)\AstroGrep\AstroGrep.exe" /e /r /s /spath="%USERPROFILE%\AppData\Local\Temp\OnboardLogs" /stypes="app*4051*20170312*" /stext=" 16:.+((SYSTEM_STATE.+slice.+state.+changed )|(ment ac)|(multiple cpu faults)|(system.+state.+changed )|(\[timeout)|(PRM\|1\|D)|(kpr)|(kdp)|(\|lc)|(penalty))"</v>
      </c>
      <c r="AG166" s="1" t="str">
        <f t="shared" si="86"/>
        <v>NW</v>
      </c>
      <c r="AH166" s="86" t="str">
        <f t="shared" si="87"/>
        <v>"%USERPROFILE%\Documents\GitHub\eaglep3\Utilities\RefineRTDCRunTimes.py" --tripid 1809-12 --locoid 4051 --swversion DE.1.0.9.0 --startMP 204:946 --initTime 2017-03-12T10:14:13 --startdatetime 2017-03-12T10:15:30 --delay 1 --endMP 300:58958 --enddatetime 2017-03-12T10:34:39 --enforcementcount 0 &gt;&gt;C:\Users\stu\Documents\GitHub\eaglep3-reporting\EC\2017-03-12-refined-times.txt</v>
      </c>
      <c r="AI166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{"issue":{"subject":"","project_id":79,"tracker_id":40,"status_id":1,"priority_id":2,"assigned_to_id":23,"start_date":"2017-03-12","description":"","custom_fields":[{"id":1,"name":"Subdivision","value":"NW"},{"id":4,"name":"Milepost","value":"5.8958"},{"id":17,"name":"Train ID","value":"1809-12"},{"id":16,"name":"Locomotive ID","value":"4051"},{"id":130,"name":"Impact","value":""},{"id":150,"name":"Time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89"/>
        <v>start /low /b %USERPROFILE%\Documents\GitHub\eaglep3\Utilities\DownloadLogsFromS3.py --loco 4051 --day 2017-03-12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595</v>
      </c>
      <c r="B167" s="7">
        <v>4052</v>
      </c>
      <c r="C167" s="21" t="s">
        <v>242</v>
      </c>
      <c r="D167" s="21" t="s">
        <v>507</v>
      </c>
      <c r="E167" s="13">
        <v>42806.441574074073</v>
      </c>
      <c r="F167" s="13">
        <v>42806.442233796297</v>
      </c>
      <c r="G167" s="7">
        <v>0</v>
      </c>
      <c r="H167" s="21" t="s">
        <v>876</v>
      </c>
      <c r="I167" s="13">
        <v>42806.455462962964</v>
      </c>
      <c r="J167" s="7">
        <v>0</v>
      </c>
      <c r="K167" s="98" t="str">
        <f t="shared" si="72"/>
        <v>4051/4052</v>
      </c>
      <c r="L167" s="21" t="str">
        <f>VLOOKUP(A167,'Trips&amp;Operators'!$C$1:$G$99999,5,FALSE)</f>
        <v>HOLCOMB KAMDEN</v>
      </c>
      <c r="M167" s="6">
        <f t="shared" si="73"/>
        <v>1.3229166666860692E-2</v>
      </c>
      <c r="N167" s="7">
        <f t="shared" si="74"/>
        <v>19.050000000279397</v>
      </c>
      <c r="O167" s="7"/>
      <c r="P167" s="7"/>
      <c r="Q167" s="22"/>
      <c r="R167" s="22"/>
      <c r="S167" s="31">
        <f t="shared" si="75"/>
        <v>1</v>
      </c>
      <c r="T167" s="46" t="str">
        <f t="shared" si="76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77"/>
        <v>https://d0f6bd738d7f1b3e5a7ca70fe4ff75f0.us-east-1.aws.found.io/app/kibana#/discover/Steve-Slow-Train-Analysis-(2080s-and-2083s)?_g=(refreshInterval:(display:Off,pause:!f,section:0,value:0),time:(from:'2017-03-12T09:35:52-600',mode:absolute,to:'2017-03-12T11:55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87" t="str">
        <f t="shared" si="78"/>
        <v>N</v>
      </c>
      <c r="X167" s="187">
        <f t="shared" si="79"/>
        <v>1</v>
      </c>
      <c r="Y167" s="62">
        <f t="shared" si="80"/>
        <v>5.8639999999999999</v>
      </c>
      <c r="Z167" s="62">
        <f t="shared" si="81"/>
        <v>6.9199999999999998E-2</v>
      </c>
      <c r="AA167" s="62">
        <f t="shared" si="82"/>
        <v>5.7947999999999995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83"/>
        <v>1810-12</v>
      </c>
      <c r="AE167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67" s="82" t="str">
        <f t="shared" si="85"/>
        <v>"C:\Program Files (x86)\AstroGrep\AstroGrep.exe" /e /r /s /spath="%USERPROFILE%\AppData\Local\Temp\OnboardLogs" /stypes="app*4052*20170312*" /stext=" 16:.+((SYSTEM_STATE.+slice.+state.+changed )|(ment ac)|(multiple cpu faults)|(system.+state.+changed )|(\[timeout)|(PRM\|1\|D)|(kpr)|(kdp)|(\|lc)|(penalty))"</v>
      </c>
      <c r="AG167" s="1" t="str">
        <f t="shared" si="86"/>
        <v>NW</v>
      </c>
      <c r="AH167" s="86" t="str">
        <f t="shared" si="87"/>
        <v>"%USERPROFILE%\Documents\GitHub\eaglep3\Utilities\RefineRTDCRunTimes.py" --tripid 1810-12 --locoid 4052 --swversion DE.1.0.9.0 --startMP 300:58640 --initTime 2017-03-12T10:35:52 --startdatetime 2017-03-12T10:36:49 --delay 0 --endMP 204:692 --enddatetime 2017-03-12T10:55:52 --enforcementcount 0 &gt;&gt;C:\Users\stu\Documents\GitHub\eaglep3-reporting\EC\2017-03-12-refined-times.txt</v>
      </c>
      <c r="AI167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{"issue":{"subject":"","project_id":79,"tracker_id":40,"status_id":1,"priority_id":2,"assigned_to_id":23,"start_date":"2017-03-12","description":"","custom_fields":[{"id":1,"name":"Subdivision","value":"NW"},{"id":4,"name":"Milepost","value":"0.0692"},{"id":17,"name":"Train ID","value":"1810-12"},{"id":16,"name":"Locomotive ID","value":"4052"},{"id":130,"name":"Impact","value":""},{"id":150,"name":"Time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89"/>
        <v>start /low /b %USERPROFILE%\Documents\GitHub\eaglep3\Utilities\DownloadLogsFromS3.py --loco 4052 --day 2017-03-12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68" spans="1:91" x14ac:dyDescent="0.25">
      <c r="A168" s="33" t="s">
        <v>708</v>
      </c>
      <c r="B168" s="7">
        <v>4051</v>
      </c>
      <c r="C168" s="21" t="s">
        <v>242</v>
      </c>
      <c r="D168" s="21" t="s">
        <v>577</v>
      </c>
      <c r="E168" s="13">
        <v>42806.463784722226</v>
      </c>
      <c r="F168" s="13">
        <v>42806.464872685188</v>
      </c>
      <c r="G168" s="7">
        <v>1</v>
      </c>
      <c r="H168" s="21" t="s">
        <v>877</v>
      </c>
      <c r="I168" s="13">
        <v>42806.482569444444</v>
      </c>
      <c r="J168" s="7">
        <v>0</v>
      </c>
      <c r="K168" s="98" t="str">
        <f t="shared" si="72"/>
        <v>4051/4052</v>
      </c>
      <c r="L168" s="21" t="str">
        <f>VLOOKUP(A168,'Trips&amp;Operators'!$C$1:$G$99999,5,FALSE)</f>
        <v>LOPES KIMBERLY</v>
      </c>
      <c r="M168" s="6">
        <f t="shared" si="73"/>
        <v>1.7696759256068617E-2</v>
      </c>
      <c r="N168" s="7">
        <f t="shared" si="74"/>
        <v>25.483333328738809</v>
      </c>
      <c r="O168" s="7"/>
      <c r="P168" s="7"/>
      <c r="Q168" s="22"/>
      <c r="R168" s="22"/>
      <c r="S168" s="31">
        <f t="shared" si="75"/>
        <v>1</v>
      </c>
      <c r="T168" s="46" t="str">
        <f t="shared" si="76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77"/>
        <v>https://d0f6bd738d7f1b3e5a7ca70fe4ff75f0.us-east-1.aws.found.io/app/kibana#/discover/Steve-Slow-Train-Analysis-(2080s-and-2083s)?_g=(refreshInterval:(display:Off,pause:!f,section:0,value:0),time:(from:'2017-03-12T10:07:51-600',mode:absolute,to:'2017-03-12T12:34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187" t="str">
        <f t="shared" si="78"/>
        <v>N</v>
      </c>
      <c r="X168" s="187">
        <f t="shared" si="79"/>
        <v>1</v>
      </c>
      <c r="Y168" s="62">
        <f t="shared" si="80"/>
        <v>9.8599999999999993E-2</v>
      </c>
      <c r="Z168" s="62">
        <f t="shared" si="81"/>
        <v>5.8952</v>
      </c>
      <c r="AA168" s="62">
        <f t="shared" si="82"/>
        <v>5.7965999999999998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83"/>
        <v>1811-12</v>
      </c>
      <c r="AE168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68" s="82" t="str">
        <f t="shared" si="85"/>
        <v>"C:\Program Files (x86)\AstroGrep\AstroGrep.exe" /e /r /s /spath="%USERPROFILE%\AppData\Local\Temp\OnboardLogs" /stypes="app*4051*20170312*" /stext=" 17:.+((SYSTEM_STATE.+slice.+state.+changed )|(ment ac)|(multiple cpu faults)|(system.+state.+changed )|(\[timeout)|(PRM\|1\|D)|(kpr)|(kdp)|(\|lc)|(penalty))"</v>
      </c>
      <c r="AG168" s="1" t="str">
        <f t="shared" si="86"/>
        <v>NW</v>
      </c>
      <c r="AH168" s="86" t="str">
        <f t="shared" si="87"/>
        <v>"%USERPROFILE%\Documents\GitHub\eaglep3\Utilities\RefineRTDCRunTimes.py" --tripid 1811-12 --locoid 4051 --swversion DE.1.0.9.0 --startMP 204:986 --initTime 2017-03-12T11:07:51 --startdatetime 2017-03-12T11:09:25 --delay 1 --endMP 300:58952 --enddatetime 2017-03-12T11:34:54 --enforcementcount 0 &gt;&gt;C:\Users\stu\Documents\GitHub\eaglep3-reporting\EC\2017-03-12-refined-times.txt</v>
      </c>
      <c r="AI168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{"issue":{"subject":"","project_id":79,"tracker_id":40,"status_id":1,"priority_id":2,"assigned_to_id":23,"start_date":"2017-03-12","description":"","custom_fields":[{"id":1,"name":"Subdivision","value":"NW"},{"id":4,"name":"Milepost","value":"5.8952"},{"id":17,"name":"Train ID","value":"1811-12"},{"id":16,"name":"Locomotive ID","value":"4051"},{"id":130,"name":"Impact","value":""},{"id":150,"name":"Time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89"/>
        <v>start /low /b %USERPROFILE%\Documents\GitHub\eaglep3\Utilities\DownloadLogsFromS3.py --loco 4051 --day 2017-03-12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69" spans="1:91" x14ac:dyDescent="0.25">
      <c r="A169" s="33" t="s">
        <v>713</v>
      </c>
      <c r="B169" s="7">
        <v>4052</v>
      </c>
      <c r="C169" s="21" t="s">
        <v>242</v>
      </c>
      <c r="D169" s="21" t="s">
        <v>572</v>
      </c>
      <c r="E169" s="13">
        <v>42806.483275462961</v>
      </c>
      <c r="F169" s="13">
        <v>42806.484155092592</v>
      </c>
      <c r="G169" s="7">
        <v>1</v>
      </c>
      <c r="H169" s="21" t="s">
        <v>575</v>
      </c>
      <c r="I169" s="13">
        <v>42806.498067129629</v>
      </c>
      <c r="J169" s="7">
        <v>0</v>
      </c>
      <c r="K169" s="98" t="str">
        <f t="shared" si="72"/>
        <v>4051/4052</v>
      </c>
      <c r="L169" s="21" t="str">
        <f>VLOOKUP(A169,'Trips&amp;Operators'!$C$1:$G$99999,5,FALSE)</f>
        <v>LOPES KIMBERLY</v>
      </c>
      <c r="M169" s="6">
        <f t="shared" si="73"/>
        <v>1.3912037036789116E-2</v>
      </c>
      <c r="N169" s="7">
        <f t="shared" si="74"/>
        <v>20.033333332976326</v>
      </c>
      <c r="O169" s="7"/>
      <c r="P169" s="7"/>
      <c r="Q169" s="22"/>
      <c r="R169" s="22"/>
      <c r="S169" s="31">
        <f t="shared" si="75"/>
        <v>1</v>
      </c>
      <c r="T169" s="46" t="str">
        <f t="shared" si="76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77"/>
        <v>https://d0f6bd738d7f1b3e5a7ca70fe4ff75f0.us-east-1.aws.found.io/app/kibana#/discover/Steve-Slow-Train-Analysis-(2080s-and-2083s)?_g=(refreshInterval:(display:Off,pause:!f,section:0,value:0),time:(from:'2017-03-12T10:35:55-600',mode:absolute,to:'2017-03-12T12:57:13-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187" t="str">
        <f t="shared" si="78"/>
        <v>N</v>
      </c>
      <c r="X169" s="187">
        <f t="shared" si="79"/>
        <v>1</v>
      </c>
      <c r="Y169" s="62">
        <f t="shared" si="80"/>
        <v>5.8628</v>
      </c>
      <c r="Z169" s="62">
        <f t="shared" si="81"/>
        <v>6.9800000000000001E-2</v>
      </c>
      <c r="AA169" s="62">
        <f t="shared" si="82"/>
        <v>5.7930000000000001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83"/>
        <v>1812-12</v>
      </c>
      <c r="AE169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69" s="82" t="str">
        <f t="shared" si="85"/>
        <v>"C:\Program Files (x86)\AstroGrep\AstroGrep.exe" /e /r /s /spath="%USERPROFILE%\AppData\Local\Temp\OnboardLogs" /stypes="app*4052*20170312*" /stext=" 17:.+((SYSTEM_STATE.+slice.+state.+changed )|(ment ac)|(multiple cpu faults)|(system.+state.+changed )|(\[timeout)|(PRM\|1\|D)|(kpr)|(kdp)|(\|lc)|(penalty))"</v>
      </c>
      <c r="AG169" s="1" t="str">
        <f t="shared" si="86"/>
        <v>NW</v>
      </c>
      <c r="AH169" s="86" t="str">
        <f t="shared" si="87"/>
        <v>"%USERPROFILE%\Documents\GitHub\eaglep3\Utilities\RefineRTDCRunTimes.py" --tripid 1812-12 --locoid 4052 --swversion DE.1.0.9.0 --startMP 300:58628 --initTime 2017-03-12T11:35:55 --startdatetime 2017-03-12T11:37:11 --delay 1 --endMP 204:698 --enddatetime 2017-03-12T11:57:13 --enforcementcount 0 &gt;&gt;C:\Users\stu\Documents\GitHub\eaglep3-reporting\EC\2017-03-12-refined-times.txt</v>
      </c>
      <c r="AI169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{"issue":{"subject":"","project_id":79,"tracker_id":40,"status_id":1,"priority_id":2,"assigned_to_id":23,"start_date":"2017-03-12","description":"","custom_fields":[{"id":1,"name":"Subdivision","value":"NW"},{"id":4,"name":"Milepost","value":"0.0698"},{"id":17,"name":"Train ID","value":"1812-12"},{"id":16,"name":"Locomotive ID","value":"4052"},{"id":130,"name":"Impact","value":""},{"id":150,"name":"Time of Event (Mountain Time)","value":"11:57:13"},{"id":151,"name":"Denver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89"/>
        <v>start /low /b %USERPROFILE%\Documents\GitHub\eaglep3\Utilities\DownloadLogsFromS3.py --loco 4052 --day 2017-03-12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70" spans="1:91" x14ac:dyDescent="0.25">
      <c r="A170" s="33" t="s">
        <v>717</v>
      </c>
      <c r="B170" s="7">
        <v>4051</v>
      </c>
      <c r="C170" s="21" t="s">
        <v>242</v>
      </c>
      <c r="D170" s="21" t="s">
        <v>878</v>
      </c>
      <c r="E170" s="13">
        <v>42806.50953703704</v>
      </c>
      <c r="F170" s="13">
        <v>42806.510694444441</v>
      </c>
      <c r="G170" s="7">
        <v>1</v>
      </c>
      <c r="H170" s="21" t="s">
        <v>879</v>
      </c>
      <c r="I170" s="13">
        <v>42806.524212962962</v>
      </c>
      <c r="J170" s="7">
        <v>0</v>
      </c>
      <c r="K170" s="98" t="str">
        <f t="shared" si="72"/>
        <v>4051/4052</v>
      </c>
      <c r="L170" s="21" t="str">
        <f>VLOOKUP(A170,'Trips&amp;Operators'!$C$1:$G$99999,5,FALSE)</f>
        <v>LOPES KIMBERLY</v>
      </c>
      <c r="M170" s="6">
        <f t="shared" si="73"/>
        <v>1.3518518520868383E-2</v>
      </c>
      <c r="N170" s="7">
        <f t="shared" si="74"/>
        <v>19.466666670050472</v>
      </c>
      <c r="O170" s="7"/>
      <c r="P170" s="7"/>
      <c r="Q170" s="22"/>
      <c r="R170" s="22"/>
      <c r="S170" s="31">
        <f t="shared" si="75"/>
        <v>1</v>
      </c>
      <c r="T170" s="46" t="str">
        <f t="shared" si="76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77"/>
        <v>https://d0f6bd738d7f1b3e5a7ca70fe4ff75f0.us-east-1.aws.found.io/app/kibana#/discover/Steve-Slow-Train-Analysis-(2080s-and-2083s)?_g=(refreshInterval:(display:Off,pause:!f,section:0,value:0),time:(from:'2017-03-12T11:13:44-600',mode:absolute,to:'2017-03-12T13:34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187" t="str">
        <f t="shared" si="78"/>
        <v>N</v>
      </c>
      <c r="X170" s="187">
        <f t="shared" si="79"/>
        <v>1</v>
      </c>
      <c r="Y170" s="62">
        <f t="shared" si="80"/>
        <v>9.9199999999999997E-2</v>
      </c>
      <c r="Z170" s="62">
        <f t="shared" si="81"/>
        <v>5.8944000000000001</v>
      </c>
      <c r="AA170" s="62">
        <f t="shared" si="82"/>
        <v>5.7952000000000004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83"/>
        <v>1813-12</v>
      </c>
      <c r="AE170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70" s="82" t="str">
        <f t="shared" si="85"/>
        <v>"C:\Program Files (x86)\AstroGrep\AstroGrep.exe" /e /r /s /spath="%USERPROFILE%\AppData\Local\Temp\OnboardLogs" /stypes="app*4051*20170312*" /stext=" 18:.+((SYSTEM_STATE.+slice.+state.+changed )|(ment ac)|(multiple cpu faults)|(system.+state.+changed )|(\[timeout)|(PRM\|1\|D)|(kpr)|(kdp)|(\|lc)|(penalty))"</v>
      </c>
      <c r="AG170" s="1" t="str">
        <f t="shared" si="86"/>
        <v>NW</v>
      </c>
      <c r="AH170" s="86" t="str">
        <f t="shared" si="87"/>
        <v>"%USERPROFILE%\Documents\GitHub\eaglep3\Utilities\RefineRTDCRunTimes.py" --tripid 1813-12 --locoid 4051 --swversion DE.1.0.9.0 --startMP 204:992 --initTime 2017-03-12T12:13:44 --startdatetime 2017-03-12T12:15:24 --delay 1 --endMP 300:58944 --enddatetime 2017-03-12T12:34:52 --enforcementcount 0 &gt;&gt;C:\Users\stu\Documents\GitHub\eaglep3-reporting\EC\2017-03-12-refined-times.txt</v>
      </c>
      <c r="AI170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{"issue":{"subject":"","project_id":79,"tracker_id":40,"status_id":1,"priority_id":2,"assigned_to_id":23,"start_date":"2017-03-12","description":"","custom_fields":[{"id":1,"name":"Subdivision","value":"NW"},{"id":4,"name":"Milepost","value":"5.8944"},{"id":17,"name":"Train ID","value":"1813-12"},{"id":16,"name":"Locomotive ID","value":"4051"},{"id":130,"name":"Impact","value":""},{"id":150,"name":"Time of Event (Mountain Time)","value":"12:34:52"},{"id":151,"name":"Denver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89"/>
        <v>start /low /b %USERPROFILE%\Documents\GitHub\eaglep3\Utilities\DownloadLogsFromS3.py --loco 4051 --day 2017-03-12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71" spans="1:91" s="20" customFormat="1" x14ac:dyDescent="0.25">
      <c r="A171" s="33" t="s">
        <v>723</v>
      </c>
      <c r="B171" s="7">
        <v>4052</v>
      </c>
      <c r="C171" s="21" t="s">
        <v>242</v>
      </c>
      <c r="D171" s="21" t="s">
        <v>508</v>
      </c>
      <c r="E171" s="13">
        <v>42806.525023148148</v>
      </c>
      <c r="F171" s="13">
        <v>42806.526076388887</v>
      </c>
      <c r="G171" s="7">
        <v>1</v>
      </c>
      <c r="H171" s="21" t="s">
        <v>880</v>
      </c>
      <c r="I171" s="13">
        <v>42806.538414351853</v>
      </c>
      <c r="J171" s="7">
        <v>0</v>
      </c>
      <c r="K171" s="98" t="str">
        <f t="shared" si="72"/>
        <v>4051/4052</v>
      </c>
      <c r="L171" s="21" t="str">
        <f>VLOOKUP(A171,'Trips&amp;Operators'!$C$1:$G$99999,5,FALSE)</f>
        <v>LOPES KIMBERLY</v>
      </c>
      <c r="M171" s="6">
        <f t="shared" si="73"/>
        <v>1.2337962965830229E-2</v>
      </c>
      <c r="N171" s="7">
        <f t="shared" si="74"/>
        <v>17.76666667079553</v>
      </c>
      <c r="O171" s="7"/>
      <c r="P171" s="7"/>
      <c r="Q171" s="22"/>
      <c r="R171" s="22"/>
      <c r="S171" s="31">
        <f t="shared" si="75"/>
        <v>1</v>
      </c>
      <c r="T171" s="46" t="str">
        <f t="shared" si="76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77"/>
        <v>https://d0f6bd738d7f1b3e5a7ca70fe4ff75f0.us-east-1.aws.found.io/app/kibana#/discover/Steve-Slow-Train-Analysis-(2080s-and-2083s)?_g=(refreshInterval:(display:Off,pause:!f,section:0,value:0),time:(from:'2017-03-12T11:36:02-600',mode:absolute,to:'2017-03-12T13:55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187" t="str">
        <f t="shared" si="78"/>
        <v>N</v>
      </c>
      <c r="X171" s="187">
        <f t="shared" si="79"/>
        <v>1</v>
      </c>
      <c r="Y171" s="62">
        <f t="shared" si="80"/>
        <v>5.8625999999999996</v>
      </c>
      <c r="Z171" s="62">
        <f t="shared" si="81"/>
        <v>6.6600000000000006E-2</v>
      </c>
      <c r="AA171" s="62">
        <f t="shared" si="82"/>
        <v>5.7959999999999994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83"/>
        <v>1814-12</v>
      </c>
      <c r="AE171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71" s="82" t="str">
        <f t="shared" si="85"/>
        <v>"C:\Program Files (x86)\AstroGrep\AstroGrep.exe" /e /r /s /spath="%USERPROFILE%\AppData\Local\Temp\OnboardLogs" /stypes="app*4052*20170312*" /stext=" 18:.+((SYSTEM_STATE.+slice.+state.+changed )|(ment ac)|(multiple cpu faults)|(system.+state.+changed )|(\[timeout)|(PRM\|1\|D)|(kpr)|(kdp)|(\|lc)|(penalty))"</v>
      </c>
      <c r="AG171" s="1" t="str">
        <f t="shared" si="86"/>
        <v>NW</v>
      </c>
      <c r="AH171" s="86" t="str">
        <f t="shared" si="87"/>
        <v>"%USERPROFILE%\Documents\GitHub\eaglep3\Utilities\RefineRTDCRunTimes.py" --tripid 1814-12 --locoid 4052 --swversion DE.1.0.9.0 --startMP 300:58626 --initTime 2017-03-12T12:36:02 --startdatetime 2017-03-12T12:37:33 --delay 1 --endMP 204:666 --enddatetime 2017-03-12T12:55:19 --enforcementcount 0 &gt;&gt;C:\Users\stu\Documents\GitHub\eaglep3-reporting\EC\2017-03-12-refined-times.txt</v>
      </c>
      <c r="AI171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{"issue":{"subject":"","project_id":79,"tracker_id":40,"status_id":1,"priority_id":2,"assigned_to_id":23,"start_date":"2017-03-12","description":"","custom_fields":[{"id":1,"name":"Subdivision","value":"NW"},{"id":4,"name":"Milepost","value":"0.0666"},{"id":17,"name":"Train ID","value":"1814-12"},{"id":16,"name":"Locomotive ID","value":"4052"},{"id":130,"name":"Impact","value":""},{"id":150,"name":"Time of Event (Mountain Time)","value":"12:55:19"},{"id":151,"name":"Denver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89"/>
        <v>start /low /b %USERPROFILE%\Documents\GitHub\eaglep3\Utilities\DownloadLogsFromS3.py --loco 4052 --day 2017-03-12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729</v>
      </c>
      <c r="B172" s="7">
        <v>4051</v>
      </c>
      <c r="C172" s="21" t="s">
        <v>242</v>
      </c>
      <c r="D172" s="21" t="s">
        <v>881</v>
      </c>
      <c r="E172" s="13">
        <v>42806.54583333333</v>
      </c>
      <c r="F172" s="13">
        <v>42806.546967592592</v>
      </c>
      <c r="G172" s="7">
        <v>1</v>
      </c>
      <c r="H172" s="21" t="s">
        <v>872</v>
      </c>
      <c r="I172" s="13">
        <v>42806.56658564815</v>
      </c>
      <c r="J172" s="7">
        <v>0</v>
      </c>
      <c r="K172" s="98" t="str">
        <f t="shared" si="72"/>
        <v>4051/4052</v>
      </c>
      <c r="L172" s="21" t="str">
        <f>VLOOKUP(A172,'Trips&amp;Operators'!$C$1:$G$99999,5,FALSE)</f>
        <v>LOPES KIMBERLY</v>
      </c>
      <c r="M172" s="6">
        <f t="shared" si="73"/>
        <v>1.9618055557657499E-2</v>
      </c>
      <c r="N172" s="7">
        <f t="shared" si="74"/>
        <v>28.250000003026798</v>
      </c>
      <c r="O172" s="7"/>
      <c r="P172" s="7"/>
      <c r="Q172" s="22"/>
      <c r="R172" s="22"/>
      <c r="S172" s="31">
        <f t="shared" si="75"/>
        <v>1</v>
      </c>
      <c r="T172" s="46" t="str">
        <f t="shared" si="76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77"/>
        <v>https://d0f6bd738d7f1b3e5a7ca70fe4ff75f0.us-east-1.aws.found.io/app/kibana#/discover/Steve-Slow-Train-Analysis-(2080s-and-2083s)?_g=(refreshInterval:(display:Off,pause:!f,section:0,value:0),time:(from:'2017-03-12T12:06:00-600',mode:absolute,to:'2017-03-12T14:35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187" t="str">
        <f t="shared" si="78"/>
        <v>N</v>
      </c>
      <c r="X172" s="187">
        <f t="shared" si="79"/>
        <v>1</v>
      </c>
      <c r="Y172" s="62">
        <f t="shared" si="80"/>
        <v>9.6500000000000002E-2</v>
      </c>
      <c r="Z172" s="62">
        <f t="shared" si="81"/>
        <v>5.8940999999999999</v>
      </c>
      <c r="AA172" s="62">
        <f t="shared" si="82"/>
        <v>5.7976000000000001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83"/>
        <v>1815-12</v>
      </c>
      <c r="AE172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72" s="82" t="str">
        <f t="shared" si="85"/>
        <v>"C:\Program Files (x86)\AstroGrep\AstroGrep.exe" /e /r /s /spath="%USERPROFILE%\AppData\Local\Temp\OnboardLogs" /stypes="app*4051*20170312*" /stext=" 19:.+((SYSTEM_STATE.+slice.+state.+changed )|(ment ac)|(multiple cpu faults)|(system.+state.+changed )|(\[timeout)|(PRM\|1\|D)|(kpr)|(kdp)|(\|lc)|(penalty))"</v>
      </c>
      <c r="AG172" s="1" t="str">
        <f t="shared" si="86"/>
        <v>NW</v>
      </c>
      <c r="AH172" s="86" t="str">
        <f t="shared" si="87"/>
        <v>"%USERPROFILE%\Documents\GitHub\eaglep3\Utilities\RefineRTDCRunTimes.py" --tripid 1815-12 --locoid 4051 --swversion DE.1.0.9.0 --startMP 204:965 --initTime 2017-03-12T13:06:00 --startdatetime 2017-03-12T13:07:38 --delay 1 --endMP 300:58941 --enddatetime 2017-03-12T13:35:53 --enforcementcount 0 &gt;&gt;C:\Users\stu\Documents\GitHub\eaglep3-reporting\EC\2017-03-12-refined-times.txt</v>
      </c>
      <c r="AI172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{"issue":{"subject":"","project_id":79,"tracker_id":40,"status_id":1,"priority_id":2,"assigned_to_id":23,"start_date":"2017-03-12","description":"","custom_fields":[{"id":1,"name":"Subdivision","value":"NW"},{"id":4,"name":"Milepost","value":"5.8941"},{"id":17,"name":"Train ID","value":"1815-12"},{"id":16,"name":"Locomotive ID","value":"4051"},{"id":130,"name":"Impact","value":""},{"id":150,"name":"Time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89"/>
        <v>start /low /b %USERPROFILE%\Documents\GitHub\eaglep3\Utilities\DownloadLogsFromS3.py --loco 4051 --day 2017-03-12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733</v>
      </c>
      <c r="B173" s="7">
        <v>4052</v>
      </c>
      <c r="C173" s="21" t="s">
        <v>242</v>
      </c>
      <c r="D173" s="21" t="s">
        <v>572</v>
      </c>
      <c r="E173" s="13">
        <v>42806.567557870374</v>
      </c>
      <c r="F173" s="13">
        <v>42806.569571759261</v>
      </c>
      <c r="G173" s="7">
        <v>2</v>
      </c>
      <c r="H173" s="21" t="s">
        <v>882</v>
      </c>
      <c r="I173" s="13">
        <v>42806.579918981479</v>
      </c>
      <c r="J173" s="7">
        <v>0</v>
      </c>
      <c r="K173" s="98" t="str">
        <f t="shared" si="72"/>
        <v>4051/4052</v>
      </c>
      <c r="L173" s="21" t="str">
        <f>VLOOKUP(A173,'Trips&amp;Operators'!$C$1:$G$99999,5,FALSE)</f>
        <v>LOPES KIMBERLY</v>
      </c>
      <c r="M173" s="6">
        <f t="shared" si="73"/>
        <v>1.0347222218115348E-2</v>
      </c>
      <c r="N173" s="7">
        <f t="shared" si="74"/>
        <v>14.899999994086102</v>
      </c>
      <c r="O173" s="7"/>
      <c r="P173" s="7"/>
      <c r="Q173" s="22"/>
      <c r="R173" s="22"/>
      <c r="S173" s="31">
        <f t="shared" si="75"/>
        <v>1</v>
      </c>
      <c r="T173" s="46" t="str">
        <f t="shared" si="76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77"/>
        <v>https://d0f6bd738d7f1b3e5a7ca70fe4ff75f0.us-east-1.aws.found.io/app/kibana#/discover/Steve-Slow-Train-Analysis-(2080s-and-2083s)?_g=(refreshInterval:(display:Off,pause:!f,section:0,value:0),time:(from:'2017-03-12T12:37:17-600',mode:absolute,to:'2017-03-12T14:55:05-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187" t="str">
        <f t="shared" si="78"/>
        <v>N</v>
      </c>
      <c r="X173" s="187">
        <f t="shared" si="79"/>
        <v>1</v>
      </c>
      <c r="Y173" s="62">
        <f t="shared" si="80"/>
        <v>5.8628</v>
      </c>
      <c r="Z173" s="62">
        <f t="shared" si="81"/>
        <v>7.2900000000000006E-2</v>
      </c>
      <c r="AA173" s="62">
        <f t="shared" si="82"/>
        <v>5.7899000000000003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83"/>
        <v>1816-12</v>
      </c>
      <c r="AE173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73" s="82" t="str">
        <f t="shared" si="85"/>
        <v>"C:\Program Files (x86)\AstroGrep\AstroGrep.exe" /e /r /s /spath="%USERPROFILE%\AppData\Local\Temp\OnboardLogs" /stypes="app*4052*20170312*" /stext=" 19:.+((SYSTEM_STATE.+slice.+state.+changed )|(ment ac)|(multiple cpu faults)|(system.+state.+changed )|(\[timeout)|(PRM\|1\|D)|(kpr)|(kdp)|(\|lc)|(penalty))"</v>
      </c>
      <c r="AG173" s="1" t="str">
        <f t="shared" si="86"/>
        <v>NW</v>
      </c>
      <c r="AH173" s="86" t="str">
        <f t="shared" si="87"/>
        <v>"%USERPROFILE%\Documents\GitHub\eaglep3\Utilities\RefineRTDCRunTimes.py" --tripid 1816-12 --locoid 4052 --swversion DE.1.0.9.0 --startMP 300:58628 --initTime 2017-03-12T13:37:17 --startdatetime 2017-03-12T13:40:11 --delay 2 --endMP 204:729 --enddatetime 2017-03-12T13:55:05 --enforcementcount 0 &gt;&gt;C:\Users\stu\Documents\GitHub\eaglep3-reporting\EC\2017-03-12-refined-times.txt</v>
      </c>
      <c r="AI173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{"issue":{"subject":"","project_id":79,"tracker_id":40,"status_id":1,"priority_id":2,"assigned_to_id":23,"start_date":"2017-03-12","description":"","custom_fields":[{"id":1,"name":"Subdivision","value":"NW"},{"id":4,"name":"Milepost","value":"0.0729"},{"id":17,"name":"Train ID","value":"1816-12"},{"id":16,"name":"Locomotive ID","value":"4052"},{"id":130,"name":"Impact","value":""},{"id":150,"name":"Time of Event (Mountain Time)","value":"13:55:05"},{"id":151,"name":"Denver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89"/>
        <v>start /low /b %USERPROFILE%\Documents\GitHub\eaglep3\Utilities\DownloadLogsFromS3.py --loco 4052 --day 2017-03-12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606</v>
      </c>
      <c r="B174" s="7">
        <v>4051</v>
      </c>
      <c r="C174" s="21" t="s">
        <v>242</v>
      </c>
      <c r="D174" s="21" t="s">
        <v>883</v>
      </c>
      <c r="E174" s="13">
        <v>42806.593368055554</v>
      </c>
      <c r="F174" s="13">
        <v>42806.594953703701</v>
      </c>
      <c r="G174" s="7">
        <v>2</v>
      </c>
      <c r="H174" s="21" t="s">
        <v>884</v>
      </c>
      <c r="I174" s="13">
        <v>42806.608680555553</v>
      </c>
      <c r="J174" s="7">
        <v>0</v>
      </c>
      <c r="K174" s="98" t="str">
        <f t="shared" si="72"/>
        <v>4051/4052</v>
      </c>
      <c r="L174" s="21" t="str">
        <f>VLOOKUP(A174,'Trips&amp;Operators'!$C$1:$G$99999,5,FALSE)</f>
        <v>HELVIE ADAM</v>
      </c>
      <c r="M174" s="6">
        <f t="shared" si="73"/>
        <v>1.3726851851970423E-2</v>
      </c>
      <c r="N174" s="7">
        <f t="shared" si="74"/>
        <v>19.766666666837409</v>
      </c>
      <c r="O174" s="7"/>
      <c r="P174" s="7"/>
      <c r="Q174" s="22"/>
      <c r="R174" s="22"/>
      <c r="S174" s="31">
        <f t="shared" si="75"/>
        <v>1</v>
      </c>
      <c r="T174" s="46" t="str">
        <f t="shared" si="76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77"/>
        <v>https://d0f6bd738d7f1b3e5a7ca70fe4ff75f0.us-east-1.aws.found.io/app/kibana#/discover/Steve-Slow-Train-Analysis-(2080s-and-2083s)?_g=(refreshInterval:(display:Off,pause:!f,section:0,value:0),time:(from:'2017-03-12T13:14:27-600',mode:absolute,to:'2017-03-12T15:36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187" t="str">
        <f t="shared" si="78"/>
        <v>N</v>
      </c>
      <c r="X174" s="187">
        <f t="shared" si="79"/>
        <v>1</v>
      </c>
      <c r="Y174" s="62">
        <f t="shared" si="80"/>
        <v>0.1007</v>
      </c>
      <c r="Z174" s="62">
        <f t="shared" si="81"/>
        <v>5.8959999999999999</v>
      </c>
      <c r="AA174" s="62">
        <f t="shared" si="82"/>
        <v>5.7953000000000001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83"/>
        <v>1817-12</v>
      </c>
      <c r="AE174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74" s="82" t="str">
        <f t="shared" si="85"/>
        <v>"C:\Program Files (x86)\AstroGrep\AstroGrep.exe" /e /r /s /spath="%USERPROFILE%\AppData\Local\Temp\OnboardLogs" /stypes="app*4051*20170312*" /stext=" 20:.+((SYSTEM_STATE.+slice.+state.+changed )|(ment ac)|(multiple cpu faults)|(system.+state.+changed )|(\[timeout)|(PRM\|1\|D)|(kpr)|(kdp)|(\|lc)|(penalty))"</v>
      </c>
      <c r="AG174" s="1" t="str">
        <f t="shared" si="86"/>
        <v>NW</v>
      </c>
      <c r="AH174" s="86" t="str">
        <f t="shared" si="87"/>
        <v>"%USERPROFILE%\Documents\GitHub\eaglep3\Utilities\RefineRTDCRunTimes.py" --tripid 1817-12 --locoid 4051 --swversion DE.1.0.9.0 --startMP 204:1007 --initTime 2017-03-12T14:14:27 --startdatetime 2017-03-12T14:16:44 --delay 2 --endMP 300:58960 --enddatetime 2017-03-12T14:36:30 --enforcementcount 0 &gt;&gt;C:\Users\stu\Documents\GitHub\eaglep3-reporting\EC\2017-03-12-refined-times.txt</v>
      </c>
      <c r="AI174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{"issue":{"subject":"","project_id":79,"tracker_id":40,"status_id":1,"priority_id":2,"assigned_to_id":23,"start_date":"2017-03-12","description":"","custom_fields":[{"id":1,"name":"Subdivision","value":"NW"},{"id":4,"name":"Milepost","value":"5.896"},{"id":17,"name":"Train ID","value":"1817-12"},{"id":16,"name":"Locomotive ID","value":"4051"},{"id":130,"name":"Impact","value":""},{"id":150,"name":"Time of Event (Mountain Time)","value":"14:36:30"},{"id":151,"name":"Denver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89"/>
        <v>start /low /b %USERPROFILE%\Documents\GitHub\eaglep3\Utilities\DownloadLogsFromS3.py --loco 4051 --day 2017-03-12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75" spans="1:91" s="20" customFormat="1" x14ac:dyDescent="0.25">
      <c r="A175" s="33" t="s">
        <v>738</v>
      </c>
      <c r="B175" s="7">
        <v>4052</v>
      </c>
      <c r="C175" s="21" t="s">
        <v>242</v>
      </c>
      <c r="D175" s="21" t="s">
        <v>568</v>
      </c>
      <c r="E175" s="13">
        <v>42806.610960648148</v>
      </c>
      <c r="F175" s="13">
        <v>42806.611909722225</v>
      </c>
      <c r="G175" s="7">
        <v>1</v>
      </c>
      <c r="H175" s="21" t="s">
        <v>505</v>
      </c>
      <c r="I175" s="13">
        <v>42806.622418981482</v>
      </c>
      <c r="J175" s="7">
        <v>0</v>
      </c>
      <c r="K175" s="98" t="str">
        <f t="shared" si="72"/>
        <v>4051/4052</v>
      </c>
      <c r="L175" s="21" t="str">
        <f>VLOOKUP(A175,'Trips&amp;Operators'!$C$1:$G$99999,5,FALSE)</f>
        <v>HELVIE ADAM</v>
      </c>
      <c r="M175" s="6">
        <f t="shared" si="73"/>
        <v>1.0509259256650694E-2</v>
      </c>
      <c r="N175" s="7">
        <f t="shared" si="74"/>
        <v>15.133333329576999</v>
      </c>
      <c r="O175" s="7"/>
      <c r="P175" s="7"/>
      <c r="Q175" s="22"/>
      <c r="R175" s="22"/>
      <c r="S175" s="31">
        <f t="shared" si="75"/>
        <v>1</v>
      </c>
      <c r="T175" s="46" t="str">
        <f t="shared" si="76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77"/>
        <v>https://d0f6bd738d7f1b3e5a7ca70fe4ff75f0.us-east-1.aws.found.io/app/kibana#/discover/Steve-Slow-Train-Analysis-(2080s-and-2083s)?_g=(refreshInterval:(display:Off,pause:!f,section:0,value:0),time:(from:'2017-03-12T13:39:47-600',mode:absolute,to:'2017-03-12T15:56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187" t="str">
        <f t="shared" si="78"/>
        <v>N</v>
      </c>
      <c r="X175" s="187">
        <f t="shared" si="79"/>
        <v>1</v>
      </c>
      <c r="Y175" s="62">
        <f t="shared" si="80"/>
        <v>5.8630000000000004</v>
      </c>
      <c r="Z175" s="62">
        <f t="shared" si="81"/>
        <v>6.8000000000000005E-2</v>
      </c>
      <c r="AA175" s="62">
        <f t="shared" si="82"/>
        <v>5.7950000000000008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83"/>
        <v>1818-12</v>
      </c>
      <c r="AE175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75" s="82" t="str">
        <f t="shared" si="85"/>
        <v>"C:\Program Files (x86)\AstroGrep\AstroGrep.exe" /e /r /s /spath="%USERPROFILE%\AppData\Local\Temp\OnboardLogs" /stypes="app*4052*20170312*" /stext=" 20:.+((SYSTEM_STATE.+slice.+state.+changed )|(ment ac)|(multiple cpu faults)|(system.+state.+changed )|(\[timeout)|(PRM\|1\|D)|(kpr)|(kdp)|(\|lc)|(penalty))"</v>
      </c>
      <c r="AG175" s="1" t="str">
        <f t="shared" si="86"/>
        <v>NW</v>
      </c>
      <c r="AH175" s="86" t="str">
        <f t="shared" si="87"/>
        <v>"%USERPROFILE%\Documents\GitHub\eaglep3\Utilities\RefineRTDCRunTimes.py" --tripid 1818-12 --locoid 4052 --swversion DE.1.0.9.0 --startMP 300:58630 --initTime 2017-03-12T14:39:47 --startdatetime 2017-03-12T14:41:09 --delay 1 --endMP 204:680 --enddatetime 2017-03-12T14:56:17 --enforcementcount 0 &gt;&gt;C:\Users\stu\Documents\GitHub\eaglep3-reporting\EC\2017-03-12-refined-times.txt</v>
      </c>
      <c r="AI175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{"issue":{"subject":"","project_id":79,"tracker_id":40,"status_id":1,"priority_id":2,"assigned_to_id":23,"start_date":"2017-03-12","description":"","custom_fields":[{"id":1,"name":"Subdivision","value":"NW"},{"id":4,"name":"Milepost","value":"0.068"},{"id":17,"name":"Train ID","value":"1818-12"},{"id":16,"name":"Locomotive ID","value":"4052"},{"id":130,"name":"Impact","value":""},{"id":150,"name":"Time of Event (Mountain Time)","value":"14:56:17"},{"id":151,"name":"Denver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89"/>
        <v>start /low /b %USERPROFILE%\Documents\GitHub\eaglep3\Utilities\DownloadLogsFromS3.py --loco 4052 --day 2017-03-12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743</v>
      </c>
      <c r="B176" s="7">
        <v>4051</v>
      </c>
      <c r="C176" s="21" t="s">
        <v>242</v>
      </c>
      <c r="D176" s="21" t="s">
        <v>574</v>
      </c>
      <c r="E176" s="13">
        <v>42806.637476851851</v>
      </c>
      <c r="F176" s="13">
        <v>42806.638194444444</v>
      </c>
      <c r="G176" s="7">
        <v>1</v>
      </c>
      <c r="H176" s="21" t="s">
        <v>885</v>
      </c>
      <c r="I176" s="13">
        <v>42806.649062500001</v>
      </c>
      <c r="J176" s="7">
        <v>0</v>
      </c>
      <c r="K176" s="98" t="str">
        <f t="shared" si="72"/>
        <v>4051/4052</v>
      </c>
      <c r="L176" s="21" t="str">
        <f>VLOOKUP(A176,'Trips&amp;Operators'!$C$1:$G$99999,5,FALSE)</f>
        <v>HELVIE ADAM</v>
      </c>
      <c r="M176" s="6">
        <f t="shared" si="73"/>
        <v>1.0868055556784384E-2</v>
      </c>
      <c r="N176" s="7">
        <f t="shared" si="74"/>
        <v>15.650000001769513</v>
      </c>
      <c r="O176" s="7"/>
      <c r="P176" s="7"/>
      <c r="Q176" s="22"/>
      <c r="R176" s="22"/>
      <c r="S176" s="31">
        <f t="shared" si="75"/>
        <v>1</v>
      </c>
      <c r="T176" s="46" t="str">
        <f t="shared" si="76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77"/>
        <v>https://d0f6bd738d7f1b3e5a7ca70fe4ff75f0.us-east-1.aws.found.io/app/kibana#/discover/Steve-Slow-Train-Analysis-(2080s-and-2083s)?_g=(refreshInterval:(display:Off,pause:!f,section:0,value:0),time:(from:'2017-03-12T14:17:58-600',mode:absolute,to:'2017-03-12T16:34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187" t="str">
        <f t="shared" si="78"/>
        <v>N</v>
      </c>
      <c r="X176" s="187">
        <f t="shared" si="79"/>
        <v>1</v>
      </c>
      <c r="Y176" s="62">
        <f t="shared" si="80"/>
        <v>9.9000000000000005E-2</v>
      </c>
      <c r="Z176" s="62">
        <f t="shared" si="81"/>
        <v>5.8936999999999999</v>
      </c>
      <c r="AA176" s="62">
        <f t="shared" si="82"/>
        <v>5.7946999999999997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83"/>
        <v>1819-12</v>
      </c>
      <c r="AE176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76" s="82" t="str">
        <f t="shared" si="85"/>
        <v>"C:\Program Files (x86)\AstroGrep\AstroGrep.exe" /e /r /s /spath="%USERPROFILE%\AppData\Local\Temp\OnboardLogs" /stypes="app*4051*20170312*" /stext=" 21:.+((SYSTEM_STATE.+slice.+state.+changed )|(ment ac)|(multiple cpu faults)|(system.+state.+changed )|(\[timeout)|(PRM\|1\|D)|(kpr)|(kdp)|(\|lc)|(penalty))"</v>
      </c>
      <c r="AG176" s="1" t="str">
        <f t="shared" si="86"/>
        <v>NW</v>
      </c>
      <c r="AH176" s="86" t="str">
        <f t="shared" si="87"/>
        <v>"%USERPROFILE%\Documents\GitHub\eaglep3\Utilities\RefineRTDCRunTimes.py" --tripid 1819-12 --locoid 4051 --swversion DE.1.0.9.0 --startMP 204:990 --initTime 2017-03-12T15:17:58 --startdatetime 2017-03-12T15:19:00 --delay 1 --endMP 300:58937 --enddatetime 2017-03-12T15:34:39 --enforcementcount 0 &gt;&gt;C:\Users\stu\Documents\GitHub\eaglep3-reporting\EC\2017-03-12-refined-times.txt</v>
      </c>
      <c r="AI176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{"issue":{"subject":"","project_id":79,"tracker_id":40,"status_id":1,"priority_id":2,"assigned_to_id":23,"start_date":"2017-03-12","description":"","custom_fields":[{"id":1,"name":"Subdivision","value":"NW"},{"id":4,"name":"Milepost","value":"5.8937"},{"id":17,"name":"Train ID","value":"1819-12"},{"id":16,"name":"Locomotive ID","value":"4051"},{"id":130,"name":"Impact","value":""},{"id":150,"name":"Time of Event (Mountain Time)","value":"15:34:39"},{"id":151,"name":"Denver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89"/>
        <v>start /low /b %USERPROFILE%\Documents\GitHub\eaglep3\Utilities\DownloadLogsFromS3.py --loco 4051 --day 2017-03-12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77" spans="1:91" s="20" customFormat="1" x14ac:dyDescent="0.25">
      <c r="A177" s="33" t="s">
        <v>746</v>
      </c>
      <c r="B177" s="7">
        <v>4052</v>
      </c>
      <c r="C177" s="21" t="s">
        <v>242</v>
      </c>
      <c r="D177" s="21" t="s">
        <v>868</v>
      </c>
      <c r="E177" s="13">
        <v>42806.650821759256</v>
      </c>
      <c r="F177" s="13">
        <v>42806.651701388888</v>
      </c>
      <c r="G177" s="7">
        <v>1</v>
      </c>
      <c r="H177" s="21" t="s">
        <v>571</v>
      </c>
      <c r="I177" s="13">
        <v>42806.663124999999</v>
      </c>
      <c r="J177" s="7">
        <v>0</v>
      </c>
      <c r="K177" s="98" t="str">
        <f t="shared" si="72"/>
        <v>4051/4052</v>
      </c>
      <c r="L177" s="21" t="str">
        <f>VLOOKUP(A177,'Trips&amp;Operators'!$C$1:$G$99999,5,FALSE)</f>
        <v>HELVIE ADAM</v>
      </c>
      <c r="M177" s="6">
        <f t="shared" si="73"/>
        <v>1.1423611111240461E-2</v>
      </c>
      <c r="N177" s="7">
        <f t="shared" si="74"/>
        <v>16.450000000186265</v>
      </c>
      <c r="O177" s="7"/>
      <c r="P177" s="7"/>
      <c r="Q177" s="22"/>
      <c r="R177" s="22"/>
      <c r="S177" s="31">
        <f t="shared" si="75"/>
        <v>1</v>
      </c>
      <c r="T177" s="46" t="str">
        <f t="shared" si="76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77"/>
        <v>https://d0f6bd738d7f1b3e5a7ca70fe4ff75f0.us-east-1.aws.found.io/app/kibana#/discover/Steve-Slow-Train-Analysis-(2080s-and-2083s)?_g=(refreshInterval:(display:Off,pause:!f,section:0,value:0),time:(from:'2017-03-12T14:37:11-600',mode:absolute,to:'2017-03-12T16:54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187" t="str">
        <f t="shared" si="78"/>
        <v>N</v>
      </c>
      <c r="X177" s="187">
        <f t="shared" si="79"/>
        <v>1</v>
      </c>
      <c r="Y177" s="62">
        <f t="shared" si="80"/>
        <v>5.8619000000000003</v>
      </c>
      <c r="Z177" s="62">
        <f t="shared" si="81"/>
        <v>7.17E-2</v>
      </c>
      <c r="AA177" s="62">
        <f t="shared" si="82"/>
        <v>5.7902000000000005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83"/>
        <v>1820-12</v>
      </c>
      <c r="AE177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77" s="82" t="str">
        <f t="shared" si="85"/>
        <v>"C:\Program Files (x86)\AstroGrep\AstroGrep.exe" /e /r /s /spath="%USERPROFILE%\AppData\Local\Temp\OnboardLogs" /stypes="app*4052*20170312*" /stext=" 21:.+((SYSTEM_STATE.+slice.+state.+changed )|(ment ac)|(multiple cpu faults)|(system.+state.+changed )|(\[timeout)|(PRM\|1\|D)|(kpr)|(kdp)|(\|lc)|(penalty))"</v>
      </c>
      <c r="AG177" s="1" t="str">
        <f t="shared" si="86"/>
        <v>NW</v>
      </c>
      <c r="AH177" s="86" t="str">
        <f t="shared" si="87"/>
        <v>"%USERPROFILE%\Documents\GitHub\eaglep3\Utilities\RefineRTDCRunTimes.py" --tripid 1820-12 --locoid 4052 --swversion DE.1.0.9.0 --startMP 300:58619 --initTime 2017-03-12T15:37:11 --startdatetime 2017-03-12T15:38:27 --delay 1 --endMP 204:717 --enddatetime 2017-03-12T15:54:54 --enforcementcount 0 &gt;&gt;C:\Users\stu\Documents\GitHub\eaglep3-reporting\EC\2017-03-12-refined-times.txt</v>
      </c>
      <c r="AI177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{"issue":{"subject":"","project_id":79,"tracker_id":40,"status_id":1,"priority_id":2,"assigned_to_id":23,"start_date":"2017-03-12","description":"","custom_fields":[{"id":1,"name":"Subdivision","value":"NW"},{"id":4,"name":"Milepost","value":"0.0717"},{"id":17,"name":"Train ID","value":"1820-12"},{"id":16,"name":"Locomotive ID","value":"4052"},{"id":130,"name":"Impact","value":""},{"id":150,"name":"Time of Event (Mountain Time)","value":"15:54:54"},{"id":151,"name":"Denver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89"/>
        <v>start /low /b %USERPROFILE%\Documents\GitHub\eaglep3\Utilities\DownloadLogsFromS3.py --loco 4052 --day 2017-03-12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753</v>
      </c>
      <c r="B178" s="7">
        <v>4051</v>
      </c>
      <c r="C178" s="21" t="s">
        <v>242</v>
      </c>
      <c r="D178" s="21" t="s">
        <v>576</v>
      </c>
      <c r="E178" s="13">
        <v>42806.679027777776</v>
      </c>
      <c r="F178" s="13">
        <v>42806.679884259262</v>
      </c>
      <c r="G178" s="7">
        <v>1</v>
      </c>
      <c r="H178" s="21" t="s">
        <v>886</v>
      </c>
      <c r="I178" s="13">
        <v>42806.690474537034</v>
      </c>
      <c r="J178" s="7">
        <v>0</v>
      </c>
      <c r="K178" s="98" t="str">
        <f t="shared" si="72"/>
        <v>4051/4052</v>
      </c>
      <c r="L178" s="21" t="str">
        <f>VLOOKUP(A178,'Trips&amp;Operators'!$C$1:$G$99999,5,FALSE)</f>
        <v>HELVIE ADAM</v>
      </c>
      <c r="M178" s="6">
        <f t="shared" si="73"/>
        <v>1.0590277772280388E-2</v>
      </c>
      <c r="N178" s="7">
        <f t="shared" si="74"/>
        <v>15.249999992083758</v>
      </c>
      <c r="O178" s="7"/>
      <c r="P178" s="7"/>
      <c r="Q178" s="22"/>
      <c r="R178" s="22"/>
      <c r="S178" s="31">
        <f t="shared" si="75"/>
        <v>1</v>
      </c>
      <c r="T178" s="46" t="str">
        <f t="shared" si="76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77"/>
        <v>https://d0f6bd738d7f1b3e5a7ca70fe4ff75f0.us-east-1.aws.found.io/app/kibana#/discover/Steve-Slow-Train-Analysis-(2080s-and-2083s)?_g=(refreshInterval:(display:Off,pause:!f,section:0,value:0),time:(from:'2017-03-12T15:17:48-600',mode:absolute,to:'2017-03-12T17:34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187" t="str">
        <f t="shared" si="78"/>
        <v>N</v>
      </c>
      <c r="X178" s="187">
        <f t="shared" si="79"/>
        <v>1</v>
      </c>
      <c r="Y178" s="62">
        <f t="shared" si="80"/>
        <v>0.1</v>
      </c>
      <c r="Z178" s="62">
        <f t="shared" si="81"/>
        <v>5.8939000000000004</v>
      </c>
      <c r="AA178" s="62">
        <f t="shared" si="82"/>
        <v>5.7939000000000007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83"/>
        <v>1821-12</v>
      </c>
      <c r="AE178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78" s="82" t="str">
        <f t="shared" si="85"/>
        <v>"C:\Program Files (x86)\AstroGrep\AstroGrep.exe" /e /r /s /spath="%USERPROFILE%\AppData\Local\Temp\OnboardLogs" /stypes="app*4051*20170312*" /stext=" 22:.+((SYSTEM_STATE.+slice.+state.+changed )|(ment ac)|(multiple cpu faults)|(system.+state.+changed )|(\[timeout)|(PRM\|1\|D)|(kpr)|(kdp)|(\|lc)|(penalty))"</v>
      </c>
      <c r="AG178" s="1" t="str">
        <f t="shared" si="86"/>
        <v>NW</v>
      </c>
      <c r="AH178" s="86" t="str">
        <f t="shared" si="87"/>
        <v>"%USERPROFILE%\Documents\GitHub\eaglep3\Utilities\RefineRTDCRunTimes.py" --tripid 1821-12 --locoid 4051 --swversion DE.1.0.9.0 --startMP 204:1000 --initTime 2017-03-12T16:17:48 --startdatetime 2017-03-12T16:19:02 --delay 1 --endMP 300:58939 --enddatetime 2017-03-12T16:34:17 --enforcementcount 0 &gt;&gt;C:\Users\stu\Documents\GitHub\eaglep3-reporting\EC\2017-03-12-refined-times.txt</v>
      </c>
      <c r="AI178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{"issue":{"subject":"","project_id":79,"tracker_id":40,"status_id":1,"priority_id":2,"assigned_to_id":23,"start_date":"2017-03-12","description":"","custom_fields":[{"id":1,"name":"Subdivision","value":"NW"},{"id":4,"name":"Milepost","value":"5.8939"},{"id":17,"name":"Train ID","value":"1821-12"},{"id":16,"name":"Locomotive ID","value":"4051"},{"id":130,"name":"Impact","value":""},{"id":150,"name":"Time of Event (Mountain Time)","value":"16:34:17"},{"id":151,"name":"Denver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89"/>
        <v>start /low /b %USERPROFILE%\Documents\GitHub\eaglep3\Utilities\DownloadLogsFromS3.py --loco 4051 --day 2017-03-12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79" spans="1:91" s="20" customFormat="1" x14ac:dyDescent="0.25">
      <c r="A179" s="33" t="s">
        <v>756</v>
      </c>
      <c r="B179" s="7">
        <v>4052</v>
      </c>
      <c r="C179" s="21" t="s">
        <v>242</v>
      </c>
      <c r="D179" s="21" t="s">
        <v>868</v>
      </c>
      <c r="E179" s="13">
        <v>42806.691712962966</v>
      </c>
      <c r="F179" s="13">
        <v>42806.69263888889</v>
      </c>
      <c r="G179" s="7">
        <v>1</v>
      </c>
      <c r="H179" s="21" t="s">
        <v>887</v>
      </c>
      <c r="I179" s="13">
        <v>42806.704282407409</v>
      </c>
      <c r="J179" s="7">
        <v>0</v>
      </c>
      <c r="K179" s="98" t="str">
        <f t="shared" si="72"/>
        <v>4051/4052</v>
      </c>
      <c r="L179" s="21" t="str">
        <f>VLOOKUP(A179,'Trips&amp;Operators'!$C$1:$G$99999,5,FALSE)</f>
        <v>HELVIE ADAM</v>
      </c>
      <c r="M179" s="6">
        <f t="shared" si="73"/>
        <v>1.1643518519122154E-2</v>
      </c>
      <c r="N179" s="7">
        <f t="shared" si="74"/>
        <v>16.766666667535901</v>
      </c>
      <c r="O179" s="7"/>
      <c r="P179" s="7"/>
      <c r="Q179" s="22"/>
      <c r="R179" s="22"/>
      <c r="S179" s="31">
        <f t="shared" si="75"/>
        <v>1</v>
      </c>
      <c r="T179" s="46" t="str">
        <f t="shared" si="76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77"/>
        <v>https://d0f6bd738d7f1b3e5a7ca70fe4ff75f0.us-east-1.aws.found.io/app/kibana#/discover/Steve-Slow-Train-Analysis-(2080s-and-2083s)?_g=(refreshInterval:(display:Off,pause:!f,section:0,value:0),time:(from:'2017-03-12T15:36:04-600',mode:absolute,to:'2017-03-12T17:54:10-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187" t="str">
        <f t="shared" si="78"/>
        <v>N</v>
      </c>
      <c r="X179" s="187">
        <f t="shared" si="79"/>
        <v>1</v>
      </c>
      <c r="Y179" s="62">
        <f t="shared" si="80"/>
        <v>5.8619000000000003</v>
      </c>
      <c r="Z179" s="62">
        <f t="shared" si="81"/>
        <v>8.43E-2</v>
      </c>
      <c r="AA179" s="62">
        <f t="shared" si="82"/>
        <v>5.7776000000000005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83"/>
        <v>1822-12</v>
      </c>
      <c r="AE179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79" s="82" t="str">
        <f t="shared" si="85"/>
        <v>"C:\Program Files (x86)\AstroGrep\AstroGrep.exe" /e /r /s /spath="%USERPROFILE%\AppData\Local\Temp\OnboardLogs" /stypes="app*4052*20170312*" /stext=" 22:.+((SYSTEM_STATE.+slice.+state.+changed )|(ment ac)|(multiple cpu faults)|(system.+state.+changed )|(\[timeout)|(PRM\|1\|D)|(kpr)|(kdp)|(\|lc)|(penalty))"</v>
      </c>
      <c r="AG179" s="1" t="str">
        <f t="shared" si="86"/>
        <v>NW</v>
      </c>
      <c r="AH179" s="86" t="str">
        <f t="shared" si="87"/>
        <v>"%USERPROFILE%\Documents\GitHub\eaglep3\Utilities\RefineRTDCRunTimes.py" --tripid 1822-12 --locoid 4052 --swversion DE.1.0.9.0 --startMP 300:58619 --initTime 2017-03-12T16:36:04 --startdatetime 2017-03-12T16:37:24 --delay 1 --endMP 204:843 --enddatetime 2017-03-12T16:54:10 --enforcementcount 0 &gt;&gt;C:\Users\stu\Documents\GitHub\eaglep3-reporting\EC\2017-03-12-refined-times.txt</v>
      </c>
      <c r="AI179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{"issue":{"subject":"","project_id":79,"tracker_id":40,"status_id":1,"priority_id":2,"assigned_to_id":23,"start_date":"2017-03-12","description":"","custom_fields":[{"id":1,"name":"Subdivision","value":"NW"},{"id":4,"name":"Milepost","value":"0.0843"},{"id":17,"name":"Train ID","value":"1822-12"},{"id":16,"name":"Locomotive ID","value":"4052"},{"id":130,"name":"Impact","value":""},{"id":150,"name":"Time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89"/>
        <v>start /low /b %USERPROFILE%\Documents\GitHub\eaglep3\Utilities\DownloadLogsFromS3.py --loco 4052 --day 2017-03-12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762</v>
      </c>
      <c r="B180" s="7">
        <v>4051</v>
      </c>
      <c r="C180" s="21" t="s">
        <v>242</v>
      </c>
      <c r="D180" s="21" t="s">
        <v>888</v>
      </c>
      <c r="E180" s="13">
        <v>42806.720671296294</v>
      </c>
      <c r="F180" s="13">
        <v>42806.721608796295</v>
      </c>
      <c r="G180" s="7">
        <v>1</v>
      </c>
      <c r="H180" s="21" t="s">
        <v>872</v>
      </c>
      <c r="I180" s="13">
        <v>42806.732418981483</v>
      </c>
      <c r="J180" s="7">
        <v>0</v>
      </c>
      <c r="K180" s="98" t="str">
        <f t="shared" si="72"/>
        <v>4051/4052</v>
      </c>
      <c r="L180" s="21" t="str">
        <f>VLOOKUP(A180,'Trips&amp;Operators'!$C$1:$G$99999,5,FALSE)</f>
        <v>HELVIE ADAM</v>
      </c>
      <c r="M180" s="6">
        <f t="shared" si="73"/>
        <v>1.0810185187438037E-2</v>
      </c>
      <c r="N180" s="7">
        <f t="shared" si="74"/>
        <v>15.566666669910774</v>
      </c>
      <c r="O180" s="7"/>
      <c r="P180" s="7"/>
      <c r="Q180" s="22"/>
      <c r="R180" s="22"/>
      <c r="S180" s="31">
        <f t="shared" si="75"/>
        <v>1</v>
      </c>
      <c r="T180" s="46" t="str">
        <f t="shared" si="76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77"/>
        <v>https://d0f6bd738d7f1b3e5a7ca70fe4ff75f0.us-east-1.aws.found.io/app/kibana#/discover/Steve-Slow-Train-Analysis-(2080s-and-2083s)?_g=(refreshInterval:(display:Off,pause:!f,section:0,value:0),time:(from:'2017-03-12T16:17:46-600',mode:absolute,to:'2017-03-12T18:34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187" t="str">
        <f t="shared" si="78"/>
        <v>N</v>
      </c>
      <c r="X180" s="187">
        <f t="shared" si="79"/>
        <v>1</v>
      </c>
      <c r="Y180" s="62">
        <f t="shared" si="80"/>
        <v>0.11260000000000001</v>
      </c>
      <c r="Z180" s="62">
        <f t="shared" si="81"/>
        <v>5.8940999999999999</v>
      </c>
      <c r="AA180" s="62">
        <f t="shared" si="82"/>
        <v>5.7815000000000003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83"/>
        <v>1823-12</v>
      </c>
      <c r="AE180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80" s="82" t="str">
        <f t="shared" si="85"/>
        <v>"C:\Program Files (x86)\AstroGrep\AstroGrep.exe" /e /r /s /spath="%USERPROFILE%\AppData\Local\Temp\OnboardLogs" /stypes="app*4051*20170312*" /stext=" 23:.+((SYSTEM_STATE.+slice.+state.+changed )|(ment ac)|(multiple cpu faults)|(system.+state.+changed )|(\[timeout)|(PRM\|1\|D)|(kpr)|(kdp)|(\|lc)|(penalty))"</v>
      </c>
      <c r="AG180" s="1" t="str">
        <f t="shared" si="86"/>
        <v>NW</v>
      </c>
      <c r="AH180" s="86" t="str">
        <f t="shared" si="87"/>
        <v>"%USERPROFILE%\Documents\GitHub\eaglep3\Utilities\RefineRTDCRunTimes.py" --tripid 1823-12 --locoid 4051 --swversion DE.1.0.9.0 --startMP 204:1126 --initTime 2017-03-12T17:17:46 --startdatetime 2017-03-12T17:19:07 --delay 1 --endMP 300:58941 --enddatetime 2017-03-12T17:34:41 --enforcementcount 0 &gt;&gt;C:\Users\stu\Documents\GitHub\eaglep3-reporting\EC\2017-03-12-refined-times.txt</v>
      </c>
      <c r="AI180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{"issue":{"subject":"","project_id":79,"tracker_id":40,"status_id":1,"priority_id":2,"assigned_to_id":23,"start_date":"2017-03-12","description":"","custom_fields":[{"id":1,"name":"Subdivision","value":"NW"},{"id":4,"name":"Milepost","value":"5.8941"},{"id":17,"name":"Train ID","value":"1823-12"},{"id":16,"name":"Locomotive ID","value":"4051"},{"id":130,"name":"Impact","value":""},{"id":150,"name":"Time of Event (Mountain Time)","value":"17:34:41"},{"id":151,"name":"Denver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89"/>
        <v>start /low /b %USERPROFILE%\Documents\GitHub\eaglep3\Utilities\DownloadLogsFromS3.py --loco 4051 --day 2017-03-12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181" spans="1:91" x14ac:dyDescent="0.25">
      <c r="A181" s="33" t="s">
        <v>612</v>
      </c>
      <c r="B181" s="7">
        <v>4052</v>
      </c>
      <c r="C181" s="21" t="s">
        <v>242</v>
      </c>
      <c r="D181" s="21" t="s">
        <v>889</v>
      </c>
      <c r="E181" s="13">
        <v>42806.733668981484</v>
      </c>
      <c r="F181" s="13">
        <v>42806.734618055554</v>
      </c>
      <c r="G181" s="7">
        <v>1</v>
      </c>
      <c r="H181" s="21" t="s">
        <v>890</v>
      </c>
      <c r="I181" s="13">
        <v>42806.748310185183</v>
      </c>
      <c r="J181" s="7">
        <v>0</v>
      </c>
      <c r="K181" s="98" t="str">
        <f t="shared" si="72"/>
        <v>4051/4052</v>
      </c>
      <c r="L181" s="21" t="str">
        <f>VLOOKUP(A181,'Trips&amp;Operators'!$C$1:$G$99999,5,FALSE)</f>
        <v>HELVIE ADAM</v>
      </c>
      <c r="M181" s="6">
        <f t="shared" si="73"/>
        <v>1.3692129628907423E-2</v>
      </c>
      <c r="N181" s="7">
        <f t="shared" si="74"/>
        <v>19.71666666562669</v>
      </c>
      <c r="O181" s="7"/>
      <c r="P181" s="7"/>
      <c r="Q181" s="22"/>
      <c r="R181" s="22"/>
      <c r="S181" s="31">
        <f t="shared" si="75"/>
        <v>1</v>
      </c>
      <c r="T181" s="46" t="str">
        <f t="shared" si="76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77"/>
        <v>https://d0f6bd738d7f1b3e5a7ca70fe4ff75f0.us-east-1.aws.found.io/app/kibana#/discover/Steve-Slow-Train-Analysis-(2080s-and-2083s)?_g=(refreshInterval:(display:Off,pause:!f,section:0,value:0),time:(from:'2017-03-12T16:36:29-600',mode:absolute,to:'2017-03-12T18:57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187" t="str">
        <f t="shared" si="78"/>
        <v>N</v>
      </c>
      <c r="X181" s="187">
        <f t="shared" si="79"/>
        <v>1</v>
      </c>
      <c r="Y181" s="62">
        <f t="shared" si="80"/>
        <v>5.8616999999999999</v>
      </c>
      <c r="Z181" s="62">
        <f t="shared" si="81"/>
        <v>7.6799999999999993E-2</v>
      </c>
      <c r="AA181" s="62">
        <f t="shared" si="82"/>
        <v>5.7848999999999995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83"/>
        <v>1824-12</v>
      </c>
      <c r="AE181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81" s="82" t="str">
        <f t="shared" si="85"/>
        <v>"C:\Program Files (x86)\AstroGrep\AstroGrep.exe" /e /r /s /spath="%USERPROFILE%\AppData\Local\Temp\OnboardLogs" /stypes="app*4052*20170312*" /stext=" 23:.+((SYSTEM_STATE.+slice.+state.+changed )|(ment ac)|(multiple cpu faults)|(system.+state.+changed )|(\[timeout)|(PRM\|1\|D)|(kpr)|(kdp)|(\|lc)|(penalty))"</v>
      </c>
      <c r="AG181" s="1" t="str">
        <f t="shared" si="86"/>
        <v>NW</v>
      </c>
      <c r="AH181" s="86" t="str">
        <f t="shared" si="87"/>
        <v>"%USERPROFILE%\Documents\GitHub\eaglep3\Utilities\RefineRTDCRunTimes.py" --tripid 1824-12 --locoid 4052 --swversion DE.1.0.9.0 --startMP 300:58617 --initTime 2017-03-12T17:36:29 --startdatetime 2017-03-12T17:37:51 --delay 1 --endMP 204:768 --enddatetime 2017-03-12T17:57:34 --enforcementcount 0 &gt;&gt;C:\Users\stu\Documents\GitHub\eaglep3-reporting\EC\2017-03-12-refined-times.txt</v>
      </c>
      <c r="AI181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{"issue":{"subject":"","project_id":79,"tracker_id":40,"status_id":1,"priority_id":2,"assigned_to_id":23,"start_date":"2017-03-12","description":"","custom_fields":[{"id":1,"name":"Subdivision","value":"NW"},{"id":4,"name":"Milepost","value":"0.0768"},{"id":17,"name":"Train ID","value":"1824-12"},{"id":16,"name":"Locomotive ID","value":"4052"},{"id":130,"name":"Impact","value":""},{"id":150,"name":"Time of Event (Mountain Time)","value":"17:57:34"},{"id":151,"name":"Denver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89"/>
        <v>start /low /b %USERPROFILE%\Documents\GitHub\eaglep3\Utilities\DownloadLogsFromS3.py --loco 4052 --day 2017-03-12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"%USERPROFILE%\AppData\Local\Temp\OnboardLogs"\RTDC4052\*4052*20170312* | grep -SE "(Enforcement Action)|(\[TIMEOUT)|(CHR.+\|PRM\|1\|D.+(SWITCH|SIGNAL).+UNKNOWN)" - &gt;&gt; 2017-03-12-UncaughtWiMAX.txt</v>
      </c>
    </row>
    <row r="182" spans="1:91" x14ac:dyDescent="0.25">
      <c r="A182" s="33" t="s">
        <v>772</v>
      </c>
      <c r="B182" s="7">
        <v>4051</v>
      </c>
      <c r="C182" s="21" t="s">
        <v>242</v>
      </c>
      <c r="D182" s="21" t="s">
        <v>891</v>
      </c>
      <c r="E182" s="13">
        <v>42806.762025462966</v>
      </c>
      <c r="F182" s="13">
        <v>42806.763182870367</v>
      </c>
      <c r="G182" s="7">
        <v>1</v>
      </c>
      <c r="H182" s="21" t="s">
        <v>892</v>
      </c>
      <c r="I182" s="13">
        <v>42806.773969907408</v>
      </c>
      <c r="J182" s="7">
        <v>0</v>
      </c>
      <c r="K182" s="98" t="str">
        <f t="shared" si="72"/>
        <v>4051/4052</v>
      </c>
      <c r="L182" s="21" t="str">
        <f>VLOOKUP(A182,'Trips&amp;Operators'!$C$1:$G$99999,5,FALSE)</f>
        <v>HELVIE ADAM</v>
      </c>
      <c r="M182" s="6">
        <f t="shared" si="73"/>
        <v>1.078703704115469E-2</v>
      </c>
      <c r="N182" s="7">
        <f t="shared" si="74"/>
        <v>15.533333339262754</v>
      </c>
      <c r="O182" s="7"/>
      <c r="P182" s="7"/>
      <c r="Q182" s="22"/>
      <c r="R182" s="22"/>
      <c r="S182" s="31">
        <f t="shared" si="75"/>
        <v>1</v>
      </c>
      <c r="T182" s="46" t="str">
        <f t="shared" si="76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77"/>
        <v>https://d0f6bd738d7f1b3e5a7ca70fe4ff75f0.us-east-1.aws.found.io/app/kibana#/discover/Steve-Slow-Train-Analysis-(2080s-and-2083s)?_g=(refreshInterval:(display:Off,pause:!f,section:0,value:0),time:(from:'2017-03-12T17:17:19-600',mode:absolute,to:'2017-03-12T19:34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187" t="str">
        <f t="shared" si="78"/>
        <v>N</v>
      </c>
      <c r="X182" s="187">
        <f t="shared" si="79"/>
        <v>1</v>
      </c>
      <c r="Y182" s="62">
        <f t="shared" si="80"/>
        <v>0.1077</v>
      </c>
      <c r="Z182" s="62">
        <f t="shared" si="81"/>
        <v>5.8935000000000004</v>
      </c>
      <c r="AA182" s="62">
        <f t="shared" si="82"/>
        <v>5.7858000000000001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83"/>
        <v>1825-12</v>
      </c>
      <c r="AE182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82" s="82" t="str">
        <f t="shared" si="85"/>
        <v>"C:\Program Files (x86)\AstroGrep\AstroGrep.exe" /e /r /s /spath="%USERPROFILE%\AppData\Local\Temp\OnboardLogs" /stypes="app*4051*20170313*" /stext=" 00:.+((SYSTEM_STATE.+slice.+state.+changed )|(ment ac)|(multiple cpu faults)|(system.+state.+changed )|(\[timeout)|(PRM\|1\|D)|(kpr)|(kdp)|(\|lc)|(penalty))"</v>
      </c>
      <c r="AG182" s="1" t="str">
        <f t="shared" si="86"/>
        <v>NW</v>
      </c>
      <c r="AH182" s="86" t="str">
        <f t="shared" si="87"/>
        <v>"%USERPROFILE%\Documents\GitHub\eaglep3\Utilities\RefineRTDCRunTimes.py" --tripid 1825-12 --locoid 4051 --swversion DE.1.0.9.0 --startMP 204:1077 --initTime 2017-03-12T18:17:19 --startdatetime 2017-03-12T18:18:59 --delay 1 --endMP 300:58935 --enddatetime 2017-03-12T18:34:31 --enforcementcount 0 &gt;&gt;C:\Users\stu\Documents\GitHub\eaglep3-reporting\EC\2017-03-12-refined-times.txt</v>
      </c>
      <c r="AI182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{"issue":{"subject":"","project_id":79,"tracker_id":40,"status_id":1,"priority_id":2,"assigned_to_id":23,"start_date":"2017-03-12","description":"","custom_fields":[{"id":1,"name":"Subdivision","value":"NW"},{"id":4,"name":"Milepost","value":"5.8935"},{"id":17,"name":"Train ID","value":"1825-12"},{"id":16,"name":"Locomotive ID","value":"4051"},{"id":130,"name":"Impact","value":""},{"id":150,"name":"Time of Event (Mountain Time)","value":"18:34:31"},{"id":151,"name":"Denver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89"/>
        <v>start /low /b %USERPROFILE%\Documents\GitHub\eaglep3\Utilities\DownloadLogsFromS3.py --loco 4051 --day 2017-03-12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"%USERPROFILE%\AppData\Local\Temp\OnboardLogs"\RTDC4051\*4051*20170313* | grep -SE "(Enforcement Action)|(\[TIMEOUT)|(CHR.+\|PRM\|1\|D.+(SWITCH|SIGNAL).+UNKNOWN)" - &gt;&gt; 2017-03-12-UncaughtWiMAX.txt</v>
      </c>
    </row>
    <row r="183" spans="1:91" s="20" customFormat="1" x14ac:dyDescent="0.25">
      <c r="A183" s="33" t="s">
        <v>777</v>
      </c>
      <c r="B183" s="7">
        <v>4052</v>
      </c>
      <c r="C183" s="21" t="s">
        <v>242</v>
      </c>
      <c r="D183" s="21" t="s">
        <v>893</v>
      </c>
      <c r="E183" s="13">
        <v>42806.775069444448</v>
      </c>
      <c r="F183" s="13">
        <v>42806.775914351849</v>
      </c>
      <c r="G183" s="7">
        <v>1</v>
      </c>
      <c r="H183" s="21" t="s">
        <v>887</v>
      </c>
      <c r="I183" s="13">
        <v>42806.792083333334</v>
      </c>
      <c r="J183" s="7">
        <v>0</v>
      </c>
      <c r="K183" s="98" t="str">
        <f t="shared" si="72"/>
        <v>4051/4052</v>
      </c>
      <c r="L183" s="21" t="str">
        <f>VLOOKUP(A183,'Trips&amp;Operators'!$C$1:$G$99999,5,FALSE)</f>
        <v>HELVIE ADAM</v>
      </c>
      <c r="M183" s="6">
        <f t="shared" si="73"/>
        <v>1.6168981484952383E-2</v>
      </c>
      <c r="N183" s="7">
        <f t="shared" si="74"/>
        <v>23.283333338331431</v>
      </c>
      <c r="O183" s="7"/>
      <c r="P183" s="7"/>
      <c r="Q183" s="22"/>
      <c r="R183" s="22"/>
      <c r="S183" s="31">
        <f t="shared" si="75"/>
        <v>1</v>
      </c>
      <c r="T183" s="46" t="str">
        <f t="shared" si="76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77"/>
        <v>https://d0f6bd738d7f1b3e5a7ca70fe4ff75f0.us-east-1.aws.found.io/app/kibana#/discover/Steve-Slow-Train-Analysis-(2080s-and-2083s)?_g=(refreshInterval:(display:Off,pause:!f,section:0,value:0),time:(from:'2017-03-12T17:36:06-600',mode:absolute,to:'2017-03-12T20:00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187" t="str">
        <f t="shared" si="78"/>
        <v>N</v>
      </c>
      <c r="X183" s="187">
        <f t="shared" si="79"/>
        <v>1</v>
      </c>
      <c r="Y183" s="62">
        <f t="shared" si="80"/>
        <v>5.8623000000000003</v>
      </c>
      <c r="Z183" s="62">
        <f t="shared" si="81"/>
        <v>8.43E-2</v>
      </c>
      <c r="AA183" s="62">
        <f t="shared" si="82"/>
        <v>5.7780000000000005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83"/>
        <v>1826-12</v>
      </c>
      <c r="AE183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83" s="82" t="str">
        <f t="shared" si="85"/>
        <v>"C:\Program Files (x86)\AstroGrep\AstroGrep.exe" /e /r /s /spath="%USERPROFILE%\AppData\Local\Temp\OnboardLogs" /stypes="app*4052*20170313*" /stext=" 01:.+((SYSTEM_STATE.+slice.+state.+changed )|(ment ac)|(multiple cpu faults)|(system.+state.+changed )|(\[timeout)|(PRM\|1\|D)|(kpr)|(kdp)|(\|lc)|(penalty))"</v>
      </c>
      <c r="AG183" s="1" t="str">
        <f t="shared" si="86"/>
        <v>NW</v>
      </c>
      <c r="AH183" s="86" t="str">
        <f t="shared" si="87"/>
        <v>"%USERPROFILE%\Documents\GitHub\eaglep3\Utilities\RefineRTDCRunTimes.py" --tripid 1826-12 --locoid 4052 --swversion DE.1.0.9.0 --startMP 300:58623 --initTime 2017-03-12T18:36:06 --startdatetime 2017-03-12T18:37:19 --delay 1 --endMP 204:843 --enddatetime 2017-03-12T19:00:36 --enforcementcount 0 &gt;&gt;C:\Users\stu\Documents\GitHub\eaglep3-reporting\EC\2017-03-12-refined-times.txt</v>
      </c>
      <c r="AI183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{"issue":{"subject":"","project_id":79,"tracker_id":40,"status_id":1,"priority_id":2,"assigned_to_id":23,"start_date":"2017-03-12","description":"","custom_fields":[{"id":1,"name":"Subdivision","value":"NW"},{"id":4,"name":"Milepost","value":"0.0843"},{"id":17,"name":"Train ID","value":"1826-12"},{"id":16,"name":"Locomotive ID","value":"4052"},{"id":130,"name":"Impact","value":""},{"id":150,"name":"Time of Event (Mountain Time)","value":"19:00:36"},{"id":151,"name":"Denver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89"/>
        <v>start /low /b %USERPROFILE%\Documents\GitHub\eaglep3\Utilities\DownloadLogsFromS3.py --loco 4052 --day 2017-03-12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"%USERPROFILE%\AppData\Local\Temp\OnboardLogs"\RTDC4052\*4052*20170313* | grep -SE "(Enforcement Action)|(\[TIMEOUT)|(CHR.+\|PRM\|1\|D.+(SWITCH|SIGNAL).+UNKNOWN)" - &gt;&gt; 2017-03-12-UncaughtWiMAX.txt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784</v>
      </c>
      <c r="B184" s="7">
        <v>4051</v>
      </c>
      <c r="C184" s="21" t="s">
        <v>242</v>
      </c>
      <c r="D184" s="21" t="s">
        <v>894</v>
      </c>
      <c r="E184" s="13">
        <v>42806.803611111114</v>
      </c>
      <c r="F184" s="13">
        <v>42806.805844907409</v>
      </c>
      <c r="G184" s="7">
        <v>3</v>
      </c>
      <c r="H184" s="21" t="s">
        <v>873</v>
      </c>
      <c r="I184" s="13">
        <v>42806.817812499998</v>
      </c>
      <c r="J184" s="7">
        <v>0</v>
      </c>
      <c r="K184" s="98" t="str">
        <f t="shared" si="72"/>
        <v>4051/4052</v>
      </c>
      <c r="L184" s="21" t="str">
        <f>VLOOKUP(A184,'Trips&amp;Operators'!$C$1:$G$99999,5,FALSE)</f>
        <v>MAGEE KENYA</v>
      </c>
      <c r="M184" s="6">
        <f t="shared" si="73"/>
        <v>1.1967592588916887E-2</v>
      </c>
      <c r="N184" s="7">
        <f t="shared" si="74"/>
        <v>17.233333328040317</v>
      </c>
      <c r="O184" s="7"/>
      <c r="P184" s="7"/>
      <c r="Q184" s="22"/>
      <c r="R184" s="22"/>
      <c r="S184" s="31">
        <f t="shared" si="75"/>
        <v>1</v>
      </c>
      <c r="T184" s="46" t="str">
        <f t="shared" si="76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77"/>
        <v>https://d0f6bd738d7f1b3e5a7ca70fe4ff75f0.us-east-1.aws.found.io/app/kibana#/discover/Steve-Slow-Train-Analysis-(2080s-and-2083s)?_g=(refreshInterval:(display:Off,pause:!f,section:0,value:0),time:(from:'2017-03-12T18:17:12-600',mode:absolute,to:'2017-03-12T20:37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187" t="str">
        <f t="shared" si="78"/>
        <v>N</v>
      </c>
      <c r="X184" s="187">
        <f t="shared" si="79"/>
        <v>1</v>
      </c>
      <c r="Y184" s="62">
        <f t="shared" si="80"/>
        <v>0.113</v>
      </c>
      <c r="Z184" s="62">
        <f t="shared" si="81"/>
        <v>5.8948</v>
      </c>
      <c r="AA184" s="62">
        <f t="shared" si="82"/>
        <v>5.7817999999999996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83"/>
        <v>1827-12</v>
      </c>
      <c r="AE184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84" s="82" t="str">
        <f t="shared" si="85"/>
        <v>"C:\Program Files (x86)\AstroGrep\AstroGrep.exe" /e /r /s /spath="%USERPROFILE%\AppData\Local\Temp\OnboardLogs" /stypes="app*4051*20170313*" /stext=" 01:.+((SYSTEM_STATE.+slice.+state.+changed )|(ment ac)|(multiple cpu faults)|(system.+state.+changed )|(\[timeout)|(PRM\|1\|D)|(kpr)|(kdp)|(\|lc)|(penalty))"</v>
      </c>
      <c r="AG184" s="1" t="str">
        <f t="shared" si="86"/>
        <v>NW</v>
      </c>
      <c r="AH184" s="86" t="str">
        <f t="shared" si="87"/>
        <v>"%USERPROFILE%\Documents\GitHub\eaglep3\Utilities\RefineRTDCRunTimes.py" --tripid 1827-12 --locoid 4051 --swversion DE.1.0.9.0 --startMP 204:1130 --initTime 2017-03-12T19:17:12 --startdatetime 2017-03-12T19:20:25 --delay 3 --endMP 300:58948 --enddatetime 2017-03-12T19:37:39 --enforcementcount 0 &gt;&gt;C:\Users\stu\Documents\GitHub\eaglep3-reporting\EC\2017-03-12-refined-times.txt</v>
      </c>
      <c r="AI184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{"issue":{"subject":"","project_id":79,"tracker_id":40,"status_id":1,"priority_id":2,"assigned_to_id":23,"start_date":"2017-03-12","description":"","custom_fields":[{"id":1,"name":"Subdivision","value":"NW"},{"id":4,"name":"Milepost","value":"5.8948"},{"id":17,"name":"Train ID","value":"1827-12"},{"id":16,"name":"Locomotive ID","value":"4051"},{"id":130,"name":"Impact","value":""},{"id":150,"name":"Time of Event (Mountain Time)","value":"19:37:39"},{"id":151,"name":"Denver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89"/>
        <v>start /low /b %USERPROFILE%\Documents\GitHub\eaglep3\Utilities\DownloadLogsFromS3.py --loco 4051 --day 2017-03-12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"%USERPROFILE%\AppData\Local\Temp\OnboardLogs"\RTDC4051\*4051*20170313* | grep -SE "(Enforcement Action)|(\[TIMEOUT)|(CHR.+\|PRM\|1\|D.+(SWITCH|SIGNAL).+UNKNOWN)" - &gt;&gt; 2017-03-12-UncaughtWiMAX.txt</v>
      </c>
    </row>
    <row r="185" spans="1:91" s="20" customFormat="1" x14ac:dyDescent="0.25">
      <c r="A185" s="33" t="s">
        <v>614</v>
      </c>
      <c r="B185" s="7">
        <v>4052</v>
      </c>
      <c r="C185" s="21" t="s">
        <v>242</v>
      </c>
      <c r="D185" s="21" t="s">
        <v>508</v>
      </c>
      <c r="E185" s="13">
        <v>42806.818020833336</v>
      </c>
      <c r="F185" s="13">
        <v>42806.818969907406</v>
      </c>
      <c r="G185" s="7">
        <v>1</v>
      </c>
      <c r="H185" s="21" t="s">
        <v>895</v>
      </c>
      <c r="I185" s="13">
        <v>42806.830462962964</v>
      </c>
      <c r="J185" s="7">
        <v>0</v>
      </c>
      <c r="K185" s="98" t="str">
        <f t="shared" si="72"/>
        <v>4051/4052</v>
      </c>
      <c r="L185" s="21" t="str">
        <f>VLOOKUP(A185,'Trips&amp;Operators'!$C$1:$G$99999,5,FALSE)</f>
        <v>MAGEE KENYA</v>
      </c>
      <c r="M185" s="6">
        <f t="shared" si="73"/>
        <v>1.1493055557366461E-2</v>
      </c>
      <c r="N185" s="7">
        <f t="shared" si="74"/>
        <v>16.550000002607703</v>
      </c>
      <c r="O185" s="7"/>
      <c r="P185" s="7"/>
      <c r="Q185" s="22"/>
      <c r="R185" s="22"/>
      <c r="S185" s="31">
        <f t="shared" si="75"/>
        <v>1</v>
      </c>
      <c r="T185" s="46" t="str">
        <f t="shared" si="76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77"/>
        <v>https://d0f6bd738d7f1b3e5a7ca70fe4ff75f0.us-east-1.aws.found.io/app/kibana#/discover/Steve-Slow-Train-Analysis-(2080s-and-2083s)?_g=(refreshInterval:(display:Off,pause:!f,section:0,value:0),time:(from:'2017-03-12T18:37:57-600',mode:absolute,to:'2017-03-12T20:55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87" t="str">
        <f t="shared" si="78"/>
        <v>N</v>
      </c>
      <c r="X185" s="187">
        <f t="shared" si="79"/>
        <v>1</v>
      </c>
      <c r="Y185" s="62">
        <f t="shared" si="80"/>
        <v>5.8625999999999996</v>
      </c>
      <c r="Z185" s="62">
        <f t="shared" si="81"/>
        <v>7.1999999999999995E-2</v>
      </c>
      <c r="AA185" s="62">
        <f t="shared" si="82"/>
        <v>5.7905999999999995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83"/>
        <v>1828-12</v>
      </c>
      <c r="AE185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85" s="82" t="str">
        <f t="shared" si="85"/>
        <v>"C:\Program Files (x86)\AstroGrep\AstroGrep.exe" /e /r /s /spath="%USERPROFILE%\AppData\Local\Temp\OnboardLogs" /stypes="app*4052*20170313*" /stext=" 01:.+((SYSTEM_STATE.+slice.+state.+changed )|(ment ac)|(multiple cpu faults)|(system.+state.+changed )|(\[timeout)|(PRM\|1\|D)|(kpr)|(kdp)|(\|lc)|(penalty))"</v>
      </c>
      <c r="AG185" s="1" t="str">
        <f t="shared" si="86"/>
        <v>NW</v>
      </c>
      <c r="AH185" s="86" t="str">
        <f t="shared" si="87"/>
        <v>"%USERPROFILE%\Documents\GitHub\eaglep3\Utilities\RefineRTDCRunTimes.py" --tripid 1828-12 --locoid 4052 --swversion DE.1.0.9.0 --startMP 300:58626 --initTime 2017-03-12T19:37:57 --startdatetime 2017-03-12T19:39:19 --delay 1 --endMP 204:720 --enddatetime 2017-03-12T19:55:52 --enforcementcount 0 &gt;&gt;C:\Users\stu\Documents\GitHub\eaglep3-reporting\EC\2017-03-12-refined-times.txt</v>
      </c>
      <c r="AI185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{"issue":{"subject":"","project_id":79,"tracker_id":40,"status_id":1,"priority_id":2,"assigned_to_id":23,"start_date":"2017-03-12","description":"","custom_fields":[{"id":1,"name":"Subdivision","value":"NW"},{"id":4,"name":"Milepost","value":"0.072"},{"id":17,"name":"Train ID","value":"1828-12"},{"id":16,"name":"Locomotive ID","value":"4052"},{"id":130,"name":"Impact","value":""},{"id":150,"name":"Time of Event (Mountain Time)","value":"19:55:52"},{"id":151,"name":"Denver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89"/>
        <v>start /low /b %USERPROFILE%\Documents\GitHub\eaglep3\Utilities\DownloadLogsFromS3.py --loco 4052 --day 2017-03-12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"%USERPROFILE%\AppData\Local\Temp\OnboardLogs"\RTDC4052\*4052*20170313* | grep -SE "(Enforcement Action)|(\[TIMEOUT)|(CHR.+\|PRM\|1\|D.+(SWITCH|SIGNAL).+UNKNOWN)" - &gt;&gt; 2017-03-12-UncaughtWiMAX.txt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794</v>
      </c>
      <c r="B186" s="7">
        <v>4051</v>
      </c>
      <c r="C186" s="21" t="s">
        <v>242</v>
      </c>
      <c r="D186" s="21" t="s">
        <v>504</v>
      </c>
      <c r="E186" s="13">
        <v>42806.84578703704</v>
      </c>
      <c r="F186" s="13">
        <v>42806.846747685187</v>
      </c>
      <c r="G186" s="7">
        <v>1</v>
      </c>
      <c r="H186" s="21" t="s">
        <v>560</v>
      </c>
      <c r="I186" s="13">
        <v>42806.857835648145</v>
      </c>
      <c r="J186" s="7">
        <v>0</v>
      </c>
      <c r="K186" s="98" t="str">
        <f t="shared" si="72"/>
        <v>4051/4052</v>
      </c>
      <c r="L186" s="21" t="str">
        <f>VLOOKUP(A186,'Trips&amp;Operators'!$C$1:$G$99999,5,FALSE)</f>
        <v>HELVIE ADAM</v>
      </c>
      <c r="M186" s="6">
        <f t="shared" si="73"/>
        <v>1.1087962957390118E-2</v>
      </c>
      <c r="N186" s="7">
        <f t="shared" si="74"/>
        <v>15.96666665864177</v>
      </c>
      <c r="O186" s="7"/>
      <c r="P186" s="7"/>
      <c r="Q186" s="22"/>
      <c r="R186" s="22"/>
      <c r="S186" s="31">
        <f t="shared" si="75"/>
        <v>1</v>
      </c>
      <c r="T186" s="46" t="str">
        <f t="shared" si="76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77"/>
        <v>https://d0f6bd738d7f1b3e5a7ca70fe4ff75f0.us-east-1.aws.found.io/app/kibana#/discover/Steve-Slow-Train-Analysis-(2080s-and-2083s)?_g=(refreshInterval:(display:Off,pause:!f,section:0,value:0),time:(from:'2017-03-12T19:17:56-600',mode:absolute,to:'2017-03-12T21:35:17-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187" t="str">
        <f t="shared" si="78"/>
        <v>N</v>
      </c>
      <c r="X186" s="187">
        <f t="shared" si="79"/>
        <v>1</v>
      </c>
      <c r="Y186" s="62">
        <f t="shared" si="80"/>
        <v>0.1002</v>
      </c>
      <c r="Z186" s="62">
        <f t="shared" si="81"/>
        <v>5.8929</v>
      </c>
      <c r="AA186" s="62">
        <f t="shared" si="82"/>
        <v>5.7927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83"/>
        <v>1829-12</v>
      </c>
      <c r="AE186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86" s="82" t="str">
        <f t="shared" si="85"/>
        <v>"C:\Program Files (x86)\AstroGrep\AstroGrep.exe" /e /r /s /spath="%USERPROFILE%\AppData\Local\Temp\OnboardLogs" /stypes="app*4051*20170313*" /stext=" 02:.+((SYSTEM_STATE.+slice.+state.+changed )|(ment ac)|(multiple cpu faults)|(system.+state.+changed )|(\[timeout)|(PRM\|1\|D)|(kpr)|(kdp)|(\|lc)|(penalty))"</v>
      </c>
      <c r="AG186" s="1" t="str">
        <f t="shared" si="86"/>
        <v>NW</v>
      </c>
      <c r="AH186" s="86" t="str">
        <f t="shared" si="87"/>
        <v>"%USERPROFILE%\Documents\GitHub\eaglep3\Utilities\RefineRTDCRunTimes.py" --tripid 1829-12 --locoid 4051 --swversion DE.1.0.9.0 --startMP 204:1002 --initTime 2017-03-12T20:17:56 --startdatetime 2017-03-12T20:19:19 --delay 1 --endMP 300:58929 --enddatetime 2017-03-12T20:35:17 --enforcementcount 0 &gt;&gt;C:\Users\stu\Documents\GitHub\eaglep3-reporting\EC\2017-03-12-refined-times.txt</v>
      </c>
      <c r="AI186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{"issue":{"subject":"","project_id":79,"tracker_id":40,"status_id":1,"priority_id":2,"assigned_to_id":23,"start_date":"2017-03-12","description":"","custom_fields":[{"id":1,"name":"Subdivision","value":"NW"},{"id":4,"name":"Milepost","value":"5.8929"},{"id":17,"name":"Train ID","value":"1829-12"},{"id":16,"name":"Locomotive ID","value":"4051"},{"id":130,"name":"Impact","value":""},{"id":150,"name":"Time of Event (Mountain Time)","value":"20:35:17"},{"id":151,"name":"Denver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89"/>
        <v>start /low /b %USERPROFILE%\Documents\GitHub\eaglep3\Utilities\DownloadLogsFromS3.py --loco 4051 --day 2017-03-12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"%USERPROFILE%\AppData\Local\Temp\OnboardLogs"\RTDC4051\*4051*20170313* | grep -SE "(Enforcement Action)|(\[TIMEOUT)|(CHR.+\|PRM\|1\|D.+(SWITCH|SIGNAL).+UNKNOWN)" - &gt;&gt; 2017-03-12-UncaughtWiMAX.txt</v>
      </c>
    </row>
    <row r="187" spans="1:91" x14ac:dyDescent="0.25">
      <c r="A187" s="33" t="s">
        <v>796</v>
      </c>
      <c r="B187" s="7">
        <v>4052</v>
      </c>
      <c r="C187" s="21" t="s">
        <v>242</v>
      </c>
      <c r="D187" s="21" t="s">
        <v>889</v>
      </c>
      <c r="E187" s="13">
        <v>42806.859409722223</v>
      </c>
      <c r="F187" s="13">
        <v>42806.860532407409</v>
      </c>
      <c r="G187" s="7">
        <v>1</v>
      </c>
      <c r="H187" s="21" t="s">
        <v>896</v>
      </c>
      <c r="I187" s="13">
        <v>42806.871550925927</v>
      </c>
      <c r="J187" s="7">
        <v>0</v>
      </c>
      <c r="K187" s="98" t="str">
        <f t="shared" si="72"/>
        <v>4051/4052</v>
      </c>
      <c r="L187" s="21" t="str">
        <f>VLOOKUP(A187,'Trips&amp;Operators'!$C$1:$G$99999,5,FALSE)</f>
        <v>HELVIE ADAM</v>
      </c>
      <c r="M187" s="6">
        <f t="shared" si="73"/>
        <v>1.1018518518540077E-2</v>
      </c>
      <c r="N187" s="7">
        <f t="shared" si="74"/>
        <v>15.866666666697711</v>
      </c>
      <c r="O187" s="7"/>
      <c r="P187" s="7"/>
      <c r="Q187" s="22"/>
      <c r="R187" s="22"/>
      <c r="S187" s="31">
        <f t="shared" si="75"/>
        <v>1</v>
      </c>
      <c r="T187" s="46" t="str">
        <f t="shared" si="76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77"/>
        <v>https://d0f6bd738d7f1b3e5a7ca70fe4ff75f0.us-east-1.aws.found.io/app/kibana#/discover/Steve-Slow-Train-Analysis-(2080s-and-2083s)?_g=(refreshInterval:(display:Off,pause:!f,section:0,value:0),time:(from:'2017-03-12T19:37:33-600',mode:absolute,to:'2017-03-12T21:55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187" t="str">
        <f t="shared" si="78"/>
        <v>N</v>
      </c>
      <c r="X187" s="187">
        <f t="shared" si="79"/>
        <v>1</v>
      </c>
      <c r="Y187" s="62">
        <f t="shared" si="80"/>
        <v>5.8616999999999999</v>
      </c>
      <c r="Z187" s="62">
        <f t="shared" si="81"/>
        <v>8.0399999999999999E-2</v>
      </c>
      <c r="AA187" s="62">
        <f t="shared" si="82"/>
        <v>5.7812999999999999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83"/>
        <v>1830-12</v>
      </c>
      <c r="AE187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87" s="82" t="str">
        <f t="shared" si="85"/>
        <v>"C:\Program Files (x86)\AstroGrep\AstroGrep.exe" /e /r /s /spath="%USERPROFILE%\AppData\Local\Temp\OnboardLogs" /stypes="app*4052*20170313*" /stext=" 02:.+((SYSTEM_STATE.+slice.+state.+changed )|(ment ac)|(multiple cpu faults)|(system.+state.+changed )|(\[timeout)|(PRM\|1\|D)|(kpr)|(kdp)|(\|lc)|(penalty))"</v>
      </c>
      <c r="AG187" s="1" t="str">
        <f t="shared" si="86"/>
        <v>NW</v>
      </c>
      <c r="AH187" s="86" t="str">
        <f t="shared" si="87"/>
        <v>"%USERPROFILE%\Documents\GitHub\eaglep3\Utilities\RefineRTDCRunTimes.py" --tripid 1830-12 --locoid 4052 --swversion DE.1.0.9.0 --startMP 300:58617 --initTime 2017-03-12T20:37:33 --startdatetime 2017-03-12T20:39:10 --delay 1 --endMP 204:804 --enddatetime 2017-03-12T20:55:02 --enforcementcount 0 &gt;&gt;C:\Users\stu\Documents\GitHub\eaglep3-reporting\EC\2017-03-12-refined-times.txt</v>
      </c>
      <c r="AI187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{"issue":{"subject":"","project_id":79,"tracker_id":40,"status_id":1,"priority_id":2,"assigned_to_id":23,"start_date":"2017-03-12","description":"","custom_fields":[{"id":1,"name":"Subdivision","value":"NW"},{"id":4,"name":"Milepost","value":"0.0804"},{"id":17,"name":"Train ID","value":"1830-12"},{"id":16,"name":"Locomotive ID","value":"4052"},{"id":130,"name":"Impact","value":""},{"id":150,"name":"Time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89"/>
        <v>start /low /b %USERPROFILE%\Documents\GitHub\eaglep3\Utilities\DownloadLogsFromS3.py --loco 4052 --day 2017-03-12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"%USERPROFILE%\AppData\Local\Temp\OnboardLogs"\RTDC4052\*4052*20170313* | grep -SE "(Enforcement Action)|(\[TIMEOUT)|(CHR.+\|PRM\|1\|D.+(SWITCH|SIGNAL).+UNKNOWN)" - &gt;&gt; 2017-03-12-UncaughtWiMAX.txt</v>
      </c>
    </row>
    <row r="188" spans="1:91" x14ac:dyDescent="0.25">
      <c r="A188" s="33" t="s">
        <v>801</v>
      </c>
      <c r="B188" s="7">
        <v>4051</v>
      </c>
      <c r="C188" s="21" t="s">
        <v>242</v>
      </c>
      <c r="D188" s="21" t="s">
        <v>897</v>
      </c>
      <c r="E188" s="13">
        <v>42806.88590277778</v>
      </c>
      <c r="F188" s="13">
        <v>42806.886747685188</v>
      </c>
      <c r="G188" s="7">
        <v>1</v>
      </c>
      <c r="H188" s="21" t="s">
        <v>573</v>
      </c>
      <c r="I188" s="13">
        <v>42806.901631944442</v>
      </c>
      <c r="J188" s="7">
        <v>0</v>
      </c>
      <c r="K188" s="98" t="str">
        <f t="shared" si="72"/>
        <v>4051/4052</v>
      </c>
      <c r="L188" s="21" t="str">
        <f>VLOOKUP(A188,'Trips&amp;Operators'!$C$1:$G$99999,5,FALSE)</f>
        <v>HELVIE ADAM</v>
      </c>
      <c r="M188" s="6">
        <f t="shared" si="73"/>
        <v>1.4884259253449272E-2</v>
      </c>
      <c r="N188" s="7">
        <f t="shared" si="74"/>
        <v>21.433333324966952</v>
      </c>
      <c r="O188" s="7"/>
      <c r="P188" s="7"/>
      <c r="Q188" s="22"/>
      <c r="R188" s="22"/>
      <c r="S188" s="31">
        <f t="shared" si="75"/>
        <v>1</v>
      </c>
      <c r="T188" s="46" t="str">
        <f t="shared" si="76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77"/>
        <v>https://d0f6bd738d7f1b3e5a7ca70fe4ff75f0.us-east-1.aws.found.io/app/kibana#/discover/Steve-Slow-Train-Analysis-(2080s-and-2083s)?_g=(refreshInterval:(display:Off,pause:!f,section:0,value:0),time:(from:'2017-03-12T20:15:42-600',mode:absolute,to:'2017-03-12T22:38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187" t="str">
        <f t="shared" si="78"/>
        <v>N</v>
      </c>
      <c r="X188" s="187">
        <f t="shared" si="79"/>
        <v>1</v>
      </c>
      <c r="Y188" s="62">
        <f t="shared" si="80"/>
        <v>0.10979999999999999</v>
      </c>
      <c r="Z188" s="62">
        <f t="shared" si="81"/>
        <v>5.8960999999999997</v>
      </c>
      <c r="AA188" s="62">
        <f t="shared" si="82"/>
        <v>5.7862999999999998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83"/>
        <v>1831-12</v>
      </c>
      <c r="AE188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88" s="82" t="str">
        <f t="shared" si="85"/>
        <v>"C:\Program Files (x86)\AstroGrep\AstroGrep.exe" /e /r /s /spath="%USERPROFILE%\AppData\Local\Temp\OnboardLogs" /stypes="app*4051*20170313*" /stext=" 03:.+((SYSTEM_STATE.+slice.+state.+changed )|(ment ac)|(multiple cpu faults)|(system.+state.+changed )|(\[timeout)|(PRM\|1\|D)|(kpr)|(kdp)|(\|lc)|(penalty))"</v>
      </c>
      <c r="AG188" s="1" t="str">
        <f t="shared" si="86"/>
        <v>NW</v>
      </c>
      <c r="AH188" s="86" t="str">
        <f t="shared" si="87"/>
        <v>"%USERPROFILE%\Documents\GitHub\eaglep3\Utilities\RefineRTDCRunTimes.py" --tripid 1831-12 --locoid 4051 --swversion DE.1.0.9.0 --startMP 204:1098 --initTime 2017-03-12T21:15:42 --startdatetime 2017-03-12T21:16:55 --delay 1 --endMP 300:58961 --enddatetime 2017-03-12T21:38:21 --enforcementcount 0 &gt;&gt;C:\Users\stu\Documents\GitHub\eaglep3-reporting\EC\2017-03-12-refined-times.txt</v>
      </c>
      <c r="AI188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{"issue":{"subject":"","project_id":79,"tracker_id":40,"status_id":1,"priority_id":2,"assigned_to_id":23,"start_date":"2017-03-12","description":"","custom_fields":[{"id":1,"name":"Subdivision","value":"NW"},{"id":4,"name":"Milepost","value":"5.8961"},{"id":17,"name":"Train ID","value":"1831-12"},{"id":16,"name":"Locomotive ID","value":"4051"},{"id":130,"name":"Impact","value":""},{"id":150,"name":"Time of Event (Mountain Time)","value":"21:38:21"},{"id":151,"name":"Denver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89"/>
        <v>start /low /b %USERPROFILE%\Documents\GitHub\eaglep3\Utilities\DownloadLogsFromS3.py --loco 4051 --day 2017-03-12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"%USERPROFILE%\AppData\Local\Temp\OnboardLogs"\RTDC4051\*4051*20170313* | grep -SE "(Enforcement Action)|(\[TIMEOUT)|(CHR.+\|PRM\|1\|D.+(SWITCH|SIGNAL).+UNKNOWN)" - &gt;&gt; 2017-03-12-UncaughtWiMAX.txt</v>
      </c>
    </row>
    <row r="189" spans="1:91" x14ac:dyDescent="0.25">
      <c r="A189" s="33" t="s">
        <v>802</v>
      </c>
      <c r="B189" s="7">
        <v>4052</v>
      </c>
      <c r="C189" s="21" t="s">
        <v>242</v>
      </c>
      <c r="D189" s="21" t="s">
        <v>566</v>
      </c>
      <c r="E189" s="13">
        <v>42806.903391203705</v>
      </c>
      <c r="F189" s="13">
        <v>42806.904131944444</v>
      </c>
      <c r="G189" s="7">
        <v>1</v>
      </c>
      <c r="H189" s="21" t="s">
        <v>898</v>
      </c>
      <c r="I189" s="13">
        <v>42806.913680555554</v>
      </c>
      <c r="J189" s="7">
        <v>0</v>
      </c>
      <c r="K189" s="98" t="str">
        <f t="shared" si="72"/>
        <v>4051/4052</v>
      </c>
      <c r="L189" s="21" t="str">
        <f>VLOOKUP(A189,'Trips&amp;Operators'!$C$1:$G$99999,5,FALSE)</f>
        <v>HELVIE ADAM</v>
      </c>
      <c r="M189" s="6">
        <f t="shared" si="73"/>
        <v>9.5486111094942316E-3</v>
      </c>
      <c r="N189" s="7">
        <f t="shared" si="74"/>
        <v>13.749999997671694</v>
      </c>
      <c r="O189" s="7"/>
      <c r="P189" s="7"/>
      <c r="Q189" s="22"/>
      <c r="R189" s="22"/>
      <c r="S189" s="31">
        <f t="shared" si="75"/>
        <v>1</v>
      </c>
      <c r="T189" s="46" t="str">
        <f t="shared" si="76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77"/>
        <v>https://d0f6bd738d7f1b3e5a7ca70fe4ff75f0.us-east-1.aws.found.io/app/kibana#/discover/Steve-Slow-Train-Analysis-(2080s-and-2083s)?_g=(refreshInterval:(display:Off,pause:!f,section:0,value:0),time:(from:'2017-03-12T20:40:53-600',mode:absolute,to:'2017-03-12T22:55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187" t="str">
        <f t="shared" si="78"/>
        <v>N</v>
      </c>
      <c r="X189" s="187">
        <f t="shared" si="79"/>
        <v>1</v>
      </c>
      <c r="Y189" s="62">
        <f t="shared" si="80"/>
        <v>5.8640999999999996</v>
      </c>
      <c r="Z189" s="62">
        <f t="shared" si="81"/>
        <v>7.5399999999999995E-2</v>
      </c>
      <c r="AA189" s="62">
        <f t="shared" si="82"/>
        <v>5.7886999999999995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83"/>
        <v>1832-12</v>
      </c>
      <c r="AE189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189" s="82" t="str">
        <f t="shared" si="85"/>
        <v>"C:\Program Files (x86)\AstroGrep\AstroGrep.exe" /e /r /s /spath="%USERPROFILE%\AppData\Local\Temp\OnboardLogs" /stypes="app*4052*20170313*" /stext=" 03:.+((SYSTEM_STATE.+slice.+state.+changed )|(ment ac)|(multiple cpu faults)|(system.+state.+changed )|(\[timeout)|(PRM\|1\|D)|(kpr)|(kdp)|(\|lc)|(penalty))"</v>
      </c>
      <c r="AG189" s="1" t="str">
        <f t="shared" si="86"/>
        <v>NW</v>
      </c>
      <c r="AH189" s="86" t="str">
        <f t="shared" si="87"/>
        <v>"%USERPROFILE%\Documents\GitHub\eaglep3\Utilities\RefineRTDCRunTimes.py" --tripid 1832-12 --locoid 4052 --swversion DE.1.0.9.0 --startMP 300:58641 --initTime 2017-03-12T21:40:53 --startdatetime 2017-03-12T21:41:57 --delay 1 --endMP 204:754 --enddatetime 2017-03-12T21:55:42 --enforcementcount 0 &gt;&gt;C:\Users\stu\Documents\GitHub\eaglep3-reporting\EC\2017-03-12-refined-times.txt</v>
      </c>
      <c r="AI189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{"issue":{"subject":"","project_id":79,"tracker_id":40,"status_id":1,"priority_id":2,"assigned_to_id":23,"start_date":"2017-03-12","description":"","custom_fields":[{"id":1,"name":"Subdivision","value":"NW"},{"id":4,"name":"Milepost","value":"0.0754"},{"id":17,"name":"Train ID","value":"1832-12"},{"id":16,"name":"Locomotive ID","value":"4052"},{"id":130,"name":"Impact","value":""},{"id":150,"name":"Time of Event (Mountain Time)","value":"21:55:42"},{"id":151,"name":"Denver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89"/>
        <v>start /low /b %USERPROFILE%\Documents\GitHub\eaglep3\Utilities\DownloadLogsFromS3.py --loco 4052 --day 2017-03-12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"%USERPROFILE%\AppData\Local\Temp\OnboardLogs"\RTDC4052\*4052*20170313* | grep -SE "(Enforcement Action)|(\[TIMEOUT)|(CHR.+\|PRM\|1\|D.+(SWITCH|SIGNAL).+UNKNOWN)" - &gt;&gt; 2017-03-12-UncaughtWiMAX.txt</v>
      </c>
    </row>
    <row r="190" spans="1:91" x14ac:dyDescent="0.25">
      <c r="A190" s="33" t="s">
        <v>806</v>
      </c>
      <c r="B190" s="7">
        <v>4051</v>
      </c>
      <c r="C190" s="21" t="s">
        <v>242</v>
      </c>
      <c r="D190" s="21" t="s">
        <v>899</v>
      </c>
      <c r="E190" s="13">
        <v>42806.928217592591</v>
      </c>
      <c r="F190" s="13">
        <v>42806.92900462963</v>
      </c>
      <c r="G190" s="7">
        <v>1</v>
      </c>
      <c r="H190" s="21" t="s">
        <v>900</v>
      </c>
      <c r="I190" s="13">
        <v>42806.941134259258</v>
      </c>
      <c r="J190" s="7">
        <v>0</v>
      </c>
      <c r="K190" s="98" t="str">
        <f t="shared" si="72"/>
        <v>4051/4052</v>
      </c>
      <c r="L190" s="21" t="str">
        <f>VLOOKUP(A190,'Trips&amp;Operators'!$C$1:$G$99999,5,FALSE)</f>
        <v>HELVIE ADAM</v>
      </c>
      <c r="M190" s="6">
        <f t="shared" si="73"/>
        <v>1.2129629627452232E-2</v>
      </c>
      <c r="N190" s="7">
        <f t="shared" si="74"/>
        <v>17.466666663531214</v>
      </c>
      <c r="O190" s="7"/>
      <c r="P190" s="7"/>
      <c r="Q190" s="22"/>
      <c r="R190" s="22"/>
      <c r="S190" s="31">
        <f t="shared" si="75"/>
        <v>1</v>
      </c>
      <c r="T190" s="46" t="str">
        <f t="shared" si="76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77"/>
        <v>https://d0f6bd738d7f1b3e5a7ca70fe4ff75f0.us-east-1.aws.found.io/app/kibana#/discover/Steve-Slow-Train-Analysis-(2080s-and-2083s)?_g=(refreshInterval:(display:Off,pause:!f,section:0,value:0),time:(from:'2017-03-12T21:16:38-600',mode:absolute,to:'2017-03-12T23:35:14-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187" t="str">
        <f t="shared" si="78"/>
        <v>N</v>
      </c>
      <c r="X190" s="187">
        <f t="shared" si="79"/>
        <v>1</v>
      </c>
      <c r="Y190" s="62">
        <f t="shared" si="80"/>
        <v>0.10489999999999999</v>
      </c>
      <c r="Z190" s="62">
        <f t="shared" si="81"/>
        <v>5.8930999999999996</v>
      </c>
      <c r="AA190" s="62">
        <f t="shared" si="82"/>
        <v>5.7881999999999998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83"/>
        <v>1833-12</v>
      </c>
      <c r="AE190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190" s="82" t="str">
        <f t="shared" si="85"/>
        <v>"C:\Program Files (x86)\AstroGrep\AstroGrep.exe" /e /r /s /spath="%USERPROFILE%\AppData\Local\Temp\OnboardLogs" /stypes="app*4051*20170313*" /stext=" 04:.+((SYSTEM_STATE.+slice.+state.+changed )|(ment ac)|(multiple cpu faults)|(system.+state.+changed )|(\[timeout)|(PRM\|1\|D)|(kpr)|(kdp)|(\|lc)|(penalty))"</v>
      </c>
      <c r="AG190" s="1" t="str">
        <f t="shared" si="86"/>
        <v>NW</v>
      </c>
      <c r="AH190" s="86" t="str">
        <f t="shared" si="87"/>
        <v>"%USERPROFILE%\Documents\GitHub\eaglep3\Utilities\RefineRTDCRunTimes.py" --tripid 1833-12 --locoid 4051 --swversion DE.1.0.9.0 --startMP 204:1049 --initTime 2017-03-12T22:16:38 --startdatetime 2017-03-12T22:17:46 --delay 1 --endMP 300:58931 --enddatetime 2017-03-12T22:35:14 --enforcementcount 0 &gt;&gt;C:\Users\stu\Documents\GitHub\eaglep3-reporting\EC\2017-03-12-refined-times.txt</v>
      </c>
      <c r="AI190" s="108" t="str">
        <f t="shared" si="88"/>
        <v>echo {"issue":{"subject":"","project_id":79,"tracker_id":40,"status_id":1,"priority_id":2,"assigned_to_id":23,"start_date":"2017-03-12","description":"","custom_fields":[{"id":1,"name":"Subdivision","value":"NW"},{"id":4,"name":"Milepost","value":"5.8931"},{"id":17,"name":"Train ID","value":"1833-12"},{"id":16,"name":"Locomotive ID","value":"4051"},{"id":130,"name":"Impact","value":""},{"id":150,"name":"Time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89"/>
        <v>start /low /b %USERPROFILE%\Documents\GitHub\eaglep3\Utilities\DownloadLogsFromS3.py --loco 4051 --day 2017-03-12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"%USERPROFILE%\AppData\Local\Temp\OnboardLogs"\RTDC4051\*4051*20170313* | grep -SE "(Enforcement Action)|(\[TIMEOUT)|(CHR.+\|PRM\|1\|D.+(SWITCH|SIGNAL).+UNKNOWN)" - &gt;&gt; 2017-03-12-UncaughtWiMAX.txt</v>
      </c>
    </row>
    <row r="191" spans="1:91" x14ac:dyDescent="0.25">
      <c r="A191" s="33" t="s">
        <v>630</v>
      </c>
      <c r="B191" s="7">
        <v>4026</v>
      </c>
      <c r="C191" s="21" t="s">
        <v>242</v>
      </c>
      <c r="D191" s="21" t="s">
        <v>937</v>
      </c>
      <c r="E191" s="13">
        <v>42806.074942129628</v>
      </c>
      <c r="F191" s="13">
        <v>42806.078900462962</v>
      </c>
      <c r="G191" s="7">
        <v>5</v>
      </c>
      <c r="H191" s="21" t="s">
        <v>184</v>
      </c>
      <c r="I191" s="13">
        <v>42806.083182870374</v>
      </c>
      <c r="J191" s="7">
        <v>0</v>
      </c>
      <c r="K191" s="98" t="str">
        <f t="shared" si="72"/>
        <v>4025/4026</v>
      </c>
      <c r="L191" s="21" t="str">
        <f>VLOOKUP(A191,'Trips&amp;Operators'!$C$1:$G$99999,5,FALSE)</f>
        <v>SANTIZO D. EDY</v>
      </c>
      <c r="M191" s="6">
        <f t="shared" si="73"/>
        <v>4.28240741166519E-3</v>
      </c>
      <c r="N191" s="7">
        <f t="shared" si="74"/>
        <v>6.1666666727978736</v>
      </c>
      <c r="O191" s="7"/>
      <c r="P191" s="7"/>
      <c r="Q191" s="22"/>
      <c r="R191" s="22"/>
      <c r="S191" s="31">
        <f t="shared" si="75"/>
        <v>1</v>
      </c>
      <c r="T191" s="46" t="str">
        <f t="shared" si="76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77"/>
        <v>https://d0f6bd738d7f1b3e5a7ca70fe4ff75f0.us-east-1.aws.found.io/app/kibana#/discover/Steve-Slow-Train-Analysis-(2080s-and-2083s)?_g=(refreshInterval:(display:Off,pause:!f,section:0,value:0),time:(from:'2017-03-12T00:47:55-600',mode:absolute,to:'2017-03-12T02:59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87" t="str">
        <f t="shared" si="78"/>
        <v>Y</v>
      </c>
      <c r="X191" s="187">
        <f t="shared" si="79"/>
        <v>-1531</v>
      </c>
      <c r="Y191" s="62">
        <f t="shared" si="80"/>
        <v>1.9555</v>
      </c>
      <c r="Z191" s="62">
        <f t="shared" si="81"/>
        <v>1.49E-2</v>
      </c>
      <c r="AA191" s="62">
        <f t="shared" si="82"/>
        <v>1.9406000000000001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83"/>
        <v>0302-12</v>
      </c>
      <c r="AE191" s="85" t="str">
        <f t="shared" si="84"/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AF191" s="82" t="str">
        <f t="shared" si="85"/>
        <v>"C:\Program Files (x86)\AstroGrep\AstroGrep.exe" /e /r /s /spath="%USERPROFILE%\AppData\Local\Temp\OnboardLogs" /stypes="app*4026*20170312*" /stext=" 07:.+((SYSTEM_STATE.+slice.+state.+changed )|(ment ac)|(multiple cpu faults)|(system.+state.+changed )|(\[timeout)|(PRM\|1\|D)|(kpr)|(kdp)|(\|lc)|(penalty))"</v>
      </c>
      <c r="AG191" s="1" t="str">
        <f t="shared" si="86"/>
        <v>Other</v>
      </c>
      <c r="AH191" s="86" t="str">
        <f t="shared" si="87"/>
        <v>"%USERPROFILE%\Documents\GitHub\eaglep3\Utilities\RefineRTDCRunTimes.py" --tripid 302-12 --locoid 4026 --swversion DE.1.0.9.0 --startMP 300:19555 --initTime 2017-03-12T01:47:55 --startdatetime 2017-03-12T01:53:37 --delay 5 --endMP 204:149 --enddatetime 2017-03-12T01:59:47 --enforcementcount 0 &gt;&gt;C:\Users\stu\Documents\GitHub\eaglep3-reporting\EC\2017-03-12-refined-times.txt</v>
      </c>
      <c r="AI191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{"issue":{"subject":"","project_id":79,"tracker_id":40,"status_id":1,"priority_id":2,"assigned_to_id":23,"start_date":"2017-03-12","description":"","custom_fields":[{"id":1,"name":"Subdivision","value":"Other"},{"id":4,"name":"Milepost","value":"0.0149"},{"id":17,"name":"Train ID","value":"302-12"},{"id":16,"name":"Locomotive ID","value":"4026"},{"id":130,"name":"Impact","value":""},{"id":150,"name":"Time of Event (Mountain Time)","value":"01:59:47"},{"id":151,"name":"Denver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89"/>
        <v>start /low /b %USERPROFILE%\Documents\GitHub\eaglep3\Utilities\DownloadLogsFromS3.py --loco 4026 --day 2017-03-12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"%USERPROFILE%\AppData\Local\Temp\OnboardLogs"\RTDC4026\*4026*20170312* | grep -SE "(Enforcement Action)|(\[TIMEOUT)|(CHR.+\|PRM\|1\|D.+(SWITCH|SIGNAL).+UNKNOWN)" - &gt;&gt; 2017-03-12-UncaughtWiMAX.txt</v>
      </c>
    </row>
    <row r="192" spans="1:91" x14ac:dyDescent="0.25">
      <c r="A192" s="33" t="s">
        <v>782</v>
      </c>
      <c r="B192" s="7">
        <v>4020</v>
      </c>
      <c r="C192" s="21" t="s">
        <v>242</v>
      </c>
      <c r="D192" s="21" t="s">
        <v>227</v>
      </c>
      <c r="E192" s="13">
        <v>42806.798449074071</v>
      </c>
      <c r="F192" s="13">
        <v>42806.799386574072</v>
      </c>
      <c r="G192" s="7">
        <v>1</v>
      </c>
      <c r="H192" s="21" t="s">
        <v>938</v>
      </c>
      <c r="I192" s="13">
        <v>42806.804432870369</v>
      </c>
      <c r="J192" s="7">
        <v>0</v>
      </c>
      <c r="K192" s="98" t="str">
        <f t="shared" si="72"/>
        <v>4019/4020</v>
      </c>
      <c r="L192" s="21" t="str">
        <f>VLOOKUP(A192,'Trips&amp;Operators'!$C$1:$G$99999,5,FALSE)</f>
        <v>LOCKLEAR TRAVIS</v>
      </c>
      <c r="M192" s="6">
        <f t="shared" si="73"/>
        <v>5.0462962972233072E-3</v>
      </c>
      <c r="N192" s="7">
        <f t="shared" si="74"/>
        <v>7.2666666680015624</v>
      </c>
      <c r="O192" s="7"/>
      <c r="P192" s="7"/>
      <c r="Q192" s="22"/>
      <c r="R192" s="22"/>
      <c r="S192" s="31">
        <f t="shared" si="75"/>
        <v>1</v>
      </c>
      <c r="T192" s="46" t="str">
        <f t="shared" si="76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77"/>
        <v>https://d0f6bd738d7f1b3e5a7ca70fe4ff75f0.us-east-1.aws.found.io/app/kibana#/discover/Steve-Slow-Train-Analysis-(2080s-and-2083s)?_g=(refreshInterval:(display:Off,pause:!f,section:0,value:0),time:(from:'2017-03-12T18:09:46-600',mode:absolute,to:'2017-03-12T20:18:23-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87" t="str">
        <f t="shared" si="78"/>
        <v>Y</v>
      </c>
      <c r="X192" s="187">
        <f t="shared" si="79"/>
        <v>3</v>
      </c>
      <c r="Y192" s="62">
        <f t="shared" si="80"/>
        <v>4.5499999999999999E-2</v>
      </c>
      <c r="Z192" s="62">
        <f t="shared" si="81"/>
        <v>2.3126000000000002</v>
      </c>
      <c r="AA192" s="62">
        <f t="shared" si="82"/>
        <v>2.2671000000000001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83"/>
        <v>0305-12</v>
      </c>
      <c r="AE192" s="85" t="str">
        <f t="shared" si="84"/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AF192" s="82" t="str">
        <f t="shared" si="85"/>
        <v>"C:\Program Files (x86)\AstroGrep\AstroGrep.exe" /e /r /s /spath="%USERPROFILE%\AppData\Local\Temp\OnboardLogs" /stypes="app*4020*20170313*" /stext=" 01:.+((SYSTEM_STATE.+slice.+state.+changed )|(ment ac)|(multiple cpu faults)|(system.+state.+changed )|(\[timeout)|(PRM\|1\|D)|(kpr)|(kdp)|(\|lc)|(penalty))"</v>
      </c>
      <c r="AG192" s="1" t="str">
        <f t="shared" si="86"/>
        <v>Other</v>
      </c>
      <c r="AH192" s="86" t="str">
        <f t="shared" si="87"/>
        <v>"%USERPROFILE%\Documents\GitHub\eaglep3\Utilities\RefineRTDCRunTimes.py" --tripid 305-12 --locoid 4020 --swversion DE.1.0.9.0 --startMP 204:455 --initTime 2017-03-12T19:09:46 --startdatetime 2017-03-12T19:11:07 --delay 1 --endMP 300:23126 --enddatetime 2017-03-12T19:18:23 --enforcementcount 0 &gt;&gt;C:\Users\stu\Documents\GitHub\eaglep3-reporting\EC\2017-03-12-refined-times.txt</v>
      </c>
      <c r="AI192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{"issue":{"subject":"","project_id":79,"tracker_id":40,"status_id":1,"priority_id":2,"assigned_to_id":23,"start_date":"2017-03-12","description":"","custom_fields":[{"id":1,"name":"Subdivision","value":"Other"},{"id":4,"name":"Milepost","value":"2.3126"},{"id":17,"name":"Train ID","value":"305-12"},{"id":16,"name":"Locomotive ID","value":"4020"},{"id":130,"name":"Impact","value":""},{"id":150,"name":"Time of Event (Mountain Time)","value":"19:18:23"},{"id":151,"name":"Denver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89"/>
        <v>start /low /b %USERPROFILE%\Documents\GitHub\eaglep3\Utilities\DownloadLogsFromS3.py --loco 4020 --day 2017-03-12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"%USERPROFILE%\AppData\Local\Temp\OnboardLogs"\RTDC4020\*4020*20170313* | grep -SE "(Enforcement Action)|(\[TIMEOUT)|(CHR.+\|PRM\|1\|D.+(SWITCH|SIGNAL).+UNKNOWN)" - &gt;&gt; 2017-03-12-UncaughtWiMAX.txt</v>
      </c>
    </row>
    <row r="193" spans="1:40" x14ac:dyDescent="0.25">
      <c r="A193" s="33" t="s">
        <v>636</v>
      </c>
      <c r="B193" s="7">
        <v>4021</v>
      </c>
      <c r="C193" s="21" t="s">
        <v>242</v>
      </c>
      <c r="D193" s="21" t="s">
        <v>939</v>
      </c>
      <c r="E193" s="13">
        <v>42806.162835648145</v>
      </c>
      <c r="F193" s="13">
        <v>42806.166990740741</v>
      </c>
      <c r="G193" s="7">
        <v>5</v>
      </c>
      <c r="H193" s="21" t="s">
        <v>192</v>
      </c>
      <c r="I193" s="13">
        <v>42806.174039351848</v>
      </c>
      <c r="J193" s="7">
        <v>0</v>
      </c>
      <c r="K193" s="98" t="str">
        <f t="shared" si="72"/>
        <v>4021/4022</v>
      </c>
      <c r="L193" s="21" t="str">
        <f>VLOOKUP(A193,'Trips&amp;Operators'!$C$1:$G$99999,5,FALSE)</f>
        <v>BADERTSCHER DIANE</v>
      </c>
      <c r="M193" s="6">
        <f t="shared" si="73"/>
        <v>7.0486111071659252E-3</v>
      </c>
      <c r="N193" s="7">
        <f t="shared" si="74"/>
        <v>10.149999994318932</v>
      </c>
      <c r="O193" s="7"/>
      <c r="P193" s="7"/>
      <c r="Q193" s="22"/>
      <c r="R193" s="22"/>
      <c r="S193" s="31">
        <f t="shared" si="75"/>
        <v>1</v>
      </c>
      <c r="T193" s="46" t="str">
        <f t="shared" si="76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77"/>
        <v>https://d0f6bd738d7f1b3e5a7ca70fe4ff75f0.us-east-1.aws.found.io/app/kibana#/discover/Steve-Slow-Train-Analysis-(2080s-and-2083s)?_g=(refreshInterval:(display:Off,pause:!f,section:0,value:0),time:(from:'2017-03-12T02:54:29-600',mode:absolute,to:'2017-03-12T05:10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7" t="str">
        <f t="shared" si="78"/>
        <v>Y</v>
      </c>
      <c r="X193" s="187">
        <f t="shared" si="79"/>
        <v>1</v>
      </c>
      <c r="Y193" s="62">
        <f t="shared" si="80"/>
        <v>2.2105999999999999</v>
      </c>
      <c r="Z193" s="62">
        <f t="shared" si="81"/>
        <v>1.4999999999999999E-2</v>
      </c>
      <c r="AA193" s="62">
        <f t="shared" si="82"/>
        <v>2.1955999999999998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83"/>
        <v>0306-12</v>
      </c>
      <c r="AE193" s="85" t="str">
        <f t="shared" si="84"/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AF193" s="82" t="str">
        <f t="shared" si="85"/>
        <v>"C:\Program Files (x86)\AstroGrep\AstroGrep.exe" /e /r /s /spath="%USERPROFILE%\AppData\Local\Temp\OnboardLogs" /stypes="app*4021*20170312*" /stext=" 10:.+((SYSTEM_STATE.+slice.+state.+changed )|(ment ac)|(multiple cpu faults)|(system.+state.+changed )|(\[timeout)|(PRM\|1\|D)|(kpr)|(kdp)|(\|lc)|(penalty))"</v>
      </c>
      <c r="AG193" s="1" t="str">
        <f t="shared" si="86"/>
        <v>Other</v>
      </c>
      <c r="AH193" s="86" t="str">
        <f t="shared" si="87"/>
        <v>"%USERPROFILE%\Documents\GitHub\eaglep3\Utilities\RefineRTDCRunTimes.py" --tripid 306-12 --locoid 4021 --swversion DE.1.0.9.0 --startMP 300:22106 --initTime 2017-03-12T03:54:29 --startdatetime 2017-03-12T04:00:28 --delay 5 --endMP 204:150 --enddatetime 2017-03-12T04:10:37 --enforcementcount 0 &gt;&gt;C:\Users\stu\Documents\GitHub\eaglep3-reporting\EC\2017-03-12-refined-times.txt</v>
      </c>
      <c r="AI193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{"issue":{"subject":"","project_id":79,"tracker_id":40,"status_id":1,"priority_id":2,"assigned_to_id":23,"start_date":"2017-03-12","description":"","custom_fields":[{"id":1,"name":"Subdivision","value":"Other"},{"id":4,"name":"Milepost","value":"0.015"},{"id":17,"name":"Train ID","value":"306-12"},{"id":16,"name":"Locomotive ID","value":"4021"},{"id":130,"name":"Impact","value":""},{"id":150,"name":"Time of Event (Mountain Time)","value":"04:10:37"},{"id":151,"name":"Denver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89"/>
        <v>start /low /b %USERPROFILE%\Documents\GitHub\eaglep3\Utilities\DownloadLogsFromS3.py --loco 4021 --day 2017-03-12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"%USERPROFILE%\AppData\Local\Temp\OnboardLogs"\RTDC4021\*4021*20170312* | grep -SE "(Enforcement Action)|(\[TIMEOUT)|(CHR.+\|PRM\|1\|D.+(SWITCH|SIGNAL).+UNKNOWN)" - &gt;&gt; 2017-03-12-UncaughtWiMAX.txt</v>
      </c>
    </row>
    <row r="194" spans="1:40" x14ac:dyDescent="0.25">
      <c r="A194" s="33" t="s">
        <v>786</v>
      </c>
      <c r="B194" s="7">
        <v>4018</v>
      </c>
      <c r="C194" s="21" t="s">
        <v>242</v>
      </c>
      <c r="D194" s="21" t="s">
        <v>280</v>
      </c>
      <c r="E194" s="13">
        <v>42806.81890046296</v>
      </c>
      <c r="F194" s="13">
        <v>42806.819756944446</v>
      </c>
      <c r="G194" s="7">
        <v>1</v>
      </c>
      <c r="H194" s="21" t="s">
        <v>940</v>
      </c>
      <c r="I194" s="13">
        <v>42806.824918981481</v>
      </c>
      <c r="J194" s="7">
        <v>0</v>
      </c>
      <c r="K194" s="98" t="str">
        <f t="shared" si="72"/>
        <v>4017/4018</v>
      </c>
      <c r="L194" s="21" t="str">
        <f>VLOOKUP(A194,'Trips&amp;Operators'!$C$1:$G$99999,5,FALSE)</f>
        <v>MACDONALD THOMAS</v>
      </c>
      <c r="M194" s="6">
        <f t="shared" si="73"/>
        <v>5.1620370359160006E-3</v>
      </c>
      <c r="N194" s="7">
        <f t="shared" si="74"/>
        <v>7.4333333317190409</v>
      </c>
      <c r="O194" s="7"/>
      <c r="P194" s="7"/>
      <c r="Q194" s="22"/>
      <c r="R194" s="22"/>
      <c r="S194" s="31">
        <f t="shared" si="75"/>
        <v>1</v>
      </c>
      <c r="T194" s="46" t="str">
        <f t="shared" si="76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77"/>
        <v>https://d0f6bd738d7f1b3e5a7ca70fe4ff75f0.us-east-1.aws.found.io/app/kibana#/discover/Steve-Slow-Train-Analysis-(2080s-and-2083s)?_g=(refreshInterval:(display:Off,pause:!f,section:0,value:0),time:(from:'2017-03-12T18:39:13-600',mode:absolute,to:'2017-03-12T20:47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87" t="str">
        <f t="shared" si="78"/>
        <v>Y</v>
      </c>
      <c r="X194" s="187">
        <f t="shared" si="79"/>
        <v>1</v>
      </c>
      <c r="Y194" s="62">
        <f t="shared" si="80"/>
        <v>4.6899999999999997E-2</v>
      </c>
      <c r="Z194" s="62">
        <f t="shared" si="81"/>
        <v>2.3298999999999999</v>
      </c>
      <c r="AA194" s="62">
        <f t="shared" si="82"/>
        <v>2.2829999999999999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83"/>
        <v>0307-12</v>
      </c>
      <c r="AE194" s="85" t="str">
        <f t="shared" si="84"/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AF194" s="82" t="str">
        <f t="shared" si="85"/>
        <v>"C:\Program Files (x86)\AstroGrep\AstroGrep.exe" /e /r /s /spath="%USERPROFILE%\AppData\Local\Temp\OnboardLogs" /stypes="app*4018*20170313*" /stext=" 01:.+((SYSTEM_STATE.+slice.+state.+changed )|(ment ac)|(multiple cpu faults)|(system.+state.+changed )|(\[timeout)|(PRM\|1\|D)|(kpr)|(kdp)|(\|lc)|(penalty))"</v>
      </c>
      <c r="AG194" s="1" t="str">
        <f t="shared" si="86"/>
        <v>Other</v>
      </c>
      <c r="AH194" s="86" t="str">
        <f t="shared" si="87"/>
        <v>"%USERPROFILE%\Documents\GitHub\eaglep3\Utilities\RefineRTDCRunTimes.py" --tripid 307-12 --locoid 4018 --swversion DE.1.0.9.0 --startMP 204:469 --initTime 2017-03-12T19:39:13 --startdatetime 2017-03-12T19:40:27 --delay 1 --endMP 300:23299 --enddatetime 2017-03-12T19:47:53 --enforcementcount 0 &gt;&gt;C:\Users\stu\Documents\GitHub\eaglep3-reporting\EC\2017-03-12-refined-times.txt</v>
      </c>
      <c r="AI194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{"issue":{"subject":"","project_id":79,"tracker_id":40,"status_id":1,"priority_id":2,"assigned_to_id":23,"start_date":"2017-03-12","description":"","custom_fields":[{"id":1,"name":"Subdivision","value":"Other"},{"id":4,"name":"Milepost","value":"2.3299"},{"id":17,"name":"Train ID","value":"307-12"},{"id":16,"name":"Locomotive ID","value":"4018"},{"id":130,"name":"Impact","value":""},{"id":150,"name":"Time of Event (Mountain Time)","value":"19:47:53"},{"id":151,"name":"Denver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89"/>
        <v>start /low /b %USERPROFILE%\Documents\GitHub\eaglep3\Utilities\DownloadLogsFromS3.py --loco 4018 --day 2017-03-12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"%USERPROFILE%\AppData\Local\Temp\OnboardLogs"\RTDC4018\*4018*20170313* | grep -SE "(Enforcement Action)|(\[TIMEOUT)|(CHR.+\|PRM\|1\|D.+(SWITCH|SIGNAL).+UNKNOWN)" - &gt;&gt; 2017-03-12-UncaughtWiMAX.txt</v>
      </c>
    </row>
    <row r="195" spans="1:40" x14ac:dyDescent="0.25">
      <c r="A195" s="33" t="s">
        <v>641</v>
      </c>
      <c r="B195" s="7">
        <v>4005</v>
      </c>
      <c r="C195" s="21" t="s">
        <v>242</v>
      </c>
      <c r="D195" s="21" t="s">
        <v>558</v>
      </c>
      <c r="E195" s="13">
        <v>42806.176446759258</v>
      </c>
      <c r="F195" s="13">
        <v>42806.178599537037</v>
      </c>
      <c r="G195" s="7">
        <v>3</v>
      </c>
      <c r="H195" s="21" t="s">
        <v>192</v>
      </c>
      <c r="I195" s="13">
        <v>42806.184421296297</v>
      </c>
      <c r="J195" s="7">
        <v>0</v>
      </c>
      <c r="K195" s="98" t="str">
        <f t="shared" si="72"/>
        <v>4005/4006</v>
      </c>
      <c r="L195" s="21" t="str">
        <f>VLOOKUP(A195,'Trips&amp;Operators'!$C$1:$G$99999,5,FALSE)</f>
        <v>DAVIS WENDY</v>
      </c>
      <c r="M195" s="6">
        <f t="shared" si="73"/>
        <v>5.8217592595610768E-3</v>
      </c>
      <c r="N195" s="7">
        <f t="shared" si="74"/>
        <v>8.3833333337679505</v>
      </c>
      <c r="O195" s="7"/>
      <c r="P195" s="7"/>
      <c r="Q195" s="22"/>
      <c r="R195" s="22"/>
      <c r="S195" s="31">
        <f t="shared" si="75"/>
        <v>1</v>
      </c>
      <c r="T195" s="46" t="str">
        <f t="shared" si="7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77"/>
        <v>https://d0f6bd738d7f1b3e5a7ca70fe4ff75f0.us-east-1.aws.found.io/app/kibana#/discover/Steve-Slow-Train-Analysis-(2080s-and-2083s)?_g=(refreshInterval:(display:Off,pause:!f,section:0,value:0),time:(from:'2017-03-12T03:14:05-600',mode:absolute,to:'2017-03-12T05:25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187" t="str">
        <f t="shared" si="78"/>
        <v>Y</v>
      </c>
      <c r="X195" s="187">
        <f t="shared" si="79"/>
        <v>1</v>
      </c>
      <c r="Y195" s="62">
        <f t="shared" si="80"/>
        <v>2.3506</v>
      </c>
      <c r="Z195" s="62">
        <f t="shared" si="81"/>
        <v>1.4999999999999999E-2</v>
      </c>
      <c r="AA195" s="62">
        <f t="shared" si="82"/>
        <v>2.3355999999999999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83"/>
        <v>0308-12</v>
      </c>
      <c r="AE195" s="85" t="str">
        <f t="shared" si="84"/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AF195" s="82" t="str">
        <f t="shared" si="85"/>
        <v>"C:\Program Files (x86)\AstroGrep\AstroGrep.exe" /e /r /s /spath="%USERPROFILE%\AppData\Local\Temp\OnboardLogs" /stypes="app*4005*20170312*" /stext=" 10:.+((SYSTEM_STATE.+slice.+state.+changed )|(ment ac)|(multiple cpu faults)|(system.+state.+changed )|(\[timeout)|(PRM\|1\|D)|(kpr)|(kdp)|(\|lc)|(penalty))"</v>
      </c>
      <c r="AG195" s="1" t="str">
        <f t="shared" si="86"/>
        <v>Other</v>
      </c>
      <c r="AH195" s="86" t="str">
        <f t="shared" si="87"/>
        <v>"%USERPROFILE%\Documents\GitHub\eaglep3\Utilities\RefineRTDCRunTimes.py" --tripid 308-12 --locoid 4005 --swversion DE.1.0.9.0 --startMP 300:23506 --initTime 2017-03-12T04:14:05 --startdatetime 2017-03-12T04:17:11 --delay 3 --endMP 204:150 --enddatetime 2017-03-12T04:25:34 --enforcementcount 0 &gt;&gt;C:\Users\stu\Documents\GitHub\eaglep3-reporting\EC\2017-03-12-refined-times.txt</v>
      </c>
      <c r="AI195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{"issue":{"subject":"","project_id":79,"tracker_id":40,"status_id":1,"priority_id":2,"assigned_to_id":23,"start_date":"2017-03-12","description":"","custom_fields":[{"id":1,"name":"Subdivision","value":"Other"},{"id":4,"name":"Milepost","value":"0.015"},{"id":17,"name":"Train ID","value":"308-12"},{"id":16,"name":"Locomotive ID","value":"4005"},{"id":130,"name":"Impact","value":""},{"id":150,"name":"Time of Event (Mountain Time)","value":"04:25:34"},{"id":151,"name":"Denver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89"/>
        <v>start /low /b %USERPROFILE%\Documents\GitHub\eaglep3\Utilities\DownloadLogsFromS3.py --loco 4005 --day 2017-03-12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"%USERPROFILE%\AppData\Local\Temp\OnboardLogs"\RTDC4005\*4005*20170312* | grep -SE "(Enforcement Action)|(\[TIMEOUT)|(CHR.+\|PRM\|1\|D.+(SWITCH|SIGNAL).+UNKNOWN)" - &gt;&gt; 2017-03-12-UncaughtWiMAX.txt</v>
      </c>
    </row>
    <row r="196" spans="1:40" x14ac:dyDescent="0.25">
      <c r="A196" s="33" t="s">
        <v>819</v>
      </c>
      <c r="B196" s="7">
        <v>4025</v>
      </c>
      <c r="C196" s="21" t="s">
        <v>242</v>
      </c>
      <c r="D196" s="21" t="s">
        <v>230</v>
      </c>
      <c r="E196" s="13">
        <v>42807.051863425928</v>
      </c>
      <c r="F196" s="13">
        <v>42807.052800925929</v>
      </c>
      <c r="G196" s="7">
        <v>1</v>
      </c>
      <c r="H196" s="21" t="s">
        <v>941</v>
      </c>
      <c r="I196" s="13">
        <v>42807.056203703702</v>
      </c>
      <c r="J196" s="7">
        <v>0</v>
      </c>
      <c r="K196" s="98" t="str">
        <f t="shared" si="72"/>
        <v>4025/4026</v>
      </c>
      <c r="L196" s="21" t="str">
        <f>VLOOKUP(A196,'Trips&amp;Operators'!$C$1:$G$99999,5,FALSE)</f>
        <v>NEWELL JAMES</v>
      </c>
      <c r="M196" s="6">
        <f t="shared" si="73"/>
        <v>3.4027777728624642E-3</v>
      </c>
      <c r="N196" s="7">
        <f t="shared" si="74"/>
        <v>4.8999999929219484</v>
      </c>
      <c r="O196" s="7"/>
      <c r="P196" s="7"/>
      <c r="Q196" s="22"/>
      <c r="R196" s="22"/>
      <c r="S196" s="31">
        <f t="shared" si="75"/>
        <v>1</v>
      </c>
      <c r="T196" s="46" t="str">
        <f t="shared" si="76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77"/>
        <v>https://d0f6bd738d7f1b3e5a7ca70fe4ff75f0.us-east-1.aws.found.io/app/kibana#/discover/Steve-Slow-Train-Analysis-(2080s-and-2083s)?_g=(refreshInterval:(display:Off,pause:!f,section:0,value:0),time:(from:'2017-03-13T00:14:41-600',mode:absolute,to:'2017-03-13T02:20:56-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7" t="str">
        <f t="shared" si="78"/>
        <v>Y</v>
      </c>
      <c r="X196" s="187">
        <f t="shared" si="79"/>
        <v>1</v>
      </c>
      <c r="Y196" s="62">
        <f t="shared" si="80"/>
        <v>4.3999999999999997E-2</v>
      </c>
      <c r="Z196" s="62">
        <f t="shared" si="81"/>
        <v>1.3420000000000001</v>
      </c>
      <c r="AA196" s="62">
        <f t="shared" si="82"/>
        <v>1.298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83"/>
        <v>0309-12</v>
      </c>
      <c r="AE196" s="85" t="str">
        <f t="shared" si="84"/>
        <v>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 &amp; aws s3 cp s3://rtdc.mdm.uploadarchive.raw/RTDC4025/ "%USERPROFILE%\AppData\Local\Temp\OnboardLogs"\RTDC4025\2017-03-14 --exclude "*" --recursive --include "*20170314*" &amp; "%USERPROFILE%\Documents\GitHub\mrs-test-scripts\Headless Mode &amp; Sideloading\WalkAndUnGZ.bat" "%USERPROFILE%\AppData\Local\Temp\OnboardLogs"\RTDC4025\2017-03-14</v>
      </c>
      <c r="AF196" s="82" t="str">
        <f t="shared" si="85"/>
        <v>"C:\Program Files (x86)\AstroGrep\AstroGrep.exe" /e /r /s /spath="%USERPROFILE%\AppData\Local\Temp\OnboardLogs" /stypes="app*4025*20170313*" /stext=" 07:.+((SYSTEM_STATE.+slice.+state.+changed )|(ment ac)|(multiple cpu faults)|(system.+state.+changed )|(\[timeout)|(PRM\|1\|D)|(kpr)|(kdp)|(\|lc)|(penalty))"</v>
      </c>
      <c r="AG196" s="1" t="str">
        <f t="shared" si="86"/>
        <v>Other</v>
      </c>
      <c r="AH196" s="86" t="str">
        <f t="shared" si="87"/>
        <v>"%USERPROFILE%\Documents\GitHub\eaglep3\Utilities\RefineRTDCRunTimes.py" --tripid 309-12 --locoid 4025 --swversion DE.1.0.9.0 --startMP 204:440 --initTime 2017-03-13T01:14:41 --startdatetime 2017-03-13T01:16:02 --delay 1 --endMP 300:13420 --enddatetime 2017-03-13T01:20:56 --enforcementcount 0 &gt;&gt;C:\Users\stu\Documents\GitHub\eaglep3-reporting\EC\2017-03-12-refined-times.txt</v>
      </c>
      <c r="AI196" s="108" t="str">
        <f t="shared" si="88"/>
        <v>echo {"issue":{"subject":"","project_id":79,"tracker_id":40,"status_id":1,"priority_id":2,"assigned_to_id":23,"start_date":"2017-03-13","description":"","custom_fields":[{"id":1,"name":"Subdivision","value":"Other"},{"id":4,"name":"Milepost","value":"1.342"},{"id":17,"name":"Train ID","value":"309-12"},{"id":16,"name":"Locomotive ID","value":"4025"},{"id":130,"name":"Impact","value":""},{"id":150,"name":"Time of Event (Mountain Time)","value":"01:20:56"},{"id":151,"name":"Denver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89"/>
        <v>start /low /b %USERPROFILE%\Documents\GitHub\eaglep3\Utilities\DownloadLogsFromS3.py --loco 4025 --day 2017-03-13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"%USERPROFILE%\AppData\Local\Temp\OnboardLogs"\RTDC4025\*4025*20170313* | grep -SE "(Enforcement Action)|(\[TIMEOUT)|(CHR.+\|PRM\|1\|D.+(SWITCH|SIGNAL).+UNKNOWN)" - &gt;&gt; 2017-03-12-UncaughtWiMAX.txt</v>
      </c>
    </row>
    <row r="197" spans="1:40" x14ac:dyDescent="0.25">
      <c r="A197" s="33" t="s">
        <v>820</v>
      </c>
      <c r="B197" s="7">
        <v>4042</v>
      </c>
      <c r="C197" s="21" t="s">
        <v>242</v>
      </c>
      <c r="D197" s="21" t="s">
        <v>493</v>
      </c>
      <c r="E197" s="13">
        <v>42807.070671296293</v>
      </c>
      <c r="F197" s="13">
        <v>42807.071851851855</v>
      </c>
      <c r="G197" s="7">
        <v>1</v>
      </c>
      <c r="H197" s="21" t="s">
        <v>942</v>
      </c>
      <c r="I197" s="13">
        <v>42807.082951388889</v>
      </c>
      <c r="J197" s="7">
        <v>0</v>
      </c>
      <c r="K197" s="98" t="str">
        <f t="shared" si="72"/>
        <v>4041/4042</v>
      </c>
      <c r="L197" s="21" t="str">
        <f>VLOOKUP(A197,'Trips&amp;Operators'!$C$1:$G$99999,5,FALSE)</f>
        <v>SMITH MICHAEL</v>
      </c>
      <c r="M197" s="6">
        <f t="shared" si="73"/>
        <v>1.1099537034169771E-2</v>
      </c>
      <c r="N197" s="7">
        <f t="shared" si="74"/>
        <v>15.98333332920447</v>
      </c>
      <c r="O197" s="7"/>
      <c r="P197" s="7"/>
      <c r="Q197" s="22"/>
      <c r="R197" s="22"/>
      <c r="S197" s="31">
        <f t="shared" si="75"/>
        <v>1</v>
      </c>
      <c r="T197" s="46" t="str">
        <f t="shared" si="76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77"/>
        <v>https://d0f6bd738d7f1b3e5a7ca70fe4ff75f0.us-east-1.aws.found.io/app/kibana#/discover/Steve-Slow-Train-Analysis-(2080s-and-2083s)?_g=(refreshInterval:(display:Off,pause:!f,section:0,value:0),time:(from:'2017-03-13T00:41:46-600',mode:absolute,to:'2017-03-13T02:59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7" s="187" t="str">
        <f t="shared" si="78"/>
        <v>Y</v>
      </c>
      <c r="X197" s="187">
        <f t="shared" si="79"/>
        <v>2</v>
      </c>
      <c r="Y197" s="62">
        <f t="shared" si="80"/>
        <v>4.6399999999999997E-2</v>
      </c>
      <c r="Z197" s="62">
        <f t="shared" si="81"/>
        <v>2.3306</v>
      </c>
      <c r="AA197" s="62">
        <f t="shared" si="82"/>
        <v>2.2842000000000002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83"/>
        <v>0311-12</v>
      </c>
      <c r="AE197" s="85" t="str">
        <f t="shared" si="84"/>
        <v>aws s3 cp s3://rtdc.mdm.uploadarchive.raw/RTDC4042/ "%USERPROFILE%\AppData\Local\Temp\OnboardLogs"\RTDC4042\2017-03-13 --exclude "*" --recursive --include "*20170313*" &amp; "%USERPROFILE%\Documents\GitHub\mrs-test-scripts\Headless Mode &amp; Sideloading\WalkAndUnGZ.bat" "%USERPROFILE%\AppData\Local\Temp\OnboardLogs"\RTDC4042\2017-03-13 &amp; aws s3 cp s3://rtdc.mdm.uploadarchive.raw/RTDC4042/ "%USERPROFILE%\AppData\Local\Temp\OnboardLogs"\RTDC4042\2017-03-14 --exclude "*" --recursive --include "*20170314*" &amp; "%USERPROFILE%\Documents\GitHub\mrs-test-scripts\Headless Mode &amp; Sideloading\WalkAndUnGZ.bat" "%USERPROFILE%\AppData\Local\Temp\OnboardLogs"\RTDC4042\2017-03-14</v>
      </c>
      <c r="AF197" s="82" t="str">
        <f t="shared" si="85"/>
        <v>"C:\Program Files (x86)\AstroGrep\AstroGrep.exe" /e /r /s /spath="%USERPROFILE%\AppData\Local\Temp\OnboardLogs" /stypes="app*4042*20170313*" /stext=" 07:.+((SYSTEM_STATE.+slice.+state.+changed )|(ment ac)|(multiple cpu faults)|(system.+state.+changed )|(\[timeout)|(PRM\|1\|D)|(kpr)|(kdp)|(\|lc)|(penalty))"</v>
      </c>
      <c r="AG197" s="1" t="str">
        <f t="shared" si="86"/>
        <v>Other</v>
      </c>
      <c r="AH197" s="86" t="str">
        <f t="shared" si="87"/>
        <v>"%USERPROFILE%\Documents\GitHub\eaglep3\Utilities\RefineRTDCRunTimes.py" --tripid 311-12 --locoid 4042 --swversion DE.1.0.9.0 --startMP 204:464 --initTime 2017-03-13T01:41:46 --startdatetime 2017-03-13T01:43:28 --delay 1 --endMP 300:23306 --enddatetime 2017-03-13T01:59:27 --enforcementcount 0 &gt;&gt;C:\Users\stu\Documents\GitHub\eaglep3-reporting\EC\2017-03-12-refined-times.txt</v>
      </c>
      <c r="AI197" s="108" t="str">
        <f t="shared" si="88"/>
        <v>echo {"issue":{"subject":"","project_id":79,"tracker_id":40,"status_id":1,"priority_id":2,"assigned_to_id":23,"start_date":"2017-03-13","description":"","custom_fields":[{"id":1,"name":"Subdivision","value":"Other"},{"id":4,"name":"Milepost","value":"2.3306"},{"id":17,"name":"Train ID","value":"311-12"},{"id":16,"name":"Locomotive ID","value":"4042"},{"id":130,"name":"Impact","value":""},{"id":150,"name":"Time of Event (Mountain Time)","value":"01:59:27"},{"id":151,"name":"Denver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89"/>
        <v>start /low /b %USERPROFILE%\Documents\GitHub\eaglep3\Utilities\DownloadLogsFromS3.py --loco 4042 --day 2017-03-13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"%USERPROFILE%\AppData\Local\Temp\OnboardLogs"\RTDC4042\*4042*20170313* | grep -SE "(Enforcement Action)|(\[TIMEOUT)|(CHR.+\|PRM\|1\|D.+(SWITCH|SIGNAL).+UNKNOWN)" - &gt;&gt; 2017-03-12-UncaughtWiMAX.txt</v>
      </c>
    </row>
    <row r="198" spans="1:40" x14ac:dyDescent="0.25">
      <c r="A198" s="33" t="s">
        <v>635</v>
      </c>
      <c r="B198" s="7">
        <v>4040</v>
      </c>
      <c r="C198" s="21" t="s">
        <v>242</v>
      </c>
      <c r="D198" s="21" t="s">
        <v>943</v>
      </c>
      <c r="E198" s="13">
        <v>42806.13318287037</v>
      </c>
      <c r="F198" s="13">
        <v>42806.133993055555</v>
      </c>
      <c r="G198" s="7">
        <v>1</v>
      </c>
      <c r="H198" s="21" t="s">
        <v>559</v>
      </c>
      <c r="I198" s="13">
        <v>42806.141840277778</v>
      </c>
      <c r="J198" s="7">
        <v>0</v>
      </c>
      <c r="K198" s="98" t="str">
        <f t="shared" si="72"/>
        <v>4039/4040</v>
      </c>
      <c r="L198" s="21" t="str">
        <f>VLOOKUP(A198,'Trips&amp;Operators'!$C$1:$G$99999,5,FALSE)</f>
        <v>SWANSON BRYCE</v>
      </c>
      <c r="M198" s="6">
        <f t="shared" si="73"/>
        <v>7.8472222230629995E-3</v>
      </c>
      <c r="N198" s="7">
        <f t="shared" si="74"/>
        <v>11.300000001210719</v>
      </c>
      <c r="O198" s="7"/>
      <c r="P198" s="7"/>
      <c r="Q198" s="22"/>
      <c r="R198" s="22"/>
      <c r="S198" s="31">
        <f t="shared" si="75"/>
        <v>1</v>
      </c>
      <c r="T198" s="46" t="str">
        <f t="shared" si="76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77"/>
        <v>https://d0f6bd738d7f1b3e5a7ca70fe4ff75f0.us-east-1.aws.found.io/app/kibana#/discover/Steve-Slow-Train-Analysis-(2080s-and-2083s)?_g=(refreshInterval:(display:Off,pause:!f,section:0,value:0),time:(from:'2017-03-12T02:11:47-600',mode:absolute,to:'2017-03-12T04:24:15-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87" t="str">
        <f t="shared" si="78"/>
        <v>Y</v>
      </c>
      <c r="X198" s="187">
        <f t="shared" si="79"/>
        <v>2</v>
      </c>
      <c r="Y198" s="62">
        <f t="shared" si="80"/>
        <v>4.1000000000000002E-2</v>
      </c>
      <c r="Z198" s="62">
        <f t="shared" si="81"/>
        <v>2.3346</v>
      </c>
      <c r="AA198" s="62">
        <f t="shared" si="82"/>
        <v>2.2936000000000001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83"/>
        <v>0313-11</v>
      </c>
      <c r="AE198" s="85" t="str">
        <f t="shared" si="84"/>
        <v>aws s3 cp s3://rtdc.mdm.uploadarchive.raw/RTDC4040/ "%USERPROFILE%\AppData\Local\Temp\OnboardLogs"\RTDC4040\2017-03-12 --exclude "*" --recursive --include "*20170312*" &amp; "%USERPROFILE%\Documents\GitHub\mrs-test-scripts\Headless Mode &amp; Sideloading\WalkAndUnGZ.bat" "%USERPROFILE%\AppData\Local\Temp\OnboardLogs"\RTDC4040\2017-03-12 &amp; aws s3 cp s3://rtdc.mdm.uploadarchive.raw/RTDC4040/ "%USERPROFILE%\AppData\Local\Temp\OnboardLogs"\RTDC4040\2017-03-13 --exclude "*" --recursive --include "*20170313*" &amp; "%USERPROFILE%\Documents\GitHub\mrs-test-scripts\Headless Mode &amp; Sideloading\WalkAndUnGZ.bat" "%USERPROFILE%\AppData\Local\Temp\OnboardLogs"\RTDC4040\2017-03-13</v>
      </c>
      <c r="AF198" s="82" t="str">
        <f t="shared" si="85"/>
        <v>"C:\Program Files (x86)\AstroGrep\AstroGrep.exe" /e /r /s /spath="%USERPROFILE%\AppData\Local\Temp\OnboardLogs" /stypes="app*4040*20170312*" /stext=" 09:.+((SYSTEM_STATE.+slice.+state.+changed )|(ment ac)|(multiple cpu faults)|(system.+state.+changed )|(\[timeout)|(PRM\|1\|D)|(kpr)|(kdp)|(\|lc)|(penalty))"</v>
      </c>
      <c r="AG198" s="1" t="str">
        <f t="shared" si="86"/>
        <v>Other</v>
      </c>
      <c r="AH198" s="86" t="str">
        <f t="shared" si="87"/>
        <v>"%USERPROFILE%\Documents\GitHub\eaglep3\Utilities\RefineRTDCRunTimes.py" --tripid 313-11 --locoid 4040 --swversion DE.1.0.9.0 --startMP 204:410 --initTime 2017-03-12T03:11:47 --startdatetime 2017-03-12T03:12:57 --delay 1 --endMP 300:23346 --enddatetime 2017-03-12T03:24:15 --enforcementcount 0 &gt;&gt;C:\Users\stu\Documents\GitHub\eaglep3-reporting\EC\2017-03-12-refined-times.txt</v>
      </c>
      <c r="AI198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{"issue":{"subject":"","project_id":79,"tracker_id":40,"status_id":1,"priority_id":2,"assigned_to_id":23,"start_date":"2017-03-12","description":"","custom_fields":[{"id":1,"name":"Subdivision","value":"Other"},{"id":4,"name":"Milepost","value":"2.3346"},{"id":17,"name":"Train ID","value":"313-11"},{"id":16,"name":"Locomotive ID","value":"4040"},{"id":130,"name":"Impact","value":""},{"id":150,"name":"Time of Event (Mountain Time)","value":"03:24:15"},{"id":151,"name":"Denver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89"/>
        <v>start /low /b %USERPROFILE%\Documents\GitHub\eaglep3\Utilities\DownloadLogsFromS3.py --loco 4040 --day 2017-03-12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"%USERPROFILE%\AppData\Local\Temp\OnboardLogs"\RTDC4040\*4040*20170312* | grep -SE "(Enforcement Action)|(\[TIMEOUT)|(CHR.+\|PRM\|1\|D.+(SWITCH|SIGNAL).+UNKNOWN)" - &gt;&gt; 2017-03-12-UncaughtWiMAX.txt</v>
      </c>
    </row>
    <row r="199" spans="1:40" x14ac:dyDescent="0.25">
      <c r="A199" s="33" t="s">
        <v>818</v>
      </c>
      <c r="B199" s="7">
        <v>4006</v>
      </c>
      <c r="C199" s="21" t="s">
        <v>242</v>
      </c>
      <c r="D199" s="21" t="s">
        <v>419</v>
      </c>
      <c r="E199" s="13">
        <v>42807.029733796298</v>
      </c>
      <c r="F199" s="13">
        <v>42807.030671296299</v>
      </c>
      <c r="G199" s="7">
        <v>1</v>
      </c>
      <c r="H199" s="21" t="s">
        <v>944</v>
      </c>
      <c r="I199" s="13">
        <v>42807.035879629628</v>
      </c>
      <c r="J199" s="7">
        <v>0</v>
      </c>
      <c r="K199" s="98" t="str">
        <f t="shared" si="72"/>
        <v>4005/4006</v>
      </c>
      <c r="L199" s="21" t="str">
        <f>VLOOKUP(A199,'Trips&amp;Operators'!$C$1:$G$99999,5,FALSE)</f>
        <v>CHANDLER KELVIN</v>
      </c>
      <c r="M199" s="6">
        <f t="shared" si="73"/>
        <v>5.2083333284826949E-3</v>
      </c>
      <c r="N199" s="7">
        <f t="shared" si="74"/>
        <v>7.4999999930150807</v>
      </c>
      <c r="O199" s="7"/>
      <c r="P199" s="7"/>
      <c r="Q199" s="22"/>
      <c r="R199" s="22"/>
      <c r="S199" s="31">
        <f t="shared" si="75"/>
        <v>1</v>
      </c>
      <c r="T199" s="46" t="str">
        <f t="shared" si="76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77"/>
        <v>https://d0f6bd738d7f1b3e5a7ca70fe4ff75f0.us-east-1.aws.found.io/app/kibana#/discover/Steve-Slow-Train-Analysis-(2080s-and-2083s)?_g=(refreshInterval:(display:Off,pause:!f,section:0,value:0),time:(from:'2017-03-12T23:42:49-600',mode:absolute,to:'2017-03-13T01:51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187" t="str">
        <f t="shared" si="78"/>
        <v>Y</v>
      </c>
      <c r="X199" s="187">
        <f t="shared" si="79"/>
        <v>2</v>
      </c>
      <c r="Y199" s="62">
        <f t="shared" si="80"/>
        <v>4.8399999999999999E-2</v>
      </c>
      <c r="Z199" s="62">
        <f t="shared" si="81"/>
        <v>1.3150999999999999</v>
      </c>
      <c r="AA199" s="62">
        <f t="shared" si="82"/>
        <v>1.2666999999999999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83"/>
        <v>0315-12</v>
      </c>
      <c r="AE199" s="85" t="str">
        <f t="shared" si="84"/>
        <v>aws s3 cp s3://rtdc.mdm.uploadarchive.raw/RTDC4006/ "%USERPROFILE%\AppData\Local\Temp\OnboardLogs"\RTDC4006\2017-03-13 --exclude "*" --recursive --include "*20170313*" &amp; "%USERPROFILE%\Documents\GitHub\mrs-test-scripts\Headless Mode &amp; Sideloading\WalkAndUnGZ.bat" "%USERPROFILE%\AppData\Local\Temp\OnboardLogs"\RTDC4006\2017-03-13 &amp; aws s3 cp s3://rtdc.mdm.uploadarchive.raw/RTDC4006/ "%USERPROFILE%\AppData\Local\Temp\OnboardLogs"\RTDC4006\2017-03-14 --exclude "*" --recursive --include "*20170314*" &amp; "%USERPROFILE%\Documents\GitHub\mrs-test-scripts\Headless Mode &amp; Sideloading\WalkAndUnGZ.bat" "%USERPROFILE%\AppData\Local\Temp\OnboardLogs"\RTDC4006\2017-03-14</v>
      </c>
      <c r="AF199" s="82" t="str">
        <f t="shared" si="85"/>
        <v>"C:\Program Files (x86)\AstroGrep\AstroGrep.exe" /e /r /s /spath="%USERPROFILE%\AppData\Local\Temp\OnboardLogs" /stypes="app*4006*20170313*" /stext=" 06:.+((SYSTEM_STATE.+slice.+state.+changed )|(ment ac)|(multiple cpu faults)|(system.+state.+changed )|(\[timeout)|(PRM\|1\|D)|(kpr)|(kdp)|(\|lc)|(penalty))"</v>
      </c>
      <c r="AG199" s="1" t="str">
        <f t="shared" si="86"/>
        <v>Other</v>
      </c>
      <c r="AH199" s="86" t="str">
        <f t="shared" si="87"/>
        <v>"%USERPROFILE%\Documents\GitHub\eaglep3\Utilities\RefineRTDCRunTimes.py" --tripid 315-12 --locoid 4006 --swversion DE.1.0.9.0 --startMP 204:484 --initTime 2017-03-13T00:42:49 --startdatetime 2017-03-13T00:44:10 --delay 1 --endMP 300:13151 --enddatetime 2017-03-13T00:51:40 --enforcementcount 0 &gt;&gt;C:\Users\stu\Documents\GitHub\eaglep3-reporting\EC\2017-03-12-refined-times.txt</v>
      </c>
      <c r="AI199" s="108" t="str">
        <f t="shared" si="88"/>
        <v>echo {"issue":{"subject":"","project_id":79,"tracker_id":40,"status_id":1,"priority_id":2,"assigned_to_id":23,"start_date":"2017-03-13","description":"","custom_fields":[{"id":1,"name":"Subdivision","value":"Other"},{"id":4,"name":"Milepost","value":"1.3151"},{"id":17,"name":"Train ID","value":"315-12"},{"id":16,"name":"Locomotive ID","value":"4006"},{"id":130,"name":"Impact","value":""},{"id":150,"name":"Time of Event (Mountain Time)","value":"00:51:40"},{"id":151,"name":"Denver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89"/>
        <v>start /low /b %USERPROFILE%\Documents\GitHub\eaglep3\Utilities\DownloadLogsFromS3.py --loco 4006 --day 2017-03-13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"%USERPROFILE%\AppData\Local\Temp\OnboardLogs"\RTDC4006\*4006*20170313* | grep -SE "(Enforcement Action)|(\[TIMEOUT)|(CHR.+\|PRM\|1\|D.+(SWITCH|SIGNAL).+UNKNOWN)" - &gt;&gt; 2017-03-12-UncaughtWiMAX.txt</v>
      </c>
    </row>
    <row r="200" spans="1:40" x14ac:dyDescent="0.25">
      <c r="A200" s="33" t="s">
        <v>657</v>
      </c>
      <c r="B200" s="7">
        <v>4051</v>
      </c>
      <c r="C200" s="21" t="s">
        <v>242</v>
      </c>
      <c r="D200" s="21" t="s">
        <v>905</v>
      </c>
      <c r="E200" s="13">
        <v>42806.228831018518</v>
      </c>
      <c r="F200" s="13">
        <v>42806.229861111111</v>
      </c>
      <c r="G200" s="7">
        <v>1</v>
      </c>
      <c r="H200" s="21" t="s">
        <v>873</v>
      </c>
      <c r="I200" s="13">
        <v>42806.235972222225</v>
      </c>
      <c r="J200" s="7">
        <v>0</v>
      </c>
      <c r="K200" s="98" t="str">
        <f t="shared" si="72"/>
        <v>4051/4052</v>
      </c>
      <c r="L200" s="21" t="str">
        <f>VLOOKUP(A200,'Trips&amp;Operators'!$C$1:$G$99999,5,FALSE)</f>
        <v>HOLCOMB KAMDEN</v>
      </c>
      <c r="M200" s="6">
        <f t="shared" si="73"/>
        <v>6.1111111135687679E-3</v>
      </c>
      <c r="N200" s="7">
        <f t="shared" si="74"/>
        <v>8.8000000035390258</v>
      </c>
      <c r="O200" s="7"/>
      <c r="P200" s="7"/>
      <c r="Q200" s="22"/>
      <c r="R200" s="22"/>
      <c r="S200" s="31">
        <f t="shared" si="75"/>
        <v>0</v>
      </c>
      <c r="T200" s="46" t="str">
        <f t="shared" si="76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 t="shared" si="77"/>
        <v>https://d0f6bd738d7f1b3e5a7ca70fe4ff75f0.us-east-1.aws.found.io/app/kibana#/discover/Steve-Slow-Train-Analysis-(2080s-and-2083s)?_g=(refreshInterval:(display:Off,pause:!f,section:0,value:0),time:(from:'2017-03-12T04:29:31-600',mode:absolute,to:'2017-03-12T06:39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187" t="str">
        <f t="shared" si="78"/>
        <v>Y</v>
      </c>
      <c r="X200" s="187">
        <f t="shared" si="79"/>
        <v>1586</v>
      </c>
      <c r="Y200" s="62">
        <f t="shared" si="80"/>
        <v>2.9881000000000002</v>
      </c>
      <c r="Z200" s="62">
        <f t="shared" si="81"/>
        <v>5.8948</v>
      </c>
      <c r="AA200" s="62">
        <f t="shared" si="82"/>
        <v>2.9066999999999998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83"/>
        <v>1901-12</v>
      </c>
      <c r="AE200" s="85" t="str">
        <f t="shared" si="84"/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AF200" s="82" t="str">
        <f t="shared" si="85"/>
        <v>"C:\Program Files (x86)\AstroGrep\AstroGrep.exe" /e /r /s /spath="%USERPROFILE%\AppData\Local\Temp\OnboardLogs" /stypes="app*4051*20170312*" /stext=" 11:.+((SYSTEM_STATE.+slice.+state.+changed )|(ment ac)|(multiple cpu faults)|(system.+state.+changed )|(\[timeout)|(PRM\|1\|D)|(kpr)|(kdp)|(\|lc)|(penalty))"</v>
      </c>
      <c r="AG200" s="1" t="str">
        <f t="shared" si="86"/>
        <v>Other</v>
      </c>
      <c r="AH200" s="86" t="str">
        <f t="shared" si="87"/>
        <v>"%USERPROFILE%\Documents\GitHub\eaglep3\Utilities\RefineRTDCRunTimes.py" --tripid 1901-12 --locoid 4051 --swversion DE.1.0.9.0 --startMP 300:29881 --initTime 2017-03-12T05:29:31 --startdatetime 2017-03-12T05:31:00 --delay 1 --endMP 300:58948 --enddatetime 2017-03-12T05:39:48 --enforcementcount 0 &gt;&gt;C:\Users\stu\Documents\GitHub\eaglep3-reporting\EC\2017-03-12-refined-times.txt</v>
      </c>
      <c r="AI200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{"issue":{"subject":"","project_id":79,"tracker_id":40,"status_id":1,"priority_id":2,"assigned_to_id":23,"start_date":"2017-03-12","description":"","custom_fields":[{"id":1,"name":"Subdivision","value":"Other"},{"id":4,"name":"Milepost","value":"5.8948"},{"id":17,"name":"Train ID","value":"1901-12"},{"id":16,"name":"Locomotive ID","value":"4051"},{"id":130,"name":"Impact","value":""},{"id":150,"name":"Time of Event (Mountain Time)","value":"05:39:48"},{"id":151,"name":"Denver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89"/>
        <v>start /low /b %USERPROFILE%\Documents\GitHub\eaglep3\Utilities\DownloadLogsFromS3.py --loco 4051 --day 2017-03-12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"%USERPROFILE%\AppData\Local\Temp\OnboardLogs"\RTDC4051\*4051*20170312* | grep -SE "(Enforcement Action)|(\[TIMEOUT)|(CHR.+\|PRM\|1\|D.+(SWITCH|SIGNAL).+UNKNOWN)" - &gt;&gt; 2017-03-12-UncaughtWiMAX.txt</v>
      </c>
    </row>
    <row r="201" spans="1:40" x14ac:dyDescent="0.25">
      <c r="A201" s="33" t="s">
        <v>808</v>
      </c>
      <c r="B201" s="7">
        <v>4052</v>
      </c>
      <c r="C201" s="21" t="s">
        <v>242</v>
      </c>
      <c r="D201" s="21" t="s">
        <v>889</v>
      </c>
      <c r="E201" s="13">
        <v>42806.941863425927</v>
      </c>
      <c r="F201" s="13">
        <v>42806.94258101852</v>
      </c>
      <c r="G201" s="7">
        <v>1</v>
      </c>
      <c r="H201" s="21" t="s">
        <v>906</v>
      </c>
      <c r="I201" s="13">
        <v>42806.947581018518</v>
      </c>
      <c r="J201" s="7">
        <v>0</v>
      </c>
      <c r="K201" s="98" t="str">
        <f t="shared" si="72"/>
        <v>4051/4052</v>
      </c>
      <c r="L201" s="21" t="str">
        <f>VLOOKUP(A201,'Trips&amp;Operators'!$C$1:$G$99999,5,FALSE)</f>
        <v>HELVIE ADAM</v>
      </c>
      <c r="M201" s="6">
        <f t="shared" si="73"/>
        <v>4.9999999973806553E-3</v>
      </c>
      <c r="N201" s="7">
        <f t="shared" si="74"/>
        <v>7.1999999962281436</v>
      </c>
      <c r="O201" s="7"/>
      <c r="P201" s="7"/>
      <c r="Q201" s="22"/>
      <c r="R201" s="22"/>
      <c r="S201" s="31">
        <f t="shared" si="75"/>
        <v>0</v>
      </c>
      <c r="T201" s="46" t="str">
        <f t="shared" si="76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6" t="str">
        <f t="shared" si="77"/>
        <v>https://d0f6bd738d7f1b3e5a7ca70fe4ff75f0.us-east-1.aws.found.io/app/kibana#/discover/Steve-Slow-Train-Analysis-(2080s-and-2083s)?_g=(refreshInterval:(display:Off,pause:!f,section:0,value:0),time:(from:'2017-03-12T21:36:17-600',mode:absolute,to:'2017-03-12T23:44:31-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1" s="187" t="str">
        <f t="shared" si="78"/>
        <v>Y</v>
      </c>
      <c r="X201" s="187">
        <f t="shared" si="79"/>
        <v>1</v>
      </c>
      <c r="Y201" s="62">
        <f t="shared" si="80"/>
        <v>5.8616999999999999</v>
      </c>
      <c r="Z201" s="62">
        <f t="shared" si="81"/>
        <v>2.1749999999999998</v>
      </c>
      <c r="AA201" s="62">
        <f t="shared" si="82"/>
        <v>3.6867000000000001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83"/>
        <v>1902-12</v>
      </c>
      <c r="AE201" s="85" t="str">
        <f t="shared" si="84"/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AF201" s="82" t="str">
        <f t="shared" si="85"/>
        <v>"C:\Program Files (x86)\AstroGrep\AstroGrep.exe" /e /r /s /spath="%USERPROFILE%\AppData\Local\Temp\OnboardLogs" /stypes="app*4052*20170313*" /stext=" 04:.+((SYSTEM_STATE.+slice.+state.+changed )|(ment ac)|(multiple cpu faults)|(system.+state.+changed )|(\[timeout)|(PRM\|1\|D)|(kpr)|(kdp)|(\|lc)|(penalty))"</v>
      </c>
      <c r="AG201" s="1" t="str">
        <f t="shared" si="86"/>
        <v>Other</v>
      </c>
      <c r="AH201" s="86" t="str">
        <f t="shared" si="87"/>
        <v>"%USERPROFILE%\Documents\GitHub\eaglep3\Utilities\RefineRTDCRunTimes.py" --tripid 1902-12 --locoid 4052 --swversion DE.1.0.9.0 --startMP 300:58617 --initTime 2017-03-12T22:36:17 --startdatetime 2017-03-12T22:37:19 --delay 1 --endMP 300:21750 --enddatetime 2017-03-12T22:44:31 --enforcementcount 0 &gt;&gt;C:\Users\stu\Documents\GitHub\eaglep3-reporting\EC\2017-03-12-refined-times.txt</v>
      </c>
      <c r="AI201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{"issue":{"subject":"","project_id":79,"tracker_id":40,"status_id":1,"priority_id":2,"assigned_to_id":23,"start_date":"2017-03-12","description":"","custom_fields":[{"id":1,"name":"Subdivision","value":"Other"},{"id":4,"name":"Milepost","value":"2.175"},{"id":17,"name":"Train ID","value":"1902-12"},{"id":16,"name":"Locomotive ID","value":"4052"},{"id":130,"name":"Impact","value":""},{"id":150,"name":"Time of Event (Mountain Time)","value":"22:44:31"},{"id":151,"name":"Denver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89"/>
        <v>start /low /b %USERPROFILE%\Documents\GitHub\eaglep3\Utilities\DownloadLogsFromS3.py --loco 4052 --day 2017-03-12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"%USERPROFILE%\AppData\Local\Temp\OnboardLogs"\RTDC4052\*4052*20170313* | grep -SE "(Enforcement Action)|(\[TIMEOUT)|(CHR.+\|PRM\|1\|D.+(SWITCH|SIGNAL).+UNKNOWN)" - &gt;&gt; 2017-03-12-UncaughtWiMAX.txt</v>
      </c>
    </row>
    <row r="202" spans="1:40" x14ac:dyDescent="0.25">
      <c r="A202" s="33" t="s">
        <v>673</v>
      </c>
      <c r="B202" s="7">
        <v>4004</v>
      </c>
      <c r="C202" s="21" t="s">
        <v>242</v>
      </c>
      <c r="D202" s="21" t="s">
        <v>945</v>
      </c>
      <c r="E202" s="13">
        <v>42806.287615740737</v>
      </c>
      <c r="F202" s="13">
        <v>42806.288900462961</v>
      </c>
      <c r="G202" s="7">
        <v>1</v>
      </c>
      <c r="H202" s="21" t="s">
        <v>551</v>
      </c>
      <c r="I202" s="13">
        <v>42806.33321759259</v>
      </c>
      <c r="J202" s="7">
        <v>0</v>
      </c>
      <c r="K202" s="98" t="str">
        <f t="shared" si="72"/>
        <v>4003/4004</v>
      </c>
      <c r="L202" s="21" t="str">
        <f>VLOOKUP(A202,'Trips&amp;Operators'!$C$1:$G$99999,5,FALSE)</f>
        <v>SHOOK JOHN</v>
      </c>
      <c r="M202" s="6">
        <f t="shared" si="73"/>
        <v>4.4317129628325347E-2</v>
      </c>
      <c r="N202" s="7">
        <f t="shared" si="74"/>
        <v>63.816666664788499</v>
      </c>
      <c r="O202" s="7"/>
      <c r="P202" s="7"/>
      <c r="Q202" s="22"/>
      <c r="R202" s="22"/>
      <c r="S202" s="31">
        <f t="shared" si="75"/>
        <v>0</v>
      </c>
      <c r="T202" s="46" t="e">
        <f t="shared" si="76"/>
        <v>#VALUE!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77"/>
        <v>https://d0f6bd738d7f1b3e5a7ca70fe4ff75f0.us-east-1.aws.found.io/app/kibana#/discover/Steve-Slow-Train-Analysis-(2080s-and-2083s)?_g=(refreshInterval:(display:Off,pause:!f,section:0,value:0),time:(from:'2017-03-12T05:54:10-600',mode:absolute,to:'2017-03-12T08:59:50-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2" s="187" t="str">
        <f t="shared" si="78"/>
        <v>N</v>
      </c>
      <c r="X202" s="187" t="e">
        <f t="shared" si="79"/>
        <v>#VALUE!</v>
      </c>
      <c r="Y202" s="62">
        <f t="shared" si="80"/>
        <v>23.312200000000001</v>
      </c>
      <c r="Z202" s="62">
        <f t="shared" si="81"/>
        <v>0.1173</v>
      </c>
      <c r="AA202" s="62">
        <f t="shared" si="82"/>
        <v>23.194900000000001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83"/>
        <v>50-12</v>
      </c>
      <c r="AE202" s="85" t="str">
        <f t="shared" si="84"/>
        <v>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 &amp; 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</v>
      </c>
      <c r="AF202" s="82" t="str">
        <f t="shared" si="85"/>
        <v>"C:\Program Files (x86)\AstroGrep\AstroGrep.exe" /e /r /s /spath="%USERPROFILE%\AppData\Local\Temp\OnboardLogs" /stypes="app*4004*20170312*" /stext=" 13:.+((SYSTEM_STATE.+slice.+state.+changed )|(ment ac)|(multiple cpu faults)|(system.+state.+changed )|(\[timeout)|(PRM\|1\|D)|(kpr)|(kdp)|(\|lc)|(penalty))"</v>
      </c>
      <c r="AG202" s="1" t="str">
        <f t="shared" si="86"/>
        <v>Other</v>
      </c>
      <c r="AH202" s="86" t="str">
        <f t="shared" si="87"/>
        <v>"%USERPROFILE%\Documents\GitHub\eaglep3\Utilities\RefineRTDCRunTimes.py" --tripid 50-12 --locoid 4004 --swversion DE.1.0.9.0 --startMP 204:233122 --initTime 2017-03-12T06:54:10 --startdatetime 2017-03-12T06:56:01 --delay 1 --endMP 204:1173 --enddatetime 2017-03-12T07:59:50 --enforcementcount 0 &gt;&gt;C:\Users\stu\Documents\GitHub\eaglep3-reporting\EC\2017-03-12-refined-times.txt</v>
      </c>
      <c r="AI202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{"issue":{"subject":"","project_id":79,"tracker_id":40,"status_id":1,"priority_id":2,"assigned_to_id":23,"start_date":"2017-03-12","description":"","custom_fields":[{"id":1,"name":"Subdivision","value":"Other"},{"id":4,"name":"Milepost","value":"0.1173"},{"id":17,"name":"Train ID","value":"50-12"},{"id":16,"name":"Locomotive ID","value":"4004"},{"id":130,"name":"Impact","value":""},{"id":150,"name":"Time of Event (Mountain Time)","value":"07:59:50"},{"id":151,"name":"Denver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89"/>
        <v>start /low /b %USERPROFILE%\Documents\GitHub\eaglep3\Utilities\DownloadLogsFromS3.py --loco 4004 --day 2017-03-12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"%USERPROFILE%\AppData\Local\Temp\OnboardLogs"\RTDC4004\*4004*20170312* | grep -SE "(Enforcement Action)|(\[TIMEOUT)|(CHR.+\|PRM\|1\|D.+(SWITCH|SIGNAL).+UNKNOWN)" - &gt;&gt; 2017-03-12-UncaughtWiMAX.txt</v>
      </c>
    </row>
    <row r="203" spans="1:40" x14ac:dyDescent="0.25">
      <c r="A203" s="33" t="s">
        <v>763</v>
      </c>
      <c r="B203" s="7">
        <v>4003</v>
      </c>
      <c r="C203" s="21" t="s">
        <v>242</v>
      </c>
      <c r="D203" s="21" t="s">
        <v>946</v>
      </c>
      <c r="E203" s="13">
        <v>42806.721412037034</v>
      </c>
      <c r="F203" s="13">
        <v>42806.722442129627</v>
      </c>
      <c r="G203" s="7">
        <v>1</v>
      </c>
      <c r="H203" s="21" t="s">
        <v>942</v>
      </c>
      <c r="I203" s="13">
        <v>42806.742037037038</v>
      </c>
      <c r="J203" s="7">
        <v>0</v>
      </c>
      <c r="K203" s="98" t="str">
        <f t="shared" si="72"/>
        <v>4003/4004</v>
      </c>
      <c r="L203" s="21" t="str">
        <f>VLOOKUP(A203,'Trips&amp;Operators'!$C$1:$G$99999,5,FALSE)</f>
        <v>WHITED DUSTIN</v>
      </c>
      <c r="M203" s="6">
        <f t="shared" si="73"/>
        <v>1.9594907411374152E-2</v>
      </c>
      <c r="N203" s="7">
        <f t="shared" si="74"/>
        <v>28.216666672378778</v>
      </c>
      <c r="O203" s="7"/>
      <c r="P203" s="7"/>
      <c r="Q203" s="22"/>
      <c r="R203" s="22"/>
      <c r="S203" s="31">
        <f t="shared" si="75"/>
        <v>0</v>
      </c>
      <c r="T203" s="46" t="e">
        <f t="shared" si="76"/>
        <v>#VALUE!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6" t="str">
        <f t="shared" si="77"/>
        <v>https://d0f6bd738d7f1b3e5a7ca70fe4ff75f0.us-east-1.aws.found.io/app/kibana#/discover/Steve-Slow-Train-Analysis-(2080s-and-2083s)?_g=(refreshInterval:(display:Off,pause:!f,section:0,value:0),time:(from:'2017-03-12T16:18:50-600',mode:absolute,to:'2017-03-12T18:48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187" t="str">
        <f t="shared" si="78"/>
        <v>Y</v>
      </c>
      <c r="X203" s="187" t="e">
        <f t="shared" si="79"/>
        <v>#VALUE!</v>
      </c>
      <c r="Y203" s="62">
        <f t="shared" si="80"/>
        <v>0.1246</v>
      </c>
      <c r="Z203" s="62">
        <f t="shared" si="81"/>
        <v>2.3306</v>
      </c>
      <c r="AA203" s="62">
        <f t="shared" si="82"/>
        <v>2.206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83"/>
        <v>51-12</v>
      </c>
      <c r="AE203" s="85" t="str">
        <f t="shared" si="84"/>
        <v>aws s3 cp s3://rtdc.mdm.uploadarchive.raw/RTDC4003/ "%USERPROFILE%\AppData\Local\Temp\OnboardLogs"\RTDC4003\2017-03-12 --exclude "*" --recursive --include "*20170312*" &amp; "%USERPROFILE%\Documents\GitHub\mrs-test-scripts\Headless Mode &amp; Sideloading\WalkAndUnGZ.bat" "%USERPROFILE%\AppData\Local\Temp\OnboardLogs"\RTDC4003\2017-03-12 &amp; 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</v>
      </c>
      <c r="AF203" s="82" t="str">
        <f t="shared" si="85"/>
        <v>"C:\Program Files (x86)\AstroGrep\AstroGrep.exe" /e /r /s /spath="%USERPROFILE%\AppData\Local\Temp\OnboardLogs" /stypes="app*4003*20170312*" /stext=" 23:.+((SYSTEM_STATE.+slice.+state.+changed )|(ment ac)|(multiple cpu faults)|(system.+state.+changed )|(\[timeout)|(PRM\|1\|D)|(kpr)|(kdp)|(\|lc)|(penalty))"</v>
      </c>
      <c r="AG203" s="1" t="str">
        <f t="shared" si="86"/>
        <v>Other</v>
      </c>
      <c r="AH203" s="86" t="str">
        <f t="shared" si="87"/>
        <v>"%USERPROFILE%\Documents\GitHub\eaglep3\Utilities\RefineRTDCRunTimes.py" --tripid 51-12 --locoid 4003 --swversion DE.1.0.9.0 --startMP 204:1246 --initTime 2017-03-12T17:18:50 --startdatetime 2017-03-12T17:20:19 --delay 1 --endMP 300:23306 --enddatetime 2017-03-12T17:48:32 --enforcementcount 0 &gt;&gt;C:\Users\stu\Documents\GitHub\eaglep3-reporting\EC\2017-03-12-refined-times.txt</v>
      </c>
      <c r="AI203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{"issue":{"subject":"","project_id":79,"tracker_id":40,"status_id":1,"priority_id":2,"assigned_to_id":23,"start_date":"2017-03-12","description":"","custom_fields":[{"id":1,"name":"Subdivision","value":"Other"},{"id":4,"name":"Milepost","value":"2.3306"},{"id":17,"name":"Train ID","value":"51-12"},{"id":16,"name":"Locomotive ID","value":"4003"},{"id":130,"name":"Impact","value":""},{"id":150,"name":"Time of Event (Mountain Time)","value":"17:48:32"},{"id":151,"name":"Denver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89"/>
        <v>start /low /b %USERPROFILE%\Documents\GitHub\eaglep3\Utilities\DownloadLogsFromS3.py --loco 4003 --day 2017-03-12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"%USERPROFILE%\AppData\Local\Temp\OnboardLogs"\RTDC4003\*4003*20170312* | grep -SE "(Enforcement Action)|(\[TIMEOUT)|(CHR.+\|PRM\|1\|D.+(SWITCH|SIGNAL).+UNKNOWN)" - &gt;&gt; 2017-03-12-UncaughtWiMAX.txt</v>
      </c>
    </row>
    <row r="204" spans="1:40" x14ac:dyDescent="0.25">
      <c r="A204" s="33" t="s">
        <v>726</v>
      </c>
      <c r="B204" s="7">
        <v>4021</v>
      </c>
      <c r="C204" s="21" t="s">
        <v>242</v>
      </c>
      <c r="D204" s="21" t="s">
        <v>947</v>
      </c>
      <c r="E204" s="13">
        <v>42806.553067129629</v>
      </c>
      <c r="F204" s="13">
        <v>42806.554629629631</v>
      </c>
      <c r="G204" s="7">
        <v>2</v>
      </c>
      <c r="H204" s="21" t="s">
        <v>948</v>
      </c>
      <c r="I204" s="13">
        <v>42806.572245370371</v>
      </c>
      <c r="J204" s="7">
        <v>0</v>
      </c>
      <c r="K204" s="98" t="str">
        <f t="shared" si="72"/>
        <v>4021/4022</v>
      </c>
      <c r="L204" s="21" t="str">
        <f>VLOOKUP(A204,'Trips&amp;Operators'!$C$1:$G$99999,5,FALSE)</f>
        <v>LALONDE GREGORY</v>
      </c>
      <c r="M204" s="6">
        <f t="shared" si="73"/>
        <v>1.7615740740438923E-2</v>
      </c>
      <c r="N204" s="7">
        <f t="shared" si="74"/>
        <v>25.366666666232049</v>
      </c>
      <c r="O204" s="7"/>
      <c r="P204" s="7"/>
      <c r="Q204" s="22"/>
      <c r="R204" s="22"/>
      <c r="S204" s="31">
        <f t="shared" si="75"/>
        <v>0</v>
      </c>
      <c r="T204" s="46" t="e">
        <f t="shared" si="76"/>
        <v>#VALUE!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77"/>
        <v>https://d0f6bd738d7f1b3e5a7ca70fe4ff75f0.us-east-1.aws.found.io/app/kibana#/discover/Steve-Slow-Train-Analysis-(2080s-and-2083s)?_g=(refreshInterval:(display:Off,pause:!f,section:0,value:0),time:(from:'2017-03-12T12:16:25-600',mode:absolute,to:'2017-03-12T14:44:02-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87" t="str">
        <f t="shared" si="78"/>
        <v>Y</v>
      </c>
      <c r="X204" s="187" t="e">
        <f t="shared" si="79"/>
        <v>#VALUE!</v>
      </c>
      <c r="Y204" s="62">
        <f t="shared" si="80"/>
        <v>3.0840999999999998</v>
      </c>
      <c r="Z204" s="62">
        <f t="shared" si="81"/>
        <v>1.55E-2</v>
      </c>
      <c r="AA204" s="62">
        <f t="shared" si="82"/>
        <v>3.0686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83"/>
        <v>52-12</v>
      </c>
      <c r="AE204" s="85" t="str">
        <f t="shared" si="84"/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AF204" s="82" t="str">
        <f t="shared" si="85"/>
        <v>"C:\Program Files (x86)\AstroGrep\AstroGrep.exe" /e /r /s /spath="%USERPROFILE%\AppData\Local\Temp\OnboardLogs" /stypes="app*4021*20170312*" /stext=" 19:.+((SYSTEM_STATE.+slice.+state.+changed )|(ment ac)|(multiple cpu faults)|(system.+state.+changed )|(\[timeout)|(PRM\|1\|D)|(kpr)|(kdp)|(\|lc)|(penalty))"</v>
      </c>
      <c r="AG204" s="1" t="str">
        <f t="shared" si="86"/>
        <v>Other</v>
      </c>
      <c r="AH204" s="86" t="str">
        <f t="shared" si="87"/>
        <v>"%USERPROFILE%\Documents\GitHub\eaglep3\Utilities\RefineRTDCRunTimes.py" --tripid 52-12 --locoid 4021 --swversion DE.1.0.9.0 --startMP 300:30841 --initTime 2017-03-12T13:16:25 --startdatetime 2017-03-12T13:18:40 --delay 2 --endMP 204:155 --enddatetime 2017-03-12T13:44:02 --enforcementcount 0 &gt;&gt;C:\Users\stu\Documents\GitHub\eaglep3-reporting\EC\2017-03-12-refined-times.txt</v>
      </c>
      <c r="AI204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{"issue":{"subject":"","project_id":79,"tracker_id":40,"status_id":1,"priority_id":2,"assigned_to_id":23,"start_date":"2017-03-12","description":"","custom_fields":[{"id":1,"name":"Subdivision","value":"Other"},{"id":4,"name":"Milepost","value":"0.0155"},{"id":17,"name":"Train ID","value":"52-12"},{"id":16,"name":"Locomotive ID","value":"4021"},{"id":130,"name":"Impact","value":""},{"id":150,"name":"Time of Event (Mountain Time)","value":"13:44:02"},{"id":151,"name":"Denver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89"/>
        <v>start /low /b %USERPROFILE%\Documents\GitHub\eaglep3\Utilities\DownloadLogsFromS3.py --loco 4021 --day 2017-03-12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"%USERPROFILE%\AppData\Local\Temp\OnboardLogs"\RTDC4021\*4021*20170312* | grep -SE "(Enforcement Action)|(\[TIMEOUT)|(CHR.+\|PRM\|1\|D.+(SWITCH|SIGNAL).+UNKNOWN)" - &gt;&gt; 2017-03-12-UncaughtWiMAX.txt</v>
      </c>
    </row>
    <row r="205" spans="1:40" x14ac:dyDescent="0.25">
      <c r="A205" s="33" t="s">
        <v>726</v>
      </c>
      <c r="B205" s="7">
        <v>4022</v>
      </c>
      <c r="C205" s="21" t="s">
        <v>242</v>
      </c>
      <c r="D205" s="21" t="s">
        <v>949</v>
      </c>
      <c r="E205" s="13">
        <v>42806.541967592595</v>
      </c>
      <c r="F205" s="13">
        <v>42806.54347222222</v>
      </c>
      <c r="G205" s="7">
        <v>2</v>
      </c>
      <c r="H205" s="21" t="s">
        <v>950</v>
      </c>
      <c r="I205" s="13">
        <v>42806.54928240741</v>
      </c>
      <c r="J205" s="7">
        <v>0</v>
      </c>
      <c r="K205" s="98" t="str">
        <f t="shared" ref="K205:K217" si="90">IF(ISEVEN(B205),(B205-1)&amp;"/"&amp;B205,B205&amp;"/"&amp;(B205+1))</f>
        <v>4021/4022</v>
      </c>
      <c r="L205" s="21" t="str">
        <f>VLOOKUP(A205,'Trips&amp;Operators'!$C$1:$G$99999,5,FALSE)</f>
        <v>LALONDE GREGORY</v>
      </c>
      <c r="M205" s="6">
        <f t="shared" ref="M205:M217" si="91">I205-F205</f>
        <v>5.810185190057382E-3</v>
      </c>
      <c r="N205" s="7">
        <f t="shared" ref="N205:N217" si="92">24*60*SUM($M205:$M205)</f>
        <v>8.3666666736826301</v>
      </c>
      <c r="O205" s="7"/>
      <c r="P205" s="7"/>
      <c r="Q205" s="22"/>
      <c r="R205" s="22"/>
      <c r="S205" s="31">
        <f t="shared" ref="S205:S217" si="93">SUM(U205:U205)/IF(AG205="EC",12,1)</f>
        <v>0</v>
      </c>
      <c r="T205" s="46" t="e">
        <f t="shared" ref="T205:T217" si="94">IF(ISEVEN(LEFT(AD205,4)),"Southbound","NorthBound")</f>
        <v>#VALUE!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17" si="9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-12T12:00:26-600',mode:absolute,to:'2017-03-12T14:10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87" t="str">
        <f t="shared" ref="W205:W217" si="96">IF(AA205&lt;IF(AG205="EC",23,5.65),"Y","N")</f>
        <v>Y</v>
      </c>
      <c r="X205" s="187" t="e">
        <f t="shared" ref="X205:X217" si="97">VALUE(LEFT(AD205,4))-VALUE(LEFT(AD204,4))</f>
        <v>#VALUE!</v>
      </c>
      <c r="Y205" s="62">
        <f t="shared" ref="Y205:Y217" si="98">RIGHT(D205,LEN(D205)-4)/10000</f>
        <v>3.4000000000000002E-2</v>
      </c>
      <c r="Z205" s="62">
        <f t="shared" ref="Z205:Z217" si="99">RIGHT(H205,LEN(H205)-4)/10000</f>
        <v>3.1156999999999999</v>
      </c>
      <c r="AA205" s="62">
        <f t="shared" ref="AA205:AA217" si="100">ABS(Z205-Y205)</f>
        <v>3.0817000000000001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7" si="101">IF(LEN(A205)=6,"0"&amp;A205,A205)</f>
        <v>52-12</v>
      </c>
      <c r="AE205" s="85" t="str">
        <f t="shared" ref="AE205:AE217" si="10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"%USERPROFILE%\AppData\Local\Temp\OnboardLogs"\RTDC4022\2017-03-12 --exclude "*" --recursive --include "*20170312*" &amp; "%USERPROFILE%\Documents\GitHub\mrs-test-scripts\Headless Mode &amp; Sideloading\WalkAndUnGZ.bat" "%USERPROFILE%\AppData\Local\Temp\OnboardLogs"\RTDC4022\2017-03-12 &amp; aws s3 cp s3://rtdc.mdm.uploadarchive.raw/RTDC4022/ "%USERPROFILE%\AppData\Local\Temp\OnboardLogs"\RTDC4022\2017-03-13 --exclude "*" --recursive --include "*20170313*" &amp; "%USERPROFILE%\Documents\GitHub\mrs-test-scripts\Headless Mode &amp; Sideloading\WalkAndUnGZ.bat" "%USERPROFILE%\AppData\Local\Temp\OnboardLogs"\RTDC4022\2017-03-13</v>
      </c>
      <c r="AF205" s="82" t="str">
        <f t="shared" ref="AF205:AF217" si="10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/stypes="app*4022*20170312*" /stext=" 19:.+((SYSTEM_STATE.+slice.+state.+changed )|(ment ac)|(multiple cpu faults)|(system.+state.+changed )|(\[timeout)|(PRM\|1\|D)|(kpr)|(kdp)|(\|lc)|(penalty))"</v>
      </c>
      <c r="AG205" s="1" t="str">
        <f t="shared" ref="AG205:AG217" si="104">IFERROR(IF(VALUE(LEFT(AD205,2))&lt;=2,"EC",IF(OR(VALUE(LEFT(AD205,2))=8,VALUE(LEFT(AD205,2))=18),"NW","Other")),"Other")</f>
        <v>Other</v>
      </c>
      <c r="AH205" s="86" t="str">
        <f t="shared" si="87"/>
        <v>"%USERPROFILE%\Documents\GitHub\eaglep3\Utilities\RefineRTDCRunTimes.py" --tripid 52-12 --locoid 4022 --swversion DE.1.0.9.0 --startMP 204:340 --initTime 2017-03-12T13:00:26 --startdatetime 2017-03-12T13:02:36 --delay 2 --endMP 300:31157 --enddatetime 2017-03-12T13:10:58 --enforcementcount 0 &gt;&gt;C:\Users\stu\Documents\GitHub\eaglep3-reporting\EC\2017-03-12-refined-times.txt</v>
      </c>
      <c r="AI205" s="108" t="str">
        <f t="shared" si="88"/>
        <v>echo {"issue":{"subject":"","project_id":79,"tracker_id":40,"status_id":1,"priority_id":2,"assigned_to_id":23,"start_date":"2017-03-12","description":"","custom_fields":[{"id":1,"name":"Subdivision","value":"Other"},{"id":4,"name":"Milepost","value":"3.1157"},{"id":17,"name":"Train ID","value":"52-12"},{"id":16,"name":"Locomotive ID","value":"4022"},{"id":130,"name":"Impact","value":""},{"id":150,"name":"Time of Event (Mountain Time)","value":"13:10:58"},{"id":151,"name":"Denver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89"/>
        <v>start /low /b %USERPROFILE%\Documents\GitHub\eaglep3\Utilities\DownloadLogsFromS3.py --loco 4022 --day 2017-03-12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"%USERPROFILE%\AppData\Local\Temp\OnboardLogs"\RTDC4022\*4022*20170312* | grep -SE "(Enforcement Action)|(\[TIMEOUT)|(CHR.+\|PRM\|1\|D.+(SWITCH|SIGNAL).+UNKNOWN)" - &gt;&gt; 2017-03-12-UncaughtWiMAX.txt</v>
      </c>
    </row>
    <row r="206" spans="1:40" x14ac:dyDescent="0.25">
      <c r="A206" s="33" t="s">
        <v>767</v>
      </c>
      <c r="B206" s="7">
        <v>4022</v>
      </c>
      <c r="C206" s="21" t="s">
        <v>242</v>
      </c>
      <c r="D206" s="21" t="s">
        <v>268</v>
      </c>
      <c r="E206" s="13">
        <v>42806.733981481484</v>
      </c>
      <c r="F206" s="13">
        <v>42806.735185185185</v>
      </c>
      <c r="G206" s="7">
        <v>1</v>
      </c>
      <c r="H206" s="21" t="s">
        <v>951</v>
      </c>
      <c r="I206" s="13">
        <v>42806.75372685185</v>
      </c>
      <c r="J206" s="7">
        <v>0</v>
      </c>
      <c r="K206" s="98" t="str">
        <f t="shared" si="90"/>
        <v>4021/4022</v>
      </c>
      <c r="L206" s="21" t="str">
        <f>VLOOKUP(A206,'Trips&amp;Operators'!$C$1:$G$99999,5,FALSE)</f>
        <v>MCREYNOLDS KYLE</v>
      </c>
      <c r="M206" s="6">
        <f t="shared" si="91"/>
        <v>1.8541666664532386E-2</v>
      </c>
      <c r="N206" s="7">
        <f t="shared" si="92"/>
        <v>26.699999996926636</v>
      </c>
      <c r="O206" s="7"/>
      <c r="P206" s="7"/>
      <c r="Q206" s="22"/>
      <c r="R206" s="22"/>
      <c r="S206" s="31">
        <f t="shared" si="93"/>
        <v>0</v>
      </c>
      <c r="T206" s="46" t="e">
        <f t="shared" si="94"/>
        <v>#VALUE!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95"/>
        <v>https://d0f6bd738d7f1b3e5a7ca70fe4ff75f0.us-east-1.aws.found.io/app/kibana#/discover/Steve-Slow-Train-Analysis-(2080s-and-2083s)?_g=(refreshInterval:(display:Off,pause:!f,section:0,value:0),time:(from:'2017-03-12T16:36:56-600',mode:absolute,to:'2017-03-12T19:05:22-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187" t="str">
        <f t="shared" si="96"/>
        <v>Y</v>
      </c>
      <c r="X206" s="187" t="e">
        <f t="shared" si="97"/>
        <v>#VALUE!</v>
      </c>
      <c r="Y206" s="62">
        <f t="shared" si="98"/>
        <v>4.4200000000000003E-2</v>
      </c>
      <c r="Z206" s="62">
        <f t="shared" si="99"/>
        <v>2.3308</v>
      </c>
      <c r="AA206" s="62">
        <f t="shared" si="100"/>
        <v>2.2866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01"/>
        <v>53-12</v>
      </c>
      <c r="AE206" s="85" t="str">
        <f t="shared" si="102"/>
        <v>aws s3 cp s3://rtdc.mdm.uploadarchive.raw/RTDC4022/ "%USERPROFILE%\AppData\Local\Temp\OnboardLogs"\RTDC4022\2017-03-12 --exclude "*" --recursive --include "*20170312*" &amp; "%USERPROFILE%\Documents\GitHub\mrs-test-scripts\Headless Mode &amp; Sideloading\WalkAndUnGZ.bat" "%USERPROFILE%\AppData\Local\Temp\OnboardLogs"\RTDC4022\2017-03-12 &amp; aws s3 cp s3://rtdc.mdm.uploadarchive.raw/RTDC4022/ "%USERPROFILE%\AppData\Local\Temp\OnboardLogs"\RTDC4022\2017-03-13 --exclude "*" --recursive --include "*20170313*" &amp; "%USERPROFILE%\Documents\GitHub\mrs-test-scripts\Headless Mode &amp; Sideloading\WalkAndUnGZ.bat" "%USERPROFILE%\AppData\Local\Temp\OnboardLogs"\RTDC4022\2017-03-13</v>
      </c>
      <c r="AF206" s="82" t="str">
        <f t="shared" si="103"/>
        <v>"C:\Program Files (x86)\AstroGrep\AstroGrep.exe" /e /r /s /spath="%USERPROFILE%\AppData\Local\Temp\OnboardLogs" /stypes="app*4022*20170313*" /stext=" 00:.+((SYSTEM_STATE.+slice.+state.+changed )|(ment ac)|(multiple cpu faults)|(system.+state.+changed )|(\[timeout)|(PRM\|1\|D)|(kpr)|(kdp)|(\|lc)|(penalty))"</v>
      </c>
      <c r="AG206" s="1" t="str">
        <f t="shared" si="104"/>
        <v>Other</v>
      </c>
      <c r="AH206" s="86" t="str">
        <f t="shared" ref="AH206:AH217" si="10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53-12 --locoid 4022 --swversion DE.1.0.9.0 --startMP 204:442 --initTime 2017-03-12T17:36:56 --startdatetime 2017-03-12T17:38:40 --delay 1 --endMP 300:23308 --enddatetime 2017-03-12T18:05:22 --enforcementcount 0 &gt;&gt;C:\Users\stu\Documents\GitHub\eaglep3-reporting\EC\2017-03-12-refined-times.txt</v>
      </c>
      <c r="AI206" s="108" t="str">
        <f t="shared" ref="AI206:AI217" si="10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{"issue":{"subject":"","project_id":79,"tracker_id":40,"status_id":1,"priority_id":2,"assigned_to_id":23,"start_date":"2017-03-12","description":"","custom_fields":[{"id":1,"name":"Subdivision","value":"Other"},{"id":4,"name":"Milepost","value":"2.3308"},{"id":17,"name":"Train ID","value":"53-12"},{"id":16,"name":"Locomotive ID","value":"4022"},{"id":130,"name":"Impact","value":""},{"id":150,"name":"Time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17" si="107">"start /low /b "&amp;dls3logs&amp;" --loco "&amp;B206&amp;" --day "&amp;TEXT(F206,"YYYY-MM-DD")</f>
        <v>start /low /b %USERPROFILE%\Documents\GitHub\eaglep3\Utilities\DownloadLogsFromS3.py --loco 4022 --day 2017-03-12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"%USERPROFILE%\AppData\Local\Temp\OnboardLogs"\RTDC4022\*4022*20170312* | grep -SE "(Enforcement Action)|(\[TIMEOUT)|(CHR.+\|PRM\|1\|D.+(SWITCH|SIGNAL).+UNKNOWN)" - &gt;&gt; 2017-03-12-UncaughtWiMAX.txt</v>
      </c>
    </row>
    <row r="207" spans="1:40" x14ac:dyDescent="0.25">
      <c r="A207" s="33" t="s">
        <v>613</v>
      </c>
      <c r="B207" s="7">
        <v>4013</v>
      </c>
      <c r="C207" s="21" t="s">
        <v>242</v>
      </c>
      <c r="D207" s="21" t="s">
        <v>952</v>
      </c>
      <c r="E207" s="13">
        <v>42806.749768518515</v>
      </c>
      <c r="F207" s="13">
        <v>42806.754826388889</v>
      </c>
      <c r="G207" s="7">
        <v>7</v>
      </c>
      <c r="H207" s="21" t="s">
        <v>953</v>
      </c>
      <c r="I207" s="13">
        <v>42806.768541666665</v>
      </c>
      <c r="J207" s="7">
        <v>0</v>
      </c>
      <c r="K207" s="98" t="str">
        <f t="shared" si="90"/>
        <v>4013/4014</v>
      </c>
      <c r="L207" s="21" t="str">
        <f>VLOOKUP(A207,'Trips&amp;Operators'!$C$1:$G$99999,5,FALSE)</f>
        <v>MAGEE KENYA</v>
      </c>
      <c r="M207" s="6">
        <f t="shared" si="91"/>
        <v>1.3715277775190771E-2</v>
      </c>
      <c r="N207" s="7">
        <f t="shared" si="92"/>
        <v>19.74999999627471</v>
      </c>
      <c r="O207" s="7"/>
      <c r="P207" s="7"/>
      <c r="Q207" s="22"/>
      <c r="R207" s="22"/>
      <c r="S207" s="31">
        <f t="shared" si="93"/>
        <v>0</v>
      </c>
      <c r="T207" s="46" t="e">
        <f t="shared" si="94"/>
        <v>#VALUE!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95"/>
        <v>https://d0f6bd738d7f1b3e5a7ca70fe4ff75f0.us-east-1.aws.found.io/app/kibana#/discover/Steve-Slow-Train-Analysis-(2080s-and-2083s)?_g=(refreshInterval:(display:Off,pause:!f,section:0,value:0),time:(from:'2017-03-12T16:59:40-600',mode:absolute,to:'2017-03-12T19:26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87" t="str">
        <f t="shared" si="96"/>
        <v>Y</v>
      </c>
      <c r="X207" s="187" t="e">
        <f t="shared" si="97"/>
        <v>#VALUE!</v>
      </c>
      <c r="Y207" s="62">
        <f t="shared" si="98"/>
        <v>2.3468</v>
      </c>
      <c r="Z207" s="62">
        <f t="shared" si="99"/>
        <v>8.8099999999999998E-2</v>
      </c>
      <c r="AA207" s="62">
        <f t="shared" si="100"/>
        <v>2.2587000000000002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01"/>
        <v>54-12</v>
      </c>
      <c r="AE207" s="85" t="str">
        <f t="shared" si="102"/>
        <v>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 &amp; aws s3 cp s3://rtdc.mdm.uploadarchive.raw/RTDC4013/ "%USERPROFILE%\AppData\Local\Temp\OnboardLogs"\RTDC4013\2017-03-13 --exclude "*" --recursive --include "*20170313*" &amp; "%USERPROFILE%\Documents\GitHub\mrs-test-scripts\Headless Mode &amp; Sideloading\WalkAndUnGZ.bat" "%USERPROFILE%\AppData\Local\Temp\OnboardLogs"\RTDC4013\2017-03-13</v>
      </c>
      <c r="AF207" s="82" t="str">
        <f t="shared" si="103"/>
        <v>"C:\Program Files (x86)\AstroGrep\AstroGrep.exe" /e /r /s /spath="%USERPROFILE%\AppData\Local\Temp\OnboardLogs" /stypes="app*4013*20170313*" /stext=" 00:.+((SYSTEM_STATE.+slice.+state.+changed )|(ment ac)|(multiple cpu faults)|(system.+state.+changed )|(\[timeout)|(PRM\|1\|D)|(kpr)|(kdp)|(\|lc)|(penalty))"</v>
      </c>
      <c r="AG207" s="1" t="str">
        <f t="shared" si="104"/>
        <v>Other</v>
      </c>
      <c r="AH207" s="86" t="str">
        <f t="shared" si="105"/>
        <v>"%USERPROFILE%\Documents\GitHub\eaglep3\Utilities\RefineRTDCRunTimes.py" --tripid 54-12 --locoid 4013 --swversion DE.1.0.9.0 --startMP 300:23468 --initTime 2017-03-12T17:59:40 --startdatetime 2017-03-12T18:06:57 --delay 7 --endMP 204:881 --enddatetime 2017-03-12T18:26:42 --enforcementcount 0 &gt;&gt;C:\Users\stu\Documents\GitHub\eaglep3-reporting\EC\2017-03-12-refined-times.txt</v>
      </c>
      <c r="AI207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{"issue":{"subject":"","project_id":79,"tracker_id":40,"status_id":1,"priority_id":2,"assigned_to_id":23,"start_date":"2017-03-12","description":"","custom_fields":[{"id":1,"name":"Subdivision","value":"Other"},{"id":4,"name":"Milepost","value":"0.0881"},{"id":17,"name":"Train ID","value":"54-12"},{"id":16,"name":"Locomotive ID","value":"4013"},{"id":130,"name":"Impact","value":""},{"id":150,"name":"Time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07"/>
        <v>start /low /b %USERPROFILE%\Documents\GitHub\eaglep3\Utilities\DownloadLogsFromS3.py --loco 4013 --day 2017-03-12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"%USERPROFILE%\AppData\Local\Temp\OnboardLogs"\RTDC4013\*4013*20170313* | grep -SE "(Enforcement Action)|(\[TIMEOUT)|(CHR.+\|PRM\|1\|D.+(SWITCH|SIGNAL).+UNKNOWN)" - &gt;&gt; 2017-03-12-UncaughtWiMAX.txt</v>
      </c>
    </row>
    <row r="208" spans="1:40" x14ac:dyDescent="0.25">
      <c r="A208" s="33" t="s">
        <v>789</v>
      </c>
      <c r="B208" s="7">
        <v>4064</v>
      </c>
      <c r="C208" s="21" t="s">
        <v>242</v>
      </c>
      <c r="D208" s="21" t="s">
        <v>430</v>
      </c>
      <c r="E208" s="13">
        <v>42807.039988425924</v>
      </c>
      <c r="F208" s="13">
        <v>42807.041342592594</v>
      </c>
      <c r="G208" s="7">
        <v>1</v>
      </c>
      <c r="H208" s="21" t="s">
        <v>954</v>
      </c>
      <c r="I208" s="13">
        <v>42807.073344907411</v>
      </c>
      <c r="J208" s="7">
        <v>0</v>
      </c>
      <c r="K208" s="98" t="str">
        <f t="shared" si="90"/>
        <v>4063/4064</v>
      </c>
      <c r="L208" s="21" t="str">
        <f>VLOOKUP(A208,'Trips&amp;Operators'!$C$1:$G$99999,5,FALSE)</f>
        <v>YANG JAN</v>
      </c>
      <c r="M208" s="6">
        <f t="shared" si="91"/>
        <v>3.2002314816054422E-2</v>
      </c>
      <c r="N208" s="7">
        <f t="shared" si="92"/>
        <v>46.083333335118368</v>
      </c>
      <c r="O208" s="7"/>
      <c r="P208" s="7"/>
      <c r="Q208" s="22"/>
      <c r="R208" s="22"/>
      <c r="S208" s="31">
        <f t="shared" si="93"/>
        <v>0</v>
      </c>
      <c r="T208" s="46" t="e">
        <f t="shared" si="94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95"/>
        <v>https://d0f6bd738d7f1b3e5a7ca70fe4ff75f0.us-east-1.aws.found.io/app/kibana#/discover/Steve-Slow-Train-Analysis-(2080s-and-2083s)?_g=(refreshInterval:(display:Off,pause:!f,section:0,value:0),time:(from:'2017-03-12T23:57:35-600',mode:absolute,to:'2017-03-13T02:45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187" t="str">
        <f t="shared" si="96"/>
        <v>N</v>
      </c>
      <c r="X208" s="187" t="e">
        <f t="shared" si="97"/>
        <v>#VALUE!</v>
      </c>
      <c r="Y208" s="62">
        <f t="shared" si="98"/>
        <v>23.297599999999999</v>
      </c>
      <c r="Z208" s="62">
        <f t="shared" si="99"/>
        <v>1.44E-2</v>
      </c>
      <c r="AA208" s="62">
        <f t="shared" si="100"/>
        <v>23.283200000000001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01"/>
        <v>80-12</v>
      </c>
      <c r="AE208" s="85" t="str">
        <f t="shared" si="102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08" s="82" t="str">
        <f t="shared" si="103"/>
        <v>"C:\Program Files (x86)\AstroGrep\AstroGrep.exe" /e /r /s /spath="%USERPROFILE%\AppData\Local\Temp\OnboardLogs" /stypes="app*4064*20170313*" /stext=" 07:.+((SYSTEM_STATE.+slice.+state.+changed )|(ment ac)|(multiple cpu faults)|(system.+state.+changed )|(\[timeout)|(PRM\|1\|D)|(kpr)|(kdp)|(\|lc)|(penalty))"</v>
      </c>
      <c r="AG208" s="1" t="str">
        <f t="shared" si="104"/>
        <v>Other</v>
      </c>
      <c r="AH208" s="86" t="str">
        <f t="shared" si="105"/>
        <v>"%USERPROFILE%\Documents\GitHub\eaglep3\Utilities\RefineRTDCRunTimes.py" --tripid 80-12 --locoid 4064 --swversion DE.1.0.9.0 --startMP 204:232976 --initTime 2017-03-13T00:57:35 --startdatetime 2017-03-13T00:59:32 --delay 1 --endMP 204:144 --enddatetime 2017-03-13T01:45:37 --enforcementcount 0 &gt;&gt;C:\Users\stu\Documents\GitHub\eaglep3-reporting\EC\2017-03-12-refined-times.txt</v>
      </c>
      <c r="AI208" s="108" t="str">
        <f t="shared" si="106"/>
        <v>echo {"issue":{"subject":"","project_id":79,"tracker_id":40,"status_id":1,"priority_id":2,"assigned_to_id":23,"start_date":"2017-03-13","description":"","custom_fields":[{"id":1,"name":"Subdivision","value":"Other"},{"id":4,"name":"Milepost","value":"0.0144"},{"id":17,"name":"Train ID","value":"80-12"},{"id":16,"name":"Locomotive ID","value":"4064"},{"id":130,"name":"Impact","value":""},{"id":150,"name":"Time of Event (Mountain Time)","value":"01:45:37"},{"id":151,"name":"Denver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07"/>
        <v>start /low /b %USERPROFILE%\Documents\GitHub\eaglep3\Utilities\DownloadLogsFromS3.py --loco 4064 --day 2017-03-13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2017-03-12-UncaughtWiMAX.txt</v>
      </c>
    </row>
    <row r="209" spans="1:40" x14ac:dyDescent="0.25">
      <c r="A209" s="33" t="s">
        <v>789</v>
      </c>
      <c r="B209" s="7">
        <v>4064</v>
      </c>
      <c r="C209" s="21" t="s">
        <v>242</v>
      </c>
      <c r="D209" s="21" t="s">
        <v>847</v>
      </c>
      <c r="E209" s="13">
        <v>42806.961388888885</v>
      </c>
      <c r="F209" s="13">
        <v>42806.962407407409</v>
      </c>
      <c r="G209" s="7">
        <v>1</v>
      </c>
      <c r="H209" s="21" t="s">
        <v>955</v>
      </c>
      <c r="I209" s="13">
        <v>42806.993576388886</v>
      </c>
      <c r="J209" s="7">
        <v>0</v>
      </c>
      <c r="K209" s="98" t="str">
        <f t="shared" si="90"/>
        <v>4063/4064</v>
      </c>
      <c r="L209" s="21" t="str">
        <f>VLOOKUP(A209,'Trips&amp;Operators'!$C$1:$G$99999,5,FALSE)</f>
        <v>YANG JAN</v>
      </c>
      <c r="M209" s="6">
        <f t="shared" si="91"/>
        <v>3.1168981477094349E-2</v>
      </c>
      <c r="N209" s="7">
        <f t="shared" si="92"/>
        <v>44.883333327015862</v>
      </c>
      <c r="O209" s="7"/>
      <c r="P209" s="7"/>
      <c r="Q209" s="22"/>
      <c r="R209" s="22"/>
      <c r="S209" s="31">
        <f t="shared" si="93"/>
        <v>0</v>
      </c>
      <c r="T209" s="46" t="e">
        <f t="shared" si="94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95"/>
        <v>https://d0f6bd738d7f1b3e5a7ca70fe4ff75f0.us-east-1.aws.found.io/app/kibana#/discover/Steve-Slow-Train-Analysis-(2080s-and-2083s)?_g=(refreshInterval:(display:Off,pause:!f,section:0,value:0),time:(from:'2017-03-12T22:04:24-600',mode:absolute,to:'2017-03-13T00:50:45-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187" t="str">
        <f t="shared" si="96"/>
        <v>N</v>
      </c>
      <c r="X209" s="187" t="e">
        <f t="shared" si="97"/>
        <v>#VALUE!</v>
      </c>
      <c r="Y209" s="62">
        <f t="shared" si="98"/>
        <v>23.297699999999999</v>
      </c>
      <c r="Z209" s="62">
        <f t="shared" si="99"/>
        <v>0.11600000000000001</v>
      </c>
      <c r="AA209" s="62">
        <f t="shared" si="100"/>
        <v>23.181699999999999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01"/>
        <v>80-12</v>
      </c>
      <c r="AE209" s="85" t="str">
        <f t="shared" si="102"/>
        <v>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 &amp; 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</v>
      </c>
      <c r="AF209" s="82" t="str">
        <f t="shared" si="103"/>
        <v>"C:\Program Files (x86)\AstroGrep\AstroGrep.exe" /e /r /s /spath="%USERPROFILE%\AppData\Local\Temp\OnboardLogs" /stypes="app*4064*20170313*" /stext=" 05:.+((SYSTEM_STATE.+slice.+state.+changed )|(ment ac)|(multiple cpu faults)|(system.+state.+changed )|(\[timeout)|(PRM\|1\|D)|(kpr)|(kdp)|(\|lc)|(penalty))"</v>
      </c>
      <c r="AG209" s="1" t="str">
        <f t="shared" si="104"/>
        <v>Other</v>
      </c>
      <c r="AH209" s="86" t="str">
        <f t="shared" si="105"/>
        <v>"%USERPROFILE%\Documents\GitHub\eaglep3\Utilities\RefineRTDCRunTimes.py" --tripid 80-12 --locoid 4064 --swversion DE.1.0.9.0 --startMP 204:232977 --initTime 2017-03-12T23:04:24 --startdatetime 2017-03-12T23:05:52 --delay 1 --endMP 204:1160 --enddatetime 2017-03-12T23:50:45 --enforcementcount 0 &gt;&gt;C:\Users\stu\Documents\GitHub\eaglep3-reporting\EC\2017-03-12-refined-times.txt</v>
      </c>
      <c r="AI209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{"issue":{"subject":"","project_id":79,"tracker_id":40,"status_id":1,"priority_id":2,"assigned_to_id":23,"start_date":"2017-03-12","description":"","custom_fields":[{"id":1,"name":"Subdivision","value":"Other"},{"id":4,"name":"Milepost","value":"0.116"},{"id":17,"name":"Train ID","value":"80-12"},{"id":16,"name":"Locomotive ID","value":"4064"},{"id":130,"name":"Impact","value":""},{"id":150,"name":"Time of Event (Mountain Time)","value":"23:50:45"},{"id":151,"name":"Denver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07"/>
        <v>start /low /b %USERPROFILE%\Documents\GitHub\eaglep3\Utilities\DownloadLogsFromS3.py --loco 4064 --day 2017-03-12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2017-03-12-UncaughtWiMAX.txt</v>
      </c>
    </row>
    <row r="210" spans="1:40" x14ac:dyDescent="0.25">
      <c r="A210" s="33" t="s">
        <v>789</v>
      </c>
      <c r="B210" s="7">
        <v>4064</v>
      </c>
      <c r="C210" s="21" t="s">
        <v>242</v>
      </c>
      <c r="D210" s="21" t="s">
        <v>417</v>
      </c>
      <c r="E210" s="13">
        <v>42806.893530092595</v>
      </c>
      <c r="F210" s="13">
        <v>42806.894652777781</v>
      </c>
      <c r="G210" s="7">
        <v>1</v>
      </c>
      <c r="H210" s="21" t="s">
        <v>232</v>
      </c>
      <c r="I210" s="13">
        <v>42806.930196759262</v>
      </c>
      <c r="J210" s="7">
        <v>0</v>
      </c>
      <c r="K210" s="98" t="str">
        <f t="shared" si="90"/>
        <v>4063/4064</v>
      </c>
      <c r="L210" s="21" t="str">
        <f>VLOOKUP(A210,'Trips&amp;Operators'!$C$1:$G$99999,5,FALSE)</f>
        <v>YANG JAN</v>
      </c>
      <c r="M210" s="6">
        <f t="shared" si="91"/>
        <v>3.5543981481168885E-2</v>
      </c>
      <c r="N210" s="7">
        <f t="shared" si="92"/>
        <v>51.183333332883194</v>
      </c>
      <c r="O210" s="7"/>
      <c r="P210" s="7"/>
      <c r="Q210" s="22"/>
      <c r="R210" s="22"/>
      <c r="S210" s="31">
        <f t="shared" si="93"/>
        <v>0</v>
      </c>
      <c r="T210" s="46" t="e">
        <f t="shared" si="94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95"/>
        <v>https://d0f6bd738d7f1b3e5a7ca70fe4ff75f0.us-east-1.aws.found.io/app/kibana#/discover/Steve-Slow-Train-Analysis-(2080s-and-2083s)?_g=(refreshInterval:(display:Off,pause:!f,section:0,value:0),time:(from:'2017-03-12T20:26:41-600',mode:absolute,to:'2017-03-12T23:19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187" t="str">
        <f t="shared" si="96"/>
        <v>N</v>
      </c>
      <c r="X210" s="187" t="e">
        <f t="shared" si="97"/>
        <v>#VALUE!</v>
      </c>
      <c r="Y210" s="62">
        <f t="shared" si="98"/>
        <v>23.298200000000001</v>
      </c>
      <c r="Z210" s="62">
        <f t="shared" si="99"/>
        <v>1.5599999999999999E-2</v>
      </c>
      <c r="AA210" s="62">
        <f t="shared" si="100"/>
        <v>23.282600000000002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01"/>
        <v>80-12</v>
      </c>
      <c r="AE210" s="85" t="str">
        <f t="shared" si="102"/>
        <v>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 &amp; 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</v>
      </c>
      <c r="AF210" s="82" t="str">
        <f t="shared" si="103"/>
        <v>"C:\Program Files (x86)\AstroGrep\AstroGrep.exe" /e /r /s /spath="%USERPROFILE%\AppData\Local\Temp\OnboardLogs" /stypes="app*4064*20170313*" /stext=" 04:.+((SYSTEM_STATE.+slice.+state.+changed )|(ment ac)|(multiple cpu faults)|(system.+state.+changed )|(\[timeout)|(PRM\|1\|D)|(kpr)|(kdp)|(\|lc)|(penalty))"</v>
      </c>
      <c r="AG210" s="1" t="str">
        <f t="shared" si="104"/>
        <v>Other</v>
      </c>
      <c r="AH210" s="86" t="str">
        <f t="shared" si="105"/>
        <v>"%USERPROFILE%\Documents\GitHub\eaglep3\Utilities\RefineRTDCRunTimes.py" --tripid 80-12 --locoid 4064 --swversion DE.1.0.9.0 --startMP 204:232982 --initTime 2017-03-12T21:26:41 --startdatetime 2017-03-12T21:28:18 --delay 1 --endMP 204:156 --enddatetime 2017-03-12T22:19:29 --enforcementcount 0 &gt;&gt;C:\Users\stu\Documents\GitHub\eaglep3-reporting\EC\2017-03-12-refined-times.txt</v>
      </c>
      <c r="AI210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{"issue":{"subject":"","project_id":79,"tracker_id":40,"status_id":1,"priority_id":2,"assigned_to_id":23,"start_date":"2017-03-12","description":"","custom_fields":[{"id":1,"name":"Subdivision","value":"Other"},{"id":4,"name":"Milepost","value":"0.0156"},{"id":17,"name":"Train ID","value":"80-12"},{"id":16,"name":"Locomotive ID","value":"4064"},{"id":130,"name":"Impact","value":""},{"id":150,"name":"Time of Event (Mountain Time)","value":"22:19:29"},{"id":151,"name":"Denver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07"/>
        <v>start /low /b %USERPROFILE%\Documents\GitHub\eaglep3\Utilities\DownloadLogsFromS3.py --loco 4064 --day 2017-03-12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2017-03-12-UncaughtWiMAX.txt</v>
      </c>
    </row>
    <row r="211" spans="1:40" x14ac:dyDescent="0.25">
      <c r="A211" s="33" t="s">
        <v>789</v>
      </c>
      <c r="B211" s="7">
        <v>4064</v>
      </c>
      <c r="C211" s="21" t="s">
        <v>242</v>
      </c>
      <c r="D211" s="21" t="s">
        <v>563</v>
      </c>
      <c r="E211" s="13">
        <v>42806.840798611112</v>
      </c>
      <c r="F211" s="13">
        <v>42806.84171296296</v>
      </c>
      <c r="G211" s="7">
        <v>1</v>
      </c>
      <c r="H211" s="21" t="s">
        <v>956</v>
      </c>
      <c r="I211" s="13">
        <v>42806.847777777781</v>
      </c>
      <c r="J211" s="7">
        <v>0</v>
      </c>
      <c r="K211" s="98" t="str">
        <f t="shared" si="90"/>
        <v>4063/4064</v>
      </c>
      <c r="L211" s="21" t="str">
        <f>VLOOKUP(A211,'Trips&amp;Operators'!$C$1:$G$99999,5,FALSE)</f>
        <v>YANG JAN</v>
      </c>
      <c r="M211" s="6">
        <f t="shared" si="91"/>
        <v>6.0648148210020736E-3</v>
      </c>
      <c r="N211" s="7">
        <f t="shared" si="92"/>
        <v>8.733333342242986</v>
      </c>
      <c r="O211" s="7"/>
      <c r="P211" s="7"/>
      <c r="Q211" s="22"/>
      <c r="R211" s="22"/>
      <c r="S211" s="31">
        <f t="shared" si="93"/>
        <v>0</v>
      </c>
      <c r="T211" s="46" t="e">
        <f t="shared" si="94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95"/>
        <v>https://d0f6bd738d7f1b3e5a7ca70fe4ff75f0.us-east-1.aws.found.io/app/kibana#/discover/Steve-Slow-Train-Analysis-(2080s-and-2083s)?_g=(refreshInterval:(display:Off,pause:!f,section:0,value:0),time:(from:'2017-03-12T19:10:45-600',mode:absolute,to:'2017-03-12T21:20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187" t="str">
        <f t="shared" si="96"/>
        <v>Y</v>
      </c>
      <c r="X211" s="187" t="e">
        <f t="shared" si="97"/>
        <v>#VALUE!</v>
      </c>
      <c r="Y211" s="62">
        <f t="shared" si="98"/>
        <v>2.319</v>
      </c>
      <c r="Z211" s="62">
        <f t="shared" si="99"/>
        <v>1.4800000000000001E-2</v>
      </c>
      <c r="AA211" s="62">
        <f t="shared" si="100"/>
        <v>2.3041999999999998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01"/>
        <v>80-12</v>
      </c>
      <c r="AE211" s="85" t="str">
        <f t="shared" si="102"/>
        <v>aws s3 cp s3://rtdc.mdm.uploadarchive.raw/RTDC4064/ "%USERPROFILE%\AppData\Local\Temp\OnboardLogs"\RTDC4064\2017-03-12 --exclude "*" --recursive --include "*20170312*" &amp; "%USERPROFILE%\Documents\GitHub\mrs-test-scripts\Headless Mode &amp; Sideloading\WalkAndUnGZ.bat" "%USERPROFILE%\AppData\Local\Temp\OnboardLogs"\RTDC4064\2017-03-12 &amp; 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</v>
      </c>
      <c r="AF211" s="82" t="str">
        <f t="shared" si="103"/>
        <v>"C:\Program Files (x86)\AstroGrep\AstroGrep.exe" /e /r /s /spath="%USERPROFILE%\AppData\Local\Temp\OnboardLogs" /stypes="app*4064*20170313*" /stext=" 02:.+((SYSTEM_STATE.+slice.+state.+changed )|(ment ac)|(multiple cpu faults)|(system.+state.+changed )|(\[timeout)|(PRM\|1\|D)|(kpr)|(kdp)|(\|lc)|(penalty))"</v>
      </c>
      <c r="AG211" s="1" t="str">
        <f t="shared" si="104"/>
        <v>Other</v>
      </c>
      <c r="AH211" s="86" t="str">
        <f t="shared" si="105"/>
        <v>"%USERPROFILE%\Documents\GitHub\eaglep3\Utilities\RefineRTDCRunTimes.py" --tripid 80-12 --locoid 4064 --swversion DE.1.0.9.0 --startMP 300:23190 --initTime 2017-03-12T20:10:45 --startdatetime 2017-03-12T20:12:04 --delay 1 --endMP 204:148 --enddatetime 2017-03-12T20:20:48 --enforcementcount 0 &gt;&gt;C:\Users\stu\Documents\GitHub\eaglep3-reporting\EC\2017-03-12-refined-times.txt</v>
      </c>
      <c r="AI211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{"issue":{"subject":"","project_id":79,"tracker_id":40,"status_id":1,"priority_id":2,"assigned_to_id":23,"start_date":"2017-03-12","description":"","custom_fields":[{"id":1,"name":"Subdivision","value":"Other"},{"id":4,"name":"Milepost","value":"0.0148"},{"id":17,"name":"Train ID","value":"80-12"},{"id":16,"name":"Locomotive ID","value":"4064"},{"id":130,"name":"Impact","value":""},{"id":150,"name":"Time of Event (Mountain Time)","value":"20:20:48"},{"id":151,"name":"Denver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07"/>
        <v>start /low /b %USERPROFILE%\Documents\GitHub\eaglep3\Utilities\DownloadLogsFromS3.py --loco 4064 --day 2017-03-12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2017-03-12-UncaughtWiMAX.txt</v>
      </c>
    </row>
    <row r="212" spans="1:40" x14ac:dyDescent="0.25">
      <c r="A212" s="33" t="s">
        <v>789</v>
      </c>
      <c r="B212" s="7">
        <v>4064</v>
      </c>
      <c r="C212" s="21" t="s">
        <v>242</v>
      </c>
      <c r="D212" s="21" t="s">
        <v>562</v>
      </c>
      <c r="E212" s="13">
        <v>42807.087500000001</v>
      </c>
      <c r="F212" s="13">
        <v>42807.088587962964</v>
      </c>
      <c r="G212" s="7">
        <v>1</v>
      </c>
      <c r="H212" s="21" t="s">
        <v>957</v>
      </c>
      <c r="I212" s="13">
        <v>42807.101111111115</v>
      </c>
      <c r="J212" s="7">
        <v>0</v>
      </c>
      <c r="K212" s="98" t="str">
        <f t="shared" si="90"/>
        <v>4063/4064</v>
      </c>
      <c r="L212" s="21" t="str">
        <f>VLOOKUP(A212,'Trips&amp;Operators'!$C$1:$G$99999,5,FALSE)</f>
        <v>YANG JAN</v>
      </c>
      <c r="M212" s="6">
        <f t="shared" si="91"/>
        <v>1.2523148150648922E-2</v>
      </c>
      <c r="N212" s="7">
        <f t="shared" si="92"/>
        <v>18.033333336934447</v>
      </c>
      <c r="O212" s="7"/>
      <c r="P212" s="7"/>
      <c r="Q212" s="22"/>
      <c r="R212" s="22"/>
      <c r="S212" s="31">
        <f t="shared" si="93"/>
        <v>0</v>
      </c>
      <c r="T212" s="46" t="e">
        <f t="shared" si="94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95"/>
        <v>https://d0f6bd738d7f1b3e5a7ca70fe4ff75f0.us-east-1.aws.found.io/app/kibana#/discover/Steve-Slow-Train-Analysis-(2080s-and-2083s)?_g=(refreshInterval:(display:Off,pause:!f,section:0,value:0),time:(from:'2017-03-13T01:06:00-600',mode:absolute,to:'2017-03-13T03:25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187" t="str">
        <f t="shared" si="96"/>
        <v>N</v>
      </c>
      <c r="X212" s="187" t="e">
        <f t="shared" si="97"/>
        <v>#VALUE!</v>
      </c>
      <c r="Y212" s="62">
        <f t="shared" si="98"/>
        <v>5.8611000000000004</v>
      </c>
      <c r="Z212" s="62">
        <f t="shared" si="99"/>
        <v>1.5100000000000001E-2</v>
      </c>
      <c r="AA212" s="62">
        <f t="shared" si="100"/>
        <v>5.8460000000000001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01"/>
        <v>80-12</v>
      </c>
      <c r="AE212" s="85" t="str">
        <f t="shared" si="102"/>
        <v>aws s3 cp s3://rtdc.mdm.uploadarchive.raw/RTDC4064/ "%USERPROFILE%\AppData\Local\Temp\OnboardLogs"\RTDC4064\2017-03-13 --exclude "*" --recursive --include "*20170313*" &amp; "%USERPROFILE%\Documents\GitHub\mrs-test-scripts\Headless Mode &amp; Sideloading\WalkAndUnGZ.bat" "%USERPROFILE%\AppData\Local\Temp\OnboardLogs"\RTDC4064\2017-03-13 &amp; aws s3 cp s3://rtdc.mdm.uploadarchive.raw/RTDC4064/ "%USERPROFILE%\AppData\Local\Temp\OnboardLogs"\RTDC4064\2017-03-14 --exclude "*" --recursive --include "*20170314*" &amp; "%USERPROFILE%\Documents\GitHub\mrs-test-scripts\Headless Mode &amp; Sideloading\WalkAndUnGZ.bat" "%USERPROFILE%\AppData\Local\Temp\OnboardLogs"\RTDC4064\2017-03-14</v>
      </c>
      <c r="AF212" s="82" t="str">
        <f t="shared" si="103"/>
        <v>"C:\Program Files (x86)\AstroGrep\AstroGrep.exe" /e /r /s /spath="%USERPROFILE%\AppData\Local\Temp\OnboardLogs" /stypes="app*4064*20170313*" /stext=" 08:.+((SYSTEM_STATE.+slice.+state.+changed )|(ment ac)|(multiple cpu faults)|(system.+state.+changed )|(\[timeout)|(PRM\|1\|D)|(kpr)|(kdp)|(\|lc)|(penalty))"</v>
      </c>
      <c r="AG212" s="1" t="str">
        <f t="shared" si="104"/>
        <v>Other</v>
      </c>
      <c r="AH212" s="86" t="str">
        <f t="shared" si="105"/>
        <v>"%USERPROFILE%\Documents\GitHub\eaglep3\Utilities\RefineRTDCRunTimes.py" --tripid 80-12 --locoid 4064 --swversion DE.1.0.9.0 --startMP 300:58611 --initTime 2017-03-13T02:06:00 --startdatetime 2017-03-13T02:07:34 --delay 1 --endMP 204:151 --enddatetime 2017-03-13T02:25:36 --enforcementcount 0 &gt;&gt;C:\Users\stu\Documents\GitHub\eaglep3-reporting\EC\2017-03-12-refined-times.txt</v>
      </c>
      <c r="AI212" s="108" t="str">
        <f t="shared" si="106"/>
        <v>echo {"issue":{"subject":"","project_id":79,"tracker_id":40,"status_id":1,"priority_id":2,"assigned_to_id":23,"start_date":"2017-03-13","description":"","custom_fields":[{"id":1,"name":"Subdivision","value":"Other"},{"id":4,"name":"Milepost","value":"0.0151"},{"id":17,"name":"Train ID","value":"80-12"},{"id":16,"name":"Locomotive ID","value":"4064"},{"id":130,"name":"Impact","value":""},{"id":150,"name":"Time of Event (Mountain Time)","value":"02:25:36"},{"id":151,"name":"Denver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07"/>
        <v>start /low /b %USERPROFILE%\Documents\GitHub\eaglep3\Utilities\DownloadLogsFromS3.py --loco 4064 --day 2017-03-13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"%USERPROFILE%\AppData\Local\Temp\OnboardLogs"\RTDC4064\*4064*20170313* | grep -SE "(Enforcement Action)|(\[TIMEOUT)|(CHR.+\|PRM\|1\|D.+(SWITCH|SIGNAL).+UNKNOWN)" - &gt;&gt; 2017-03-12-UncaughtWiMAX.txt</v>
      </c>
    </row>
    <row r="213" spans="1:40" x14ac:dyDescent="0.25">
      <c r="A213" s="33" t="s">
        <v>795</v>
      </c>
      <c r="B213" s="7">
        <v>4063</v>
      </c>
      <c r="C213" s="21" t="s">
        <v>242</v>
      </c>
      <c r="D213" s="21" t="s">
        <v>958</v>
      </c>
      <c r="E213" s="13">
        <v>42807.00980324074</v>
      </c>
      <c r="F213" s="13">
        <v>42807.01085648148</v>
      </c>
      <c r="G213" s="7">
        <v>1</v>
      </c>
      <c r="H213" s="21" t="s">
        <v>249</v>
      </c>
      <c r="I213" s="13">
        <v>42807.038807870369</v>
      </c>
      <c r="J213" s="7">
        <v>0</v>
      </c>
      <c r="K213" s="98" t="str">
        <f t="shared" si="90"/>
        <v>4063/4064</v>
      </c>
      <c r="L213" s="21" t="str">
        <f>VLOOKUP(A213,'Trips&amp;Operators'!$C$1:$G$99999,5,FALSE)</f>
        <v>YANG JAN</v>
      </c>
      <c r="M213" s="6">
        <f t="shared" si="91"/>
        <v>2.7951388889050577E-2</v>
      </c>
      <c r="N213" s="7">
        <f t="shared" si="92"/>
        <v>40.250000000232831</v>
      </c>
      <c r="O213" s="7"/>
      <c r="P213" s="7"/>
      <c r="Q213" s="22"/>
      <c r="R213" s="22"/>
      <c r="S213" s="31">
        <f t="shared" si="93"/>
        <v>0</v>
      </c>
      <c r="T213" s="46" t="e">
        <f t="shared" si="94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95"/>
        <v>https://d0f6bd738d7f1b3e5a7ca70fe4ff75f0.us-east-1.aws.found.io/app/kibana#/discover/Steve-Slow-Train-Analysis-(2080s-and-2083s)?_g=(refreshInterval:(display:Off,pause:!f,section:0,value:0),time:(from:'2017-03-12T23:14:07-600',mode:absolute,to:'2017-03-13T01:55:53-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187" t="str">
        <f t="shared" si="96"/>
        <v>N</v>
      </c>
      <c r="X213" s="187" t="e">
        <f t="shared" si="97"/>
        <v>#VALUE!</v>
      </c>
      <c r="Y213" s="62">
        <f t="shared" si="98"/>
        <v>0.1479</v>
      </c>
      <c r="Z213" s="62">
        <f t="shared" si="99"/>
        <v>23.330400000000001</v>
      </c>
      <c r="AA213" s="62">
        <f t="shared" si="100"/>
        <v>23.182500000000001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01"/>
        <v>81-12</v>
      </c>
      <c r="AE213" s="85" t="str">
        <f t="shared" si="102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13" s="82" t="str">
        <f t="shared" si="103"/>
        <v>"C:\Program Files (x86)\AstroGrep\AstroGrep.exe" /e /r /s /spath="%USERPROFILE%\AppData\Local\Temp\OnboardLogs" /stypes="app*4063*20170313*" /stext=" 06:.+((SYSTEM_STATE.+slice.+state.+changed )|(ment ac)|(multiple cpu faults)|(system.+state.+changed )|(\[timeout)|(PRM\|1\|D)|(kpr)|(kdp)|(\|lc)|(penalty))"</v>
      </c>
      <c r="AG213" s="1" t="str">
        <f t="shared" si="104"/>
        <v>Other</v>
      </c>
      <c r="AH213" s="86" t="str">
        <f t="shared" si="105"/>
        <v>"%USERPROFILE%\Documents\GitHub\eaglep3\Utilities\RefineRTDCRunTimes.py" --tripid 81-12 --locoid 4063 --swversion DE.1.0.9.0 --startMP 204:1479 --initTime 2017-03-13T00:14:07 --startdatetime 2017-03-13T00:15:38 --delay 1 --endMP 204:233304 --enddatetime 2017-03-13T00:55:53 --enforcementcount 0 &gt;&gt;C:\Users\stu\Documents\GitHub\eaglep3-reporting\EC\2017-03-12-refined-times.txt</v>
      </c>
      <c r="AI213" s="108" t="str">
        <f t="shared" si="106"/>
        <v>echo {"issue":{"subject":"","project_id":79,"tracker_id":40,"status_id":1,"priority_id":2,"assigned_to_id":23,"start_date":"2017-03-13","description":"","custom_fields":[{"id":1,"name":"Subdivision","value":"Other"},{"id":4,"name":"Milepost","value":"23.3304"},{"id":17,"name":"Train ID","value":"81-12"},{"id":16,"name":"Locomotive ID","value":"4063"},{"id":130,"name":"Impact","value":""},{"id":150,"name":"Time of Event (Mountain Time)","value":"00:55:53"},{"id":151,"name":"Denver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07"/>
        <v>start /low /b %USERPROFILE%\Documents\GitHub\eaglep3\Utilities\DownloadLogsFromS3.py --loco 4063 --day 2017-03-13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2017-03-12-UncaughtWiMAX.txt</v>
      </c>
    </row>
    <row r="214" spans="1:40" x14ac:dyDescent="0.25">
      <c r="A214" s="33" t="s">
        <v>795</v>
      </c>
      <c r="B214" s="7">
        <v>4063</v>
      </c>
      <c r="C214" s="21" t="s">
        <v>242</v>
      </c>
      <c r="D214" s="21" t="s">
        <v>227</v>
      </c>
      <c r="E214" s="13">
        <v>42807.102812500001</v>
      </c>
      <c r="F214" s="13">
        <v>42807.103761574072</v>
      </c>
      <c r="G214" s="7">
        <v>1</v>
      </c>
      <c r="H214" s="21" t="s">
        <v>557</v>
      </c>
      <c r="I214" s="13">
        <v>42807.110393518517</v>
      </c>
      <c r="J214" s="7">
        <v>0</v>
      </c>
      <c r="K214" s="98" t="str">
        <f t="shared" si="90"/>
        <v>4063/4064</v>
      </c>
      <c r="L214" s="21" t="str">
        <f>VLOOKUP(A214,'Trips&amp;Operators'!$C$1:$G$99999,5,FALSE)</f>
        <v>YANG JAN</v>
      </c>
      <c r="M214" s="6">
        <f t="shared" si="91"/>
        <v>6.6319444449618459E-3</v>
      </c>
      <c r="N214" s="7">
        <f t="shared" si="92"/>
        <v>9.5500000007450581</v>
      </c>
      <c r="O214" s="7"/>
      <c r="P214" s="7"/>
      <c r="Q214" s="22"/>
      <c r="R214" s="22"/>
      <c r="S214" s="31">
        <f t="shared" si="93"/>
        <v>0</v>
      </c>
      <c r="T214" s="46" t="e">
        <f t="shared" si="94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95"/>
        <v>https://d0f6bd738d7f1b3e5a7ca70fe4ff75f0.us-east-1.aws.found.io/app/kibana#/discover/Steve-Slow-Train-Analysis-(2080s-and-2083s)?_g=(refreshInterval:(display:Off,pause:!f,section:0,value:0),time:(from:'2017-03-13T01:28:03-600',mode:absolute,to:'2017-03-13T03:38:58-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4" s="187" t="str">
        <f t="shared" si="96"/>
        <v>Y</v>
      </c>
      <c r="X214" s="187" t="e">
        <f t="shared" si="97"/>
        <v>#VALUE!</v>
      </c>
      <c r="Y214" s="62">
        <f t="shared" si="98"/>
        <v>4.5499999999999999E-2</v>
      </c>
      <c r="Z214" s="62">
        <f t="shared" si="99"/>
        <v>2.3294999999999999</v>
      </c>
      <c r="AA214" s="62">
        <f t="shared" si="100"/>
        <v>2.2839999999999998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01"/>
        <v>81-12</v>
      </c>
      <c r="AE214" s="85" t="str">
        <f t="shared" si="102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14" s="82" t="str">
        <f t="shared" si="103"/>
        <v>"C:\Program Files (x86)\AstroGrep\AstroGrep.exe" /e /r /s /spath="%USERPROFILE%\AppData\Local\Temp\OnboardLogs" /stypes="app*4063*20170313*" /stext=" 08:.+((SYSTEM_STATE.+slice.+state.+changed )|(ment ac)|(multiple cpu faults)|(system.+state.+changed )|(\[timeout)|(PRM\|1\|D)|(kpr)|(kdp)|(\|lc)|(penalty))"</v>
      </c>
      <c r="AG214" s="1" t="str">
        <f t="shared" si="104"/>
        <v>Other</v>
      </c>
      <c r="AH214" s="86" t="str">
        <f t="shared" si="105"/>
        <v>"%USERPROFILE%\Documents\GitHub\eaglep3\Utilities\RefineRTDCRunTimes.py" --tripid 81-12 --locoid 4063 --swversion DE.1.0.9.0 --startMP 204:455 --initTime 2017-03-13T02:28:03 --startdatetime 2017-03-13T02:29:25 --delay 1 --endMP 300:23295 --enddatetime 2017-03-13T02:38:58 --enforcementcount 0 &gt;&gt;C:\Users\stu\Documents\GitHub\eaglep3-reporting\EC\2017-03-12-refined-times.txt</v>
      </c>
      <c r="AI214" s="108" t="str">
        <f t="shared" si="106"/>
        <v>echo {"issue":{"subject":"","project_id":79,"tracker_id":40,"status_id":1,"priority_id":2,"assigned_to_id":23,"start_date":"2017-03-13","description":"","custom_fields":[{"id":1,"name":"Subdivision","value":"Other"},{"id":4,"name":"Milepost","value":"2.3295"},{"id":17,"name":"Train ID","value":"81-12"},{"id":16,"name":"Locomotive ID","value":"4063"},{"id":130,"name":"Impact","value":""},{"id":150,"name":"Time of Event (Mountain Time)","value":"02:38:58"},{"id":151,"name":"Denver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07"/>
        <v>start /low /b %USERPROFILE%\Documents\GitHub\eaglep3\Utilities\DownloadLogsFromS3.py --loco 4063 --day 2017-03-13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2017-03-12-UncaughtWiMAX.txt</v>
      </c>
    </row>
    <row r="215" spans="1:40" x14ac:dyDescent="0.25">
      <c r="A215" s="33" t="s">
        <v>795</v>
      </c>
      <c r="B215" s="7">
        <v>4063</v>
      </c>
      <c r="C215" s="21" t="s">
        <v>242</v>
      </c>
      <c r="D215" s="21" t="s">
        <v>959</v>
      </c>
      <c r="E215" s="13">
        <v>42806.850381944445</v>
      </c>
      <c r="F215" s="13">
        <v>42806.851458333331</v>
      </c>
      <c r="G215" s="7">
        <v>1</v>
      </c>
      <c r="H215" s="21" t="s">
        <v>250</v>
      </c>
      <c r="I215" s="13">
        <v>42806.888194444444</v>
      </c>
      <c r="J215" s="7">
        <v>0</v>
      </c>
      <c r="K215" s="98" t="str">
        <f t="shared" si="90"/>
        <v>4063/4064</v>
      </c>
      <c r="L215" s="21" t="str">
        <f>VLOOKUP(A215,'Trips&amp;Operators'!$C$1:$G$99999,5,FALSE)</f>
        <v>YANG JAN</v>
      </c>
      <c r="M215" s="6">
        <f t="shared" si="91"/>
        <v>3.6736111112986691E-2</v>
      </c>
      <c r="N215" s="7">
        <f t="shared" si="92"/>
        <v>52.900000002700835</v>
      </c>
      <c r="O215" s="7"/>
      <c r="P215" s="7"/>
      <c r="Q215" s="22"/>
      <c r="R215" s="22"/>
      <c r="S215" s="31">
        <f t="shared" si="93"/>
        <v>0</v>
      </c>
      <c r="T215" s="46" t="e">
        <f t="shared" si="94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95"/>
        <v>https://d0f6bd738d7f1b3e5a7ca70fe4ff75f0.us-east-1.aws.found.io/app/kibana#/discover/Steve-Slow-Train-Analysis-(2080s-and-2083s)?_g=(refreshInterval:(display:Off,pause:!f,section:0,value:0),time:(from:'2017-03-12T19:24:33-600',mode:absolute,to:'2017-03-12T22:19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187" t="str">
        <f t="shared" si="96"/>
        <v>N</v>
      </c>
      <c r="X215" s="187" t="e">
        <f t="shared" si="97"/>
        <v>#VALUE!</v>
      </c>
      <c r="Y215" s="62">
        <f t="shared" si="98"/>
        <v>4.5900000000000003E-2</v>
      </c>
      <c r="Z215" s="62">
        <f t="shared" si="99"/>
        <v>23.329899999999999</v>
      </c>
      <c r="AA215" s="62">
        <f t="shared" si="100"/>
        <v>23.283999999999999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01"/>
        <v>81-12</v>
      </c>
      <c r="AE215" s="85" t="str">
        <f t="shared" si="102"/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AF215" s="82" t="str">
        <f t="shared" si="103"/>
        <v>"C:\Program Files (x86)\AstroGrep\AstroGrep.exe" /e /r /s /spath="%USERPROFILE%\AppData\Local\Temp\OnboardLogs" /stypes="app*4063*20170313*" /stext=" 03:.+((SYSTEM_STATE.+slice.+state.+changed )|(ment ac)|(multiple cpu faults)|(system.+state.+changed )|(\[timeout)|(PRM\|1\|D)|(kpr)|(kdp)|(\|lc)|(penalty))"</v>
      </c>
      <c r="AG215" s="1" t="str">
        <f t="shared" si="104"/>
        <v>Other</v>
      </c>
      <c r="AH215" s="86" t="str">
        <f t="shared" si="105"/>
        <v>"%USERPROFILE%\Documents\GitHub\eaglep3\Utilities\RefineRTDCRunTimes.py" --tripid 81-12 --locoid 4063 --swversion DE.1.0.9.0 --startMP 204:459 --initTime 2017-03-12T20:24:33 --startdatetime 2017-03-12T20:26:06 --delay 1 --endMP 204:233299 --enddatetime 2017-03-12T21:19:00 --enforcementcount 0 &gt;&gt;C:\Users\stu\Documents\GitHub\eaglep3-reporting\EC\2017-03-12-refined-times.txt</v>
      </c>
      <c r="AI215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{"issue":{"subject":"","project_id":79,"tracker_id":40,"status_id":1,"priority_id":2,"assigned_to_id":23,"start_date":"2017-03-12","description":"","custom_fields":[{"id":1,"name":"Subdivision","value":"Other"},{"id":4,"name":"Milepost","value":"23.3299"},{"id":17,"name":"Train ID","value":"81-12"},{"id":16,"name":"Locomotive ID","value":"4063"},{"id":130,"name":"Impact","value":""},{"id":150,"name":"Time of Event (Mountain Time)","value":"21:19:00"},{"id":151,"name":"Denver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07"/>
        <v>start /low /b %USERPROFILE%\Documents\GitHub\eaglep3\Utilities\DownloadLogsFromS3.py --loco 4063 --day 2017-03-12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2017-03-12-UncaughtWiMAX.txt</v>
      </c>
    </row>
    <row r="216" spans="1:40" x14ac:dyDescent="0.25">
      <c r="A216" s="33" t="s">
        <v>795</v>
      </c>
      <c r="B216" s="7">
        <v>4063</v>
      </c>
      <c r="C216" s="21" t="s">
        <v>242</v>
      </c>
      <c r="D216" s="21" t="s">
        <v>218</v>
      </c>
      <c r="E216" s="13">
        <v>42806.931111111109</v>
      </c>
      <c r="F216" s="13">
        <v>42806.932141203702</v>
      </c>
      <c r="G216" s="7">
        <v>1</v>
      </c>
      <c r="H216" s="21" t="s">
        <v>843</v>
      </c>
      <c r="I216" s="13">
        <v>42806.960185185184</v>
      </c>
      <c r="J216" s="7">
        <v>0</v>
      </c>
      <c r="K216" s="98" t="str">
        <f t="shared" si="90"/>
        <v>4063/4064</v>
      </c>
      <c r="L216" s="21" t="str">
        <f>VLOOKUP(A216,'Trips&amp;Operators'!$C$1:$G$99999,5,FALSE)</f>
        <v>YANG JAN</v>
      </c>
      <c r="M216" s="6">
        <f t="shared" si="91"/>
        <v>2.8043981481459923E-2</v>
      </c>
      <c r="N216" s="7">
        <f t="shared" si="92"/>
        <v>40.383333333302289</v>
      </c>
      <c r="O216" s="7"/>
      <c r="P216" s="7"/>
      <c r="Q216" s="22"/>
      <c r="R216" s="22"/>
      <c r="S216" s="31">
        <f t="shared" si="93"/>
        <v>0</v>
      </c>
      <c r="T216" s="46" t="e">
        <f t="shared" si="94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95"/>
        <v>https://d0f6bd738d7f1b3e5a7ca70fe4ff75f0.us-east-1.aws.found.io/app/kibana#/discover/Steve-Slow-Train-Analysis-(2080s-and-2083s)?_g=(refreshInterval:(display:Off,pause:!f,section:0,value:0),time:(from:'2017-03-12T21:20:48-600',mode:absolute,to:'2017-03-13T00:02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6" s="187" t="str">
        <f t="shared" si="96"/>
        <v>N</v>
      </c>
      <c r="X216" s="187" t="e">
        <f t="shared" si="97"/>
        <v>#VALUE!</v>
      </c>
      <c r="Y216" s="62">
        <f t="shared" si="98"/>
        <v>4.5999999999999999E-2</v>
      </c>
      <c r="Z216" s="62">
        <f t="shared" si="99"/>
        <v>23.328600000000002</v>
      </c>
      <c r="AA216" s="62">
        <f t="shared" si="100"/>
        <v>23.282600000000002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01"/>
        <v>81-12</v>
      </c>
      <c r="AE216" s="85" t="str">
        <f t="shared" si="102"/>
        <v>aws s3 cp s3://rtdc.mdm.uploadarchive.raw/RTDC4063/ "%USERPROFILE%\AppData\Local\Temp\OnboardLogs"\RTDC4063\2017-03-12 --exclude "*" --recursive --include "*20170312*" &amp; "%USERPROFILE%\Documents\GitHub\mrs-test-scripts\Headless Mode &amp; Sideloading\WalkAndUnGZ.bat" "%USERPROFILE%\AppData\Local\Temp\OnboardLogs"\RTDC4063\2017-03-12 &amp; 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</v>
      </c>
      <c r="AF216" s="82" t="str">
        <f t="shared" si="103"/>
        <v>"C:\Program Files (x86)\AstroGrep\AstroGrep.exe" /e /r /s /spath="%USERPROFILE%\AppData\Local\Temp\OnboardLogs" /stypes="app*4063*20170313*" /stext=" 05:.+((SYSTEM_STATE.+slice.+state.+changed )|(ment ac)|(multiple cpu faults)|(system.+state.+changed )|(\[timeout)|(PRM\|1\|D)|(kpr)|(kdp)|(\|lc)|(penalty))"</v>
      </c>
      <c r="AG216" s="1" t="str">
        <f t="shared" si="104"/>
        <v>Other</v>
      </c>
      <c r="AH216" s="86" t="str">
        <f t="shared" si="105"/>
        <v>"%USERPROFILE%\Documents\GitHub\eaglep3\Utilities\RefineRTDCRunTimes.py" --tripid 81-12 --locoid 4063 --swversion DE.1.0.9.0 --startMP 204:460 --initTime 2017-03-12T22:20:48 --startdatetime 2017-03-12T22:22:17 --delay 1 --endMP 204:233286 --enddatetime 2017-03-12T23:02:40 --enforcementcount 0 &gt;&gt;C:\Users\stu\Documents\GitHub\eaglep3-reporting\EC\2017-03-12-refined-times.txt</v>
      </c>
      <c r="AI216" s="108" t="str">
        <f t="shared" si="106"/>
        <v>echo {"issue":{"subject":"","project_id":79,"tracker_id":40,"status_id":1,"priority_id":2,"assigned_to_id":23,"start_date":"2017-03-12","description":"","custom_fields":[{"id":1,"name":"Subdivision","value":"Other"},{"id":4,"name":"Milepost","value":"23.3286"},{"id":17,"name":"Train ID","value":"81-12"},{"id":16,"name":"Locomotive ID","value":"4063"},{"id":130,"name":"Impact","value":""},{"id":150,"name":"Time of Event (Mountain Time)","value":"23:02:40"},{"id":151,"name":"Denver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07"/>
        <v>start /low /b %USERPROFILE%\Documents\GitHub\eaglep3\Utilities\DownloadLogsFromS3.py --loco 4063 --day 2017-03-12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2017-03-12-UncaughtWiMAX.txt</v>
      </c>
    </row>
    <row r="217" spans="1:40" x14ac:dyDescent="0.25">
      <c r="A217" s="33" t="s">
        <v>795</v>
      </c>
      <c r="B217" s="7">
        <v>4063</v>
      </c>
      <c r="C217" s="21" t="s">
        <v>242</v>
      </c>
      <c r="D217" s="21" t="s">
        <v>262</v>
      </c>
      <c r="E217" s="13">
        <v>42807.075266203705</v>
      </c>
      <c r="F217" s="13">
        <v>42807.076319444444</v>
      </c>
      <c r="G217" s="7">
        <v>1</v>
      </c>
      <c r="H217" s="21" t="s">
        <v>960</v>
      </c>
      <c r="I217" s="13">
        <v>42807.086585648147</v>
      </c>
      <c r="J217" s="7">
        <v>0</v>
      </c>
      <c r="K217" s="98" t="str">
        <f t="shared" si="90"/>
        <v>4063/4064</v>
      </c>
      <c r="L217" s="21" t="str">
        <f>VLOOKUP(A217,'Trips&amp;Operators'!$C$1:$G$99999,5,FALSE)</f>
        <v>YANG JAN</v>
      </c>
      <c r="M217" s="6">
        <f t="shared" si="91"/>
        <v>1.0266203702485655E-2</v>
      </c>
      <c r="N217" s="7">
        <f t="shared" si="92"/>
        <v>14.783333331579342</v>
      </c>
      <c r="O217" s="7"/>
      <c r="P217" s="7"/>
      <c r="Q217" s="22"/>
      <c r="R217" s="22"/>
      <c r="S217" s="31">
        <f t="shared" si="93"/>
        <v>0</v>
      </c>
      <c r="T217" s="46" t="e">
        <f t="shared" si="94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95"/>
        <v>https://d0f6bd738d7f1b3e5a7ca70fe4ff75f0.us-east-1.aws.found.io/app/kibana#/discover/Steve-Slow-Train-Analysis-(2080s-and-2083s)?_g=(refreshInterval:(display:Off,pause:!f,section:0,value:0),time:(from:'2017-03-13T00:48:23-600',mode:absolute,to:'2017-03-13T03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187" t="str">
        <f t="shared" si="96"/>
        <v>N</v>
      </c>
      <c r="X217" s="187" t="e">
        <f t="shared" si="97"/>
        <v>#VALUE!</v>
      </c>
      <c r="Y217" s="62">
        <f t="shared" si="98"/>
        <v>4.7300000000000002E-2</v>
      </c>
      <c r="Z217" s="62">
        <f t="shared" si="99"/>
        <v>5.8925999999999998</v>
      </c>
      <c r="AA217" s="62">
        <f t="shared" si="100"/>
        <v>5.8452999999999999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01"/>
        <v>81-12</v>
      </c>
      <c r="AE217" s="85" t="str">
        <f t="shared" si="102"/>
        <v>aws s3 cp s3://rtdc.mdm.uploadarchive.raw/RTDC4063/ "%USERPROFILE%\AppData\Local\Temp\OnboardLogs"\RTDC4063\2017-03-13 --exclude "*" --recursive --include "*20170313*" &amp; "%USERPROFILE%\Documents\GitHub\mrs-test-scripts\Headless Mode &amp; Sideloading\WalkAndUnGZ.bat" "%USERPROFILE%\AppData\Local\Temp\OnboardLogs"\RTDC4063\2017-03-13 &amp; aws s3 cp s3://rtdc.mdm.uploadarchive.raw/RTDC4063/ "%USERPROFILE%\AppData\Local\Temp\OnboardLogs"\RTDC4063\2017-03-14 --exclude "*" --recursive --include "*20170314*" &amp; "%USERPROFILE%\Documents\GitHub\mrs-test-scripts\Headless Mode &amp; Sideloading\WalkAndUnGZ.bat" "%USERPROFILE%\AppData\Local\Temp\OnboardLogs"\RTDC4063\2017-03-14</v>
      </c>
      <c r="AF217" s="82" t="str">
        <f t="shared" si="103"/>
        <v>"C:\Program Files (x86)\AstroGrep\AstroGrep.exe" /e /r /s /spath="%USERPROFILE%\AppData\Local\Temp\OnboardLogs" /stypes="app*4063*20170313*" /stext=" 08:.+((SYSTEM_STATE.+slice.+state.+changed )|(ment ac)|(multiple cpu faults)|(system.+state.+changed )|(\[timeout)|(PRM\|1\|D)|(kpr)|(kdp)|(\|lc)|(penalty))"</v>
      </c>
      <c r="AG217" s="1" t="str">
        <f t="shared" si="104"/>
        <v>Other</v>
      </c>
      <c r="AH217" s="86" t="str">
        <f t="shared" si="105"/>
        <v>"%USERPROFILE%\Documents\GitHub\eaglep3\Utilities\RefineRTDCRunTimes.py" --tripid 81-12 --locoid 4063 --swversion DE.1.0.9.0 --startMP 204:473 --initTime 2017-03-13T01:48:23 --startdatetime 2017-03-13T01:49:54 --delay 1 --endMP 300:58926 --enddatetime 2017-03-13T02:04:41 --enforcementcount 0 &gt;&gt;C:\Users\stu\Documents\GitHub\eaglep3-reporting\EC\2017-03-12-refined-times.txt</v>
      </c>
      <c r="AI217" s="108" t="str">
        <f t="shared" si="106"/>
        <v>echo {"issue":{"subject":"","project_id":79,"tracker_id":40,"status_id":1,"priority_id":2,"assigned_to_id":23,"start_date":"2017-03-13","description":"","custom_fields":[{"id":1,"name":"Subdivision","value":"Other"},{"id":4,"name":"Milepost","value":"5.8926"},{"id":17,"name":"Train ID","value":"81-12"},{"id":16,"name":"Locomotive ID","value":"4063"},{"id":130,"name":"Impact","value":""},{"id":150,"name":"Time of Event (Mountain Time)","value":"02:04:41"},{"id":151,"name":"Denver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07"/>
        <v>start /low /b %USERPROFILE%\Documents\GitHub\eaglep3\Utilities\DownloadLogsFromS3.py --loco 4063 --day 2017-03-13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"%USERPROFILE%\AppData\Local\Temp\OnboardLogs"\RTDC4063\*4063*20170313* | grep -SE "(Enforcement Action)|(\[TIMEOUT)|(CHR.+\|PRM\|1\|D.+(SWITCH|SIGNAL).+UNKNOWN)" - &gt;&gt; 2017-03-12-UncaughtWiMAX.txt</v>
      </c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/>
  <sortState ref="A13:AH200">
    <sortCondition ref="AG13:AG200"/>
    <sortCondition ref="AD13:AD200"/>
  </sortState>
  <mergeCells count="1">
    <mergeCell ref="A11:P11"/>
  </mergeCells>
  <conditionalFormatting sqref="W11:W12 W277:X1048576 W13:X217">
    <cfRule type="cellIs" dxfId="10" priority="363" operator="equal">
      <formula>"Y"</formula>
    </cfRule>
  </conditionalFormatting>
  <conditionalFormatting sqref="X277:X1048576 X13:X217">
    <cfRule type="cellIs" dxfId="9" priority="346" operator="greaterThan">
      <formula>1</formula>
    </cfRule>
  </conditionalFormatting>
  <conditionalFormatting sqref="X277:X1048576 X12:X217">
    <cfRule type="cellIs" dxfId="8" priority="343" operator="equal">
      <formula>0</formula>
    </cfRule>
  </conditionalFormatting>
  <conditionalFormatting sqref="A13:S217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L16" sqref="L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35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1" t="str">
        <f>"Eagle P3 Braking Events - "&amp;TEXT(Variables!$A$2,"YYYY-mm-dd")</f>
        <v>Eagle P3 Braking Events - 2017-03-12</v>
      </c>
      <c r="B5" s="221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42806.203657407408</v>
      </c>
      <c r="B7" s="30" t="s">
        <v>274</v>
      </c>
      <c r="C7" s="30" t="s">
        <v>579</v>
      </c>
      <c r="D7" s="30" t="s">
        <v>49</v>
      </c>
      <c r="E7" s="30" t="s">
        <v>195</v>
      </c>
      <c r="F7" s="43">
        <v>0</v>
      </c>
      <c r="G7" s="43">
        <v>139</v>
      </c>
      <c r="H7" s="43">
        <v>30184</v>
      </c>
      <c r="I7" s="43">
        <v>30363</v>
      </c>
      <c r="J7" s="30" t="s">
        <v>196</v>
      </c>
      <c r="K7" s="43">
        <v>30830</v>
      </c>
      <c r="L7" s="143" t="s">
        <v>50</v>
      </c>
      <c r="M7" s="144">
        <f t="shared" ref="M7:M43" si="0">CONVERT((I7-K7)/10000,"mi","ft")*IF(L7="Increasing Mileposts (1)",-1,1)</f>
        <v>246.57599999999999</v>
      </c>
      <c r="N7" s="145" t="str">
        <f>VLOOKUP(C7,'Trips&amp;Operators'!$C$1:$G$99999,5,FALSE)</f>
        <v>MAYBERRY BILL</v>
      </c>
      <c r="O7" s="194" t="s">
        <v>185</v>
      </c>
      <c r="P7" s="146" t="s">
        <v>988</v>
      </c>
      <c r="Q7" s="30"/>
      <c r="R7" s="89" t="str">
        <f>IF(VLOOKUP(C7,'Train Runs'!$A$13:$AE$9946,1,1)=C7,VLOOKUP(C7,'Train Runs'!$A$13:$AE$9946,31,1),NA())</f>
        <v>aws s3 cp s3://rtdc.mdm.uploadarchive.raw/RTDC4020/ "%USERPROFILE%\AppData\Local\Temp\OnboardLogs"\RTDC4020\2017-03-12 --exclude "*" --recursive --include "*20170312*" &amp; "%USERPROFILE%\Documents\GitHub\mrs-test-scripts\Headless Mode &amp; Sideloading\WalkAndUnGZ.bat" "%USERPROFILE%\AppData\Local\Temp\OnboardLogs"\RTDC4020\2017-03-12 &amp; aws s3 cp s3://rtdc.mdm.uploadarchive.raw/RTDC4020/ "%USERPROFILE%\AppData\Local\Temp\OnboardLogs"\RTDC4020\2017-03-13 --exclude "*" --recursive --include "*20170313*" &amp; "%USERPROFILE%\Documents\GitHub\mrs-test-scripts\Headless Mode &amp; Sideloading\WalkAndUnGZ.bat" "%USERPROFILE%\AppData\Local\Temp\OnboardLogs"\RTDC4020\2017-03-13</v>
      </c>
      <c r="S7" s="92" t="str">
        <f>IF(VLOOKUP(C7,'Train Runs'!$A$13:$AE$9946,1,1)=C7,VLOOKUP(C7,'Train Runs'!$A$13:$AE$9946,22,1),NA())</f>
        <v>https://d0f6bd738d7f1b3e5a7ca70fe4ff75f0.us-east-1.aws.found.io/app/kibana#/discover/Steve-Slow-Train-Analysis-(2080s-and-2083s)?_g=(refreshInterval:(display:Off,pause:!f,section:0,value:0),time:(from:'2017-03-12T03:40:05-600',mode:absolute,to:'2017-03-12T06:25:21-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/stypes="*4020*201703121*" /stext=" 10:.+((SYSTEM_STATE.+slice.+state.+changed )|(ment ac)|(multiple cpu faults)|(system.+state.+changed )|(\[timeout)|(PRM\|1\|D)|(kpr)|(kdp)|(\|lc)|(penalty))"</v>
      </c>
      <c r="U7" s="9" t="str">
        <f t="shared" ref="U7:U43" si="2">MID(B7,13,4)</f>
        <v>4020</v>
      </c>
      <c r="V7" s="32">
        <f t="shared" ref="V7:V43" si="3">A7-utc_offset/24</f>
        <v>42806.453657407408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8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C","project_id":79,"tracker_id":40,"status_id":1,"priority_id":2,"assigned_to_id":23,"start_date":"2017-03-12","description":"","custom_fields":[{"id":1,"name":"Subdivision","value":"EC"},{"id":4,"name":"Milepost","value":"3.083"},{"id":17,"name":"Train ID","value":"109-12"},{"id":16,"name":"Locomotive ID","value":"4020"},{"id":130,"name":"Impact","value":""},{"id":150,"name":"Time of Event (Mountain Time)","value":"04:53:16"},{"id":151,"name":"Denver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"%USERPROFILE%\AppData\Local\Temp\OnboardLogs"\RTDC4020\*4020*201703121*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"%USERPROFILE%\AppData\Local\Temp\OnboardLogs"\RTDC4020\*4020*201703121* &gt;&gt; 2017-03-12-SliceDisagreementCheck.txt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2017-03-12</v>
      </c>
    </row>
    <row r="8" spans="1:32" s="1" customFormat="1" x14ac:dyDescent="0.25">
      <c r="A8" s="32">
        <v>42806.564641203702</v>
      </c>
      <c r="B8" s="30" t="s">
        <v>597</v>
      </c>
      <c r="C8" s="30" t="s">
        <v>603</v>
      </c>
      <c r="D8" s="30" t="s">
        <v>49</v>
      </c>
      <c r="E8" s="30" t="s">
        <v>195</v>
      </c>
      <c r="F8" s="43">
        <v>0</v>
      </c>
      <c r="G8" s="43">
        <v>207</v>
      </c>
      <c r="H8" s="43">
        <v>33299</v>
      </c>
      <c r="I8" s="43">
        <v>33113</v>
      </c>
      <c r="J8" s="30" t="s">
        <v>196</v>
      </c>
      <c r="K8" s="43">
        <v>33257</v>
      </c>
      <c r="L8" s="143" t="s">
        <v>51</v>
      </c>
      <c r="M8" s="144">
        <f t="shared" si="0"/>
        <v>-76.031999999999996</v>
      </c>
      <c r="N8" s="145" t="str">
        <f>VLOOKUP(C8,'Trips&amp;Operators'!$C$1:$G$99999,5,FALSE)</f>
        <v>LOCKLEAR TRAVIS</v>
      </c>
      <c r="O8" s="194" t="s">
        <v>185</v>
      </c>
      <c r="P8" s="146" t="s">
        <v>988</v>
      </c>
      <c r="Q8" s="30"/>
      <c r="R8" s="89" t="str">
        <f>IF(VLOOKUP(C8,'Train Runs'!$A$13:$AE$9946,1,1)=C8,VLOOKUP(C8,'Train Runs'!$A$13:$AE$9946,31,1),NA())</f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S8" s="92" t="str">
        <f>IF(VLOOKUP(C8,'Train Runs'!$A$13:$AE$9946,1,1)=C8,VLOOKUP(C8,'Train Runs'!$A$13:$AE$9946,22,1),NA())</f>
        <v>https://d0f6bd738d7f1b3e5a7ca70fe4ff75f0.us-east-1.aws.found.io/app/kibana#/discover/Steve-Slow-Train-Analysis-(2080s-and-2083s)?_g=(refreshInterval:(display:Off,pause:!f,section:0,value:0),time:(from:'2017-03-12T11:47:07-600',mode:absolute,to:'2017-03-12T14:44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8" s="94" t="str">
        <f t="shared" si="1"/>
        <v>"C:\Program Files (x86)\AstroGrep\AstroGrep.exe" /e /r /s /spath="%USERPROFILE%\AppData\Local\Temp\OnboardLogs" /stypes="*4028*201703121*" /stext=" 19:.+((SYSTEM_STATE.+slice.+state.+changed )|(ment ac)|(multiple cpu faults)|(system.+state.+changed )|(\[timeout)|(PRM\|1\|D)|(kpr)|(kdp)|(\|lc)|(penalty))"</v>
      </c>
      <c r="U8" s="9" t="str">
        <f t="shared" si="2"/>
        <v>4028</v>
      </c>
      <c r="V8" s="32">
        <f t="shared" si="3"/>
        <v>42806.814641203702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C","project_id":79,"tracker_id":40,"status_id":1,"priority_id":2,"assigned_to_id":23,"start_date":"2017-03-12","description":"","custom_fields":[{"id":1,"name":"Subdivision","value":"EC"},{"id":4,"name":"Milepost","value":"3.3257"},{"id":17,"name":"Train ID","value":"168-12"},{"id":16,"name":"Locomotive ID","value":"4028"},{"id":130,"name":"Impact","value":""},{"id":150,"name":"Time of Event (Mountain Time)","value":"13:33:05"},{"id":151,"name":"Denver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"%USERPROFILE%\AppData\Local\Temp\OnboardLogs"\RTDC4028\*4028*201703121*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"%USERPROFILE%\AppData\Local\Temp\OnboardLogs"\RTDC4028\*4028*201703121* &gt;&gt; 2017-03-12-SliceDisagreementCheck.txt</v>
      </c>
      <c r="AE8" s="157" t="str">
        <f t="shared" ref="AE8:AE43" si="9">"start /low /b "&amp;dls3logs&amp;" --loco "&amp;U8&amp;" --day "&amp;TEXT(V8,"YYYY-MM-DD")</f>
        <v>start /low /b %USERPROFILE%\Documents\GitHub\eaglep3\Utilities\DownloadLogsFromS3.py --loco 4028 --day 2017-03-12</v>
      </c>
    </row>
    <row r="9" spans="1:32" s="1" customFormat="1" x14ac:dyDescent="0.25">
      <c r="A9" s="32">
        <v>42806.455590277779</v>
      </c>
      <c r="B9" s="30" t="s">
        <v>593</v>
      </c>
      <c r="C9" s="30" t="s">
        <v>594</v>
      </c>
      <c r="D9" s="30" t="s">
        <v>49</v>
      </c>
      <c r="E9" s="30" t="s">
        <v>195</v>
      </c>
      <c r="F9" s="43">
        <v>0</v>
      </c>
      <c r="G9" s="43">
        <v>340</v>
      </c>
      <c r="H9" s="43">
        <v>50266</v>
      </c>
      <c r="I9" s="43">
        <v>49376</v>
      </c>
      <c r="J9" s="30" t="s">
        <v>196</v>
      </c>
      <c r="K9" s="43">
        <v>48048</v>
      </c>
      <c r="L9" s="143" t="s">
        <v>51</v>
      </c>
      <c r="M9" s="144">
        <f t="shared" si="0"/>
        <v>701.18399999999997</v>
      </c>
      <c r="N9" s="145" t="str">
        <f>VLOOKUP(C9,'Trips&amp;Operators'!$C$1:$G$99999,5,FALSE)</f>
        <v>BADERTSCHER DIANE</v>
      </c>
      <c r="O9" s="194" t="s">
        <v>185</v>
      </c>
      <c r="P9" s="146" t="s">
        <v>988</v>
      </c>
      <c r="Q9" s="30"/>
      <c r="R9" s="89" t="str">
        <f>IF(VLOOKUP(C9,'Train Runs'!$A$13:$AE$9946,1,1)=C9,VLOOKUP(C9,'Train Runs'!$A$13:$AE$9946,31,1),NA())</f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S9" s="92" t="str">
        <f>IF(VLOOKUP(C9,'Train Runs'!$A$13:$AE$9946,1,1)=C9,VLOOKUP(C9,'Train Runs'!$A$13:$AE$9946,22,1),NA())</f>
        <v>https://d0f6bd738d7f1b3e5a7ca70fe4ff75f0.us-east-1.aws.found.io/app/kibana#/discover/Steve-Slow-Train-Analysis-(2080s-and-2083s)?_g=(refreshInterval:(display:Off,pause:!f,section:0,value:0),time:(from:'2017-03-12T09:12:46-600',mode:absolute,to:'2017-03-12T12:12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9" s="94" t="str">
        <f t="shared" si="1"/>
        <v>"C:\Program Files (x86)\AstroGrep\AstroGrep.exe" /e /r /s /spath="%USERPROFILE%\AppData\Local\Temp\OnboardLogs" /stypes="*4054*201703121*" /stext=" 16:.+((SYSTEM_STATE.+slice.+state.+changed )|(ment ac)|(multiple cpu faults)|(system.+state.+changed )|(\[timeout)|(PRM\|1\|D)|(kpr)|(kdp)|(\|lc)|(penalty))"</v>
      </c>
      <c r="U9" s="9" t="str">
        <f t="shared" si="2"/>
        <v>4054</v>
      </c>
      <c r="V9" s="32">
        <f t="shared" si="3"/>
        <v>42806.705590277779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C","project_id":79,"tracker_id":40,"status_id":1,"priority_id":2,"assigned_to_id":23,"start_date":"2017-03-12","description":"","custom_fields":[{"id":1,"name":"Subdivision","value":"EC"},{"id":4,"name":"Milepost","value":"4.8048"},{"id":17,"name":"Train ID","value":"148-12"},{"id":16,"name":"Locomotive ID","value":"4054"},{"id":130,"name":"Impact","value":""},{"id":150,"name":"Time of Event (Mountain Time)","value":"10:56:03"},{"id":151,"name":"Denver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"%USERPROFILE%\AppData\Local\Temp\OnboardLogs"\RTDC4054\*4054*201703121*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"%USERPROFILE%\AppData\Local\Temp\OnboardLogs"\RTDC4054\*4054*201703121* &gt;&gt; 2017-03-12-SliceDisagreementCheck.txt</v>
      </c>
      <c r="AE9" s="157" t="str">
        <f t="shared" si="9"/>
        <v>start /low /b %USERPROFILE%\Documents\GitHub\eaglep3\Utilities\DownloadLogsFromS3.py --loco 4054 --day 2017-03-12</v>
      </c>
    </row>
    <row r="10" spans="1:32" s="1" customFormat="1" x14ac:dyDescent="0.25">
      <c r="A10" s="32">
        <v>42806.567986111113</v>
      </c>
      <c r="B10" s="30" t="s">
        <v>584</v>
      </c>
      <c r="C10" s="30" t="s">
        <v>604</v>
      </c>
      <c r="D10" s="30" t="s">
        <v>49</v>
      </c>
      <c r="E10" s="30" t="s">
        <v>195</v>
      </c>
      <c r="F10" s="43">
        <v>0</v>
      </c>
      <c r="G10" s="43">
        <v>426</v>
      </c>
      <c r="H10" s="43">
        <v>50382</v>
      </c>
      <c r="I10" s="43">
        <v>49137</v>
      </c>
      <c r="J10" s="30" t="s">
        <v>196</v>
      </c>
      <c r="K10" s="43">
        <v>48048</v>
      </c>
      <c r="L10" s="143" t="s">
        <v>51</v>
      </c>
      <c r="M10" s="144">
        <f t="shared" si="0"/>
        <v>574.99199999999996</v>
      </c>
      <c r="N10" s="145" t="str">
        <f>VLOOKUP(C10,'Trips&amp;Operators'!$C$1:$G$99999,5,FALSE)</f>
        <v>ROMERO CHAD</v>
      </c>
      <c r="O10" s="194" t="s">
        <v>185</v>
      </c>
      <c r="P10" s="146" t="s">
        <v>988</v>
      </c>
      <c r="Q10" s="30"/>
      <c r="R10" s="89" t="str">
        <f>IF(VLOOKUP(C10,'Train Runs'!$A$13:$AE$9946,1,1)=C10,VLOOKUP(C10,'Train Runs'!$A$13:$AE$9946,31,1),NA())</f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S10" s="92" t="str">
        <f>IF(VLOOKUP(C10,'Train Runs'!$A$13:$AE$9946,1,1)=C10,VLOOKUP(C10,'Train Runs'!$A$13:$AE$9946,22,1),NA())</f>
        <v>https://d0f6bd738d7f1b3e5a7ca70fe4ff75f0.us-east-1.aws.found.io/app/kibana#/discover/Steve-Slow-Train-Analysis-(2080s-and-2083s)?_g=(refreshInterval:(display:Off,pause:!f,section:0,value:0),time:(from:'2017-03-12T11:58:08-600',mode:absolute,to:'2017-03-12T14:51:40-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94" t="str">
        <f t="shared" si="1"/>
        <v>"C:\Program Files (x86)\AstroGrep\AstroGrep.exe" /e /r /s /spath="%USERPROFILE%\AppData\Local\Temp\OnboardLogs" /stypes="*4026*201703121*" /stext=" 19:.+((SYSTEM_STATE.+slice.+state.+changed )|(ment ac)|(multiple cpu faults)|(system.+state.+changed )|(\[timeout)|(PRM\|1\|D)|(kpr)|(kdp)|(\|lc)|(penalty))"</v>
      </c>
      <c r="U10" s="9" t="str">
        <f t="shared" si="2"/>
        <v>4026</v>
      </c>
      <c r="V10" s="32">
        <f t="shared" si="3"/>
        <v>42806.817986111113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C","project_id":79,"tracker_id":40,"status_id":1,"priority_id":2,"assigned_to_id":23,"start_date":"2017-03-12","description":"","custom_fields":[{"id":1,"name":"Subdivision","value":"EC"},{"id":4,"name":"Milepost","value":"4.8048"},{"id":17,"name":"Train ID","value":"170-12"},{"id":16,"name":"Locomotive ID","value":"4026"},{"id":130,"name":"Impact","value":""},{"id":150,"name":"Time of Event (Mountain Time)","value":"13:37:54"},{"id":151,"name":"Denver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"%USERPROFILE%\AppData\Local\Temp\OnboardLogs"\RTDC4026\*4026*201703121*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"%USERPROFILE%\AppData\Local\Temp\OnboardLogs"\RTDC4026\*4026*201703121* &gt;&gt; 2017-03-12-SliceDisagreementCheck.txt</v>
      </c>
      <c r="AE10" s="157" t="str">
        <f t="shared" si="9"/>
        <v>start /low /b %USERPROFILE%\Documents\GitHub\eaglep3\Utilities\DownloadLogsFromS3.py --loco 4026 --day 2017-03-12</v>
      </c>
    </row>
    <row r="11" spans="1:32" s="1" customFormat="1" x14ac:dyDescent="0.25">
      <c r="A11" s="32">
        <v>42806.614606481482</v>
      </c>
      <c r="B11" s="30" t="s">
        <v>414</v>
      </c>
      <c r="C11" s="30" t="s">
        <v>607</v>
      </c>
      <c r="D11" s="30" t="s">
        <v>49</v>
      </c>
      <c r="E11" s="30" t="s">
        <v>195</v>
      </c>
      <c r="F11" s="43">
        <v>0</v>
      </c>
      <c r="G11" s="43">
        <v>83</v>
      </c>
      <c r="H11" s="43">
        <v>48546</v>
      </c>
      <c r="I11" s="43">
        <v>48501</v>
      </c>
      <c r="J11" s="30" t="s">
        <v>196</v>
      </c>
      <c r="K11" s="43">
        <v>48048</v>
      </c>
      <c r="L11" s="143" t="s">
        <v>51</v>
      </c>
      <c r="M11" s="144">
        <f t="shared" si="0"/>
        <v>239.184</v>
      </c>
      <c r="N11" s="145" t="str">
        <f>VLOOKUP(C11,'Trips&amp;Operators'!$C$1:$G$99999,5,FALSE)</f>
        <v>WHITED DUSTIN</v>
      </c>
      <c r="O11" s="194" t="s">
        <v>185</v>
      </c>
      <c r="P11" s="146" t="s">
        <v>988</v>
      </c>
      <c r="Q11" s="30"/>
      <c r="R11" s="89" t="str">
        <f>IF(VLOOKUP(C11,'Train Runs'!$A$13:$AE$9946,1,1)=C11,VLOOKUP(C11,'Train Runs'!$A$13:$AE$9946,31,1),NA())</f>
        <v>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 &amp; 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</v>
      </c>
      <c r="S11" s="92" t="str">
        <f>IF(VLOOKUP(C11,'Train Runs'!$A$13:$AE$9946,1,1)=C11,VLOOKUP(C11,'Train Runs'!$A$13:$AE$9946,22,1),NA())</f>
        <v>https://d0f6bd738d7f1b3e5a7ca70fe4ff75f0.us-east-1.aws.found.io/app/kibana#/discover/Steve-Slow-Train-Analysis-(2080s-and-2083s)?_g=(refreshInterval:(display:Off,pause:!f,section:0,value:0),time:(from:'2017-03-12T13:05:13-600',mode:absolute,to:'2017-03-12T16:04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94" t="str">
        <f t="shared" si="1"/>
        <v>"C:\Program Files (x86)\AstroGrep\AstroGrep.exe" /e /r /s /spath="%USERPROFILE%\AppData\Local\Temp\OnboardLogs" /stypes="*4004*201703122*" /stext=" 20:.+((SYSTEM_STATE.+slice.+state.+changed )|(ment ac)|(multiple cpu faults)|(system.+state.+changed )|(\[timeout)|(PRM\|1\|D)|(kpr)|(kdp)|(\|lc)|(penalty))"</v>
      </c>
      <c r="U11" s="9" t="str">
        <f t="shared" si="2"/>
        <v>4004</v>
      </c>
      <c r="V11" s="32">
        <f t="shared" si="3"/>
        <v>42806.864606481482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C","project_id":79,"tracker_id":40,"status_id":1,"priority_id":2,"assigned_to_id":23,"start_date":"2017-03-12","description":"","custom_fields":[{"id":1,"name":"Subdivision","value":"EC"},{"id":4,"name":"Milepost","value":"4.8048"},{"id":17,"name":"Train ID","value":"178-12"},{"id":16,"name":"Locomotive ID","value":"4004"},{"id":130,"name":"Impact","value":""},{"id":150,"name":"Time of Event (Mountain Time)","value":"14:45:02"},{"id":151,"name":"Denver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"%USERPROFILE%\AppData\Local\Temp\OnboardLogs"\RTDC4004\*4004*201703122*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"%USERPROFILE%\AppData\Local\Temp\OnboardLogs"\RTDC4004\*4004*201703122* &gt;&gt; 2017-03-12-SliceDisagreementCheck.txt</v>
      </c>
      <c r="AE11" s="157" t="str">
        <f t="shared" si="9"/>
        <v>start /low /b %USERPROFILE%\Documents\GitHub\eaglep3\Utilities\DownloadLogsFromS3.py --loco 4004 --day 2017-03-12</v>
      </c>
    </row>
    <row r="12" spans="1:32" s="1" customFormat="1" x14ac:dyDescent="0.25">
      <c r="A12" s="32">
        <v>42806.485243055555</v>
      </c>
      <c r="B12" s="30" t="s">
        <v>597</v>
      </c>
      <c r="C12" s="30" t="s">
        <v>598</v>
      </c>
      <c r="D12" s="30" t="s">
        <v>49</v>
      </c>
      <c r="E12" s="30" t="s">
        <v>195</v>
      </c>
      <c r="F12" s="43">
        <v>350</v>
      </c>
      <c r="G12" s="43">
        <v>409</v>
      </c>
      <c r="H12" s="43">
        <v>59299</v>
      </c>
      <c r="I12" s="43">
        <v>58288</v>
      </c>
      <c r="J12" s="30" t="s">
        <v>196</v>
      </c>
      <c r="K12" s="43">
        <v>58301</v>
      </c>
      <c r="L12" s="143" t="s">
        <v>51</v>
      </c>
      <c r="M12" s="144">
        <f t="shared" si="0"/>
        <v>-6.8639999999999999</v>
      </c>
      <c r="N12" s="145" t="str">
        <f>VLOOKUP(C12,'Trips&amp;Operators'!$C$1:$G$99999,5,FALSE)</f>
        <v>DELGADO DIANAH</v>
      </c>
      <c r="O12" s="194" t="s">
        <v>185</v>
      </c>
      <c r="P12" s="146" t="s">
        <v>981</v>
      </c>
      <c r="Q12" s="30"/>
      <c r="R12" s="89" t="str">
        <f>IF(VLOOKUP(C12,'Train Runs'!$A$13:$AE$9946,1,1)=C12,VLOOKUP(C12,'Train Runs'!$A$13:$AE$9946,31,1),NA())</f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S12" s="92" t="str">
        <f>IF(VLOOKUP(C12,'Train Runs'!$A$13:$AE$9946,1,1)=C12,VLOOKUP(C12,'Train Runs'!$A$13:$AE$9946,22,1),NA())</f>
        <v>https://d0f6bd738d7f1b3e5a7ca70fe4ff75f0.us-east-1.aws.found.io/app/kibana#/discover/Steve-Slow-Train-Analysis-(2080s-and-2083s)?_g=(refreshInterval:(display:Off,pause:!f,section:0,value:0),time:(from:'2017-03-12T10:01:45-600',mode:absolute,to:'2017-03-12T12:55:59-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94" t="str">
        <f t="shared" si="1"/>
        <v>"C:\Program Files (x86)\AstroGrep\AstroGrep.exe" /e /r /s /spath="%USERPROFILE%\AppData\Local\Temp\OnboardLogs" /stypes="*4028*201703121*" /stext=" 17:.+((SYSTEM_STATE.+slice.+state.+changed )|(ment ac)|(multiple cpu faults)|(system.+state.+changed )|(\[timeout)|(PRM\|1\|D)|(kpr)|(kdp)|(\|lc)|(penalty))"</v>
      </c>
      <c r="U12" s="9" t="str">
        <f t="shared" si="2"/>
        <v>4028</v>
      </c>
      <c r="V12" s="32">
        <f t="shared" si="3"/>
        <v>42806.735243055555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arrival","project_id":79,"tracker_id":40,"status_id":1,"priority_id":2,"assigned_to_id":23,"start_date":"2017-03-12","description":"","custom_fields":[{"id":1,"name":"Subdivision","value":"EC"},{"id":4,"name":"Milepost","value":"5.8301"},{"id":17,"name":"Train ID","value":"154-12"},{"id":16,"name":"Locomotive ID","value":"4028"},{"id":130,"name":"Impact","value":""},{"id":150,"name":"Time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"%USERPROFILE%\AppData\Local\Temp\OnboardLogs"\RTDC4028\*4028*201703121*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"%USERPROFILE%\AppData\Local\Temp\OnboardLogs"\RTDC4028\*4028*201703121* &gt;&gt; 2017-03-12-SliceDisagreementCheck.txt</v>
      </c>
      <c r="AE12" s="157" t="str">
        <f t="shared" si="9"/>
        <v>start /low /b %USERPROFILE%\Documents\GitHub\eaglep3\Utilities\DownloadLogsFromS3.py --loco 4028 --day 2017-03-12</v>
      </c>
    </row>
    <row r="13" spans="1:32" s="1" customFormat="1" x14ac:dyDescent="0.25">
      <c r="A13" s="32">
        <v>42806.405740740738</v>
      </c>
      <c r="B13" s="30" t="s">
        <v>590</v>
      </c>
      <c r="C13" s="30" t="s">
        <v>591</v>
      </c>
      <c r="D13" s="30" t="s">
        <v>49</v>
      </c>
      <c r="E13" s="30" t="s">
        <v>195</v>
      </c>
      <c r="F13" s="43">
        <v>410</v>
      </c>
      <c r="G13" s="43">
        <v>476</v>
      </c>
      <c r="H13" s="43">
        <v>61933</v>
      </c>
      <c r="I13" s="43">
        <v>63488</v>
      </c>
      <c r="J13" s="30" t="s">
        <v>196</v>
      </c>
      <c r="K13" s="43">
        <v>63069</v>
      </c>
      <c r="L13" s="143" t="s">
        <v>50</v>
      </c>
      <c r="M13" s="144">
        <f t="shared" si="0"/>
        <v>-221.232</v>
      </c>
      <c r="N13" s="145" t="str">
        <f>VLOOKUP(C13,'Trips&amp;Operators'!$C$1:$G$99999,5,FALSE)</f>
        <v>BADERTSCHER DIANE</v>
      </c>
      <c r="O13" s="194" t="s">
        <v>185</v>
      </c>
      <c r="P13" s="146" t="s">
        <v>981</v>
      </c>
      <c r="Q13" s="30"/>
      <c r="R13" s="89" t="str">
        <f>IF(VLOOKUP(C13,'Train Runs'!$A$13:$AE$9946,1,1)=C13,VLOOKUP(C13,'Train Runs'!$A$13:$AE$9946,31,1),NA())</f>
        <v>aws s3 cp s3://rtdc.mdm.uploadarchive.raw/RTDC4053/ "%USERPROFILE%\AppData\Local\Temp\OnboardLogs"\RTDC4053\2017-03-12 --exclude "*" --recursive --include "*20170312*" &amp; "%USERPROFILE%\Documents\GitHub\mrs-test-scripts\Headless Mode &amp; Sideloading\WalkAndUnGZ.bat" "%USERPROFILE%\AppData\Local\Temp\OnboardLogs"\RTDC4053\2017-03-12 &amp; aws s3 cp s3://rtdc.mdm.uploadarchive.raw/RTDC4053/ "%USERPROFILE%\AppData\Local\Temp\OnboardLogs"\RTDC4053\2017-03-13 --exclude "*" --recursive --include "*20170313*" &amp; "%USERPROFILE%\Documents\GitHub\mrs-test-scripts\Headless Mode &amp; Sideloading\WalkAndUnGZ.bat" "%USERPROFILE%\AppData\Local\Temp\OnboardLogs"\RTDC4053\2017-03-13</v>
      </c>
      <c r="S13" s="92" t="str">
        <f>IF(VLOOKUP(C13,'Train Runs'!$A$13:$AE$9946,1,1)=C13,VLOOKUP(C13,'Train Runs'!$A$13:$AE$9946,22,1),NA())</f>
        <v>https://d0f6bd738d7f1b3e5a7ca70fe4ff75f0.us-east-1.aws.found.io/app/kibana#/discover/Steve-Slow-Train-Analysis-(2080s-and-2083s)?_g=(refreshInterval:(display:Off,pause:!f,section:0,value:0),time:(from:'2017-03-12T08:25:40-600',mode:absolute,to:'2017-03-12T11:09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94" t="str">
        <f t="shared" si="1"/>
        <v>"C:\Program Files (x86)\AstroGrep\AstroGrep.exe" /e /r /s /spath="%USERPROFILE%\AppData\Local\Temp\OnboardLogs" /stypes="*4053*201703121*" /stext=" 15:.+((SYSTEM_STATE.+slice.+state.+changed )|(ment ac)|(multiple cpu faults)|(system.+state.+changed )|(\[timeout)|(PRM\|1\|D)|(kpr)|(kdp)|(\|lc)|(penalty))"</v>
      </c>
      <c r="U13" s="9" t="str">
        <f t="shared" si="2"/>
        <v>4053</v>
      </c>
      <c r="V13" s="32">
        <f t="shared" si="3"/>
        <v>42806.655740740738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arrival","project_id":79,"tracker_id":40,"status_id":1,"priority_id":2,"assigned_to_id":23,"start_date":"2017-03-12","description":"","custom_fields":[{"id":1,"name":"Subdivision","value":"EC"},{"id":4,"name":"Milepost","value":"6.3069"},{"id":17,"name":"Train ID","value":"147-12"},{"id":16,"name":"Locomotive ID","value":"4053"},{"id":130,"name":"Impact","value":""},{"id":150,"name":"Time of Event (Mountain Time)","value":"09:44:16"},{"id":151,"name":"Denver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"%USERPROFILE%\AppData\Local\Temp\OnboardLogs"\RTDC4053\*4053*201703121*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"%USERPROFILE%\AppData\Local\Temp\OnboardLogs"\RTDC4053\*4053*201703121* &gt;&gt; 2017-03-12-SliceDisagreementCheck.txt</v>
      </c>
      <c r="AE13" s="157" t="str">
        <f t="shared" si="9"/>
        <v>start /low /b %USERPROFILE%\Documents\GitHub\eaglep3\Utilities\DownloadLogsFromS3.py --loco 4053 --day 2017-03-12</v>
      </c>
    </row>
    <row r="14" spans="1:32" x14ac:dyDescent="0.25">
      <c r="A14" s="32">
        <v>42806.660740740743</v>
      </c>
      <c r="B14" s="30" t="s">
        <v>514</v>
      </c>
      <c r="C14" s="30" t="s">
        <v>610</v>
      </c>
      <c r="D14" s="30" t="s">
        <v>98</v>
      </c>
      <c r="E14" s="30" t="s">
        <v>195</v>
      </c>
      <c r="F14" s="43">
        <v>0</v>
      </c>
      <c r="G14" s="43">
        <v>85</v>
      </c>
      <c r="H14" s="43">
        <v>63298</v>
      </c>
      <c r="I14" s="43">
        <v>63227</v>
      </c>
      <c r="J14" s="30" t="s">
        <v>196</v>
      </c>
      <c r="K14" s="43">
        <v>63309</v>
      </c>
      <c r="L14" s="143" t="s">
        <v>51</v>
      </c>
      <c r="M14" s="144">
        <f t="shared" si="0"/>
        <v>-43.296000000000006</v>
      </c>
      <c r="N14" s="145" t="str">
        <f>VLOOKUP(C14,'Trips&amp;Operators'!$C$1:$G$99999,5,FALSE)</f>
        <v>MACDONALD THOMAS</v>
      </c>
      <c r="O14" s="194" t="s">
        <v>185</v>
      </c>
      <c r="P14" s="146" t="s">
        <v>981</v>
      </c>
      <c r="Q14" s="30"/>
      <c r="R14" s="89" t="e">
        <f>IF(VLOOKUP(C14,'Train Runs'!$A$13:$AE$9946,1,1)=C14,VLOOKUP(C14,'Train Runs'!$A$13:$AE$9946,31,1),NA())</f>
        <v>#N/A</v>
      </c>
      <c r="S14" s="92" t="e">
        <f>IF(VLOOKUP(C14,'Train Runs'!$A$13:$AE$9946,1,1)=C14,VLOOKUP(C14,'Train Runs'!$A$13:$AE$9946,22,1),NA())</f>
        <v>#N/A</v>
      </c>
      <c r="T14" s="94" t="str">
        <f t="shared" si="1"/>
        <v>"C:\Program Files (x86)\AstroGrep\AstroGrep.exe" /e /r /s /spath="%USERPROFILE%\AppData\Local\Temp\OnboardLogs" /stypes="*4017*201703122*" /stext=" 21:.+((SYSTEM_STATE.+slice.+state.+changed )|(ment ac)|(multiple cpu faults)|(system.+state.+changed )|(\[timeout)|(PRM\|1\|D)|(kpr)|(kdp)|(\|lc)|(penalty))"</v>
      </c>
      <c r="U14" s="9" t="str">
        <f t="shared" si="2"/>
        <v>4017</v>
      </c>
      <c r="V14" s="32">
        <f t="shared" si="3"/>
        <v>42806.910740740743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arrival","project_id":79,"tracker_id":40,"status_id":1,"priority_id":2,"assigned_to_id":23,"start_date":"2017-03-12","description":"","custom_fields":[{"id":1,"name":"Subdivision","value":"EC"},{"id":4,"name":"Milepost","value":"6.3309"},{"id":17,"name":"Train ID","value":"188-12"},{"id":16,"name":"Locomotive ID","value":"4017"},{"id":130,"name":"Impact","value":""},{"id":150,"name":"Time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"%USERPROFILE%\AppData\Local\Temp\OnboardLogs"\RTDC4017\*4017*201703122*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"%USERPROFILE%\AppData\Local\Temp\OnboardLogs"\RTDC4017\*4017*201703122* &gt;&gt; 2017-03-12-SliceDisagreementCheck.txt</v>
      </c>
      <c r="AE14" s="157" t="str">
        <f t="shared" si="9"/>
        <v>start /low /b %USERPROFILE%\Documents\GitHub\eaglep3\Utilities\DownloadLogsFromS3.py --loco 4017 --day 2017-03-12</v>
      </c>
      <c r="AF14" s="1"/>
    </row>
    <row r="15" spans="1:32" x14ac:dyDescent="0.25">
      <c r="A15" s="32">
        <v>42806.71334490741</v>
      </c>
      <c r="B15" s="30" t="s">
        <v>413</v>
      </c>
      <c r="C15" s="30" t="s">
        <v>611</v>
      </c>
      <c r="D15" s="30" t="s">
        <v>49</v>
      </c>
      <c r="E15" s="30" t="s">
        <v>195</v>
      </c>
      <c r="F15" s="43">
        <v>100</v>
      </c>
      <c r="G15" s="43">
        <v>153</v>
      </c>
      <c r="H15" s="43">
        <v>63983</v>
      </c>
      <c r="I15" s="43">
        <v>63774</v>
      </c>
      <c r="J15" s="30" t="s">
        <v>196</v>
      </c>
      <c r="K15" s="43">
        <v>63309</v>
      </c>
      <c r="L15" s="143" t="s">
        <v>51</v>
      </c>
      <c r="M15" s="144">
        <f t="shared" si="0"/>
        <v>245.52</v>
      </c>
      <c r="N15" s="145" t="str">
        <f>VLOOKUP(C15,'Trips&amp;Operators'!$C$1:$G$99999,5,FALSE)</f>
        <v>NELSON ARIANE</v>
      </c>
      <c r="O15" s="194" t="s">
        <v>185</v>
      </c>
      <c r="P15" s="146" t="s">
        <v>981</v>
      </c>
      <c r="Q15" s="30"/>
      <c r="R15" s="89" t="e">
        <f>IF(VLOOKUP(C15,'Train Runs'!$A$13:$AE$9946,1,1)=C15,VLOOKUP(C15,'Train Runs'!$A$13:$AE$9946,31,1),NA())</f>
        <v>#N/A</v>
      </c>
      <c r="S15" s="92" t="e">
        <f>IF(VLOOKUP(C15,'Train Runs'!$A$13:$AE$9946,1,1)=C15,VLOOKUP(C15,'Train Runs'!$A$13:$AE$9946,22,1),NA())</f>
        <v>#N/A</v>
      </c>
      <c r="T15" s="94" t="str">
        <f t="shared" si="1"/>
        <v>"C:\Program Files (x86)\AstroGrep\AstroGrep.exe" /e /r /s /spath="%USERPROFILE%\AppData\Local\Temp\OnboardLogs" /stypes="*4019*201703122*" /stext=" 23:.+((SYSTEM_STATE.+slice.+state.+changed )|(ment ac)|(multiple cpu faults)|(system.+state.+changed )|(\[timeout)|(PRM\|1\|D)|(kpr)|(kdp)|(\|lc)|(penalty))"</v>
      </c>
      <c r="U15" s="9" t="str">
        <f t="shared" si="2"/>
        <v>4019</v>
      </c>
      <c r="V15" s="32">
        <f t="shared" si="3"/>
        <v>42806.96334490741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arrival","project_id":79,"tracker_id":40,"status_id":1,"priority_id":2,"assigned_to_id":23,"start_date":"2017-03-12","description":"","custom_fields":[{"id":1,"name":"Subdivision","value":"EC"},{"id":4,"name":"Milepost","value":"6.3309"},{"id":17,"name":"Train ID","value":"198-12"},{"id":16,"name":"Locomotive ID","value":"4019"},{"id":130,"name":"Impact","value":""},{"id":150,"name":"Time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"%USERPROFILE%\AppData\Local\Temp\OnboardLogs"\RTDC4019\*4019*201703122*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"%USERPROFILE%\AppData\Local\Temp\OnboardLogs"\RTDC4019\*4019*201703122* &gt;&gt; 2017-03-12-SliceDisagreementCheck.txt</v>
      </c>
      <c r="AE15" s="157" t="str">
        <f t="shared" si="9"/>
        <v>start /low /b %USERPROFILE%\Documents\GitHub\eaglep3\Utilities\DownloadLogsFromS3.py --loco 4019 --day 2017-03-12</v>
      </c>
      <c r="AF15" s="1"/>
    </row>
    <row r="16" spans="1:32" x14ac:dyDescent="0.25">
      <c r="A16" s="32">
        <v>42806.506620370368</v>
      </c>
      <c r="B16" s="30" t="s">
        <v>514</v>
      </c>
      <c r="C16" s="30" t="s">
        <v>600</v>
      </c>
      <c r="D16" s="30" t="s">
        <v>49</v>
      </c>
      <c r="E16" s="30" t="s">
        <v>195</v>
      </c>
      <c r="F16" s="43">
        <v>160</v>
      </c>
      <c r="G16" s="43">
        <v>210</v>
      </c>
      <c r="H16" s="43">
        <v>63629</v>
      </c>
      <c r="I16" s="43">
        <v>63286</v>
      </c>
      <c r="J16" s="30" t="s">
        <v>196</v>
      </c>
      <c r="K16" s="43">
        <v>63309</v>
      </c>
      <c r="L16" s="143" t="s">
        <v>51</v>
      </c>
      <c r="M16" s="144">
        <f t="shared" si="0"/>
        <v>-12.144</v>
      </c>
      <c r="N16" s="145" t="str">
        <f>VLOOKUP(C16,'Trips&amp;Operators'!$C$1:$G$99999,5,FALSE)</f>
        <v>SHOOK JOHN</v>
      </c>
      <c r="O16" s="194" t="s">
        <v>185</v>
      </c>
      <c r="P16" s="146" t="s">
        <v>981</v>
      </c>
      <c r="Q16" s="30"/>
      <c r="R16" s="89" t="str">
        <f>IF(VLOOKUP(C16,'Train Runs'!$A$13:$AE$9946,1,1)=C16,VLOOKUP(C16,'Train Runs'!$A$13:$AE$9946,31,1),NA())</f>
        <v>aws s3 cp s3://rtdc.mdm.uploadarchive.raw/RTDC4017/ "%USERPROFILE%\AppData\Local\Temp\OnboardLogs"\RTDC4017\2017-03-12 --exclude "*" --recursive --include "*20170312*" &amp; "%USERPROFILE%\Documents\GitHub\mrs-test-scripts\Headless Mode &amp; Sideloading\WalkAndUnGZ.bat" "%USERPROFILE%\AppData\Local\Temp\OnboardLogs"\RTDC4017\2017-03-12 &amp; aws s3 cp s3://rtdc.mdm.uploadarchive.raw/RTDC4017/ "%USERPROFILE%\AppData\Local\Temp\OnboardLogs"\RTDC4017\2017-03-13 --exclude "*" --recursive --include "*20170313*" &amp; "%USERPROFILE%\Documents\GitHub\mrs-test-scripts\Headless Mode &amp; Sideloading\WalkAndUnGZ.bat" "%USERPROFILE%\AppData\Local\Temp\OnboardLogs"\RTDC4017\2017-03-13</v>
      </c>
      <c r="S16" s="92" t="str">
        <f>IF(VLOOKUP(C16,'Train Runs'!$A$13:$AE$9946,1,1)=C16,VLOOKUP(C16,'Train Runs'!$A$13:$AE$9946,22,1),NA())</f>
        <v>https://d0f6bd738d7f1b3e5a7ca70fe4ff75f0.us-east-1.aws.found.io/app/kibana#/discover/Steve-Slow-Train-Analysis-(2080s-and-2083s)?_g=(refreshInterval:(display:Off,pause:!f,section:0,value:0),time:(from:'2017-03-12T10:38:25-600',mode:absolute,to:'2017-03-12T13:27:35-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94" t="str">
        <f t="shared" si="1"/>
        <v>"C:\Program Files (x86)\AstroGrep\AstroGrep.exe" /e /r /s /spath="%USERPROFILE%\AppData\Local\Temp\OnboardLogs" /stypes="*4017*201703121*" /stext=" 18:.+((SYSTEM_STATE.+slice.+state.+changed )|(ment ac)|(multiple cpu faults)|(system.+state.+changed )|(\[timeout)|(PRM\|1\|D)|(kpr)|(kdp)|(\|lc)|(penalty))"</v>
      </c>
      <c r="U16" s="9" t="str">
        <f t="shared" si="2"/>
        <v>4017</v>
      </c>
      <c r="V16" s="32">
        <f t="shared" si="3"/>
        <v>42806.756620370368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arrival","project_id":79,"tracker_id":40,"status_id":1,"priority_id":2,"assigned_to_id":23,"start_date":"2017-03-12","description":"","custom_fields":[{"id":1,"name":"Subdivision","value":"EC"},{"id":4,"name":"Milepost","value":"6.3309"},{"id":17,"name":"Train ID","value":"158-12"},{"id":16,"name":"Locomotive ID","value":"4017"},{"id":130,"name":"Impact","value":""},{"id":150,"name":"Time of Event (Mountain Time)","value":"12:09:32"},{"id":151,"name":"Denver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"%USERPROFILE%\AppData\Local\Temp\OnboardLogs"\RTDC4017\*4017*201703121*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"%USERPROFILE%\AppData\Local\Temp\OnboardLogs"\RTDC4017\*4017*201703121* &gt;&gt; 2017-03-12-SliceDisagreementCheck.txt</v>
      </c>
      <c r="AE16" s="157" t="str">
        <f t="shared" si="9"/>
        <v>start /low /b %USERPROFILE%\Documents\GitHub\eaglep3\Utilities\DownloadLogsFromS3.py --loco 4017 --day 2017-03-12</v>
      </c>
      <c r="AF16" s="1"/>
    </row>
    <row r="17" spans="1:32" x14ac:dyDescent="0.25">
      <c r="A17" s="32">
        <v>42806.625439814816</v>
      </c>
      <c r="B17" s="30" t="s">
        <v>593</v>
      </c>
      <c r="C17" s="30" t="s">
        <v>608</v>
      </c>
      <c r="D17" s="30" t="s">
        <v>49</v>
      </c>
      <c r="E17" s="30" t="s">
        <v>195</v>
      </c>
      <c r="F17" s="43">
        <v>170</v>
      </c>
      <c r="G17" s="43">
        <v>225</v>
      </c>
      <c r="H17" s="43">
        <v>63711</v>
      </c>
      <c r="I17" s="43">
        <v>63185</v>
      </c>
      <c r="J17" s="30" t="s">
        <v>196</v>
      </c>
      <c r="K17" s="43">
        <v>63309</v>
      </c>
      <c r="L17" s="143" t="s">
        <v>51</v>
      </c>
      <c r="M17" s="144">
        <f t="shared" si="0"/>
        <v>-65.471999999999994</v>
      </c>
      <c r="N17" s="145" t="str">
        <f>VLOOKUP(C17,'Trips&amp;Operators'!$C$1:$G$99999,5,FALSE)</f>
        <v>DAVIS MICHAEL</v>
      </c>
      <c r="O17" s="194" t="s">
        <v>185</v>
      </c>
      <c r="P17" s="146" t="s">
        <v>981</v>
      </c>
      <c r="Q17" s="30"/>
      <c r="R17" s="89" t="str">
        <f>IF(VLOOKUP(C17,'Train Runs'!$A$13:$AE$9946,1,1)=C17,VLOOKUP(C17,'Train Runs'!$A$13:$AE$9946,31,1),NA())</f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S17" s="92" t="str">
        <f>IF(VLOOKUP(C17,'Train Runs'!$A$13:$AE$9946,1,1)=C17,VLOOKUP(C17,'Train Runs'!$A$13:$AE$9946,22,1),NA())</f>
        <v>https://d0f6bd738d7f1b3e5a7ca70fe4ff75f0.us-east-1.aws.found.io/app/kibana#/discover/Steve-Slow-Train-Analysis-(2080s-and-2083s)?_g=(refreshInterval:(display:Off,pause:!f,section:0,value:0),time:(from:'2017-03-12T13:22:30-600',mode:absolute,to:'2017-03-12T16:18:47-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94" t="str">
        <f t="shared" si="1"/>
        <v>"C:\Program Files (x86)\AstroGrep\AstroGrep.exe" /e /r /s /spath="%USERPROFILE%\AppData\Local\Temp\OnboardLogs" /stypes="*4054*201703122*" /stext=" 21:.+((SYSTEM_STATE.+slice.+state.+changed )|(ment ac)|(multiple cpu faults)|(system.+state.+changed )|(\[timeout)|(PRM\|1\|D)|(kpr)|(kdp)|(\|lc)|(penalty))"</v>
      </c>
      <c r="U17" s="9" t="str">
        <f t="shared" si="2"/>
        <v>4054</v>
      </c>
      <c r="V17" s="32">
        <f t="shared" si="3"/>
        <v>42806.875439814816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arrival","project_id":79,"tracker_id":40,"status_id":1,"priority_id":2,"assigned_to_id":23,"start_date":"2017-03-12","description":"","custom_fields":[{"id":1,"name":"Subdivision","value":"EC"},{"id":4,"name":"Milepost","value":"6.3309"},{"id":17,"name":"Train ID","value":"180-12"},{"id":16,"name":"Locomotive ID","value":"4054"},{"id":130,"name":"Impact","value":""},{"id":150,"name":"Time of Event (Mountain Time)","value":"15:00:38"},{"id":151,"name":"Denver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"%USERPROFILE%\AppData\Local\Temp\OnboardLogs"\RTDC4054\*4054*201703122*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"%USERPROFILE%\AppData\Local\Temp\OnboardLogs"\RTDC4054\*4054*201703122* &gt;&gt; 2017-03-12-SliceDisagreementCheck.txt</v>
      </c>
      <c r="AE17" s="157" t="str">
        <f t="shared" si="9"/>
        <v>start /low /b %USERPROFILE%\Documents\GitHub\eaglep3\Utilities\DownloadLogsFromS3.py --loco 4054 --day 2017-03-12</v>
      </c>
      <c r="AF17" s="1"/>
    </row>
    <row r="18" spans="1:32" ht="15" customHeight="1" x14ac:dyDescent="0.25">
      <c r="A18" s="32">
        <v>42806.523020833331</v>
      </c>
      <c r="B18" s="30" t="s">
        <v>601</v>
      </c>
      <c r="C18" s="30" t="s">
        <v>602</v>
      </c>
      <c r="D18" s="30" t="s">
        <v>49</v>
      </c>
      <c r="E18" s="30" t="s">
        <v>195</v>
      </c>
      <c r="F18" s="43">
        <v>0</v>
      </c>
      <c r="G18" s="43">
        <v>570</v>
      </c>
      <c r="H18" s="43">
        <v>74434</v>
      </c>
      <c r="I18" s="43">
        <v>76484</v>
      </c>
      <c r="J18" s="30" t="s">
        <v>196</v>
      </c>
      <c r="K18" s="43">
        <v>78349</v>
      </c>
      <c r="L18" s="143" t="s">
        <v>50</v>
      </c>
      <c r="M18" s="144">
        <f t="shared" si="0"/>
        <v>984.72</v>
      </c>
      <c r="N18" s="145" t="str">
        <f>VLOOKUP(C18,'Trips&amp;Operators'!$C$1:$G$99999,5,FALSE)</f>
        <v>ROMERO CHAD</v>
      </c>
      <c r="O18" s="194" t="s">
        <v>185</v>
      </c>
      <c r="P18" s="146" t="s">
        <v>988</v>
      </c>
      <c r="Q18" s="30"/>
      <c r="R18" s="89" t="str">
        <f>IF(VLOOKUP(C18,'Train Runs'!$A$13:$AE$9946,1,1)=C18,VLOOKUP(C18,'Train Runs'!$A$13:$AE$9946,31,1),NA())</f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S18" s="92" t="str">
        <f>IF(VLOOKUP(C18,'Train Runs'!$A$13:$AE$9946,1,1)=C18,VLOOKUP(C18,'Train Runs'!$A$13:$AE$9946,22,1),NA())</f>
        <v>https://d0f6bd738d7f1b3e5a7ca70fe4ff75f0.us-east-1.aws.found.io/app/kibana#/discover/Steve-Slow-Train-Analysis-(2080s-and-2083s)?_g=(refreshInterval:(display:Off,pause:!f,section:0,value:0),time:(from:'2017-03-12T11:07:25-600',mode:absolute,to:'2017-03-12T13:55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 t="shared" si="1"/>
        <v>"C:\Program Files (x86)\AstroGrep\AstroGrep.exe" /e /r /s /spath="%USERPROFILE%\AppData\Local\Temp\OnboardLogs" /stypes="*4025*201703121*" /stext=" 18:.+((SYSTEM_STATE.+slice.+state.+changed )|(ment ac)|(multiple cpu faults)|(system.+state.+changed )|(\[timeout)|(PRM\|1\|D)|(kpr)|(kdp)|(\|lc)|(penalty))"</v>
      </c>
      <c r="U18" s="9" t="str">
        <f t="shared" si="2"/>
        <v>4025</v>
      </c>
      <c r="V18" s="32">
        <f t="shared" si="3"/>
        <v>42806.773020833331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{"issue":{"subject":"Form C","project_id":79,"tracker_id":40,"status_id":1,"priority_id":2,"assigned_to_id":23,"start_date":"2017-03-12","description":"","custom_fields":[{"id":1,"name":"Subdivision","value":"EC"},{"id":4,"name":"Milepost","value":"7.8349"},{"id":17,"name":"Train ID","value":"169-12"},{"id":16,"name":"Locomotive ID","value":"4025"},{"id":130,"name":"Impact","value":""},{"id":150,"name":"Time of Event (Mountain Time)","value":"12:33:09"},{"id":151,"name":"Denver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"%USERPROFILE%\AppData\Local\Temp\OnboardLogs"\RTDC4025\*4025*201703121*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"%USERPROFILE%\AppData\Local\Temp\OnboardLogs"\RTDC4025\*4025*201703121* &gt;&gt; 2017-03-12-SliceDisagreementCheck.txt</v>
      </c>
      <c r="AE18" s="157" t="str">
        <f t="shared" si="9"/>
        <v>start /low /b %USERPROFILE%\Documents\GitHub\eaglep3\Utilities\DownloadLogsFromS3.py --loco 4025 --day 2017-03-12</v>
      </c>
      <c r="AF18" s="1"/>
    </row>
    <row r="19" spans="1:32" x14ac:dyDescent="0.25">
      <c r="A19" s="32">
        <v>42806.655266203707</v>
      </c>
      <c r="B19" s="30" t="s">
        <v>514</v>
      </c>
      <c r="C19" s="30" t="s">
        <v>610</v>
      </c>
      <c r="D19" s="30" t="s">
        <v>49</v>
      </c>
      <c r="E19" s="30" t="s">
        <v>195</v>
      </c>
      <c r="F19" s="43">
        <v>0</v>
      </c>
      <c r="G19" s="43">
        <v>404</v>
      </c>
      <c r="H19" s="43">
        <v>109550</v>
      </c>
      <c r="I19" s="43">
        <v>108562</v>
      </c>
      <c r="J19" s="30" t="s">
        <v>196</v>
      </c>
      <c r="K19" s="43">
        <v>109135</v>
      </c>
      <c r="L19" s="143" t="s">
        <v>51</v>
      </c>
      <c r="M19" s="144">
        <f t="shared" si="0"/>
        <v>-302.54399999999998</v>
      </c>
      <c r="N19" s="145" t="str">
        <f>VLOOKUP(C19,'Trips&amp;Operators'!$C$1:$G$99999,5,FALSE)</f>
        <v>MACDONALD THOMAS</v>
      </c>
      <c r="O19" s="194" t="s">
        <v>185</v>
      </c>
      <c r="P19" s="146" t="s">
        <v>981</v>
      </c>
      <c r="Q19" s="30"/>
      <c r="R19" s="89" t="e">
        <f>IF(VLOOKUP(C19,'Train Runs'!$A$13:$AE$9946,1,1)=C19,VLOOKUP(C19,'Train Runs'!$A$13:$AE$9946,31,1),NA())</f>
        <v>#N/A</v>
      </c>
      <c r="S19" s="92" t="e">
        <f>IF(VLOOKUP(C19,'Train Runs'!$A$13:$AE$9946,1,1)=C19,VLOOKUP(C19,'Train Runs'!$A$13:$AE$9946,22,1),NA())</f>
        <v>#N/A</v>
      </c>
      <c r="T19" s="94" t="str">
        <f t="shared" si="1"/>
        <v>"C:\Program Files (x86)\AstroGrep\AstroGrep.exe" /e /r /s /spath="%USERPROFILE%\AppData\Local\Temp\OnboardLogs" /stypes="*4017*201703122*" /stext=" 21:.+((SYSTEM_STATE.+slice.+state.+changed )|(ment ac)|(multiple cpu faults)|(system.+state.+changed )|(\[timeout)|(PRM\|1\|D)|(kpr)|(kdp)|(\|lc)|(penalty))"</v>
      </c>
      <c r="U19" s="9" t="str">
        <f t="shared" si="2"/>
        <v>4017</v>
      </c>
      <c r="V19" s="32">
        <f t="shared" si="3"/>
        <v>42806.905266203707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arrival","project_id":79,"tracker_id":40,"status_id":1,"priority_id":2,"assigned_to_id":23,"start_date":"2017-03-12","description":"","custom_fields":[{"id":1,"name":"Subdivision","value":"EC"},{"id":4,"name":"Milepost","value":"10.9135"},{"id":17,"name":"Train ID","value":"188-12"},{"id":16,"name":"Locomotive ID","value":"4017"},{"id":130,"name":"Impact","value":""},{"id":150,"name":"Time of Event (Mountain Time)","value":"15:43:35"},{"id":151,"name":"Denver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"%USERPROFILE%\AppData\Local\Temp\OnboardLogs"\RTDC4017\*4017*201703122*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"%USERPROFILE%\AppData\Local\Temp\OnboardLogs"\RTDC4017\*4017*201703122* &gt;&gt; 2017-03-12-SliceDisagreementCheck.txt</v>
      </c>
      <c r="AE19" s="157" t="str">
        <f t="shared" si="9"/>
        <v>start /low /b %USERPROFILE%\Documents\GitHub\eaglep3\Utilities\DownloadLogsFromS3.py --loco 4017 --day 2017-03-12</v>
      </c>
      <c r="AF19" s="1"/>
    </row>
    <row r="20" spans="1:32" x14ac:dyDescent="0.25">
      <c r="A20" s="32">
        <v>42806.384189814817</v>
      </c>
      <c r="B20" s="30" t="s">
        <v>587</v>
      </c>
      <c r="C20" s="30" t="s">
        <v>588</v>
      </c>
      <c r="D20" s="30" t="s">
        <v>49</v>
      </c>
      <c r="E20" s="30" t="s">
        <v>195</v>
      </c>
      <c r="F20" s="43">
        <v>370</v>
      </c>
      <c r="G20" s="43">
        <v>421</v>
      </c>
      <c r="H20" s="43">
        <v>110255</v>
      </c>
      <c r="I20" s="43">
        <v>108795</v>
      </c>
      <c r="J20" s="30" t="s">
        <v>196</v>
      </c>
      <c r="K20" s="43">
        <v>109135</v>
      </c>
      <c r="L20" s="143" t="s">
        <v>51</v>
      </c>
      <c r="M20" s="144">
        <f t="shared" si="0"/>
        <v>-179.52</v>
      </c>
      <c r="N20" s="145" t="str">
        <f>VLOOKUP(C20,'Trips&amp;Operators'!$C$1:$G$99999,5,FALSE)</f>
        <v>DAVIS WENDY</v>
      </c>
      <c r="O20" s="194" t="s">
        <v>185</v>
      </c>
      <c r="P20" s="146" t="s">
        <v>981</v>
      </c>
      <c r="Q20" s="30"/>
      <c r="R20" s="89" t="str">
        <f>IF(VLOOKUP(C20,'Train Runs'!$A$13:$AE$9946,1,1)=C20,VLOOKUP(C20,'Train Runs'!$A$13:$AE$9946,31,1),NA())</f>
        <v>aws s3 cp s3://rtdc.mdm.uploadarchive.raw/RTDC4005/ "%USERPROFILE%\AppData\Local\Temp\OnboardLogs"\RTDC4005\2017-03-12 --exclude "*" --recursive --include "*20170312*" &amp; "%USERPROFILE%\Documents\GitHub\mrs-test-scripts\Headless Mode &amp; Sideloading\WalkAndUnGZ.bat" "%USERPROFILE%\AppData\Local\Temp\OnboardLogs"\RTDC4005\2017-03-12 &amp; aws s3 cp s3://rtdc.mdm.uploadarchive.raw/RTDC4005/ "%USERPROFILE%\AppData\Local\Temp\OnboardLogs"\RTDC4005\2017-03-13 --exclude "*" --recursive --include "*20170313*" &amp; "%USERPROFILE%\Documents\GitHub\mrs-test-scripts\Headless Mode &amp; Sideloading\WalkAndUnGZ.bat" "%USERPROFILE%\AppData\Local\Temp\OnboardLogs"\RTDC4005\2017-03-13</v>
      </c>
      <c r="S20" s="92" t="str">
        <f>IF(VLOOKUP(C20,'Train Runs'!$A$13:$AE$9946,1,1)=C20,VLOOKUP(C20,'Train Runs'!$A$13:$AE$9946,22,1),NA())</f>
        <v>https://d0f6bd738d7f1b3e5a7ca70fe4ff75f0.us-east-1.aws.found.io/app/kibana#/discover/Steve-Slow-Train-Analysis-(2080s-and-2083s)?_g=(refreshInterval:(display:Off,pause:!f,section:0,value:0),time:(from:'2017-03-12T07:52:12-600',mode:absolute,to:'2017-03-12T10:38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0" s="94" t="str">
        <f t="shared" si="1"/>
        <v>"C:\Program Files (x86)\AstroGrep\AstroGrep.exe" /e /r /s /spath="%USERPROFILE%\AppData\Local\Temp\OnboardLogs" /stypes="*4005*201703121*" /stext=" 15:.+((SYSTEM_STATE.+slice.+state.+changed )|(ment ac)|(multiple cpu faults)|(system.+state.+changed )|(\[timeout)|(PRM\|1\|D)|(kpr)|(kdp)|(\|lc)|(penalty))"</v>
      </c>
      <c r="U20" s="9" t="str">
        <f t="shared" si="2"/>
        <v>4005</v>
      </c>
      <c r="V20" s="32">
        <f t="shared" si="3"/>
        <v>42806.634189814817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arrival","project_id":79,"tracker_id":40,"status_id":1,"priority_id":2,"assigned_to_id":23,"start_date":"2017-03-12","description":"","custom_fields":[{"id":1,"name":"Subdivision","value":"EC"},{"id":4,"name":"Milepost","value":"10.9135"},{"id":17,"name":"Train ID","value":"136-12"},{"id":16,"name":"Locomotive ID","value":"4005"},{"id":130,"name":"Impact","value":""},{"id":150,"name":"Time of Event (Mountain Time)","value":"09:13:14"},{"id":151,"name":"Denver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"%USERPROFILE%\AppData\Local\Temp\OnboardLogs"\RTDC4005\*4005*201703121*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"%USERPROFILE%\AppData\Local\Temp\OnboardLogs"\RTDC4005\*4005*201703121* &gt;&gt; 2017-03-12-SliceDisagreementCheck.txt</v>
      </c>
      <c r="AE20" s="157" t="str">
        <f t="shared" si="9"/>
        <v>start /low /b %USERPROFILE%\Documents\GitHub\eaglep3\Utilities\DownloadLogsFromS3.py --loco 4005 --day 2017-03-12</v>
      </c>
      <c r="AF20" s="1"/>
    </row>
    <row r="21" spans="1:32" x14ac:dyDescent="0.25">
      <c r="A21" s="32">
        <v>42806.150324074071</v>
      </c>
      <c r="B21" s="30" t="s">
        <v>204</v>
      </c>
      <c r="C21" s="30" t="s">
        <v>578</v>
      </c>
      <c r="D21" s="30" t="s">
        <v>98</v>
      </c>
      <c r="E21" s="30" t="s">
        <v>238</v>
      </c>
      <c r="F21" s="43">
        <v>200</v>
      </c>
      <c r="G21" s="43">
        <v>258</v>
      </c>
      <c r="H21" s="43">
        <v>29398</v>
      </c>
      <c r="I21" s="43">
        <v>28802</v>
      </c>
      <c r="J21" s="30" t="s">
        <v>239</v>
      </c>
      <c r="K21" s="43">
        <v>30562</v>
      </c>
      <c r="L21" s="143" t="s">
        <v>51</v>
      </c>
      <c r="M21" s="144">
        <f t="shared" si="0"/>
        <v>-929.28</v>
      </c>
      <c r="N21" s="145" t="str">
        <f>VLOOKUP(C21,'Trips&amp;Operators'!$C$1:$G$99999,5,FALSE)</f>
        <v>BROWN JACOB</v>
      </c>
      <c r="O21" s="194" t="s">
        <v>185</v>
      </c>
      <c r="P21" s="146"/>
      <c r="Q21" s="30"/>
      <c r="R21" s="89" t="e">
        <f>IF(VLOOKUP(C21,'Train Runs'!$A$13:$AE$9946,1,1)=C21,VLOOKUP(C21,'Train Runs'!$A$13:$AE$9946,31,1),NA())</f>
        <v>#N/A</v>
      </c>
      <c r="S21" s="92" t="e">
        <f>IF(VLOOKUP(C21,'Train Runs'!$A$13:$AE$9946,1,1)=C21,VLOOKUP(C21,'Train Runs'!$A$13:$AE$9946,22,1),NA())</f>
        <v>#N/A</v>
      </c>
      <c r="T21" s="94" t="str">
        <f t="shared" si="1"/>
        <v>"C:\Program Files (x86)\AstroGrep\AstroGrep.exe" /e /r /s /spath="%USERPROFILE%\AppData\Local\Temp\OnboardLogs" /stypes="*4030*201703120*" /stext=" 09:.+((SYSTEM_STATE.+slice.+state.+changed )|(ment ac)|(multiple cpu faults)|(system.+state.+changed )|(\[timeout)|(PRM\|1\|D)|(kpr)|(kdp)|(\|lc)|(penalty))"</v>
      </c>
      <c r="U21" s="9" t="str">
        <f t="shared" si="2"/>
        <v>4030</v>
      </c>
      <c r="V21" s="32">
        <f t="shared" si="3"/>
        <v>42806.400324074071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{"issue":{"subject":"","project_id":79,"tracker_id":40,"status_id":1,"priority_id":2,"assigned_to_id":23,"start_date":"2017-03-12","description":"","custom_fields":[{"id":1,"name":"Subdivision","value":"EC"},{"id":4,"name":"Milepost","value":"3.0562"},{"id":17,"name":"Train ID","value":"246-11"},{"id":16,"name":"Locomotive ID","value":"4030"},{"id":130,"name":"Impact","value":""},{"id":150,"name":"Time of Event (Mountain Time)","value":"03:36:28"},{"id":151,"name":"Denver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"%USERPROFILE%\AppData\Local\Temp\OnboardLogs"\RTDC4030\*4030*201703120*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"%USERPROFILE%\AppData\Local\Temp\OnboardLogs"\RTDC4030\*4030*201703120* &gt;&gt; 2017-03-12-SliceDisagreementCheck.txt</v>
      </c>
      <c r="AE21" s="157" t="str">
        <f t="shared" si="9"/>
        <v>start /low /b %USERPROFILE%\Documents\GitHub\eaglep3\Utilities\DownloadLogsFromS3.py --loco 4030 --day 2017-03-12</v>
      </c>
      <c r="AF21" s="1"/>
    </row>
    <row r="22" spans="1:32" x14ac:dyDescent="0.25">
      <c r="A22" s="32">
        <v>42806.415694444448</v>
      </c>
      <c r="B22" s="30" t="s">
        <v>510</v>
      </c>
      <c r="C22" s="30" t="s">
        <v>592</v>
      </c>
      <c r="D22" s="30" t="s">
        <v>98</v>
      </c>
      <c r="E22" s="30" t="s">
        <v>238</v>
      </c>
      <c r="F22" s="43">
        <v>350</v>
      </c>
      <c r="G22" s="43">
        <v>401</v>
      </c>
      <c r="H22" s="43">
        <v>224849</v>
      </c>
      <c r="I22" s="43">
        <v>223386</v>
      </c>
      <c r="J22" s="30" t="s">
        <v>239</v>
      </c>
      <c r="K22" s="43">
        <v>232107</v>
      </c>
      <c r="L22" s="143" t="s">
        <v>51</v>
      </c>
      <c r="M22" s="144">
        <f t="shared" si="0"/>
        <v>-4604.6880000000001</v>
      </c>
      <c r="N22" s="145" t="str">
        <f>VLOOKUP(C22,'Trips&amp;Operators'!$C$1:$G$99999,5,FALSE)</f>
        <v>SHOOK JOHN</v>
      </c>
      <c r="O22" s="194" t="s">
        <v>185</v>
      </c>
      <c r="P22" s="146"/>
      <c r="Q22" s="30"/>
      <c r="R22" s="89" t="str">
        <f>IF(VLOOKUP(C22,'Train Runs'!$A$13:$AE$9946,1,1)=C22,VLOOKUP(C22,'Train Runs'!$A$13:$AE$9946,31,1),NA())</f>
        <v>aws s3 cp s3://rtdc.mdm.uploadarchive.raw/RTDC4021/ "%USERPROFILE%\AppData\Local\Temp\OnboardLogs"\RTDC4021\2017-03-12 --exclude "*" --recursive --include "*20170312*" &amp; "%USERPROFILE%\Documents\GitHub\mrs-test-scripts\Headless Mode &amp; Sideloading\WalkAndUnGZ.bat" "%USERPROFILE%\AppData\Local\Temp\OnboardLogs"\RTDC4021\2017-03-12 &amp; aws s3 cp s3://rtdc.mdm.uploadarchive.raw/RTDC4021/ "%USERPROFILE%\AppData\Local\Temp\OnboardLogs"\RTDC4021\2017-03-13 --exclude "*" --recursive --include "*20170313*" &amp; "%USERPROFILE%\Documents\GitHub\mrs-test-scripts\Headless Mode &amp; Sideloading\WalkAndUnGZ.bat" "%USERPROFILE%\AppData\Local\Temp\OnboardLogs"\RTDC4021\2017-03-13</v>
      </c>
      <c r="S22" s="92" t="str">
        <f>IF(VLOOKUP(C22,'Train Runs'!$A$13:$AE$9946,1,1)=C22,VLOOKUP(C22,'Train Runs'!$A$13:$AE$9946,22,1),NA())</f>
        <v>https://d0f6bd738d7f1b3e5a7ca70fe4ff75f0.us-east-1.aws.found.io/app/kibana#/discover/Steve-Slow-Train-Analysis-(2080s-and-2083s)?_g=(refreshInterval:(display:Off,pause:!f,section:0,value:0),time:(from:'2017-03-12T08:41:27-600',mode:absolute,to:'2017-03-12T11:43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2" s="94" t="str">
        <f t="shared" si="1"/>
        <v>"C:\Program Files (x86)\AstroGrep\AstroGrep.exe" /e /r /s /spath="%USERPROFILE%\AppData\Local\Temp\OnboardLogs" /stypes="*4021*201703121*" /stext=" 15:.+((SYSTEM_STATE.+slice.+state.+changed )|(ment ac)|(multiple cpu faults)|(system.+state.+changed )|(\[timeout)|(PRM\|1\|D)|(kpr)|(kdp)|(\|lc)|(penalty))"</v>
      </c>
      <c r="U22" s="9" t="str">
        <f t="shared" si="2"/>
        <v>4021</v>
      </c>
      <c r="V22" s="32">
        <f t="shared" si="3"/>
        <v>42806.665694444448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{"issue":{"subject":"","project_id":79,"tracker_id":40,"status_id":1,"priority_id":2,"assigned_to_id":23,"start_date":"2017-03-12","description":"","custom_fields":[{"id":1,"name":"Subdivision","value":"EC"},{"id":4,"name":"Milepost","value":"23.2107"},{"id":17,"name":"Train ID","value":"144-12"},{"id":16,"name":"Locomotive ID","value":"4021"},{"id":130,"name":"Impact","value":""},{"id":150,"name":"Time of Event (Mountain Time)","value":"09:58:36"},{"id":151,"name":"Denver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"%USERPROFILE%\AppData\Local\Temp\OnboardLogs"\RTDC4021\*4021*201703121*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"%USERPROFILE%\AppData\Local\Temp\OnboardLogs"\RTDC4021\*4021*201703121* &gt;&gt; 2017-03-12-SliceDisagreementCheck.txt</v>
      </c>
      <c r="AE22" s="157" t="str">
        <f t="shared" si="9"/>
        <v>start /low /b %USERPROFILE%\Documents\GitHub\eaglep3\Utilities\DownloadLogsFromS3.py --loco 4021 --day 2017-03-12</v>
      </c>
      <c r="AF22" s="1"/>
    </row>
    <row r="23" spans="1:32" x14ac:dyDescent="0.25">
      <c r="A23" s="32">
        <v>42806.436828703707</v>
      </c>
      <c r="B23" s="30" t="s">
        <v>593</v>
      </c>
      <c r="C23" s="30" t="s">
        <v>594</v>
      </c>
      <c r="D23" s="30" t="s">
        <v>98</v>
      </c>
      <c r="E23" s="30" t="s">
        <v>238</v>
      </c>
      <c r="F23" s="43">
        <v>350</v>
      </c>
      <c r="G23" s="43">
        <v>402</v>
      </c>
      <c r="H23" s="43">
        <v>224711</v>
      </c>
      <c r="I23" s="43">
        <v>223009</v>
      </c>
      <c r="J23" s="30" t="s">
        <v>239</v>
      </c>
      <c r="K23" s="43">
        <v>232107</v>
      </c>
      <c r="L23" s="143" t="s">
        <v>51</v>
      </c>
      <c r="M23" s="144">
        <f t="shared" si="0"/>
        <v>-4803.7439999999997</v>
      </c>
      <c r="N23" s="145" t="str">
        <f>VLOOKUP(C23,'Trips&amp;Operators'!$C$1:$G$99999,5,FALSE)</f>
        <v>BADERTSCHER DIANE</v>
      </c>
      <c r="O23" s="194" t="s">
        <v>185</v>
      </c>
      <c r="P23" s="146"/>
      <c r="Q23" s="30"/>
      <c r="R23" s="89" t="str">
        <f>IF(VLOOKUP(C23,'Train Runs'!$A$13:$AE$9946,1,1)=C23,VLOOKUP(C23,'Train Runs'!$A$13:$AE$9946,31,1),NA())</f>
        <v>aws s3 cp s3://rtdc.mdm.uploadarchive.raw/RTDC4054/ "%USERPROFILE%\AppData\Local\Temp\OnboardLogs"\RTDC4054\2017-03-12 --exclude "*" --recursive --include "*20170312*" &amp; "%USERPROFILE%\Documents\GitHub\mrs-test-scripts\Headless Mode &amp; Sideloading\WalkAndUnGZ.bat" "%USERPROFILE%\AppData\Local\Temp\OnboardLogs"\RTDC4054\2017-03-12 &amp; aws s3 cp s3://rtdc.mdm.uploadarchive.raw/RTDC4054/ "%USERPROFILE%\AppData\Local\Temp\OnboardLogs"\RTDC4054\2017-03-13 --exclude "*" --recursive --include "*20170313*" &amp; "%USERPROFILE%\Documents\GitHub\mrs-test-scripts\Headless Mode &amp; Sideloading\WalkAndUnGZ.bat" "%USERPROFILE%\AppData\Local\Temp\OnboardLogs"\RTDC4054\2017-03-13</v>
      </c>
      <c r="S23" s="92" t="str">
        <f>IF(VLOOKUP(C23,'Train Runs'!$A$13:$AE$9946,1,1)=C23,VLOOKUP(C23,'Train Runs'!$A$13:$AE$9946,22,1),NA())</f>
        <v>https://d0f6bd738d7f1b3e5a7ca70fe4ff75f0.us-east-1.aws.found.io/app/kibana#/discover/Steve-Slow-Train-Analysis-(2080s-and-2083s)?_g=(refreshInterval:(display:Off,pause:!f,section:0,value:0),time:(from:'2017-03-12T09:12:46-600',mode:absolute,to:'2017-03-12T12:12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 t="shared" si="1"/>
        <v>"C:\Program Files (x86)\AstroGrep\AstroGrep.exe" /e /r /s /spath="%USERPROFILE%\AppData\Local\Temp\OnboardLogs" /stypes="*4054*201703121*" /stext=" 16:.+((SYSTEM_STATE.+slice.+state.+changed )|(ment ac)|(multiple cpu faults)|(system.+state.+changed )|(\[timeout)|(PRM\|1\|D)|(kpr)|(kdp)|(\|lc)|(penalty))"</v>
      </c>
      <c r="U23" s="9" t="str">
        <f t="shared" si="2"/>
        <v>4054</v>
      </c>
      <c r="V23" s="32">
        <f t="shared" si="3"/>
        <v>42806.686828703707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{"issue":{"subject":"","project_id":79,"tracker_id":40,"status_id":1,"priority_id":2,"assigned_to_id":23,"start_date":"2017-03-12","description":"","custom_fields":[{"id":1,"name":"Subdivision","value":"EC"},{"id":4,"name":"Milepost","value":"23.2107"},{"id":17,"name":"Train ID","value":"148-12"},{"id":16,"name":"Locomotive ID","value":"4054"},{"id":130,"name":"Impact","value":""},{"id":150,"name":"Time of Event (Mountain Time)","value":"10:29:02"},{"id":151,"name":"Denver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"%USERPROFILE%\AppData\Local\Temp\OnboardLogs"\RTDC4054\*4054*201703121*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"%USERPROFILE%\AppData\Local\Temp\OnboardLogs"\RTDC4054\*4054*201703121* &gt;&gt; 2017-03-12-SliceDisagreementCheck.txt</v>
      </c>
      <c r="AE23" s="157" t="str">
        <f t="shared" si="9"/>
        <v>start /low /b %USERPROFILE%\Documents\GitHub\eaglep3\Utilities\DownloadLogsFromS3.py --loco 4054 --day 2017-03-12</v>
      </c>
      <c r="AF23" s="1"/>
    </row>
    <row r="24" spans="1:32" x14ac:dyDescent="0.25">
      <c r="A24" s="32">
        <v>42806.452905092592</v>
      </c>
      <c r="B24" s="30" t="s">
        <v>511</v>
      </c>
      <c r="C24" s="30" t="s">
        <v>596</v>
      </c>
      <c r="D24" s="30" t="s">
        <v>98</v>
      </c>
      <c r="E24" s="30" t="s">
        <v>431</v>
      </c>
      <c r="F24" s="43">
        <v>0</v>
      </c>
      <c r="G24" s="43">
        <v>66</v>
      </c>
      <c r="H24" s="43">
        <v>1843</v>
      </c>
      <c r="I24" s="43">
        <v>1873</v>
      </c>
      <c r="J24" s="30" t="s">
        <v>432</v>
      </c>
      <c r="K24" s="43">
        <v>1692</v>
      </c>
      <c r="L24" s="143" t="s">
        <v>50</v>
      </c>
      <c r="M24" s="144">
        <f t="shared" si="0"/>
        <v>-95.567999999999998</v>
      </c>
      <c r="N24" s="145" t="str">
        <f>VLOOKUP(C24,'Trips&amp;Operators'!$C$1:$G$99999,5,FALSE)</f>
        <v>SHOOK JOHN</v>
      </c>
      <c r="O24" s="194" t="s">
        <v>185</v>
      </c>
      <c r="P24" s="146" t="s">
        <v>990</v>
      </c>
      <c r="Q24" s="30"/>
      <c r="R24" s="89" t="str">
        <f>IF(VLOOKUP(C24,'Train Runs'!$A$13:$AE$9946,1,1)=C24,VLOOKUP(C24,'Train Runs'!$A$13:$AE$9946,31,1),NA())</f>
        <v>aws s3 cp s3://rtdc.mdm.uploadarchive.raw/RTDC4018/ "%USERPROFILE%\AppData\Local\Temp\OnboardLogs"\RTDC4018\2017-03-12 --exclude "*" --recursive --include "*20170312*" &amp; "%USERPROFILE%\Documents\GitHub\mrs-test-scripts\Headless Mode &amp; Sideloading\WalkAndUnGZ.bat" "%USERPROFILE%\AppData\Local\Temp\OnboardLogs"\RTDC4018\2017-03-12 &amp; aws s3 cp s3://rtdc.mdm.uploadarchive.raw/RTDC4018/ "%USERPROFILE%\AppData\Local\Temp\OnboardLogs"\RTDC4018\2017-03-13 --exclude "*" --recursive --include "*20170313*" &amp; "%USERPROFILE%\Documents\GitHub\mrs-test-scripts\Headless Mode &amp; Sideloading\WalkAndUnGZ.bat" "%USERPROFILE%\AppData\Local\Temp\OnboardLogs"\RTDC4018\2017-03-13</v>
      </c>
      <c r="S24" s="92" t="str">
        <f>IF(VLOOKUP(C24,'Train Runs'!$A$13:$AE$9946,1,1)=C24,VLOOKUP(C24,'Train Runs'!$A$13:$AE$9946,22,1),NA())</f>
        <v>https://d0f6bd738d7f1b3e5a7ca70fe4ff75f0.us-east-1.aws.found.io/app/kibana#/discover/Steve-Slow-Train-Analysis-(2080s-and-2083s)?_g=(refreshInterval:(display:Off,pause:!f,section:0,value:0),time:(from:'2017-03-12T10:00:31-600',mode:absolute,to:'2017-03-12T12:36:28-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94" t="str">
        <f t="shared" si="1"/>
        <v>"C:\Program Files (x86)\AstroGrep\AstroGrep.exe" /e /r /s /spath="%USERPROFILE%\AppData\Local\Temp\OnboardLogs" /stypes="*4018*201703121*" /stext=" 16:.+((SYSTEM_STATE.+slice.+state.+changed )|(ment ac)|(multiple cpu faults)|(system.+state.+changed )|(\[timeout)|(PRM\|1\|D)|(kpr)|(kdp)|(\|lc)|(penalty))"</v>
      </c>
      <c r="U24" s="9" t="str">
        <f t="shared" si="2"/>
        <v>4018</v>
      </c>
      <c r="V24" s="32">
        <f t="shared" si="3"/>
        <v>42806.702905092592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{"issue":{"subject":"Main 3 departure","project_id":79,"tracker_id":40,"status_id":1,"priority_id":2,"assigned_to_id":23,"start_date":"2017-03-12","description":"","custom_fields":[{"id":1,"name":"Subdivision","value":"EC"},{"id":4,"name":"Milepost","value":"0.1692"},{"id":17,"name":"Train ID","value":"157-12"},{"id":16,"name":"Locomotive ID","value":"4018"},{"id":130,"name":"Impact","value":""},{"id":150,"name":"Time of Event (Mountain Time)","value":"10:52:11"},{"id":151,"name":"Denver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"%USERPROFILE%\AppData\Local\Temp\OnboardLogs"\RTDC4018\*4018*201703121*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"%USERPROFILE%\AppData\Local\Temp\OnboardLogs"\RTDC4018\*4018*201703121* &gt;&gt; 2017-03-12-SliceDisagreementCheck.txt</v>
      </c>
      <c r="AE24" s="157" t="str">
        <f t="shared" si="9"/>
        <v>start /low /b %USERPROFILE%\Documents\GitHub\eaglep3\Utilities\DownloadLogsFromS3.py --loco 4018 --day 2017-03-12</v>
      </c>
      <c r="AF24" s="1"/>
    </row>
    <row r="25" spans="1:32" x14ac:dyDescent="0.25">
      <c r="A25" s="32">
        <v>42807.07234953704</v>
      </c>
      <c r="B25" s="30" t="s">
        <v>597</v>
      </c>
      <c r="C25" s="30" t="s">
        <v>615</v>
      </c>
      <c r="D25" s="30" t="s">
        <v>98</v>
      </c>
      <c r="E25" s="30" t="s">
        <v>616</v>
      </c>
      <c r="F25" s="43">
        <v>0</v>
      </c>
      <c r="G25" s="43">
        <v>226</v>
      </c>
      <c r="H25" s="43">
        <v>103959</v>
      </c>
      <c r="I25" s="43">
        <v>103546</v>
      </c>
      <c r="J25" s="30" t="s">
        <v>617</v>
      </c>
      <c r="K25" s="43">
        <v>104776</v>
      </c>
      <c r="L25" s="143" t="s">
        <v>51</v>
      </c>
      <c r="M25" s="144">
        <f t="shared" si="0"/>
        <v>-649.44000000000005</v>
      </c>
      <c r="N25" s="145" t="str">
        <f>VLOOKUP(C25,'Trips&amp;Operators'!$C$1:$G$99999,5,FALSE)</f>
        <v>STAMBAUGH JAMES</v>
      </c>
      <c r="O25" s="194" t="s">
        <v>434</v>
      </c>
      <c r="P25" s="146" t="s">
        <v>989</v>
      </c>
      <c r="Q25" s="30"/>
      <c r="R25" s="89" t="e">
        <f>IF(VLOOKUP(C25,'Train Runs'!$A$13:$AE$9946,1,1)=C25,VLOOKUP(C25,'Train Runs'!$A$13:$AE$9946,31,1),NA())</f>
        <v>#N/A</v>
      </c>
      <c r="S25" s="92" t="e">
        <f>IF(VLOOKUP(C25,'Train Runs'!$A$13:$AE$9946,1,1)=C25,VLOOKUP(C25,'Train Runs'!$A$13:$AE$9946,22,1),NA())</f>
        <v>#N/A</v>
      </c>
      <c r="T25" s="94" t="str">
        <f t="shared" si="1"/>
        <v>"C:\Program Files (x86)\AstroGrep\AstroGrep.exe" /e /r /s /spath="%USERPROFILE%\AppData\Local\Temp\OnboardLogs" /stypes="*4028*201703130*" /stext=" 07:.+((SYSTEM_STATE.+slice.+state.+changed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42807.32234953704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drop","project_id":79,"tracker_id":40,"status_id":1,"priority_id":2,"assigned_to_id":23,"start_date":"2017-03-13","description":"","custom_fields":[{"id":1,"name":"Subdivision","value":"EC"},{"id":4,"name":"Milepost","value":"10.4776"},{"id":17,"name":"Train ID","value":"244-12"},{"id":16,"name":"Locomotive ID","value":"4028"},{"id":130,"name":"Impact","value":""},{"id":150,"name":"Time of Event (Mountain Time)","value":"01:44:11"},{"id":151,"name":"Denver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"%USERPROFILE%\AppData\Local\Temp\OnboardLogs"\RTDC4028\*4028*201703130*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"%USERPROFILE%\AppData\Local\Temp\OnboardLogs"\RTDC4028\*4028*201703130* &gt;&gt; 2017-03-12-SliceDisagreementCheck.txt</v>
      </c>
      <c r="AE25" s="157" t="str">
        <f t="shared" si="9"/>
        <v>start /low /b %USERPROFILE%\Documents\GitHub\eaglep3\Utilities\DownloadLogsFromS3.py --loco 4028 --day 2017-03-13</v>
      </c>
      <c r="AF25" s="1"/>
    </row>
    <row r="26" spans="1:32" x14ac:dyDescent="0.25">
      <c r="A26" s="32">
        <v>42806.358240740738</v>
      </c>
      <c r="B26" s="30" t="s">
        <v>584</v>
      </c>
      <c r="C26" s="30" t="s">
        <v>585</v>
      </c>
      <c r="D26" s="30" t="s">
        <v>49</v>
      </c>
      <c r="E26" s="30" t="s">
        <v>186</v>
      </c>
      <c r="F26" s="43">
        <v>0</v>
      </c>
      <c r="G26" s="43">
        <v>34</v>
      </c>
      <c r="H26" s="43">
        <v>141</v>
      </c>
      <c r="I26" s="43">
        <v>129</v>
      </c>
      <c r="J26" s="30" t="s">
        <v>187</v>
      </c>
      <c r="K26" s="43">
        <v>1</v>
      </c>
      <c r="L26" s="143" t="s">
        <v>51</v>
      </c>
      <c r="M26" s="144">
        <f t="shared" si="0"/>
        <v>67.584000000000003</v>
      </c>
      <c r="N26" s="145" t="str">
        <f>VLOOKUP(C26,'Trips&amp;Operators'!$C$1:$G$99999,5,FALSE)</f>
        <v>SANTIZO D. EDY</v>
      </c>
      <c r="O26" s="194" t="s">
        <v>185</v>
      </c>
      <c r="P26" s="146"/>
      <c r="Q26" s="30"/>
      <c r="R26" s="89" t="str">
        <f>IF(VLOOKUP(C26,'Train Runs'!$A$13:$AE$9946,1,1)=C26,VLOOKUP(C26,'Train Runs'!$A$13:$AE$9946,31,1),NA())</f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S26" s="92" t="str">
        <f>IF(VLOOKUP(C26,'Train Runs'!$A$13:$AE$9946,1,1)=C26,VLOOKUP(C26,'Train Runs'!$A$13:$AE$9946,22,1),NA())</f>
        <v>https://d0f6bd738d7f1b3e5a7ca70fe4ff75f0.us-east-1.aws.found.io/app/kibana#/discover/Steve-Slow-Train-Analysis-(2080s-and-2083s)?_g=(refreshInterval:(display:Off,pause:!f,section:0,value:0),time:(from:'2017-03-12T06:38:53-600',mode:absolute,to:'2017-03-12T09:35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94" t="str">
        <f t="shared" si="1"/>
        <v>"C:\Program Files (x86)\AstroGrep\AstroGrep.exe" /e /r /s /spath="%USERPROFILE%\AppData\Local\Temp\OnboardLogs" /stypes="*4026*201703121*" /stext=" 14:.+((SYSTEM_STATE.+slice.+state.+changed )|(ment ac)|(multiple cpu faults)|(system.+state.+changed )|(\[timeout)|(PRM\|1\|D)|(kpr)|(kdp)|(\|lc)|(penalty))"</v>
      </c>
      <c r="U26" s="9" t="str">
        <f t="shared" si="2"/>
        <v>4026</v>
      </c>
      <c r="V26" s="32">
        <f t="shared" si="3"/>
        <v>42806.608240740738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{"issue":{"subject":"","project_id":79,"tracker_id":40,"status_id":1,"priority_id":2,"assigned_to_id":23,"start_date":"2017-03-12","description":"","custom_fields":[{"id":1,"name":"Subdivision","value":"EC"},{"id":4,"name":"Milepost","value":"0.0001"},{"id":17,"name":"Train ID","value":"128-12"},{"id":16,"name":"Locomotive ID","value":"4026"},{"id":130,"name":"Impact","value":""},{"id":150,"name":"Time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"%USERPROFILE%\AppData\Local\Temp\OnboardLogs"\RTDC4026\*4026*201703121*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"%USERPROFILE%\AppData\Local\Temp\OnboardLogs"\RTDC4026\*4026*201703121* &gt;&gt; 2017-03-12-SliceDisagreementCheck.txt</v>
      </c>
      <c r="AE26" s="157" t="str">
        <f t="shared" si="9"/>
        <v>start /low /b %USERPROFILE%\Documents\GitHub\eaglep3\Utilities\DownloadLogsFromS3.py --loco 4026 --day 2017-03-12</v>
      </c>
      <c r="AF26" s="1"/>
    </row>
    <row r="27" spans="1:32" x14ac:dyDescent="0.25">
      <c r="A27" s="32">
        <v>42806.503148148149</v>
      </c>
      <c r="B27" s="30" t="s">
        <v>584</v>
      </c>
      <c r="C27" s="30" t="s">
        <v>599</v>
      </c>
      <c r="D27" s="30" t="s">
        <v>49</v>
      </c>
      <c r="E27" s="30" t="s">
        <v>186</v>
      </c>
      <c r="F27" s="43">
        <v>0</v>
      </c>
      <c r="G27" s="43">
        <v>60</v>
      </c>
      <c r="H27" s="43">
        <v>132</v>
      </c>
      <c r="I27" s="43">
        <v>98</v>
      </c>
      <c r="J27" s="30" t="s">
        <v>187</v>
      </c>
      <c r="K27" s="43">
        <v>1</v>
      </c>
      <c r="L27" s="143" t="s">
        <v>51</v>
      </c>
      <c r="M27" s="144">
        <f t="shared" si="0"/>
        <v>51.216000000000001</v>
      </c>
      <c r="N27" s="145" t="str">
        <f>VLOOKUP(C27,'Trips&amp;Operators'!$C$1:$G$99999,5,FALSE)</f>
        <v>ROMERO CHAD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s3://rtdc.mdm.uploadarchive.raw/RTDC4026/ "%USERPROFILE%\AppData\Local\Temp\OnboardLogs"\RTDC4026\2017-03-12 --exclude "*" --recursive --include "*20170312*" &amp; "%USERPROFILE%\Documents\GitHub\mrs-test-scripts\Headless Mode &amp; Sideloading\WalkAndUnGZ.bat" "%USERPROFILE%\AppData\Local\Temp\OnboardLogs"\RTDC4026\2017-03-12 &amp; aws s3 cp s3://rtdc.mdm.uploadarchive.raw/RTDC4026/ "%USERPROFILE%\AppData\Local\Temp\OnboardLogs"\RTDC4026\2017-03-13 --exclude "*" --recursive --include "*20170313*" &amp; "%USERPROFILE%\Documents\GitHub\mrs-test-scripts\Headless Mode &amp; Sideloading\WalkAndUnGZ.bat" "%USERPROFILE%\AppData\Local\Temp\OnboardLogs"\RTDC4026\2017-03-13</v>
      </c>
      <c r="S27" s="92" t="str">
        <f>IF(VLOOKUP(C27,'Train Runs'!$A$13:$AE$9946,1,1)=C27,VLOOKUP(C27,'Train Runs'!$A$13:$AE$9946,22,1),NA())</f>
        <v>https://d0f6bd738d7f1b3e5a7ca70fe4ff75f0.us-east-1.aws.found.io/app/kibana#/discover/Steve-Slow-Train-Analysis-(2080s-and-2083s)?_g=(refreshInterval:(display:Off,pause:!f,section:0,value:0),time:(from:'2017-03-12T10:15:47-600',mode:absolute,to:'2017-03-12T13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94" t="str">
        <f t="shared" si="1"/>
        <v>"C:\Program Files (x86)\AstroGrep\AstroGrep.exe" /e /r /s /spath="%USERPROFILE%\AppData\Local\Temp\OnboardLogs" /stypes="*4026*201703121*" /stext=" 18:.+((SYSTEM_STATE.+slice.+state.+changed )|(ment ac)|(multiple cpu faults)|(system.+state.+changed )|(\[timeout)|(PRM\|1\|D)|(kpr)|(kdp)|(\|lc)|(penalty))"</v>
      </c>
      <c r="U27" s="9" t="str">
        <f t="shared" si="2"/>
        <v>4026</v>
      </c>
      <c r="V27" s="32">
        <f t="shared" si="3"/>
        <v>42806.753148148149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{"issue":{"subject":"","project_id":79,"tracker_id":40,"status_id":1,"priority_id":2,"assigned_to_id":23,"start_date":"2017-03-12","description":"","custom_fields":[{"id":1,"name":"Subdivision","value":"EC"},{"id":4,"name":"Milepost","value":"0.0001"},{"id":17,"name":"Train ID","value":"156-12"},{"id":16,"name":"Locomotive ID","value":"4026"},{"id":130,"name":"Impact","value":""},{"id":150,"name":"Time of Event (Mountain Time)","value":"12:04:32"},{"id":151,"name":"Denver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"%USERPROFILE%\AppData\Local\Temp\OnboardLogs"\RTDC4026\*4026*201703121*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"%USERPROFILE%\AppData\Local\Temp\OnboardLogs"\RTDC4026\*4026*201703121* &gt;&gt; 2017-03-12-SliceDisagreementCheck.txt</v>
      </c>
      <c r="AE27" s="157" t="str">
        <f t="shared" si="9"/>
        <v>start /low /b %USERPROFILE%\Documents\GitHub\eaglep3\Utilities\DownloadLogsFromS3.py --loco 4026 --day 2017-03-12</v>
      </c>
      <c r="AF27" s="1"/>
    </row>
    <row r="28" spans="1:32" x14ac:dyDescent="0.25">
      <c r="A28" s="32">
        <v>42806.643611111111</v>
      </c>
      <c r="B28" s="30" t="s">
        <v>587</v>
      </c>
      <c r="C28" s="30" t="s">
        <v>609</v>
      </c>
      <c r="D28" s="30" t="s">
        <v>49</v>
      </c>
      <c r="E28" s="30" t="s">
        <v>186</v>
      </c>
      <c r="F28" s="43">
        <v>0</v>
      </c>
      <c r="G28" s="43">
        <v>45</v>
      </c>
      <c r="H28" s="43">
        <v>167</v>
      </c>
      <c r="I28" s="43">
        <v>136</v>
      </c>
      <c r="J28" s="30" t="s">
        <v>187</v>
      </c>
      <c r="K28" s="43">
        <v>1</v>
      </c>
      <c r="L28" s="143" t="s">
        <v>51</v>
      </c>
      <c r="M28" s="144">
        <f t="shared" si="0"/>
        <v>71.28</v>
      </c>
      <c r="N28" s="145" t="str">
        <f>VLOOKUP(C28,'Trips&amp;Operators'!$C$1:$G$99999,5,FALSE)</f>
        <v>MCREYNOLDS KYLE</v>
      </c>
      <c r="O28" s="194" t="s">
        <v>185</v>
      </c>
      <c r="P28" s="146"/>
      <c r="Q28" s="30"/>
      <c r="R28" s="89" t="e">
        <f>IF(VLOOKUP(C28,'Train Runs'!$A$13:$AE$9946,1,1)=C28,VLOOKUP(C28,'Train Runs'!$A$13:$AE$9946,31,1),NA())</f>
        <v>#N/A</v>
      </c>
      <c r="S28" s="92" t="e">
        <f>IF(VLOOKUP(C28,'Train Runs'!$A$13:$AE$9946,1,1)=C28,VLOOKUP(C28,'Train Runs'!$A$13:$AE$9946,22,1),NA())</f>
        <v>#N/A</v>
      </c>
      <c r="T28" s="94" t="str">
        <f t="shared" si="1"/>
        <v>"C:\Program Files (x86)\AstroGrep\AstroGrep.exe" /e /r /s /spath="%USERPROFILE%\AppData\Local\Temp\OnboardLogs" /stypes="*4005*201703122*" /stext=" 21:.+((SYSTEM_STATE.+slice.+state.+changed )|(ment ac)|(multiple cpu faults)|(system.+state.+changed )|(\[timeout)|(PRM\|1\|D)|(kpr)|(kdp)|(\|lc)|(penalty))"</v>
      </c>
      <c r="U28" s="9" t="str">
        <f t="shared" si="2"/>
        <v>4005</v>
      </c>
      <c r="V28" s="32">
        <f t="shared" si="3"/>
        <v>42806.893611111111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{"issue":{"subject":"","project_id":79,"tracker_id":40,"status_id":1,"priority_id":2,"assigned_to_id":23,"start_date":"2017-03-12","description":"","custom_fields":[{"id":1,"name":"Subdivision","value":"EC"},{"id":4,"name":"Milepost","value":"0.0001"},{"id":17,"name":"Train ID","value":"182-12"},{"id":16,"name":"Locomotive ID","value":"4005"},{"id":130,"name":"Impact","value":""},{"id":150,"name":"Time of Event (Mountain Time)","value":"15:26:48"},{"id":151,"name":"Denver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"%USERPROFILE%\AppData\Local\Temp\OnboardLogs"\RTDC4005\*4005*201703122*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"%USERPROFILE%\AppData\Local\Temp\OnboardLogs"\RTDC4005\*4005*201703122* &gt;&gt; 2017-03-12-SliceDisagreementCheck.txt</v>
      </c>
      <c r="AE28" s="157" t="str">
        <f t="shared" si="9"/>
        <v>start /low /b %USERPROFILE%\Documents\GitHub\eaglep3\Utilities\DownloadLogsFromS3.py --loco 4005 --day 2017-03-12</v>
      </c>
      <c r="AF28" s="1"/>
    </row>
    <row r="29" spans="1:32" x14ac:dyDescent="0.25">
      <c r="A29" s="32">
        <v>42806.625833333332</v>
      </c>
      <c r="B29" s="30" t="s">
        <v>414</v>
      </c>
      <c r="C29" s="30" t="s">
        <v>607</v>
      </c>
      <c r="D29" s="30" t="s">
        <v>49</v>
      </c>
      <c r="E29" s="30" t="s">
        <v>186</v>
      </c>
      <c r="F29" s="43">
        <v>0</v>
      </c>
      <c r="G29" s="43">
        <v>93</v>
      </c>
      <c r="H29" s="43">
        <v>1491</v>
      </c>
      <c r="I29" s="43">
        <v>1333</v>
      </c>
      <c r="J29" s="30" t="s">
        <v>187</v>
      </c>
      <c r="K29" s="43">
        <v>826</v>
      </c>
      <c r="L29" s="143" t="s">
        <v>51</v>
      </c>
      <c r="M29" s="144">
        <f t="shared" si="0"/>
        <v>267.69600000000003</v>
      </c>
      <c r="N29" s="145" t="str">
        <f>VLOOKUP(C29,'Trips&amp;Operators'!$C$1:$G$99999,5,FALSE)</f>
        <v>WHITED DUSTIN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s3://rtdc.mdm.uploadarchive.raw/RTDC4004/ "%USERPROFILE%\AppData\Local\Temp\OnboardLogs"\RTDC4004\2017-03-12 --exclude "*" --recursive --include "*20170312*" &amp; "%USERPROFILE%\Documents\GitHub\mrs-test-scripts\Headless Mode &amp; Sideloading\WalkAndUnGZ.bat" "%USERPROFILE%\AppData\Local\Temp\OnboardLogs"\RTDC4004\2017-03-12 &amp; aws s3 cp s3://rtdc.mdm.uploadarchive.raw/RTDC4004/ "%USERPROFILE%\AppData\Local\Temp\OnboardLogs"\RTDC4004\2017-03-13 --exclude "*" --recursive --include "*20170313*" &amp; "%USERPROFILE%\Documents\GitHub\mrs-test-scripts\Headless Mode &amp; Sideloading\WalkAndUnGZ.bat" "%USERPROFILE%\AppData\Local\Temp\OnboardLogs"\RTDC4004\2017-03-13</v>
      </c>
      <c r="S29" s="92" t="str">
        <f>IF(VLOOKUP(C29,'Train Runs'!$A$13:$AE$9946,1,1)=C29,VLOOKUP(C29,'Train Runs'!$A$13:$AE$9946,22,1),NA())</f>
        <v>https://d0f6bd738d7f1b3e5a7ca70fe4ff75f0.us-east-1.aws.found.io/app/kibana#/discover/Steve-Slow-Train-Analysis-(2080s-and-2083s)?_g=(refreshInterval:(display:Off,pause:!f,section:0,value:0),time:(from:'2017-03-12T13:05:13-600',mode:absolute,to:'2017-03-12T16:04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/stypes="*4004*201703122*" /stext=" 21:.+((SYSTEM_STATE.+slice.+state.+changed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42806.875833333332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{"issue":{"subject":"","project_id":79,"tracker_id":40,"status_id":1,"priority_id":2,"assigned_to_id":23,"start_date":"2017-03-12","description":"","custom_fields":[{"id":1,"name":"Subdivision","value":"EC"},{"id":4,"name":"Milepost","value":"0.0826"},{"id":17,"name":"Train ID","value":"178-12"},{"id":16,"name":"Locomotive ID","value":"4004"},{"id":130,"name":"Impact","value":""},{"id":150,"name":"Time of Event (Mountain Time)","value":"15:01:12"},{"id":151,"name":"Denver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"%USERPROFILE%\AppData\Local\Temp\OnboardLogs"\RTDC4004\*4004*201703122*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"%USERPROFILE%\AppData\Local\Temp\OnboardLogs"\RTDC4004\*4004*201703122* &gt;&gt; 2017-03-12-SliceDisagreementCheck.txt</v>
      </c>
      <c r="AE29" s="157" t="str">
        <f t="shared" si="9"/>
        <v>start /low /b %USERPROFILE%\Documents\GitHub\eaglep3\Utilities\DownloadLogsFromS3.py --loco 4004 --day 2017-03-12</v>
      </c>
      <c r="AF29" s="1"/>
    </row>
    <row r="30" spans="1:32" x14ac:dyDescent="0.25">
      <c r="A30" s="32">
        <v>42806.572152777779</v>
      </c>
      <c r="B30" s="30" t="s">
        <v>597</v>
      </c>
      <c r="C30" s="30" t="s">
        <v>603</v>
      </c>
      <c r="D30" s="30" t="s">
        <v>49</v>
      </c>
      <c r="E30" s="30" t="s">
        <v>186</v>
      </c>
      <c r="F30" s="43">
        <v>0</v>
      </c>
      <c r="G30" s="43">
        <v>76</v>
      </c>
      <c r="H30" s="43">
        <v>1137</v>
      </c>
      <c r="I30" s="43">
        <v>1039</v>
      </c>
      <c r="J30" s="30" t="s">
        <v>187</v>
      </c>
      <c r="K30" s="43">
        <v>839</v>
      </c>
      <c r="L30" s="143" t="s">
        <v>51</v>
      </c>
      <c r="M30" s="144">
        <f t="shared" si="0"/>
        <v>105.6</v>
      </c>
      <c r="N30" s="145" t="str">
        <f>VLOOKUP(C30,'Trips&amp;Operators'!$C$1:$G$99999,5,FALSE)</f>
        <v>LOCKLEAR TRAVIS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s3://rtdc.mdm.uploadarchive.raw/RTDC4028/ "%USERPROFILE%\AppData\Local\Temp\OnboardLogs"\RTDC4028\2017-03-12 --exclude "*" --recursive --include "*20170312*" &amp; "%USERPROFILE%\Documents\GitHub\mrs-test-scripts\Headless Mode &amp; Sideloading\WalkAndUnGZ.bat" "%USERPROFILE%\AppData\Local\Temp\OnboardLogs"\RTDC4028\2017-03-12 &amp; aws s3 cp s3://rtdc.mdm.uploadarchive.raw/RTDC4028/ "%USERPROFILE%\AppData\Local\Temp\OnboardLogs"\RTDC4028\2017-03-13 --exclude "*" --recursive --include "*20170313*" &amp; "%USERPROFILE%\Documents\GitHub\mrs-test-scripts\Headless Mode &amp; Sideloading\WalkAndUnGZ.bat" "%USERPROFILE%\AppData\Local\Temp\OnboardLogs"\RTDC4028\2017-03-13</v>
      </c>
      <c r="S30" s="92" t="str">
        <f>IF(VLOOKUP(C30,'Train Runs'!$A$13:$AE$9946,1,1)=C30,VLOOKUP(C30,'Train Runs'!$A$13:$AE$9946,22,1),NA())</f>
        <v>https://d0f6bd738d7f1b3e5a7ca70fe4ff75f0.us-east-1.aws.found.io/app/kibana#/discover/Steve-Slow-Train-Analysis-(2080s-and-2083s)?_g=(refreshInterval:(display:Off,pause:!f,section:0,value:0),time:(from:'2017-03-12T11:47:07-600',mode:absolute,to:'2017-03-12T14:44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/stypes="*4028*201703121*" /stext=" 19:.+((SYSTEM_STATE.+slice.+state.+changed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42806.822152777779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{"issue":{"subject":"","project_id":79,"tracker_id":40,"status_id":1,"priority_id":2,"assigned_to_id":23,"start_date":"2017-03-12","description":"","custom_fields":[{"id":1,"name":"Subdivision","value":"EC"},{"id":4,"name":"Milepost","value":"0.0839"},{"id":17,"name":"Train ID","value":"168-12"},{"id":16,"name":"Locomotive ID","value":"4028"},{"id":130,"name":"Impact","value":""},{"id":150,"name":"Time of Event (Mountain Time)","value":"13:43:54"},{"id":151,"name":"Denver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"%USERPROFILE%\AppData\Local\Temp\OnboardLogs"\RTDC4028\*4028*201703121*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"%USERPROFILE%\AppData\Local\Temp\OnboardLogs"\RTDC4028\*4028*201703121* &gt;&gt; 2017-03-12-SliceDisagreementCheck.txt</v>
      </c>
      <c r="AE30" s="157" t="str">
        <f t="shared" si="9"/>
        <v>start /low /b %USERPROFILE%\Documents\GitHub\eaglep3\Utilities\DownloadLogsFromS3.py --loco 4028 --day 2017-03-12</v>
      </c>
      <c r="AF30" s="1"/>
    </row>
    <row r="31" spans="1:32" x14ac:dyDescent="0.25">
      <c r="A31" s="32">
        <v>42806.538530092592</v>
      </c>
      <c r="B31" s="30" t="s">
        <v>601</v>
      </c>
      <c r="C31" s="30" t="s">
        <v>602</v>
      </c>
      <c r="D31" s="30" t="s">
        <v>49</v>
      </c>
      <c r="E31" s="30" t="s">
        <v>186</v>
      </c>
      <c r="F31" s="43">
        <v>0</v>
      </c>
      <c r="G31" s="43">
        <v>29</v>
      </c>
      <c r="H31" s="43">
        <v>233407</v>
      </c>
      <c r="I31" s="43">
        <v>233426</v>
      </c>
      <c r="J31" s="30" t="s">
        <v>187</v>
      </c>
      <c r="K31" s="43">
        <v>233491</v>
      </c>
      <c r="L31" s="143" t="s">
        <v>50</v>
      </c>
      <c r="M31" s="144">
        <f t="shared" si="0"/>
        <v>34.32</v>
      </c>
      <c r="N31" s="145" t="str">
        <f>VLOOKUP(C31,'Trips&amp;Operators'!$C$1:$G$99999,5,FALSE)</f>
        <v>ROMERO CHAD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s3://rtdc.mdm.uploadarchive.raw/RTDC4025/ "%USERPROFILE%\AppData\Local\Temp\OnboardLogs"\RTDC4025\2017-03-12 --exclude "*" --recursive --include "*20170312*" &amp; "%USERPROFILE%\Documents\GitHub\mrs-test-scripts\Headless Mode &amp; Sideloading\WalkAndUnGZ.bat" "%USERPROFILE%\AppData\Local\Temp\OnboardLogs"\RTDC4025\2017-03-12 &amp; aws s3 cp s3://rtdc.mdm.uploadarchive.raw/RTDC4025/ "%USERPROFILE%\AppData\Local\Temp\OnboardLogs"\RTDC4025\2017-03-13 --exclude "*" --recursive --include "*20170313*" &amp; "%USERPROFILE%\Documents\GitHub\mrs-test-scripts\Headless Mode &amp; Sideloading\WalkAndUnGZ.bat" "%USERPROFILE%\AppData\Local\Temp\OnboardLogs"\RTDC4025\2017-03-13</v>
      </c>
      <c r="S31" s="92" t="str">
        <f>IF(VLOOKUP(C31,'Train Runs'!$A$13:$AE$9946,1,1)=C31,VLOOKUP(C31,'Train Runs'!$A$13:$AE$9946,22,1),NA())</f>
        <v>https://d0f6bd738d7f1b3e5a7ca70fe4ff75f0.us-east-1.aws.found.io/app/kibana#/discover/Steve-Slow-Train-Analysis-(2080s-and-2083s)?_g=(refreshInterval:(display:Off,pause:!f,section:0,value:0),time:(from:'2017-03-12T11:07:25-600',mode:absolute,to:'2017-03-12T13:55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94" t="str">
        <f t="shared" si="1"/>
        <v>"C:\Program Files (x86)\AstroGrep\AstroGrep.exe" /e /r /s /spath="%USERPROFILE%\AppData\Local\Temp\OnboardLogs" /stypes="*4025*201703121*" /stext=" 18:.+((SYSTEM_STATE.+slice.+state.+changed )|(ment ac)|(multiple cpu faults)|(system.+state.+changed )|(\[timeout)|(PRM\|1\|D)|(kpr)|(kdp)|(\|lc)|(penalty))"</v>
      </c>
      <c r="U31" s="9" t="str">
        <f t="shared" si="2"/>
        <v>4025</v>
      </c>
      <c r="V31" s="32">
        <f t="shared" si="3"/>
        <v>42806.788530092592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{"issue":{"subject":"","project_id":79,"tracker_id":40,"status_id":1,"priority_id":2,"assigned_to_id":23,"start_date":"2017-03-12","description":"","custom_fields":[{"id":1,"name":"Subdivision","value":"EC"},{"id":4,"name":"Milepost","value":"23.3491"},{"id":17,"name":"Train ID","value":"169-12"},{"id":16,"name":"Locomotive ID","value":"4025"},{"id":130,"name":"Impact","value":""},{"id":150,"name":"Time of Event (Mountain Time)","value":"12:55:29"},{"id":151,"name":"Denver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"%USERPROFILE%\AppData\Local\Temp\OnboardLogs"\RTDC4025\*4025*201703121*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"%USERPROFILE%\AppData\Local\Temp\OnboardLogs"\RTDC4025\*4025*201703121* &gt;&gt; 2017-03-12-SliceDisagreementCheck.txt</v>
      </c>
      <c r="AE31" s="157" t="str">
        <f t="shared" si="9"/>
        <v>start /low /b %USERPROFILE%\Documents\GitHub\eaglep3\Utilities\DownloadLogsFromS3.py --loco 4025 --day 2017-03-12</v>
      </c>
      <c r="AF31" s="1"/>
    </row>
    <row r="32" spans="1:32" x14ac:dyDescent="0.25">
      <c r="A32" s="32">
        <v>42806.584872685184</v>
      </c>
      <c r="B32" s="30" t="s">
        <v>415</v>
      </c>
      <c r="C32" s="30" t="s">
        <v>605</v>
      </c>
      <c r="D32" s="30" t="s">
        <v>49</v>
      </c>
      <c r="E32" s="30" t="s">
        <v>186</v>
      </c>
      <c r="F32" s="43">
        <v>0</v>
      </c>
      <c r="G32" s="43">
        <v>64</v>
      </c>
      <c r="H32" s="43">
        <v>233236</v>
      </c>
      <c r="I32" s="43">
        <v>233302</v>
      </c>
      <c r="J32" s="30" t="s">
        <v>187</v>
      </c>
      <c r="K32" s="43">
        <v>233491</v>
      </c>
      <c r="L32" s="143" t="s">
        <v>50</v>
      </c>
      <c r="M32" s="144">
        <f t="shared" si="0"/>
        <v>99.792000000000002</v>
      </c>
      <c r="N32" s="145" t="str">
        <f>VLOOKUP(C32,'Trips&amp;Operators'!$C$1:$G$99999,5,FALSE)</f>
        <v>WHITED DUSTIN</v>
      </c>
      <c r="O32" s="194" t="s">
        <v>185</v>
      </c>
      <c r="P32" s="146"/>
      <c r="Q32" s="30"/>
      <c r="R32" s="89" t="str">
        <f>IF(VLOOKUP(C32,'Train Runs'!$A$13:$AE$9946,1,1)=C32,VLOOKUP(C32,'Train Runs'!$A$13:$AE$9946,31,1),NA())</f>
        <v>aws s3 cp s3://rtdc.mdm.uploadarchive.raw/RTDC4003/ "%USERPROFILE%\AppData\Local\Temp\OnboardLogs"\RTDC4003\2017-03-12 --exclude "*" --recursive --include "*20170312*" &amp; "%USERPROFILE%\Documents\GitHub\mrs-test-scripts\Headless Mode &amp; Sideloading\WalkAndUnGZ.bat" "%USERPROFILE%\AppData\Local\Temp\OnboardLogs"\RTDC4003\2017-03-12 &amp; aws s3 cp s3://rtdc.mdm.uploadarchive.raw/RTDC4003/ "%USERPROFILE%\AppData\Local\Temp\OnboardLogs"\RTDC4003\2017-03-13 --exclude "*" --recursive --include "*20170313*" &amp; "%USERPROFILE%\Documents\GitHub\mrs-test-scripts\Headless Mode &amp; Sideloading\WalkAndUnGZ.bat" "%USERPROFILE%\AppData\Local\Temp\OnboardLogs"\RTDC4003\2017-03-13</v>
      </c>
      <c r="S32" s="92" t="str">
        <f>IF(VLOOKUP(C32,'Train Runs'!$A$13:$AE$9946,1,1)=C32,VLOOKUP(C32,'Train Runs'!$A$13:$AE$9946,22,1),NA())</f>
        <v>https://d0f6bd738d7f1b3e5a7ca70fe4ff75f0.us-east-1.aws.found.io/app/kibana#/discover/Steve-Slow-Train-Analysis-(2080s-and-2083s)?_g=(refreshInterval:(display:Off,pause:!f,section:0,value:0),time:(from:'2017-03-12T12:04:14-600',mode:absolute,to:'2017-03-12T15:02:39-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94" t="str">
        <f t="shared" si="1"/>
        <v>"C:\Program Files (x86)\AstroGrep\AstroGrep.exe" /e /r /s /spath="%USERPROFILE%\AppData\Local\Temp\OnboardLogs" /stypes="*4003*201703122*" /stext=" 20:.+((SYSTEM_STATE.+slice.+state.+changed )|(ment ac)|(multiple cpu faults)|(system.+state.+changed )|(\[timeout)|(PRM\|1\|D)|(kpr)|(kdp)|(\|lc)|(penalty))"</v>
      </c>
      <c r="U32" s="9" t="str">
        <f t="shared" si="2"/>
        <v>4003</v>
      </c>
      <c r="V32" s="32">
        <f t="shared" si="3"/>
        <v>42806.834872685184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{"issue":{"subject":"","project_id":79,"tracker_id":40,"status_id":1,"priority_id":2,"assigned_to_id":23,"start_date":"2017-03-12","description":"","custom_fields":[{"id":1,"name":"Subdivision","value":"EC"},{"id":4,"name":"Milepost","value":"23.3491"},{"id":17,"name":"Train ID","value":"175-12"},{"id":16,"name":"Locomotive ID","value":"4003"},{"id":130,"name":"Impact","value":""},{"id":150,"name":"Time of Event (Mountain Time)","value":"14:02:13"},{"id":151,"name":"Denver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"%USERPROFILE%\AppData\Local\Temp\OnboardLogs"\RTDC4003\*4003*201703122*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"%USERPROFILE%\AppData\Local\Temp\OnboardLogs"\RTDC4003\*4003*201703122* &gt;&gt; 2017-03-12-SliceDisagreementCheck.txt</v>
      </c>
      <c r="AE32" s="157" t="str">
        <f t="shared" si="9"/>
        <v>start /low /b %USERPROFILE%\Documents\GitHub\eaglep3\Utilities\DownloadLogsFromS3.py --loco 4003 --day 2017-03-12</v>
      </c>
      <c r="AF32" s="1"/>
    </row>
    <row r="33" spans="1:32" x14ac:dyDescent="0.25">
      <c r="A33" s="32">
        <v>42806.744930555556</v>
      </c>
      <c r="B33" s="30" t="s">
        <v>580</v>
      </c>
      <c r="C33" s="30" t="s">
        <v>612</v>
      </c>
      <c r="D33" s="30" t="s">
        <v>49</v>
      </c>
      <c r="E33" s="30" t="s">
        <v>195</v>
      </c>
      <c r="F33" s="43">
        <v>240</v>
      </c>
      <c r="G33" s="43">
        <v>316</v>
      </c>
      <c r="H33" s="43">
        <v>12335</v>
      </c>
      <c r="I33" s="43">
        <v>11534</v>
      </c>
      <c r="J33" s="30" t="s">
        <v>196</v>
      </c>
      <c r="K33" s="43">
        <v>10988</v>
      </c>
      <c r="L33" s="143" t="s">
        <v>51</v>
      </c>
      <c r="M33" s="144">
        <f t="shared" si="0"/>
        <v>288.28800000000001</v>
      </c>
      <c r="N33" s="145" t="str">
        <f>VLOOKUP(C33,'Trips&amp;Operators'!$C$1:$G$99999,5,FALSE)</f>
        <v>HELVIE ADAM</v>
      </c>
      <c r="O33" s="194" t="s">
        <v>185</v>
      </c>
      <c r="P33" s="146" t="s">
        <v>981</v>
      </c>
      <c r="Q33" s="30"/>
      <c r="R33" s="89" t="str">
        <f>IF(VLOOKUP(C33,'Train Runs'!$A$13:$AE$9946,1,1)=C33,VLOOKUP(C33,'Train Runs'!$A$13:$AE$9946,31,1),NA())</f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S33" s="92" t="str">
        <f>IF(VLOOKUP(C33,'Train Runs'!$A$13:$AE$9946,1,1)=C33,VLOOKUP(C33,'Train Runs'!$A$13:$AE$9946,22,1),NA())</f>
        <v>https://d0f6bd738d7f1b3e5a7ca70fe4ff75f0.us-east-1.aws.found.io/app/kibana#/discover/Steve-Slow-Train-Analysis-(2080s-and-2083s)?_g=(refreshInterval:(display:Off,pause:!f,section:0,value:0),time:(from:'2017-03-12T16:36:29-600',mode:absolute,to:'2017-03-12T18:57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94" t="str">
        <f t="shared" si="1"/>
        <v>"C:\Program Files (x86)\AstroGrep\AstroGrep.exe" /e /r /s /spath="%USERPROFILE%\AppData\Local\Temp\OnboardLogs" /stypes="*4052*201703122*" /stext=" 23:.+((SYSTEM_STATE.+slice.+state.+changed )|(ment ac)|(multiple cpu faults)|(system.+state.+changed )|(\[timeout)|(PRM\|1\|D)|(kpr)|(kdp)|(\|lc)|(penalty))"</v>
      </c>
      <c r="U33" s="9" t="str">
        <f t="shared" si="2"/>
        <v>4052</v>
      </c>
      <c r="V33" s="32">
        <f t="shared" si="3"/>
        <v>42806.994930555556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arrival","project_id":79,"tracker_id":40,"status_id":1,"priority_id":2,"assigned_to_id":23,"start_date":"2017-03-12","description":"","custom_fields":[{"id":1,"name":"Subdivision","value":"NW"},{"id":4,"name":"Milepost","value":"1.0988"},{"id":17,"name":"Train ID","value":"1824-12"},{"id":16,"name":"Locomotive ID","value":"4052"},{"id":130,"name":"Impact","value":""},{"id":150,"name":"Time of Event (Mountain Time)","value":"17:52:42"},{"id":151,"name":"Denver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"%USERPROFILE%\AppData\Local\Temp\OnboardLogs"\RTDC4052\*4052*201703122*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"%USERPROFILE%\AppData\Local\Temp\OnboardLogs"\RTDC4052\*4052*201703122* &gt;&gt; 2017-03-12-SliceDisagreementCheck.txt</v>
      </c>
      <c r="AE33" s="157" t="str">
        <f t="shared" si="9"/>
        <v>start /low /b %USERPROFILE%\Documents\GitHub\eaglep3\Utilities\DownloadLogsFromS3.py --loco 4052 --day 2017-03-12</v>
      </c>
      <c r="AF33" s="1"/>
    </row>
    <row r="34" spans="1:32" x14ac:dyDescent="0.25">
      <c r="A34" s="32">
        <v>42806.309861111113</v>
      </c>
      <c r="B34" s="30" t="s">
        <v>433</v>
      </c>
      <c r="C34" s="30" t="s">
        <v>582</v>
      </c>
      <c r="D34" s="30" t="s">
        <v>49</v>
      </c>
      <c r="E34" s="30" t="s">
        <v>238</v>
      </c>
      <c r="F34" s="43">
        <v>300</v>
      </c>
      <c r="G34" s="43">
        <v>360</v>
      </c>
      <c r="H34" s="43">
        <v>19825</v>
      </c>
      <c r="I34" s="43">
        <v>21742</v>
      </c>
      <c r="J34" s="30" t="s">
        <v>239</v>
      </c>
      <c r="K34" s="43">
        <v>21299</v>
      </c>
      <c r="L34" s="143" t="s">
        <v>50</v>
      </c>
      <c r="M34" s="144">
        <f t="shared" si="0"/>
        <v>-233.904</v>
      </c>
      <c r="N34" s="145" t="str">
        <f>VLOOKUP(C34,'Trips&amp;Operators'!$C$1:$G$99999,5,FALSE)</f>
        <v>HOLCOMB KAMDEN</v>
      </c>
      <c r="O34" s="194" t="s">
        <v>185</v>
      </c>
      <c r="P34" s="146"/>
      <c r="Q34" s="30"/>
      <c r="R34" s="89" t="e">
        <f>IF(VLOOKUP(C34,'Train Runs'!$A$13:$AE$9946,1,1)=C34,VLOOKUP(C34,'Train Runs'!$A$13:$AE$9946,31,1),NA())</f>
        <v>#N/A</v>
      </c>
      <c r="S34" s="92" t="e">
        <f>IF(VLOOKUP(C34,'Train Runs'!$A$13:$AE$9946,1,1)=C34,VLOOKUP(C34,'Train Runs'!$A$13:$AE$9946,22,1),NA())</f>
        <v>#N/A</v>
      </c>
      <c r="T34" s="94" t="str">
        <f t="shared" si="1"/>
        <v>"C:\Program Files (x86)\AstroGrep\AstroGrep.exe" /e /r /s /spath="%USERPROFILE%\AppData\Local\Temp\OnboardLogs" /stypes="*4051*201703121*" /stext=" 13:.+((SYSTEM_STATE.+slice.+state.+changed )|(ment ac)|(multiple cpu faults)|(system.+state.+changed )|(\[timeout)|(PRM\|1\|D)|(kpr)|(kdp)|(\|lc)|(penalty))"</v>
      </c>
      <c r="U34" s="9" t="str">
        <f t="shared" si="2"/>
        <v>4051</v>
      </c>
      <c r="V34" s="32">
        <f t="shared" si="3"/>
        <v>42806.559861111113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{"issue":{"subject":"","project_id":79,"tracker_id":40,"status_id":1,"priority_id":2,"assigned_to_id":23,"start_date":"2017-03-12","description":"","custom_fields":[{"id":1,"name":"Subdivision","value":"NW"},{"id":4,"name":"Milepost","value":"2.1299"},{"id":17,"name":"Train ID","value":"1803-12"},{"id":16,"name":"Locomotive ID","value":"4051"},{"id":130,"name":"Impact","value":""},{"id":150,"name":"Time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"%USERPROFILE%\AppData\Local\Temp\OnboardLogs"\RTDC4051\*4051*201703121*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"%USERPROFILE%\AppData\Local\Temp\OnboardLogs"\RTDC4051\*4051*201703121* &gt;&gt; 2017-03-12-SliceDisagreementCheck.txt</v>
      </c>
      <c r="AE34" s="157" t="str">
        <f t="shared" si="9"/>
        <v>start /low /b %USERPROFILE%\Documents\GitHub\eaglep3\Utilities\DownloadLogsFromS3.py --loco 4051 --day 2017-03-12</v>
      </c>
      <c r="AF34" s="1"/>
    </row>
    <row r="35" spans="1:32" x14ac:dyDescent="0.25">
      <c r="A35" s="32">
        <v>42806.824305555558</v>
      </c>
      <c r="B35" s="30" t="s">
        <v>580</v>
      </c>
      <c r="C35" s="30" t="s">
        <v>614</v>
      </c>
      <c r="D35" s="30" t="s">
        <v>98</v>
      </c>
      <c r="E35" s="30" t="s">
        <v>238</v>
      </c>
      <c r="F35" s="43">
        <v>400</v>
      </c>
      <c r="G35" s="43">
        <v>450</v>
      </c>
      <c r="H35" s="43">
        <v>38513</v>
      </c>
      <c r="I35" s="43">
        <v>37252</v>
      </c>
      <c r="J35" s="30" t="s">
        <v>239</v>
      </c>
      <c r="K35" s="43">
        <v>40977</v>
      </c>
      <c r="L35" s="143" t="s">
        <v>51</v>
      </c>
      <c r="M35" s="144">
        <f t="shared" si="0"/>
        <v>-1966.8</v>
      </c>
      <c r="N35" s="145" t="str">
        <f>VLOOKUP(C35,'Trips&amp;Operators'!$C$1:$G$99999,5,FALSE)</f>
        <v>MAGEE KENYA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S35" s="92" t="str">
        <f>IF(VLOOKUP(C35,'Train Runs'!$A$13:$AE$9946,1,1)=C35,VLOOKUP(C35,'Train Runs'!$A$13:$AE$9946,22,1),NA())</f>
        <v>https://d0f6bd738d7f1b3e5a7ca70fe4ff75f0.us-east-1.aws.found.io/app/kibana#/discover/Steve-Slow-Train-Analysis-(2080s-and-2083s)?_g=(refreshInterval:(display:Off,pause:!f,section:0,value:0),time:(from:'2017-03-12T18:37:57-600',mode:absolute,to:'2017-03-12T20:55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/e /r /s /spath="%USERPROFILE%\AppData\Local\Temp\OnboardLogs" /stypes="*4052*201703130*" /stext=" 01:.+((SYSTEM_STATE.+slice.+state.+changed )|(ment ac)|(multiple cpu faults)|(system.+state.+changed )|(\[timeout)|(PRM\|1\|D)|(kpr)|(kdp)|(\|lc)|(penalty))"</v>
      </c>
      <c r="U35" s="9" t="str">
        <f t="shared" si="2"/>
        <v>4052</v>
      </c>
      <c r="V35" s="32">
        <f t="shared" si="3"/>
        <v>42807.074305555558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{"issue":{"subject":"","project_id":79,"tracker_id":40,"status_id":1,"priority_id":2,"assigned_to_id":23,"start_date":"2017-03-12","description":"","custom_fields":[{"id":1,"name":"Subdivision","value":"NW"},{"id":4,"name":"Milepost","value":"4.0977"},{"id":17,"name":"Train ID","value":"1828-12"},{"id":16,"name":"Locomotive ID","value":"4052"},{"id":130,"name":"Impact","value":""},{"id":150,"name":"Time of Event (Mountain Time)","value":"19:47:00"},{"id":151,"name":"Denver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"%USERPROFILE%\AppData\Local\Temp\OnboardLogs"\RTDC4052\*4052*201703130*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"%USERPROFILE%\AppData\Local\Temp\OnboardLogs"\RTDC4052\*4052*201703130* &gt;&gt; 2017-03-12-SliceDisagreementCheck.txt</v>
      </c>
      <c r="AE35" s="157" t="str">
        <f t="shared" si="9"/>
        <v>start /low /b %USERPROFILE%\Documents\GitHub\eaglep3\Utilities\DownloadLogsFromS3.py --loco 4052 --day 2017-03-13</v>
      </c>
      <c r="AF35" s="1"/>
    </row>
    <row r="36" spans="1:32" x14ac:dyDescent="0.25">
      <c r="A36" s="32">
        <v>42806.446921296294</v>
      </c>
      <c r="B36" s="30" t="s">
        <v>580</v>
      </c>
      <c r="C36" s="30" t="s">
        <v>595</v>
      </c>
      <c r="D36" s="30" t="s">
        <v>98</v>
      </c>
      <c r="E36" s="30" t="s">
        <v>238</v>
      </c>
      <c r="F36" s="43">
        <v>150</v>
      </c>
      <c r="G36" s="43">
        <v>209</v>
      </c>
      <c r="H36" s="43">
        <v>56991</v>
      </c>
      <c r="I36" s="43">
        <v>56467</v>
      </c>
      <c r="J36" s="30" t="s">
        <v>239</v>
      </c>
      <c r="K36" s="43">
        <v>59050</v>
      </c>
      <c r="L36" s="143" t="s">
        <v>51</v>
      </c>
      <c r="M36" s="144">
        <f t="shared" si="0"/>
        <v>-1363.8239999999998</v>
      </c>
      <c r="N36" s="145" t="str">
        <f>VLOOKUP(C36,'Trips&amp;Operators'!$C$1:$G$99999,5,FALSE)</f>
        <v>HOLCOMB KAMDEN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S36" s="92" t="str">
        <f>IF(VLOOKUP(C36,'Train Runs'!$A$13:$AE$9946,1,1)=C36,VLOOKUP(C36,'Train Runs'!$A$13:$AE$9946,22,1),NA())</f>
        <v>https://d0f6bd738d7f1b3e5a7ca70fe4ff75f0.us-east-1.aws.found.io/app/kibana#/discover/Steve-Slow-Train-Analysis-(2080s-and-2083s)?_g=(refreshInterval:(display:Off,pause:!f,section:0,value:0),time:(from:'2017-03-12T09:35:52-600',mode:absolute,to:'2017-03-12T11:55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6" s="94" t="str">
        <f t="shared" si="1"/>
        <v>"C:\Program Files (x86)\AstroGrep\AstroGrep.exe" /e /r /s /spath="%USERPROFILE%\AppData\Local\Temp\OnboardLogs" /stypes="*4052*201703121*" /stext=" 16:.+((SYSTEM_STATE.+slice.+state.+changed )|(ment ac)|(multiple cpu faults)|(system.+state.+changed )|(\[timeout)|(PRM\|1\|D)|(kpr)|(kdp)|(\|lc)|(penalty))"</v>
      </c>
      <c r="U36" s="9" t="str">
        <f t="shared" si="2"/>
        <v>4052</v>
      </c>
      <c r="V36" s="32">
        <f t="shared" si="3"/>
        <v>42806.696921296294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{"issue":{"subject":"","project_id":79,"tracker_id":40,"status_id":1,"priority_id":2,"assigned_to_id":23,"start_date":"2017-03-12","description":"","custom_fields":[{"id":1,"name":"Subdivision","value":"NW"},{"id":4,"name":"Milepost","value":"5.905"},{"id":17,"name":"Train ID","value":"1810-12"},{"id":16,"name":"Locomotive ID","value":"4052"},{"id":130,"name":"Impact","value":""},{"id":150,"name":"Time of Event (Mountain Time)","value":"10:43:34"},{"id":151,"name":"Denver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"%USERPROFILE%\AppData\Local\Temp\OnboardLogs"\RTDC4052\*4052*201703121*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"%USERPROFILE%\AppData\Local\Temp\OnboardLogs"\RTDC4052\*4052*201703121* &gt;&gt; 2017-03-12-SliceDisagreementCheck.txt</v>
      </c>
      <c r="AE36" s="157" t="str">
        <f t="shared" si="9"/>
        <v>start /low /b %USERPROFILE%\Documents\GitHub\eaglep3\Utilities\DownloadLogsFromS3.py --loco 4052 --day 2017-03-12</v>
      </c>
      <c r="AF36" s="1"/>
    </row>
    <row r="37" spans="1:32" x14ac:dyDescent="0.25">
      <c r="A37" s="32">
        <v>42806.393726851849</v>
      </c>
      <c r="B37" s="30" t="s">
        <v>433</v>
      </c>
      <c r="C37" s="30" t="s">
        <v>589</v>
      </c>
      <c r="D37" s="30" t="s">
        <v>49</v>
      </c>
      <c r="E37" s="30" t="s">
        <v>431</v>
      </c>
      <c r="F37" s="43">
        <v>0</v>
      </c>
      <c r="G37" s="43">
        <v>415</v>
      </c>
      <c r="H37" s="43">
        <v>24729</v>
      </c>
      <c r="I37" s="43">
        <v>26276</v>
      </c>
      <c r="J37" s="30" t="s">
        <v>432</v>
      </c>
      <c r="K37" s="43">
        <v>26941</v>
      </c>
      <c r="L37" s="143" t="s">
        <v>50</v>
      </c>
      <c r="M37" s="144">
        <f t="shared" si="0"/>
        <v>351.12</v>
      </c>
      <c r="N37" s="145" t="str">
        <f>VLOOKUP(C37,'Trips&amp;Operators'!$C$1:$G$99999,5,FALSE)</f>
        <v>HOLCOMB KAMDEN</v>
      </c>
      <c r="O37" s="194" t="s">
        <v>434</v>
      </c>
      <c r="P37" s="146" t="s">
        <v>989</v>
      </c>
      <c r="Q37" s="30"/>
      <c r="R37" s="89" t="e">
        <f>IF(VLOOKUP(C37,'Train Runs'!$A$13:$AE$9946,1,1)=C37,VLOOKUP(C37,'Train Runs'!$A$13:$AE$9946,31,1),NA())</f>
        <v>#N/A</v>
      </c>
      <c r="S37" s="92" t="e">
        <f>IF(VLOOKUP(C37,'Train Runs'!$A$13:$AE$9946,1,1)=C37,VLOOKUP(C37,'Train Runs'!$A$13:$AE$9946,22,1),NA())</f>
        <v>#N/A</v>
      </c>
      <c r="T37" s="94" t="str">
        <f t="shared" si="1"/>
        <v>"C:\Program Files (x86)\AstroGrep\AstroGrep.exe" /e /r /s /spath="%USERPROFILE%\AppData\Local\Temp\OnboardLogs" /stypes="*4051*201703121*" /stext=" 15:.+((SYSTEM_STATE.+slice.+state.+changed )|(ment ac)|(multiple cpu faults)|(system.+state.+changed )|(\[timeout)|(PRM\|1\|D)|(kpr)|(kdp)|(\|lc)|(penalty))"</v>
      </c>
      <c r="U37" s="9" t="str">
        <f t="shared" si="2"/>
        <v>4051</v>
      </c>
      <c r="V37" s="32">
        <f t="shared" si="3"/>
        <v>42806.643726851849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{"issue":{"subject":"Wi-MAX data drop","project_id":79,"tracker_id":40,"status_id":1,"priority_id":2,"assigned_to_id":23,"start_date":"2017-03-12","description":"","custom_fields":[{"id":1,"name":"Subdivision","value":"NW"},{"id":4,"name":"Milepost","value":"2.6941"},{"id":17,"name":"Train ID","value":"1807-12"},{"id":16,"name":"Locomotive ID","value":"4051"},{"id":130,"name":"Impact","value":""},{"id":150,"name":"Time of Event (Mountain Time)","value":"09:26:58"},{"id":151,"name":"Denver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"%USERPROFILE%\AppData\Local\Temp\OnboardLogs"\RTDC4051\*4051*201703121*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"%USERPROFILE%\AppData\Local\Temp\OnboardLogs"\RTDC4051\*4051*201703121* &gt;&gt; 2017-03-12-SliceDisagreementCheck.txt</v>
      </c>
      <c r="AE37" s="157" t="str">
        <f t="shared" si="9"/>
        <v>start /low /b %USERPROFILE%\Documents\GitHub\eaglep3\Utilities\DownloadLogsFromS3.py --loco 4051 --day 2017-03-12</v>
      </c>
      <c r="AF37" s="1"/>
    </row>
    <row r="38" spans="1:32" x14ac:dyDescent="0.25">
      <c r="A38" s="32">
        <v>42806.288321759261</v>
      </c>
      <c r="B38" s="30" t="s">
        <v>580</v>
      </c>
      <c r="C38" s="30" t="s">
        <v>581</v>
      </c>
      <c r="D38" s="30" t="s">
        <v>49</v>
      </c>
      <c r="E38" s="30" t="s">
        <v>186</v>
      </c>
      <c r="F38" s="43">
        <v>0</v>
      </c>
      <c r="G38" s="43">
        <v>42</v>
      </c>
      <c r="H38" s="43">
        <v>671</v>
      </c>
      <c r="I38" s="43">
        <v>642</v>
      </c>
      <c r="J38" s="30" t="s">
        <v>187</v>
      </c>
      <c r="K38" s="43">
        <v>575</v>
      </c>
      <c r="L38" s="143" t="s">
        <v>51</v>
      </c>
      <c r="M38" s="144">
        <f t="shared" si="0"/>
        <v>35.375999999999998</v>
      </c>
      <c r="N38" s="145" t="str">
        <f>VLOOKUP(C38,'Trips&amp;Operators'!$C$1:$G$99999,5,FALSE)</f>
        <v>HOLCOMB KAMDEN</v>
      </c>
      <c r="O38" s="194" t="s">
        <v>185</v>
      </c>
      <c r="P38" s="146"/>
      <c r="Q38" s="30"/>
      <c r="R38" s="89" t="e">
        <f>IF(VLOOKUP(C38,'Train Runs'!$A$13:$AE$9946,1,1)=C38,VLOOKUP(C38,'Train Runs'!$A$13:$AE$9946,31,1),NA())</f>
        <v>#N/A</v>
      </c>
      <c r="S38" s="92" t="e">
        <f>IF(VLOOKUP(C38,'Train Runs'!$A$13:$AE$9946,1,1)=C38,VLOOKUP(C38,'Train Runs'!$A$13:$AE$9946,22,1),NA())</f>
        <v>#N/A</v>
      </c>
      <c r="T38" s="94" t="str">
        <f t="shared" si="1"/>
        <v>"C:\Program Files (x86)\AstroGrep\AstroGrep.exe" /e /r /s /spath="%USERPROFILE%\AppData\Local\Temp\OnboardLogs" /stypes="*4052*201703121*" /stext=" 12:.+((SYSTEM_STATE.+slice.+state.+changed )|(ment ac)|(multiple cpu faults)|(system.+state.+changed )|(\[timeout)|(PRM\|1\|D)|(kpr)|(kdp)|(\|lc)|(penalty))"</v>
      </c>
      <c r="U38" s="9" t="str">
        <f t="shared" si="2"/>
        <v>4052</v>
      </c>
      <c r="V38" s="32">
        <f t="shared" si="3"/>
        <v>42806.538321759261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{"issue":{"subject":"","project_id":79,"tracker_id":40,"status_id":1,"priority_id":2,"assigned_to_id":23,"start_date":"2017-03-12","description":"","custom_fields":[{"id":1,"name":"Subdivision","value":"NW"},{"id":4,"name":"Milepost","value":"0.0575"},{"id":17,"name":"Train ID","value":"1802-12"},{"id":16,"name":"Locomotive ID","value":"4052"},{"id":130,"name":"Impact","value":""},{"id":150,"name":"Time of Event (Mountain Time)","value":"06:55:11"},{"id":151,"name":"Denver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"%USERPROFILE%\AppData\Local\Temp\OnboardLogs"\RTDC4052\*4052*201703121*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"%USERPROFILE%\AppData\Local\Temp\OnboardLogs"\RTDC4052\*4052*201703121* &gt;&gt; 2017-03-12-SliceDisagreementCheck.txt</v>
      </c>
      <c r="AE38" s="157" t="str">
        <f t="shared" si="9"/>
        <v>start /low /b %USERPROFILE%\Documents\GitHub\eaglep3\Utilities\DownloadLogsFromS3.py --loco 4052 --day 2017-03-12</v>
      </c>
      <c r="AF38" s="1"/>
    </row>
    <row r="39" spans="1:32" x14ac:dyDescent="0.25">
      <c r="A39" s="32">
        <v>42806.373101851852</v>
      </c>
      <c r="B39" s="30" t="s">
        <v>580</v>
      </c>
      <c r="C39" s="30" t="s">
        <v>586</v>
      </c>
      <c r="D39" s="30" t="s">
        <v>49</v>
      </c>
      <c r="E39" s="30" t="s">
        <v>186</v>
      </c>
      <c r="F39" s="43">
        <v>0</v>
      </c>
      <c r="G39" s="43">
        <v>58</v>
      </c>
      <c r="H39" s="43">
        <v>738</v>
      </c>
      <c r="I39" s="43">
        <v>668</v>
      </c>
      <c r="J39" s="30" t="s">
        <v>187</v>
      </c>
      <c r="K39" s="43">
        <v>575</v>
      </c>
      <c r="L39" s="143" t="s">
        <v>51</v>
      </c>
      <c r="M39" s="144">
        <f t="shared" si="0"/>
        <v>49.103999999999999</v>
      </c>
      <c r="N39" s="145" t="str">
        <f>VLOOKUP(C39,'Trips&amp;Operators'!$C$1:$G$99999,5,FALSE)</f>
        <v>HOLCOMB KAMDEN</v>
      </c>
      <c r="O39" s="194" t="s">
        <v>185</v>
      </c>
      <c r="P39" s="146"/>
      <c r="Q39" s="30"/>
      <c r="R39" s="89" t="e">
        <f>IF(VLOOKUP(C39,'Train Runs'!$A$13:$AE$9946,1,1)=C39,VLOOKUP(C39,'Train Runs'!$A$13:$AE$9946,31,1),NA())</f>
        <v>#N/A</v>
      </c>
      <c r="S39" s="92" t="e">
        <f>IF(VLOOKUP(C39,'Train Runs'!$A$13:$AE$9946,1,1)=C39,VLOOKUP(C39,'Train Runs'!$A$13:$AE$9946,22,1),NA())</f>
        <v>#N/A</v>
      </c>
      <c r="T39" s="94" t="str">
        <f t="shared" si="1"/>
        <v>"C:\Program Files (x86)\AstroGrep\AstroGrep.exe" /e /r /s /spath="%USERPROFILE%\AppData\Local\Temp\OnboardLogs" /stypes="*4052*201703121*" /stext=" 14:.+((SYSTEM_STATE.+slice.+state.+changed )|(ment ac)|(multiple cpu faults)|(system.+state.+changed )|(\[timeout)|(PRM\|1\|D)|(kpr)|(kdp)|(\|lc)|(penalty))"</v>
      </c>
      <c r="U39" s="9" t="str">
        <f t="shared" si="2"/>
        <v>4052</v>
      </c>
      <c r="V39" s="32">
        <f t="shared" si="3"/>
        <v>42806.623101851852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{"issue":{"subject":"","project_id":79,"tracker_id":40,"status_id":1,"priority_id":2,"assigned_to_id":23,"start_date":"2017-03-12","description":"","custom_fields":[{"id":1,"name":"Subdivision","value":"NW"},{"id":4,"name":"Milepost","value":"0.0575"},{"id":17,"name":"Train ID","value":"1806-12"},{"id":16,"name":"Locomotive ID","value":"4052"},{"id":130,"name":"Impact","value":""},{"id":150,"name":"Time of Event (Mountain Time)","value":"08:57:16"},{"id":151,"name":"Denver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"%USERPROFILE%\AppData\Local\Temp\OnboardLogs"\RTDC4052\*4052*201703121*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"%USERPROFILE%\AppData\Local\Temp\OnboardLogs"\RTDC4052\*4052*201703121* &gt;&gt; 2017-03-12-SliceDisagreementCheck.txt</v>
      </c>
      <c r="AE39" s="157" t="str">
        <f t="shared" si="9"/>
        <v>start /low /b %USERPROFILE%\Documents\GitHub\eaglep3\Utilities\DownloadLogsFromS3.py --loco 4052 --day 2017-03-12</v>
      </c>
      <c r="AF39" s="1"/>
    </row>
    <row r="40" spans="1:32" x14ac:dyDescent="0.25">
      <c r="A40" s="32">
        <v>42806.455150462964</v>
      </c>
      <c r="B40" s="30" t="s">
        <v>580</v>
      </c>
      <c r="C40" s="30" t="s">
        <v>595</v>
      </c>
      <c r="D40" s="30" t="s">
        <v>49</v>
      </c>
      <c r="E40" s="30" t="s">
        <v>186</v>
      </c>
      <c r="F40" s="43">
        <v>0</v>
      </c>
      <c r="G40" s="43">
        <v>46</v>
      </c>
      <c r="H40" s="43">
        <v>706</v>
      </c>
      <c r="I40" s="43">
        <v>673</v>
      </c>
      <c r="J40" s="30" t="s">
        <v>187</v>
      </c>
      <c r="K40" s="43">
        <v>575</v>
      </c>
      <c r="L40" s="143" t="s">
        <v>51</v>
      </c>
      <c r="M40" s="144">
        <f t="shared" si="0"/>
        <v>51.744</v>
      </c>
      <c r="N40" s="145" t="str">
        <f>VLOOKUP(C40,'Trips&amp;Operators'!$C$1:$G$99999,5,FALSE)</f>
        <v>HOLCOMB KAMDEN</v>
      </c>
      <c r="O40" s="194" t="s">
        <v>185</v>
      </c>
      <c r="P40" s="146"/>
      <c r="Q40" s="30"/>
      <c r="R40" s="89" t="str">
        <f>IF(VLOOKUP(C40,'Train Runs'!$A$13:$AE$9946,1,1)=C40,VLOOKUP(C40,'Train Runs'!$A$13:$AE$9946,31,1),NA())</f>
        <v>aws s3 cp s3://rtdc.mdm.uploadarchive.raw/RTDC4052/ "%USERPROFILE%\AppData\Local\Temp\OnboardLogs"\RTDC4052\2017-03-12 --exclude "*" --recursive --include "*20170312*" &amp; "%USERPROFILE%\Documents\GitHub\mrs-test-scripts\Headless Mode &amp; Sideloading\WalkAndUnGZ.bat" "%USERPROFILE%\AppData\Local\Temp\OnboardLogs"\RTDC4052\2017-03-12 &amp; aws s3 cp s3://rtdc.mdm.uploadarchive.raw/RTDC4052/ "%USERPROFILE%\AppData\Local\Temp\OnboardLogs"\RTDC4052\2017-03-13 --exclude "*" --recursive --include "*20170313*" &amp; "%USERPROFILE%\Documents\GitHub\mrs-test-scripts\Headless Mode &amp; Sideloading\WalkAndUnGZ.bat" "%USERPROFILE%\AppData\Local\Temp\OnboardLogs"\RTDC4052\2017-03-13</v>
      </c>
      <c r="S40" s="92" t="str">
        <f>IF(VLOOKUP(C40,'Train Runs'!$A$13:$AE$9946,1,1)=C40,VLOOKUP(C40,'Train Runs'!$A$13:$AE$9946,22,1),NA())</f>
        <v>https://d0f6bd738d7f1b3e5a7ca70fe4ff75f0.us-east-1.aws.found.io/app/kibana#/discover/Steve-Slow-Train-Analysis-(2080s-and-2083s)?_g=(refreshInterval:(display:Off,pause:!f,section:0,value:0),time:(from:'2017-03-12T09:35:52-600',mode:absolute,to:'2017-03-12T11:55:52-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0" s="94" t="str">
        <f t="shared" si="1"/>
        <v>"C:\Program Files (x86)\AstroGrep\AstroGrep.exe" /e /r /s /spath="%USERPROFILE%\AppData\Local\Temp\OnboardLogs" /stypes="*4052*201703121*" /stext=" 16:.+((SYSTEM_STATE.+slice.+state.+changed )|(ment ac)|(multiple cpu faults)|(system.+state.+changed )|(\[timeout)|(PRM\|1\|D)|(kpr)|(kdp)|(\|lc)|(penalty))"</v>
      </c>
      <c r="U40" s="9" t="str">
        <f t="shared" si="2"/>
        <v>4052</v>
      </c>
      <c r="V40" s="32">
        <f t="shared" si="3"/>
        <v>42806.705150462964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{"issue":{"subject":"","project_id":79,"tracker_id":40,"status_id":1,"priority_id":2,"assigned_to_id":23,"start_date":"2017-03-12","description":"","custom_fields":[{"id":1,"name":"Subdivision","value":"NW"},{"id":4,"name":"Milepost","value":"0.0575"},{"id":17,"name":"Train ID","value":"1810-12"},{"id":16,"name":"Locomotive ID","value":"4052"},{"id":130,"name":"Impact","value":""},{"id":150,"name":"Time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"%USERPROFILE%\AppData\Local\Temp\OnboardLogs"\RTDC4052\*4052*201703121*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"%USERPROFILE%\AppData\Local\Temp\OnboardLogs"\RTDC4052\*4052*201703121* &gt;&gt; 2017-03-12-SliceDisagreementCheck.txt</v>
      </c>
      <c r="AE40" s="157" t="str">
        <f t="shared" si="9"/>
        <v>start /low /b %USERPROFILE%\Documents\GitHub\eaglep3\Utilities\DownloadLogsFromS3.py --loco 4052 --day 2017-03-12</v>
      </c>
      <c r="AF40" s="1"/>
    </row>
    <row r="41" spans="1:32" x14ac:dyDescent="0.25">
      <c r="A41" s="32">
        <v>42806.357233796298</v>
      </c>
      <c r="B41" s="30" t="s">
        <v>433</v>
      </c>
      <c r="C41" s="30" t="s">
        <v>583</v>
      </c>
      <c r="D41" s="30" t="s">
        <v>49</v>
      </c>
      <c r="E41" s="30" t="s">
        <v>186</v>
      </c>
      <c r="F41" s="43">
        <v>0</v>
      </c>
      <c r="G41" s="43">
        <v>50</v>
      </c>
      <c r="H41" s="43">
        <v>58928</v>
      </c>
      <c r="I41" s="43">
        <v>58973</v>
      </c>
      <c r="J41" s="30" t="s">
        <v>187</v>
      </c>
      <c r="K41" s="43">
        <v>59048</v>
      </c>
      <c r="L41" s="143" t="s">
        <v>50</v>
      </c>
      <c r="M41" s="144">
        <f t="shared" si="0"/>
        <v>39.6</v>
      </c>
      <c r="N41" s="145" t="str">
        <f>VLOOKUP(C41,'Trips&amp;Operators'!$C$1:$G$99999,5,FALSE)</f>
        <v>HOLCOMB KAMDEN</v>
      </c>
      <c r="O41" s="194" t="s">
        <v>185</v>
      </c>
      <c r="P41" s="146"/>
      <c r="Q41" s="30"/>
      <c r="R41" s="89" t="e">
        <f>IF(VLOOKUP(C41,'Train Runs'!$A$13:$AE$9946,1,1)=C41,VLOOKUP(C41,'Train Runs'!$A$13:$AE$9946,31,1),NA())</f>
        <v>#N/A</v>
      </c>
      <c r="S41" s="92" t="e">
        <f>IF(VLOOKUP(C41,'Train Runs'!$A$13:$AE$9946,1,1)=C41,VLOOKUP(C41,'Train Runs'!$A$13:$AE$9946,22,1),NA())</f>
        <v>#N/A</v>
      </c>
      <c r="T41" s="94" t="str">
        <f t="shared" si="1"/>
        <v>"C:\Program Files (x86)\AstroGrep\AstroGrep.exe" /e /r /s /spath="%USERPROFILE%\AppData\Local\Temp\OnboardLogs" /stypes="*4051*201703121*" /stext=" 14:.+((SYSTEM_STATE.+slice.+state.+changed )|(ment ac)|(multiple cpu faults)|(system.+state.+changed )|(\[timeout)|(PRM\|1\|D)|(kpr)|(kdp)|(\|lc)|(penalty))"</v>
      </c>
      <c r="U41" s="9" t="str">
        <f t="shared" si="2"/>
        <v>4051</v>
      </c>
      <c r="V41" s="32">
        <f t="shared" si="3"/>
        <v>42806.607233796298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{"issue":{"subject":"","project_id":79,"tracker_id":40,"status_id":1,"priority_id":2,"assigned_to_id":23,"start_date":"2017-03-12","description":"","custom_fields":[{"id":1,"name":"Subdivision","value":"NW"},{"id":4,"name":"Milepost","value":"5.9048"},{"id":17,"name":"Train ID","value":"1805-12"},{"id":16,"name":"Locomotive ID","value":"4051"},{"id":130,"name":"Impact","value":""},{"id":150,"name":"Time of Event (Mountain Time)","value":"08:34:25"},{"id":151,"name":"Denver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"%USERPROFILE%\AppData\Local\Temp\OnboardLogs"\RTDC4051\*4051*201703121*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"%USERPROFILE%\AppData\Local\Temp\OnboardLogs"\RTDC4051\*4051*201703121* &gt;&gt; 2017-03-12-SliceDisagreementCheck.txt</v>
      </c>
      <c r="AE41" s="157" t="str">
        <f t="shared" si="9"/>
        <v>start /low /b %USERPROFILE%\Documents\GitHub\eaglep3\Utilities\DownloadLogsFromS3.py --loco 4051 --day 2017-03-12</v>
      </c>
      <c r="AF41" s="1"/>
    </row>
    <row r="42" spans="1:32" x14ac:dyDescent="0.25">
      <c r="A42" s="32">
        <v>42806.607442129629</v>
      </c>
      <c r="B42" s="30" t="s">
        <v>433</v>
      </c>
      <c r="C42" s="30" t="s">
        <v>606</v>
      </c>
      <c r="D42" s="30" t="s">
        <v>49</v>
      </c>
      <c r="E42" s="30" t="s">
        <v>186</v>
      </c>
      <c r="F42" s="43">
        <v>0</v>
      </c>
      <c r="G42" s="43">
        <v>25</v>
      </c>
      <c r="H42" s="43">
        <v>58969</v>
      </c>
      <c r="I42" s="43">
        <v>58980</v>
      </c>
      <c r="J42" s="30" t="s">
        <v>187</v>
      </c>
      <c r="K42" s="43">
        <v>59048</v>
      </c>
      <c r="L42" s="143" t="s">
        <v>50</v>
      </c>
      <c r="M42" s="144">
        <f t="shared" si="0"/>
        <v>35.904000000000003</v>
      </c>
      <c r="N42" s="145" t="str">
        <f>VLOOKUP(C42,'Trips&amp;Operators'!$C$1:$G$99999,5,FALSE)</f>
        <v>HELVIE ADAM</v>
      </c>
      <c r="O42" s="194" t="s">
        <v>185</v>
      </c>
      <c r="P42" s="146"/>
      <c r="Q42" s="30"/>
      <c r="R42" s="89" t="str">
        <f>IF(VLOOKUP(C42,'Train Runs'!$A$13:$AE$9946,1,1)=C42,VLOOKUP(C42,'Train Runs'!$A$13:$AE$9946,31,1),NA())</f>
        <v>aws s3 cp s3://rtdc.mdm.uploadarchive.raw/RTDC4051/ "%USERPROFILE%\AppData\Local\Temp\OnboardLogs"\RTDC4051\2017-03-12 --exclude "*" --recursive --include "*20170312*" &amp; "%USERPROFILE%\Documents\GitHub\mrs-test-scripts\Headless Mode &amp; Sideloading\WalkAndUnGZ.bat" "%USERPROFILE%\AppData\Local\Temp\OnboardLogs"\RTDC4051\2017-03-12 &amp; aws s3 cp s3://rtdc.mdm.uploadarchive.raw/RTDC4051/ "%USERPROFILE%\AppData\Local\Temp\OnboardLogs"\RTDC4051\2017-03-13 --exclude "*" --recursive --include "*20170313*" &amp; "%USERPROFILE%\Documents\GitHub\mrs-test-scripts\Headless Mode &amp; Sideloading\WalkAndUnGZ.bat" "%USERPROFILE%\AppData\Local\Temp\OnboardLogs"\RTDC4051\2017-03-13</v>
      </c>
      <c r="S42" s="92" t="str">
        <f>IF(VLOOKUP(C42,'Train Runs'!$A$13:$AE$9946,1,1)=C42,VLOOKUP(C42,'Train Runs'!$A$13:$AE$9946,22,1),NA())</f>
        <v>https://d0f6bd738d7f1b3e5a7ca70fe4ff75f0.us-east-1.aws.found.io/app/kibana#/discover/Steve-Slow-Train-Analysis-(2080s-and-2083s)?_g=(refreshInterval:(display:Off,pause:!f,section:0,value:0),time:(from:'2017-03-12T13:14:27-600',mode:absolute,to:'2017-03-12T15:36:30-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94" t="str">
        <f t="shared" si="1"/>
        <v>"C:\Program Files (x86)\AstroGrep\AstroGrep.exe" /e /r /s /spath="%USERPROFILE%\AppData\Local\Temp\OnboardLogs" /stypes="*4051*201703122*" /stext=" 20:.+((SYSTEM_STATE.+slice.+state.+changed )|(ment ac)|(multiple cpu faults)|(system.+state.+changed )|(\[timeout)|(PRM\|1\|D)|(kpr)|(kdp)|(\|lc)|(penalty))"</v>
      </c>
      <c r="U42" s="9" t="str">
        <f t="shared" si="2"/>
        <v>4051</v>
      </c>
      <c r="V42" s="32">
        <f t="shared" si="3"/>
        <v>42806.857442129629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{"issue":{"subject":"","project_id":79,"tracker_id":40,"status_id":1,"priority_id":2,"assigned_to_id":23,"start_date":"2017-03-12","description":"","custom_fields":[{"id":1,"name":"Subdivision","value":"NW"},{"id":4,"name":"Milepost","value":"5.9048"},{"id":17,"name":"Train ID","value":"1817-12"},{"id":16,"name":"Locomotive ID","value":"4051"},{"id":130,"name":"Impact","value":""},{"id":150,"name":"Time of Event (Mountain Time)","value":"14:34:43"},{"id":151,"name":"Denver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"%USERPROFILE%\AppData\Local\Temp\OnboardLogs"\RTDC4051\*4051*201703122*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"%USERPROFILE%\AppData\Local\Temp\OnboardLogs"\RTDC4051\*4051*201703122* &gt;&gt; 2017-03-12-SliceDisagreementCheck.txt</v>
      </c>
      <c r="AE42" s="157" t="str">
        <f t="shared" si="9"/>
        <v>start /low /b %USERPROFILE%\Documents\GitHub\eaglep3\Utilities\DownloadLogsFromS3.py --loco 4051 --day 2017-03-12</v>
      </c>
      <c r="AF42" s="1"/>
    </row>
    <row r="43" spans="1:32" x14ac:dyDescent="0.25">
      <c r="A43" s="32">
        <v>42806.767118055555</v>
      </c>
      <c r="B43" s="30" t="s">
        <v>251</v>
      </c>
      <c r="C43" s="30" t="s">
        <v>613</v>
      </c>
      <c r="D43" s="30" t="s">
        <v>49</v>
      </c>
      <c r="E43" s="30" t="s">
        <v>186</v>
      </c>
      <c r="F43" s="43">
        <v>0</v>
      </c>
      <c r="G43" s="43">
        <v>23</v>
      </c>
      <c r="H43" s="43">
        <v>888</v>
      </c>
      <c r="I43" s="43">
        <v>867</v>
      </c>
      <c r="J43" s="30" t="s">
        <v>187</v>
      </c>
      <c r="K43" s="43">
        <v>839</v>
      </c>
      <c r="L43" s="143" t="s">
        <v>51</v>
      </c>
      <c r="M43" s="144">
        <f t="shared" si="0"/>
        <v>14.784000000000001</v>
      </c>
      <c r="N43" s="145" t="str">
        <f>VLOOKUP(C43,'Trips&amp;Operators'!$C$1:$G$99999,5,FALSE)</f>
        <v>MAGEE KENYA</v>
      </c>
      <c r="O43" s="194" t="s">
        <v>185</v>
      </c>
      <c r="P43" s="146"/>
      <c r="Q43" s="30"/>
      <c r="R43" s="89" t="str">
        <f>IF(VLOOKUP(C43,'Train Runs'!$A$13:$AE$9946,1,1)=C43,VLOOKUP(C43,'Train Runs'!$A$13:$AE$9946,31,1),NA())</f>
        <v>aws s3 cp s3://rtdc.mdm.uploadarchive.raw/RTDC4013/ "%USERPROFILE%\AppData\Local\Temp\OnboardLogs"\RTDC4013\2017-03-12 --exclude "*" --recursive --include "*20170312*" &amp; "%USERPROFILE%\Documents\GitHub\mrs-test-scripts\Headless Mode &amp; Sideloading\WalkAndUnGZ.bat" "%USERPROFILE%\AppData\Local\Temp\OnboardLogs"\RTDC4013\2017-03-12 &amp; aws s3 cp s3://rtdc.mdm.uploadarchive.raw/RTDC4013/ "%USERPROFILE%\AppData\Local\Temp\OnboardLogs"\RTDC4013\2017-03-13 --exclude "*" --recursive --include "*20170313*" &amp; "%USERPROFILE%\Documents\GitHub\mrs-test-scripts\Headless Mode &amp; Sideloading\WalkAndUnGZ.bat" "%USERPROFILE%\AppData\Local\Temp\OnboardLogs"\RTDC4013\2017-03-13</v>
      </c>
      <c r="S43" s="92" t="str">
        <f>IF(VLOOKUP(C43,'Train Runs'!$A$13:$AE$9946,1,1)=C43,VLOOKUP(C43,'Train Runs'!$A$13:$AE$9946,22,1),NA())</f>
        <v>https://d0f6bd738d7f1b3e5a7ca70fe4ff75f0.us-east-1.aws.found.io/app/kibana#/discover/Steve-Slow-Train-Analysis-(2080s-and-2083s)?_g=(refreshInterval:(display:Off,pause:!f,section:0,value:0),time:(from:'2017-03-12T16:59:40-600',mode:absolute,to:'2017-03-12T19:26:42-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94" t="str">
        <f t="shared" si="1"/>
        <v>"C:\Program Files (x86)\AstroGrep\AstroGrep.exe" /e /r /s /spath="%USERPROFILE%\AppData\Local\Temp\OnboardLogs" /stypes="*4013*201703130*" /stext=" 00:.+((SYSTEM_STATE.+slice.+state.+changed )|(ment ac)|(multiple cpu faults)|(system.+state.+changed )|(\[timeout)|(PRM\|1\|D)|(kpr)|(kdp)|(\|lc)|(penalty))"</v>
      </c>
      <c r="U43" s="9" t="str">
        <f t="shared" si="2"/>
        <v>4013</v>
      </c>
      <c r="V43" s="32">
        <f t="shared" si="3"/>
        <v>42807.017118055555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{"issue":{"subject":"","project_id":79,"tracker_id":40,"status_id":1,"priority_id":2,"assigned_to_id":23,"start_date":"2017-03-12","description":"","custom_fields":[{"id":1,"name":"Subdivision","value":"Other"},{"id":4,"name":"Milepost","value":"0.0839"},{"id":17,"name":"Train ID","value":"54-12"},{"id":16,"name":"Locomotive ID","value":"4013"},{"id":130,"name":"Impact","value":""},{"id":150,"name":"Time of Event (Mountain Time)","value":"18:24:39"},{"id":151,"name":"Denver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"%USERPROFILE%\AppData\Local\Temp\OnboardLogs"\RTDC4013\*4013*201703130*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"%USERPROFILE%\AppData\Local\Temp\OnboardLogs"\RTDC4013\*4013*201703130* &gt;&gt; 2017-03-12-SliceDisagreementCheck.txt</v>
      </c>
      <c r="AE43" s="157" t="str">
        <f t="shared" si="9"/>
        <v>start /low /b %USERPROFILE%\Documents\GitHub\eaglep3\Utilities\DownloadLogsFromS3.py --loco 4013 --day 2017-03-13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workbookViewId="0">
      <selection activeCell="E3" sqref="E3:E5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2" t="str">
        <f>"Trips that did not appear in PTC Data "&amp;TEXT(Variables!$A$2,"YYYY-mm-dd")</f>
        <v>Trips that did not appear in PTC Data 2017-03-12</v>
      </c>
      <c r="C1" s="222"/>
      <c r="D1" s="222"/>
      <c r="E1" s="222"/>
      <c r="F1" s="222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115</v>
      </c>
      <c r="B3" s="43" t="str">
        <f>A3&amp;"-"&amp;IF(DAY(Variables!$A$2)&lt;10,0,"")&amp;DAY(Variables!$A$2)</f>
        <v>115-12</v>
      </c>
      <c r="C3" s="147"/>
      <c r="D3" s="165"/>
      <c r="E3" s="30" t="s">
        <v>991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22115-12%22)),sort:!(Time.ISO8601,asc))</v>
      </c>
      <c r="J3" s="30" t="e">
        <f>VLOOKUP(B3,'Train Runs'!$A$13:$A$99943,1,FALSE)</f>
        <v>#N/A</v>
      </c>
    </row>
    <row r="4" spans="1:10" x14ac:dyDescent="0.25">
      <c r="A4" s="185">
        <v>176</v>
      </c>
      <c r="B4" s="43" t="str">
        <f>A4&amp;"-"&amp;IF(DAY(Variables!$A$2)&lt;10,0,"")&amp;DAY(Variables!$A$2)</f>
        <v>176-12</v>
      </c>
      <c r="C4" s="147"/>
      <c r="D4" s="165"/>
      <c r="E4" s="30" t="s">
        <v>991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22176-12%22)),sort:!(Time.ISO8601,asc))</v>
      </c>
      <c r="J4" s="30" t="e">
        <f>VLOOKUP(B4,'Train Runs'!$A$13:$A$99943,1,FALSE)</f>
        <v>#N/A</v>
      </c>
    </row>
    <row r="5" spans="1:10" x14ac:dyDescent="0.25">
      <c r="A5" s="185">
        <v>177</v>
      </c>
      <c r="B5" s="43" t="str">
        <f>A5&amp;"-"&amp;IF(DAY(Variables!$A$2)&lt;10,0,"")&amp;DAY(Variables!$A$2)</f>
        <v>177-12</v>
      </c>
      <c r="C5" s="147"/>
      <c r="D5" s="165"/>
      <c r="E5" s="30" t="s">
        <v>991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-12%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-12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-12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-12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-12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-12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-12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-12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-12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-12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ref="I1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-12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-12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-12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-12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-12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-12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-12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-12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-12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-12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-12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-12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-12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-12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-12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-12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-12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-12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-12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-12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-12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-12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-12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-12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-12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-12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-12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-12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-12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-12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-12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-12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ref="I46:I7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-12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-12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-12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-12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-12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-12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-12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-12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-12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-12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-12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-12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-12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-12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-12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-12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-12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-12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-12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-12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-12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-12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-12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-12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-12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-12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-12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-12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-12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-12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-12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-12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ref="I78:I9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-12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-12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-12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-12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-12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-12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-12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-12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-12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-12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-12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-12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-12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-12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-12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-12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-12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-12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-12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-12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-12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9" s="30" t="e">
        <f>VLOOKUP(B99,'Train Runs'!$A$13:$A$99943,1,FALSE)</f>
        <v>#N/A</v>
      </c>
    </row>
  </sheetData>
  <autoFilter ref="A2:J9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447</v>
      </c>
      <c r="B1" s="207" t="s">
        <v>448</v>
      </c>
      <c r="C1" s="199" t="s">
        <v>456</v>
      </c>
      <c r="D1" s="211" t="s">
        <v>58</v>
      </c>
      <c r="E1" s="196" t="s">
        <v>24</v>
      </c>
      <c r="F1" s="211" t="s">
        <v>462</v>
      </c>
      <c r="G1" s="215" t="s">
        <v>94</v>
      </c>
      <c r="H1" s="217" t="s">
        <v>466</v>
      </c>
      <c r="I1" s="213" t="s">
        <v>465</v>
      </c>
      <c r="J1" s="209" t="s">
        <v>84</v>
      </c>
      <c r="K1" s="209" t="s">
        <v>461</v>
      </c>
      <c r="L1" s="204" t="s">
        <v>458</v>
      </c>
      <c r="M1" s="204" t="s">
        <v>449</v>
      </c>
      <c r="N1" s="204" t="s">
        <v>451</v>
      </c>
      <c r="O1" s="204" t="s">
        <v>452</v>
      </c>
      <c r="P1" s="204" t="s">
        <v>453</v>
      </c>
      <c r="Q1" s="203" t="s">
        <v>450</v>
      </c>
    </row>
    <row r="2" spans="1:17" x14ac:dyDescent="0.25">
      <c r="A2" s="201">
        <v>42800.21875</v>
      </c>
      <c r="B2" s="208" t="s">
        <v>455</v>
      </c>
      <c r="C2" s="198" t="s">
        <v>457</v>
      </c>
      <c r="D2" s="212">
        <v>104</v>
      </c>
      <c r="E2" s="30" t="s">
        <v>460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/stypes="*4041*201703061*"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"%USERPROFILE%\AppData\Local\Temp\OnboardLogs"\RTDC4041\*4041*201703061*</v>
      </c>
      <c r="I2" s="214" t="e">
        <f>IF(VLOOKUP(K2,'Train Runs'!$A$13:$V$999,1,TRUE)=K2,VLOOKUP(K2,'Train Runs'!$A$13:$V$999,22,TRUE),NA())</f>
        <v>#VALUE!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104-12</v>
      </c>
      <c r="L2" s="206">
        <f>IF(VLOOKUP(K2,'Train Runs'!$A$12:$B$999,1,TRUE)=K2,VLOOKUP(K2,'Train Runs'!$A$12:$B$999,2,TRUE),NA())</f>
        <v>4041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455</v>
      </c>
      <c r="C3" s="198" t="s">
        <v>457</v>
      </c>
      <c r="D3" s="212">
        <v>126</v>
      </c>
      <c r="E3" s="30" t="s">
        <v>459</v>
      </c>
      <c r="F3" s="212" t="b">
        <v>1</v>
      </c>
      <c r="G3" s="216" t="str">
        <f t="shared" si="0"/>
        <v>"C:\Program Files (x86)\AstroGrep\AstroGrep.exe" /e /r /s /spath="%USERPROFILE%\AppData\Local\Temp\OnboardLogs" /stypes="*4028*201703061*"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"%USERPROFILE%\AppData\Local\Temp\OnboardLogs"\RTDC4028\*4028*201703061*</v>
      </c>
      <c r="I3" s="214" t="str">
        <f>IF(VLOOKUP(K3,'Train Runs'!$A$13:$V$999,1,TRUE)=K3,VLOOKUP(K3,'Train Runs'!$A$13:$V$999,22,TRUE),NA())</f>
        <v>https://d0f6bd738d7f1b3e5a7ca70fe4ff75f0.us-east-1.aws.found.io/app/kibana#/discover/Steve-Slow-Train-Analysis-(2080s-and-2083s)?_g=(refreshInterval:(display:Off,pause:!f,section:0,value:0),time:(from:'2017-03-12T06:34:46-600',mode:absolute,to:'2017-03-12T09:21:32-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126-12</v>
      </c>
      <c r="L3" s="206">
        <f>IF(VLOOKUP(K3,'Train Runs'!$A$12:$B$999,1,TRUE)=K3,VLOOKUP(K3,'Train Runs'!$A$12:$B$999,2,TRUE),NA())</f>
        <v>4028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455</v>
      </c>
      <c r="C4" s="198" t="s">
        <v>457</v>
      </c>
      <c r="D4" s="212">
        <v>128</v>
      </c>
      <c r="E4" s="30" t="s">
        <v>459</v>
      </c>
      <c r="F4" s="212" t="b">
        <v>1</v>
      </c>
      <c r="G4" s="216" t="str">
        <f t="shared" si="0"/>
        <v>"C:\Program Files (x86)\AstroGrep\AstroGrep.exe" /e /r /s /spath="%USERPROFILE%\AppData\Local\Temp\OnboardLogs" /stypes="*4026*201703061*"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"%USERPROFILE%\AppData\Local\Temp\OnboardLogs"\RTDC4026\*4026*201703061*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-12T06:38:53-600',mode:absolute,to:'2017-03-12T09:35:57-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128-12</v>
      </c>
      <c r="L4" s="206">
        <f>IF(VLOOKUP(K4,'Train Runs'!$A$12:$B$999,1,TRUE)=K4,VLOOKUP(K4,'Train Runs'!$A$12:$B$999,2,TRUE),NA())</f>
        <v>4026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455</v>
      </c>
      <c r="C5" s="198" t="s">
        <v>457</v>
      </c>
      <c r="D5" s="212">
        <f>D4+2</f>
        <v>130</v>
      </c>
      <c r="E5" s="30" t="s">
        <v>459</v>
      </c>
      <c r="F5" s="212" t="b">
        <v>1</v>
      </c>
      <c r="G5" s="216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"%USERPROFILE%\AppData\Local\Temp\OnboardLogs"\RTDC4021\*4021*201703061*</v>
      </c>
      <c r="I5" s="214" t="str">
        <f>IF(VLOOKUP(K5,'Train Runs'!$A$13:$V$999,1,TRUE)=K5,VLOOKUP(K5,'Train Runs'!$A$13:$V$999,22,TRUE),NA())</f>
        <v>https://d0f6bd738d7f1b3e5a7ca70fe4ff75f0.us-east-1.aws.found.io/app/kibana#/discover/Steve-Slow-Train-Analysis-(2080s-and-2083s)?_g=(refreshInterval:(display:Off,pause:!f,section:0,value:0),time:(from:'2017-03-12T07:05:42-600',mode:absolute,to:'2017-03-12T09:50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130-12</v>
      </c>
      <c r="L5" s="206">
        <f>IF(VLOOKUP(K5,'Train Runs'!$A$12:$B$999,1,TRUE)=K5,VLOOKUP(K5,'Train Runs'!$A$12:$B$999,2,TRUE),NA())</f>
        <v>4021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455</v>
      </c>
      <c r="C6" s="198" t="s">
        <v>457</v>
      </c>
      <c r="D6" s="212">
        <f>D5+2</f>
        <v>132</v>
      </c>
      <c r="E6" s="30" t="s">
        <v>459</v>
      </c>
      <c r="F6" s="212" t="b">
        <v>1</v>
      </c>
      <c r="G6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"%USERPROFILE%\AppData\Local\Temp\OnboardLogs"\RTDC4041\*4041*201703061*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-12T07:14:16-600',mode:absolute,to:'2017-03-12T10:05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10">
        <f t="shared" si="2"/>
        <v>42800.625</v>
      </c>
      <c r="K6" s="210" t="str">
        <f>D6&amp;"-"&amp;IF(DAY(Variables!$A$2)&lt;10,0,"")&amp;DAY(Variables!$A$2)</f>
        <v>132-12</v>
      </c>
      <c r="L6" s="206">
        <f>IF(VLOOKUP(K6,'Train Runs'!$A$12:$B$999,1,TRUE)=K6,VLOOKUP(K6,'Train Runs'!$A$12:$B$999,2,TRUE),NA())</f>
        <v>4041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455</v>
      </c>
      <c r="C7" s="198" t="s">
        <v>457</v>
      </c>
      <c r="D7" s="212">
        <f t="shared" ref="D7:D11" si="4">D6+2</f>
        <v>134</v>
      </c>
      <c r="E7" s="30" t="s">
        <v>459</v>
      </c>
      <c r="F7" s="212" t="b">
        <v>1</v>
      </c>
      <c r="G7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"%USERPROFILE%\AppData\Local\Temp\OnboardLogs"\RTDC4054\*4054*201703061*</v>
      </c>
      <c r="I7" s="214" t="str">
        <f>IF(VLOOKUP(K7,'Train Runs'!$A$13:$V$999,1,TRUE)=K7,VLOOKUP(K7,'Train Runs'!$A$13:$V$999,22,TRUE),NA())</f>
        <v>https://d0f6bd738d7f1b3e5a7ca70fe4ff75f0.us-east-1.aws.found.io/app/kibana#/discover/Steve-Slow-Train-Analysis-(2080s-and-2083s)?_g=(refreshInterval:(display:Off,pause:!f,section:0,value:0),time:(from:'2017-03-12T07:32:31-600',mode:absolute,to:'2017-03-12T10:23:11-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134-12</v>
      </c>
      <c r="L7" s="206">
        <f>IF(VLOOKUP(K7,'Train Runs'!$A$12:$B$999,1,TRUE)=K7,VLOOKUP(K7,'Train Runs'!$A$12:$B$999,2,TRUE),NA())</f>
        <v>4054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455</v>
      </c>
      <c r="C8" s="198" t="s">
        <v>457</v>
      </c>
      <c r="D8" s="212">
        <f t="shared" si="4"/>
        <v>136</v>
      </c>
      <c r="E8" s="30" t="s">
        <v>459</v>
      </c>
      <c r="F8" s="212" t="b">
        <v>1</v>
      </c>
      <c r="G8" s="216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"%USERPROFILE%\AppData\Local\Temp\OnboardLogs"\RTDC4005\*4005*201703061*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-12T07:52:12-600',mode:absolute,to:'2017-03-12T10:38:01-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136-12</v>
      </c>
      <c r="L8" s="206">
        <f>IF(VLOOKUP(K8,'Train Runs'!$A$12:$B$999,1,TRUE)=K8,VLOOKUP(K8,'Train Runs'!$A$12:$B$999,2,TRUE),NA())</f>
        <v>4005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455</v>
      </c>
      <c r="C9" s="198" t="s">
        <v>457</v>
      </c>
      <c r="D9" s="212">
        <f t="shared" si="4"/>
        <v>138</v>
      </c>
      <c r="E9" s="30" t="s">
        <v>459</v>
      </c>
      <c r="F9" s="212" t="b">
        <v>1</v>
      </c>
      <c r="G9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"%USERPROFILE%\AppData\Local\Temp\OnboardLogs"\RTDC4019\*4019*201703061*</v>
      </c>
      <c r="I9" s="214" t="str">
        <f>IF(VLOOKUP(K9,'Train Runs'!$A$13:$V$999,1,TRUE)=K9,VLOOKUP(K9,'Train Runs'!$A$13:$V$999,22,TRUE),NA())</f>
        <v>https://d0f6bd738d7f1b3e5a7ca70fe4ff75f0.us-east-1.aws.found.io/app/kibana#/discover/Steve-Slow-Train-Analysis-(2080s-and-2083s)?_g=(refreshInterval:(display:Off,pause:!f,section:0,value:0),time:(from:'2017-03-12T07:53:14-600',mode:absolute,to:'2017-03-12T10:51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138-12</v>
      </c>
      <c r="L9" s="206">
        <f>IF(VLOOKUP(K9,'Train Runs'!$A$12:$B$999,1,TRUE)=K9,VLOOKUP(K9,'Train Runs'!$A$12:$B$999,2,TRUE),NA())</f>
        <v>4019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455</v>
      </c>
      <c r="C10" s="198" t="s">
        <v>457</v>
      </c>
      <c r="D10" s="212">
        <f t="shared" si="4"/>
        <v>140</v>
      </c>
      <c r="E10" s="30" t="s">
        <v>459</v>
      </c>
      <c r="F10" s="212" t="b">
        <v>1</v>
      </c>
      <c r="G10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"%USERPROFILE%\AppData\Local\Temp\OnboardLogs"\RTDC4028\*4028*201703061*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-12T08:11:12-600',mode:absolute,to:'2017-03-12T11:05:43-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140-12</v>
      </c>
      <c r="L10" s="206">
        <f>IF(VLOOKUP(K10,'Train Runs'!$A$12:$B$999,1,TRUE)=K10,VLOOKUP(K10,'Train Runs'!$A$12:$B$999,2,TRUE),NA())</f>
        <v>4028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455</v>
      </c>
      <c r="C11" s="198" t="s">
        <v>457</v>
      </c>
      <c r="D11" s="212">
        <f t="shared" si="4"/>
        <v>142</v>
      </c>
      <c r="E11" s="30" t="s">
        <v>459</v>
      </c>
      <c r="F11" s="212" t="b">
        <v>1</v>
      </c>
      <c r="G11" s="216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"%USERPROFILE%\AppData\Local\Temp\OnboardLogs"\RTDC4026\*4026*201703061*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-12T08:22:18-600',mode:absolute,to:'2017-03-12T11:21:36-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142-12</v>
      </c>
      <c r="L11" s="206">
        <f>IF(VLOOKUP(K11,'Train Runs'!$A$12:$B$999,1,TRUE)=K11,VLOOKUP(K11,'Train Runs'!$A$12:$B$999,2,TRUE),NA())</f>
        <v>4026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455</v>
      </c>
      <c r="C12" s="198" t="s">
        <v>457</v>
      </c>
      <c r="D12" s="212">
        <v>144</v>
      </c>
      <c r="E12" s="30" t="s">
        <v>459</v>
      </c>
      <c r="F12" s="212" t="b">
        <v>1</v>
      </c>
      <c r="G12" s="216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"%USERPROFILE%\AppData\Local\Temp\OnboardLogs"\RTDC4021\*4021*201703061*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-12T08:41:27-600',mode:absolute,to:'2017-03-12T11:43:19-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144-12</v>
      </c>
      <c r="L12" s="206">
        <f>IF(VLOOKUP(K12,'Train Runs'!$A$12:$B$999,1,TRUE)=K12,VLOOKUP(K12,'Train Runs'!$A$12:$B$999,2,TRUE),NA())</f>
        <v>4021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455</v>
      </c>
      <c r="C13" s="198" t="s">
        <v>457</v>
      </c>
      <c r="D13" s="212">
        <v>146</v>
      </c>
      <c r="E13" s="30" t="s">
        <v>459</v>
      </c>
      <c r="F13" s="212" t="b">
        <v>1</v>
      </c>
      <c r="G13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"%USERPROFILE%\AppData\Local\Temp\OnboardLogs"\RTDC4041\*4041*201703061*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-12T09:07:13-600',mode:absolute,to:'2017-03-12T11:52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146-12</v>
      </c>
      <c r="L13" s="206">
        <f>IF(VLOOKUP(K13,'Train Runs'!$A$12:$B$999,1,TRUE)=K13,VLOOKUP(K13,'Train Runs'!$A$12:$B$999,2,TRUE),NA())</f>
        <v>4041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455</v>
      </c>
      <c r="C14" s="198" t="s">
        <v>457</v>
      </c>
      <c r="D14" s="212">
        <v>148</v>
      </c>
      <c r="E14" s="30" t="s">
        <v>463</v>
      </c>
      <c r="F14" s="212" t="b">
        <v>1</v>
      </c>
      <c r="G14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"%USERPROFILE%\AppData\Local\Temp\OnboardLogs"\RTDC4054\*4054*201703061*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-12T09:12:46-600',mode:absolute,to:'2017-03-12T12:12:27-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148-12</v>
      </c>
      <c r="L14" s="206">
        <f>IF(VLOOKUP(K14,'Train Runs'!$A$12:$B$999,1,TRUE)=K14,VLOOKUP(K14,'Train Runs'!$A$12:$B$999,2,TRUE),NA())</f>
        <v>4054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455</v>
      </c>
      <c r="C15" s="198" t="s">
        <v>457</v>
      </c>
      <c r="D15" s="212">
        <v>178</v>
      </c>
      <c r="E15" s="30" t="s">
        <v>464</v>
      </c>
      <c r="F15" s="212" t="b">
        <v>1</v>
      </c>
      <c r="G15" s="216" t="str">
        <f t="shared" si="0"/>
        <v>"C:\Program Files (x86)\AstroGrep\AstroGrep.exe" /e /r /s /spath="%USERPROFILE%\AppData\Local\Temp\OnboardLogs" /stypes="*4004*201703062*"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"%USERPROFILE%\AppData\Local\Temp\OnboardLogs"\RTDC4004\*4004*201703062*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-12T13:05:13-600',mode:absolute,to:'2017-03-12T16:04:18-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178-12</v>
      </c>
      <c r="L15" s="206">
        <f>IF(VLOOKUP(K15,'Train Runs'!$A$12:$B$999,1,TRUE)=K15,VLOOKUP(K15,'Train Runs'!$A$12:$B$999,2,TRUE),NA())</f>
        <v>4004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455</v>
      </c>
      <c r="C16" s="198" t="s">
        <v>457</v>
      </c>
      <c r="D16" s="212">
        <v>194</v>
      </c>
      <c r="E16" s="30" t="s">
        <v>464</v>
      </c>
      <c r="F16" s="212" t="b">
        <v>1</v>
      </c>
      <c r="G16" s="216" t="str">
        <f t="shared" si="0"/>
        <v>"C:\Program Files (x86)\AstroGrep\AstroGrep.exe" /e /r /s /spath="%USERPROFILE%\AppData\Local\Temp\OnboardLogs" /stypes="*4054*201703062*"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"%USERPROFILE%\AppData\Local\Temp\OnboardLogs"\RTDC4054\*4054*201703062*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-12T15:07:08-600',mode:absolute,to:'2017-03-12T17:54:12-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194-12</v>
      </c>
      <c r="L16" s="206">
        <f>IF(VLOOKUP(K16,'Train Runs'!$A$12:$B$999,1,TRUE)=K16,VLOOKUP(K16,'Train Runs'!$A$12:$B$999,2,TRUE),NA())</f>
        <v>4054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455</v>
      </c>
      <c r="C17" s="198" t="s">
        <v>457</v>
      </c>
      <c r="D17" s="212">
        <v>206</v>
      </c>
      <c r="E17" s="30" t="s">
        <v>459</v>
      </c>
      <c r="F17" s="212" t="b">
        <v>1</v>
      </c>
      <c r="G17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"%USERPROFILE%\AppData\Local\Temp\OnboardLogs"\RTDC4028\*4028*201703070*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-12T16:35:43-600',mode:absolute,to:'2017-03-12T19:21:09-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206-12</v>
      </c>
      <c r="L17" s="206">
        <f>IF(VLOOKUP(K17,'Train Runs'!$A$12:$B$999,1,TRUE)=K17,VLOOKUP(K17,'Train Runs'!$A$12:$B$999,2,TRUE),NA())</f>
        <v>4028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455</v>
      </c>
      <c r="C18" s="198" t="s">
        <v>457</v>
      </c>
      <c r="D18" s="212">
        <v>210</v>
      </c>
      <c r="E18" s="30" t="s">
        <v>459</v>
      </c>
      <c r="F18" s="212" t="b">
        <v>1</v>
      </c>
      <c r="G18" s="216" t="str">
        <f t="shared" si="0"/>
        <v>"C:\Program Files (x86)\AstroGrep\AstroGrep.exe" /e /r /s /spath="%USERPROFILE%\AppData\Local\Temp\OnboardLogs" /stypes="*4005*201703070*"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"%USERPROFILE%\AppData\Local\Temp\OnboardLogs"\RTDC4005\*4005*201703070*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-12T17:06:53-600',mode:absolute,to:'2017-03-12T19:55:48-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210-12</v>
      </c>
      <c r="L18" s="206">
        <f>IF(VLOOKUP(K18,'Train Runs'!$A$12:$B$999,1,TRUE)=K18,VLOOKUP(K18,'Train Runs'!$A$12:$B$999,2,TRUE),NA())</f>
        <v>4005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455</v>
      </c>
      <c r="C19" s="198" t="s">
        <v>457</v>
      </c>
      <c r="D19" s="212">
        <f>D18+2</f>
        <v>212</v>
      </c>
      <c r="E19" s="30" t="s">
        <v>459</v>
      </c>
      <c r="F19" s="212" t="b">
        <v>1</v>
      </c>
      <c r="G19" s="216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"%USERPROFILE%\AppData\Local\Temp\OnboardLogs"\RTDC4019\*4019*201703070*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-12T17:22:03-600',mode:absolute,to:'2017-03-12T20:07:34-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212-12</v>
      </c>
      <c r="L19" s="206">
        <f>IF(VLOOKUP(K19,'Train Runs'!$A$12:$B$999,1,TRUE)=K19,VLOOKUP(K19,'Train Runs'!$A$12:$B$999,2,TRUE),NA())</f>
        <v>4019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455</v>
      </c>
      <c r="C20" s="198" t="s">
        <v>457</v>
      </c>
      <c r="D20" s="212">
        <v>214</v>
      </c>
      <c r="E20" s="30" t="s">
        <v>459</v>
      </c>
      <c r="F20" s="212" t="b">
        <v>1</v>
      </c>
      <c r="G20" s="216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"%USERPROFILE%\AppData\Local\Temp\OnboardLogs"\RTDC4026\*4026*201703070*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-12T17:28:11-600',mode:absolute,to:'2017-03-12T20:20:29-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214-12</v>
      </c>
      <c r="L20" s="206">
        <f>IF(VLOOKUP(K20,'Train Runs'!$A$12:$B$999,1,TRUE)=K20,VLOOKUP(K20,'Train Runs'!$A$12:$B$999,2,TRUE),NA())</f>
        <v>4026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455</v>
      </c>
      <c r="C21" s="198" t="s">
        <v>457</v>
      </c>
      <c r="D21" s="212">
        <v>216</v>
      </c>
      <c r="E21" s="30" t="s">
        <v>459</v>
      </c>
      <c r="F21" s="212" t="b">
        <v>1</v>
      </c>
      <c r="G21" s="216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"%USERPROFILE%\AppData\Local\Temp\OnboardLogs"\RTDC4017\*4017*201703070*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-12T17:52:05-600',mode:absolute,to:'2017-03-12T20:36:37-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216-12</v>
      </c>
      <c r="L21" s="206">
        <f>IF(VLOOKUP(K21,'Train Runs'!$A$12:$B$999,1,TRUE)=K21,VLOOKUP(K21,'Train Runs'!$A$12:$B$999,2,TRUE),NA())</f>
        <v>4017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455</v>
      </c>
      <c r="C22" s="198" t="s">
        <v>457</v>
      </c>
      <c r="D22" s="212">
        <f>D21+2</f>
        <v>218</v>
      </c>
      <c r="E22" s="30" t="s">
        <v>459</v>
      </c>
      <c r="F22" s="212" t="b">
        <v>1</v>
      </c>
      <c r="G22" s="216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"%USERPROFILE%\AppData\Local\Temp\OnboardLogs"\RTDC4041\*4041*201703070*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-12T17:58:16-600',mode:absolute,to:'2017-03-12T20:51:55-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218-12</v>
      </c>
      <c r="L22" s="206">
        <f>IF(VLOOKUP(K22,'Train Runs'!$A$12:$B$999,1,TRUE)=K22,VLOOKUP(K22,'Train Runs'!$A$12:$B$999,2,TRUE),NA())</f>
        <v>4041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455</v>
      </c>
      <c r="C23" s="198" t="s">
        <v>457</v>
      </c>
      <c r="D23" s="212">
        <f>D22+2</f>
        <v>220</v>
      </c>
      <c r="E23" s="30" t="s">
        <v>459</v>
      </c>
      <c r="F23" s="212" t="b">
        <v>1</v>
      </c>
      <c r="G23" s="216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"%USERPROFILE%\AppData\Local\Temp\OnboardLogs"\RTDC4028\*4028*201703070*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-12T18:14:30-600',mode:absolute,to:'2017-03-12T21:05:54-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220-12</v>
      </c>
      <c r="L23" s="206">
        <f>IF(VLOOKUP(K23,'Train Runs'!$A$12:$B$999,1,TRUE)=K23,VLOOKUP(K23,'Train Runs'!$A$12:$B$999,2,TRUE),NA())</f>
        <v>4028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455</v>
      </c>
      <c r="C24" s="198" t="s">
        <v>457</v>
      </c>
      <c r="D24" s="212">
        <f>D23+2</f>
        <v>222</v>
      </c>
      <c r="E24" s="30" t="s">
        <v>459</v>
      </c>
      <c r="F24" s="212" t="b">
        <v>1</v>
      </c>
      <c r="G24" s="216" t="str">
        <f t="shared" si="0"/>
        <v>"C:\Program Files (x86)\AstroGrep\AstroGrep.exe" /e /r /s /spath="%USERPROFILE%\AppData\Local\Temp\OnboardLogs" /stypes="*4005*201703070*"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"%USERPROFILE%\AppData\Local\Temp\OnboardLogs"\RTDC4005\*4005*201703070*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-12T18:51:00-600',mode:absolute,to:'2017-03-12T21:38:00-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222-12</v>
      </c>
      <c r="L24" s="206">
        <f>IF(VLOOKUP(K24,'Train Runs'!$A$12:$B$999,1,TRUE)=K24,VLOOKUP(K24,'Train Runs'!$A$12:$B$999,2,TRUE),NA())</f>
        <v>4005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455</v>
      </c>
      <c r="C25" s="198" t="s">
        <v>457</v>
      </c>
      <c r="D25" s="212">
        <f>D24+2</f>
        <v>224</v>
      </c>
      <c r="E25" s="30" t="s">
        <v>459</v>
      </c>
      <c r="F25" s="212" t="b">
        <v>1</v>
      </c>
      <c r="G25" s="216" t="str">
        <f t="shared" si="0"/>
        <v>"C:\Program Files (x86)\AstroGrep\AstroGrep.exe" /e /r /s /spath="%USERPROFILE%\AppData\Local\Temp\OnboardLogs" /stypes="*4026*201703070*"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"%USERPROFILE%\AppData\Local\Temp\OnboardLogs"\RTDC4026\*4026*201703070*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-12T19:09:11-600',mode:absolute,to:'2017-03-12T22:04:41-600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224-12</v>
      </c>
      <c r="L25" s="206">
        <f>IF(VLOOKUP(K25,'Train Runs'!$A$12:$B$999,1,TRUE)=K25,VLOOKUP(K25,'Train Runs'!$A$12:$B$999,2,TRUE),NA())</f>
        <v>4026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455</v>
      </c>
      <c r="C26" s="198" t="s">
        <v>457</v>
      </c>
      <c r="D26" s="212">
        <f>D25+2</f>
        <v>226</v>
      </c>
      <c r="E26" s="30" t="s">
        <v>459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Runs'!$A$13:$V$999,1,TRUE)=K26,VLOOKUP(K26,'Train Runs'!$A$13:$V$999,22,TRUE),NA())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226-12</v>
      </c>
      <c r="L26" s="206" t="e">
        <f>IF(VLOOKUP(K26,'Train Runs'!$A$12:$B$999,1,TRUE)=K26,VLOOKUP(K26,'Train Runs'!$A$12:$B$999,2,TRUE),NA())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455</v>
      </c>
      <c r="C27" s="198" t="s">
        <v>457</v>
      </c>
      <c r="D27" s="212">
        <f t="shared" ref="D27:D33" si="5">D26+2</f>
        <v>228</v>
      </c>
      <c r="E27" s="30" t="s">
        <v>459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Runs'!$A$13:$V$999,1,TRUE)=K27,VLOOKUP(K27,'Train Runs'!$A$13:$V$999,22,TRUE),NA())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228-12</v>
      </c>
      <c r="L27" s="206" t="e">
        <f>IF(VLOOKUP(K27,'Train Runs'!$A$12:$B$999,1,TRUE)=K27,VLOOKUP(K27,'Train Runs'!$A$12:$B$999,2,TRUE),NA())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455</v>
      </c>
      <c r="C28" s="198" t="s">
        <v>457</v>
      </c>
      <c r="D28" s="212">
        <f t="shared" si="5"/>
        <v>230</v>
      </c>
      <c r="E28" s="30" t="s">
        <v>459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Runs'!$A$13:$V$999,1,TRUE)=K28,VLOOKUP(K28,'Train Runs'!$A$13:$V$999,22,TRUE),NA())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230-12</v>
      </c>
      <c r="L28" s="206" t="e">
        <f>IF(VLOOKUP(K28,'Train Runs'!$A$12:$B$999,1,TRUE)=K28,VLOOKUP(K28,'Train Runs'!$A$12:$B$999,2,TRUE),NA())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455</v>
      </c>
      <c r="C29" s="198" t="s">
        <v>457</v>
      </c>
      <c r="D29" s="212">
        <f t="shared" si="5"/>
        <v>232</v>
      </c>
      <c r="E29" s="30" t="s">
        <v>459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Runs'!$A$13:$V$999,1,TRUE)=K29,VLOOKUP(K29,'Train Runs'!$A$13:$V$999,22,TRUE),NA())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232-12</v>
      </c>
      <c r="L29" s="206" t="e">
        <f>IF(VLOOKUP(K29,'Train Runs'!$A$12:$B$999,1,TRUE)=K29,VLOOKUP(K29,'Train Runs'!$A$12:$B$999,2,TRUE),NA())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455</v>
      </c>
      <c r="C30" s="198" t="s">
        <v>457</v>
      </c>
      <c r="D30" s="212">
        <f t="shared" si="5"/>
        <v>234</v>
      </c>
      <c r="E30" s="30" t="s">
        <v>459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Runs'!$A$13:$V$999,1,TRUE)=K30,VLOOKUP(K30,'Train Runs'!$A$13:$V$999,22,TRUE),NA())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234-12</v>
      </c>
      <c r="L30" s="206" t="e">
        <f>IF(VLOOKUP(K30,'Train Runs'!$A$12:$B$999,1,TRUE)=K30,VLOOKUP(K30,'Train Runs'!$A$12:$B$999,2,TRUE),NA())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455</v>
      </c>
      <c r="C31" s="198" t="s">
        <v>457</v>
      </c>
      <c r="D31" s="212">
        <f t="shared" si="5"/>
        <v>236</v>
      </c>
      <c r="E31" s="30" t="s">
        <v>459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Runs'!$A$13:$V$999,1,TRUE)=K31,VLOOKUP(K31,'Train Runs'!$A$13:$V$999,22,TRUE),NA())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236-12</v>
      </c>
      <c r="L31" s="206" t="e">
        <f>IF(VLOOKUP(K31,'Train Runs'!$A$12:$B$999,1,TRUE)=K31,VLOOKUP(K31,'Train Runs'!$A$12:$B$999,2,TRUE),NA())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455</v>
      </c>
      <c r="C32" s="198" t="s">
        <v>457</v>
      </c>
      <c r="D32" s="212">
        <f t="shared" si="5"/>
        <v>238</v>
      </c>
      <c r="E32" s="30" t="s">
        <v>459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Runs'!$A$13:$V$999,1,TRUE)=K32,VLOOKUP(K32,'Train Runs'!$A$13:$V$999,22,TRUE),NA())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238-12</v>
      </c>
      <c r="L32" s="206" t="e">
        <f>IF(VLOOKUP(K32,'Train Runs'!$A$12:$B$999,1,TRUE)=K32,VLOOKUP(K32,'Train Runs'!$A$12:$B$999,2,TRUE),NA())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455</v>
      </c>
      <c r="C33" s="198" t="s">
        <v>457</v>
      </c>
      <c r="D33" s="212">
        <f t="shared" si="5"/>
        <v>240</v>
      </c>
      <c r="E33" s="30" t="s">
        <v>459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Runs'!$A$13:$V$999,1,TRUE)=K33,VLOOKUP(K33,'Train Runs'!$A$13:$V$999,22,TRUE),NA())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240-12</v>
      </c>
      <c r="L33" s="206" t="e">
        <f>IF(VLOOKUP(K33,'Train Runs'!$A$12:$B$999,1,TRUE)=K33,VLOOKUP(K33,'Train Runs'!$A$12:$B$999,2,TRUE),NA())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455</v>
      </c>
      <c r="C34" s="198" t="s">
        <v>457</v>
      </c>
      <c r="D34" s="212">
        <v>240</v>
      </c>
      <c r="E34" s="30" t="s">
        <v>459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Runs'!$A$13:$V$999,1,TRUE)=K34,VLOOKUP(K34,'Train Runs'!$A$13:$V$999,22,TRUE),NA())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240-12</v>
      </c>
      <c r="L34" s="206" t="e">
        <f>IF(VLOOKUP(K34,'Train Runs'!$A$12:$B$999,1,TRUE)=K34,VLOOKUP(K34,'Train Runs'!$A$12:$B$999,2,TRUE),NA())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455</v>
      </c>
      <c r="C35" s="198" t="s">
        <v>457</v>
      </c>
      <c r="D35" s="212">
        <v>242</v>
      </c>
      <c r="E35" s="30" t="s">
        <v>459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Runs'!$A$13:$V$999,1,TRUE)=K35,VLOOKUP(K35,'Train Runs'!$A$13:$V$999,22,TRUE),NA())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242-12</v>
      </c>
      <c r="L35" s="206" t="e">
        <f>IF(VLOOKUP(K35,'Train Runs'!$A$12:$B$999,1,TRUE)=K35,VLOOKUP(K35,'Train Runs'!$A$12:$B$999,2,TRUE),NA())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42805.995810185188</v>
      </c>
      <c r="B2" s="20" t="s">
        <v>204</v>
      </c>
      <c r="C2" s="20" t="s">
        <v>618</v>
      </c>
      <c r="D2" s="150">
        <v>2270000</v>
      </c>
      <c r="E2" s="20" t="s">
        <v>219</v>
      </c>
      <c r="F2" s="20" t="s">
        <v>220</v>
      </c>
      <c r="G2" s="8" t="str">
        <f>E2&amp;" "&amp;F2</f>
        <v>BROWN JACOB</v>
      </c>
    </row>
    <row r="3" spans="1:7" x14ac:dyDescent="0.25">
      <c r="A3" s="8">
        <v>42806.0003125</v>
      </c>
      <c r="B3" s="20" t="s">
        <v>470</v>
      </c>
      <c r="C3" s="20" t="s">
        <v>619</v>
      </c>
      <c r="D3" s="150">
        <v>2610000</v>
      </c>
      <c r="E3" s="20" t="s">
        <v>620</v>
      </c>
      <c r="F3" s="20" t="s">
        <v>621</v>
      </c>
      <c r="G3" s="8" t="str">
        <f t="shared" ref="G3:G66" si="0">E3&amp;" "&amp;F3</f>
        <v>MAGEE KENYA</v>
      </c>
    </row>
    <row r="4" spans="1:7" x14ac:dyDescent="0.25">
      <c r="A4" s="8">
        <v>42806.009421296294</v>
      </c>
      <c r="B4" s="20" t="s">
        <v>475</v>
      </c>
      <c r="C4" s="20" t="s">
        <v>622</v>
      </c>
      <c r="D4" s="150">
        <v>2150000</v>
      </c>
      <c r="E4" s="20" t="s">
        <v>480</v>
      </c>
      <c r="F4" s="20" t="s">
        <v>481</v>
      </c>
      <c r="G4" s="8" t="str">
        <f t="shared" si="0"/>
        <v>SWANSON BRYCE</v>
      </c>
    </row>
    <row r="5" spans="1:7" x14ac:dyDescent="0.25">
      <c r="A5" s="8">
        <v>42806.009942129633</v>
      </c>
      <c r="B5" s="20" t="s">
        <v>251</v>
      </c>
      <c r="C5" s="20" t="s">
        <v>623</v>
      </c>
      <c r="D5" s="150">
        <v>2230000</v>
      </c>
      <c r="E5" s="20" t="s">
        <v>519</v>
      </c>
      <c r="F5" s="20" t="s">
        <v>200</v>
      </c>
      <c r="G5" s="8" t="str">
        <f t="shared" si="0"/>
        <v>SMITH MICHAEL</v>
      </c>
    </row>
    <row r="6" spans="1:7" x14ac:dyDescent="0.25">
      <c r="A6" s="8">
        <v>42806.034490740742</v>
      </c>
      <c r="B6" s="20" t="s">
        <v>212</v>
      </c>
      <c r="C6" s="20" t="s">
        <v>624</v>
      </c>
      <c r="D6" s="150">
        <v>2620000</v>
      </c>
      <c r="E6" s="20" t="s">
        <v>520</v>
      </c>
      <c r="F6" s="20" t="s">
        <v>521</v>
      </c>
      <c r="G6" s="8" t="str">
        <f t="shared" si="0"/>
        <v>PERKINS DARREN</v>
      </c>
    </row>
    <row r="7" spans="1:7" x14ac:dyDescent="0.25">
      <c r="A7" s="8">
        <v>42806.039768518516</v>
      </c>
      <c r="B7" s="20" t="s">
        <v>420</v>
      </c>
      <c r="C7" s="20" t="s">
        <v>625</v>
      </c>
      <c r="D7" s="150">
        <v>2270000</v>
      </c>
      <c r="E7" s="20" t="s">
        <v>219</v>
      </c>
      <c r="F7" s="20" t="s">
        <v>220</v>
      </c>
      <c r="G7" s="8" t="str">
        <f t="shared" si="0"/>
        <v>BROWN JACOB</v>
      </c>
    </row>
    <row r="8" spans="1:7" x14ac:dyDescent="0.25">
      <c r="A8" s="8">
        <v>42806.047384259262</v>
      </c>
      <c r="B8" s="20" t="s">
        <v>474</v>
      </c>
      <c r="C8" s="20" t="s">
        <v>626</v>
      </c>
      <c r="D8" s="150">
        <v>2610000</v>
      </c>
      <c r="E8" s="20" t="s">
        <v>620</v>
      </c>
      <c r="F8" s="20" t="s">
        <v>621</v>
      </c>
      <c r="G8" s="8" t="str">
        <f t="shared" si="0"/>
        <v>MAGEE KENYA</v>
      </c>
    </row>
    <row r="9" spans="1:7" ht="15.75" thickBot="1" x14ac:dyDescent="0.3">
      <c r="A9" s="24">
        <v>42806.048703703702</v>
      </c>
      <c r="B9" s="20" t="s">
        <v>253</v>
      </c>
      <c r="C9" s="20" t="s">
        <v>627</v>
      </c>
      <c r="D9" s="150">
        <v>2230000</v>
      </c>
      <c r="E9" s="20" t="s">
        <v>519</v>
      </c>
      <c r="F9" s="20" t="s">
        <v>200</v>
      </c>
      <c r="G9" s="8" t="str">
        <f t="shared" si="0"/>
        <v>SMITH MICHAEL</v>
      </c>
    </row>
    <row r="10" spans="1:7" x14ac:dyDescent="0.25">
      <c r="A10" s="8">
        <v>42806.050462962965</v>
      </c>
      <c r="B10" s="20" t="s">
        <v>473</v>
      </c>
      <c r="C10" s="20" t="s">
        <v>628</v>
      </c>
      <c r="D10" s="150">
        <v>2150000</v>
      </c>
      <c r="E10" s="20" t="s">
        <v>480</v>
      </c>
      <c r="F10" s="20" t="s">
        <v>481</v>
      </c>
      <c r="G10" s="8" t="str">
        <f t="shared" si="0"/>
        <v>SWANSON BRYCE</v>
      </c>
    </row>
    <row r="11" spans="1:7" x14ac:dyDescent="0.25">
      <c r="A11" s="8">
        <v>42806.059895833336</v>
      </c>
      <c r="B11" s="20" t="s">
        <v>470</v>
      </c>
      <c r="C11" s="20" t="s">
        <v>619</v>
      </c>
      <c r="D11" s="150">
        <v>2610000</v>
      </c>
      <c r="E11" s="20" t="s">
        <v>620</v>
      </c>
      <c r="F11" s="20" t="s">
        <v>621</v>
      </c>
      <c r="G11" s="8" t="str">
        <f t="shared" si="0"/>
        <v>MAGEE KENYA</v>
      </c>
    </row>
    <row r="12" spans="1:7" x14ac:dyDescent="0.25">
      <c r="A12" s="8">
        <v>42806.070740740739</v>
      </c>
      <c r="B12" s="20" t="s">
        <v>211</v>
      </c>
      <c r="C12" s="20" t="s">
        <v>629</v>
      </c>
      <c r="D12" s="150">
        <v>2620000</v>
      </c>
      <c r="E12" s="20" t="s">
        <v>520</v>
      </c>
      <c r="F12" s="20" t="s">
        <v>521</v>
      </c>
      <c r="G12" s="8" t="str">
        <f t="shared" si="0"/>
        <v>PERKINS DARREN</v>
      </c>
    </row>
    <row r="13" spans="1:7" x14ac:dyDescent="0.25">
      <c r="A13" s="8">
        <v>42806.07540509259</v>
      </c>
      <c r="B13" s="20" t="s">
        <v>584</v>
      </c>
      <c r="C13" s="20" t="s">
        <v>630</v>
      </c>
      <c r="D13" s="150">
        <v>1360000</v>
      </c>
      <c r="E13" s="20" t="s">
        <v>631</v>
      </c>
      <c r="F13" s="20" t="s">
        <v>632</v>
      </c>
      <c r="G13" s="8" t="str">
        <f t="shared" si="0"/>
        <v>SANTIZO D. EDY</v>
      </c>
    </row>
    <row r="14" spans="1:7" x14ac:dyDescent="0.25">
      <c r="A14" s="8">
        <v>42806.078414351854</v>
      </c>
      <c r="B14" s="20" t="s">
        <v>204</v>
      </c>
      <c r="C14" s="20" t="s">
        <v>578</v>
      </c>
      <c r="D14" s="150">
        <v>2270000</v>
      </c>
      <c r="E14" s="20" t="s">
        <v>219</v>
      </c>
      <c r="F14" s="20" t="s">
        <v>220</v>
      </c>
      <c r="G14" s="8" t="str">
        <f t="shared" si="0"/>
        <v>BROWN JACOB</v>
      </c>
    </row>
    <row r="15" spans="1:7" x14ac:dyDescent="0.25">
      <c r="A15" s="8">
        <v>42806.12773148148</v>
      </c>
      <c r="B15" s="20" t="s">
        <v>633</v>
      </c>
      <c r="C15" s="20" t="s">
        <v>634</v>
      </c>
      <c r="D15" s="150">
        <v>1360000</v>
      </c>
      <c r="E15" s="20" t="s">
        <v>631</v>
      </c>
      <c r="F15" s="20" t="s">
        <v>632</v>
      </c>
      <c r="G15" s="8" t="str">
        <f t="shared" si="0"/>
        <v>SANTIZO D. EDY</v>
      </c>
    </row>
    <row r="16" spans="1:7" x14ac:dyDescent="0.25">
      <c r="A16" s="8">
        <v>42806.127812500003</v>
      </c>
      <c r="B16" s="20" t="s">
        <v>204</v>
      </c>
      <c r="C16" s="20" t="s">
        <v>578</v>
      </c>
      <c r="D16" s="150">
        <v>2270000</v>
      </c>
      <c r="E16" s="20" t="s">
        <v>219</v>
      </c>
      <c r="F16" s="20" t="s">
        <v>220</v>
      </c>
      <c r="G16" s="8" t="str">
        <f t="shared" si="0"/>
        <v>BROWN JACOB</v>
      </c>
    </row>
    <row r="17" spans="1:7" x14ac:dyDescent="0.25">
      <c r="A17" s="8">
        <v>42806.133668981478</v>
      </c>
      <c r="B17" s="20" t="s">
        <v>475</v>
      </c>
      <c r="C17" s="20" t="s">
        <v>635</v>
      </c>
      <c r="D17" s="150">
        <v>2150000</v>
      </c>
      <c r="E17" s="20" t="s">
        <v>480</v>
      </c>
      <c r="F17" s="20" t="s">
        <v>481</v>
      </c>
      <c r="G17" s="8" t="str">
        <f t="shared" si="0"/>
        <v>SWANSON BRYCE</v>
      </c>
    </row>
    <row r="18" spans="1:7" x14ac:dyDescent="0.25">
      <c r="A18" s="8">
        <v>42806.161006944443</v>
      </c>
      <c r="B18" s="20" t="s">
        <v>510</v>
      </c>
      <c r="C18" s="20" t="s">
        <v>636</v>
      </c>
      <c r="D18" s="150">
        <v>2550000</v>
      </c>
      <c r="E18" s="20" t="s">
        <v>637</v>
      </c>
      <c r="F18" s="20" t="s">
        <v>638</v>
      </c>
      <c r="G18" s="8" t="str">
        <f t="shared" si="0"/>
        <v>BADERTSCHER DIANE</v>
      </c>
    </row>
    <row r="19" spans="1:7" x14ac:dyDescent="0.25">
      <c r="A19" s="8">
        <v>42806.161678240744</v>
      </c>
      <c r="B19" s="20" t="s">
        <v>420</v>
      </c>
      <c r="C19" s="20" t="s">
        <v>639</v>
      </c>
      <c r="D19" s="150">
        <v>2270000</v>
      </c>
      <c r="E19" s="20" t="s">
        <v>219</v>
      </c>
      <c r="F19" s="20" t="s">
        <v>220</v>
      </c>
      <c r="G19" s="8" t="str">
        <f t="shared" si="0"/>
        <v>BROWN JACOB</v>
      </c>
    </row>
    <row r="20" spans="1:7" x14ac:dyDescent="0.25">
      <c r="A20" s="8">
        <v>42806.163449074076</v>
      </c>
      <c r="B20" s="20" t="s">
        <v>510</v>
      </c>
      <c r="C20" s="20" t="s">
        <v>636</v>
      </c>
      <c r="D20" s="150">
        <v>2550000</v>
      </c>
      <c r="E20" s="20" t="s">
        <v>637</v>
      </c>
      <c r="F20" s="20" t="s">
        <v>638</v>
      </c>
      <c r="G20" s="8" t="str">
        <f t="shared" si="0"/>
        <v>BADERTSCHER DIANE</v>
      </c>
    </row>
    <row r="21" spans="1:7" x14ac:dyDescent="0.25">
      <c r="A21" s="8">
        <v>42806.164317129631</v>
      </c>
      <c r="B21" s="20" t="s">
        <v>584</v>
      </c>
      <c r="C21" s="20" t="s">
        <v>640</v>
      </c>
      <c r="D21" s="150">
        <v>1360000</v>
      </c>
      <c r="E21" s="20" t="s">
        <v>631</v>
      </c>
      <c r="F21" s="20" t="s">
        <v>632</v>
      </c>
      <c r="G21" s="8" t="str">
        <f t="shared" si="0"/>
        <v>SANTIZO D. EDY</v>
      </c>
    </row>
    <row r="22" spans="1:7" x14ac:dyDescent="0.25">
      <c r="A22" s="26">
        <v>42806.174618055556</v>
      </c>
      <c r="B22" s="20" t="s">
        <v>587</v>
      </c>
      <c r="C22" s="20" t="s">
        <v>641</v>
      </c>
      <c r="D22" s="150">
        <v>1990000</v>
      </c>
      <c r="E22" s="20" t="s">
        <v>642</v>
      </c>
      <c r="F22" s="20" t="s">
        <v>643</v>
      </c>
      <c r="G22" s="8" t="str">
        <f t="shared" si="0"/>
        <v>DAVIS WENDY</v>
      </c>
    </row>
    <row r="23" spans="1:7" x14ac:dyDescent="0.25">
      <c r="A23" s="8">
        <v>42806.17528935185</v>
      </c>
      <c r="B23" s="20" t="s">
        <v>587</v>
      </c>
      <c r="C23" s="20" t="s">
        <v>641</v>
      </c>
      <c r="D23" s="150">
        <v>1990000</v>
      </c>
      <c r="E23" s="20" t="s">
        <v>642</v>
      </c>
      <c r="F23" s="20" t="s">
        <v>643</v>
      </c>
      <c r="G23" s="8" t="str">
        <f t="shared" si="0"/>
        <v>DAVIS WENDY</v>
      </c>
    </row>
    <row r="24" spans="1:7" x14ac:dyDescent="0.25">
      <c r="A24" s="8">
        <v>42806.175821759258</v>
      </c>
      <c r="B24" s="20" t="s">
        <v>587</v>
      </c>
      <c r="C24" s="20" t="s">
        <v>641</v>
      </c>
      <c r="D24" s="150">
        <v>1990000</v>
      </c>
      <c r="E24" s="20" t="s">
        <v>642</v>
      </c>
      <c r="F24" s="20" t="s">
        <v>643</v>
      </c>
      <c r="G24" s="8" t="str">
        <f t="shared" si="0"/>
        <v>DAVIS WENDY</v>
      </c>
    </row>
    <row r="25" spans="1:7" x14ac:dyDescent="0.25">
      <c r="A25" s="8">
        <v>42806.176724537036</v>
      </c>
      <c r="B25" s="20" t="s">
        <v>587</v>
      </c>
      <c r="C25" s="20" t="s">
        <v>641</v>
      </c>
      <c r="D25" s="150">
        <v>1990000</v>
      </c>
      <c r="E25" s="20" t="s">
        <v>642</v>
      </c>
      <c r="F25" s="20" t="s">
        <v>643</v>
      </c>
      <c r="G25" s="8" t="str">
        <f t="shared" si="0"/>
        <v>DAVIS WENDY</v>
      </c>
    </row>
    <row r="26" spans="1:7" x14ac:dyDescent="0.25">
      <c r="A26" s="8">
        <v>42806.177233796298</v>
      </c>
      <c r="B26" s="20" t="s">
        <v>590</v>
      </c>
      <c r="C26" s="20" t="s">
        <v>644</v>
      </c>
      <c r="D26" s="150">
        <v>2550000</v>
      </c>
      <c r="E26" s="20" t="s">
        <v>637</v>
      </c>
      <c r="F26" s="20" t="s">
        <v>638</v>
      </c>
      <c r="G26" s="8" t="str">
        <f t="shared" si="0"/>
        <v>BADERTSCHER DIANE</v>
      </c>
    </row>
    <row r="27" spans="1:7" x14ac:dyDescent="0.25">
      <c r="A27" s="8">
        <v>42806.182939814818</v>
      </c>
      <c r="B27" s="20" t="s">
        <v>512</v>
      </c>
      <c r="C27" s="20" t="s">
        <v>645</v>
      </c>
      <c r="D27" s="150">
        <v>2140000</v>
      </c>
      <c r="E27" s="20" t="s">
        <v>515</v>
      </c>
      <c r="F27" s="20" t="s">
        <v>516</v>
      </c>
      <c r="G27" s="8" t="str">
        <f t="shared" si="0"/>
        <v>ROBINSON KADDIBA</v>
      </c>
    </row>
    <row r="28" spans="1:7" x14ac:dyDescent="0.25">
      <c r="A28" s="8">
        <v>42806.185810185183</v>
      </c>
      <c r="B28" s="20" t="s">
        <v>646</v>
      </c>
      <c r="C28" s="20" t="s">
        <v>647</v>
      </c>
      <c r="D28" s="150">
        <v>1990000</v>
      </c>
      <c r="E28" s="20" t="s">
        <v>642</v>
      </c>
      <c r="F28" s="20" t="s">
        <v>643</v>
      </c>
      <c r="G28" s="8" t="str">
        <f t="shared" si="0"/>
        <v>DAVIS WENDY</v>
      </c>
    </row>
    <row r="29" spans="1:7" x14ac:dyDescent="0.25">
      <c r="A29" s="8">
        <v>42806.194976851853</v>
      </c>
      <c r="B29" s="20" t="s">
        <v>274</v>
      </c>
      <c r="C29" s="20" t="s">
        <v>579</v>
      </c>
      <c r="D29" s="150">
        <v>1520000</v>
      </c>
      <c r="E29" s="20" t="s">
        <v>648</v>
      </c>
      <c r="F29" s="20" t="s">
        <v>649</v>
      </c>
      <c r="G29" s="8" t="str">
        <f t="shared" si="0"/>
        <v>MAYBERRY BILL</v>
      </c>
    </row>
    <row r="30" spans="1:7" x14ac:dyDescent="0.25">
      <c r="A30" s="8">
        <v>42806.207395833335</v>
      </c>
      <c r="B30" s="20" t="s">
        <v>633</v>
      </c>
      <c r="C30" s="20" t="s">
        <v>650</v>
      </c>
      <c r="D30" s="150">
        <v>2370000</v>
      </c>
      <c r="E30" s="20" t="s">
        <v>651</v>
      </c>
      <c r="F30" s="20" t="s">
        <v>652</v>
      </c>
      <c r="G30" s="8" t="str">
        <f t="shared" si="0"/>
        <v>DELGADO DIANAH</v>
      </c>
    </row>
    <row r="31" spans="1:7" x14ac:dyDescent="0.25">
      <c r="A31" s="8">
        <v>42806.208090277774</v>
      </c>
      <c r="B31" s="20" t="s">
        <v>601</v>
      </c>
      <c r="C31" s="20" t="s">
        <v>653</v>
      </c>
      <c r="D31" s="150">
        <v>1360000</v>
      </c>
      <c r="E31" s="20" t="s">
        <v>631</v>
      </c>
      <c r="F31" s="20" t="s">
        <v>632</v>
      </c>
      <c r="G31" s="8" t="str">
        <f t="shared" si="0"/>
        <v>SANTIZO D. EDY</v>
      </c>
    </row>
    <row r="32" spans="1:7" x14ac:dyDescent="0.25">
      <c r="A32" s="8">
        <v>42806.211238425924</v>
      </c>
      <c r="B32" s="20" t="s">
        <v>510</v>
      </c>
      <c r="C32" s="20" t="s">
        <v>654</v>
      </c>
      <c r="D32" s="150">
        <v>2550000</v>
      </c>
      <c r="E32" s="20" t="s">
        <v>637</v>
      </c>
      <c r="F32" s="20" t="s">
        <v>638</v>
      </c>
      <c r="G32" s="8" t="str">
        <f t="shared" si="0"/>
        <v>BADERTSCHER DIANE</v>
      </c>
    </row>
    <row r="33" spans="1:7" x14ac:dyDescent="0.25">
      <c r="A33" s="8">
        <v>42806.224398148152</v>
      </c>
      <c r="B33" s="20" t="s">
        <v>587</v>
      </c>
      <c r="C33" s="20" t="s">
        <v>655</v>
      </c>
      <c r="D33" s="150">
        <v>1990000</v>
      </c>
      <c r="E33" s="20" t="s">
        <v>642</v>
      </c>
      <c r="F33" s="20" t="s">
        <v>643</v>
      </c>
      <c r="G33" s="8" t="str">
        <f t="shared" si="0"/>
        <v>DAVIS WENDY</v>
      </c>
    </row>
    <row r="34" spans="1:7" x14ac:dyDescent="0.25">
      <c r="A34" s="8">
        <v>42806.228576388887</v>
      </c>
      <c r="B34" s="20" t="s">
        <v>413</v>
      </c>
      <c r="C34" s="20" t="s">
        <v>656</v>
      </c>
      <c r="D34" s="150">
        <v>1520000</v>
      </c>
      <c r="E34" s="20" t="s">
        <v>648</v>
      </c>
      <c r="F34" s="20" t="s">
        <v>649</v>
      </c>
      <c r="G34" s="8" t="str">
        <f t="shared" si="0"/>
        <v>MAYBERRY BILL</v>
      </c>
    </row>
    <row r="35" spans="1:7" x14ac:dyDescent="0.25">
      <c r="A35" s="8">
        <v>42806.229444444441</v>
      </c>
      <c r="B35" s="20" t="s">
        <v>433</v>
      </c>
      <c r="C35" s="20" t="s">
        <v>657</v>
      </c>
      <c r="D35" s="150">
        <v>2420000</v>
      </c>
      <c r="E35" s="20" t="s">
        <v>658</v>
      </c>
      <c r="F35" s="20" t="s">
        <v>659</v>
      </c>
      <c r="G35" s="8" t="str">
        <f t="shared" si="0"/>
        <v>HOLCOMB KAMDEN</v>
      </c>
    </row>
    <row r="36" spans="1:7" x14ac:dyDescent="0.25">
      <c r="A36" s="8">
        <v>42806.232453703706</v>
      </c>
      <c r="B36" s="20" t="s">
        <v>472</v>
      </c>
      <c r="C36" s="20" t="s">
        <v>660</v>
      </c>
      <c r="D36" s="150">
        <v>2010000</v>
      </c>
      <c r="E36" s="20" t="s">
        <v>661</v>
      </c>
      <c r="F36" s="20" t="s">
        <v>662</v>
      </c>
      <c r="G36" s="8" t="str">
        <f t="shared" si="0"/>
        <v>MAELZER KURT</v>
      </c>
    </row>
    <row r="37" spans="1:7" x14ac:dyDescent="0.25">
      <c r="A37" s="8">
        <v>42806.237523148149</v>
      </c>
      <c r="B37" s="20" t="s">
        <v>580</v>
      </c>
      <c r="C37" s="20" t="s">
        <v>663</v>
      </c>
      <c r="D37" s="150">
        <v>2420000</v>
      </c>
      <c r="E37" s="20" t="s">
        <v>658</v>
      </c>
      <c r="F37" s="20" t="s">
        <v>659</v>
      </c>
      <c r="G37" s="8" t="str">
        <f t="shared" si="0"/>
        <v>HOLCOMB KAMDEN</v>
      </c>
    </row>
    <row r="38" spans="1:7" x14ac:dyDescent="0.25">
      <c r="A38" s="8">
        <v>42806.237986111111</v>
      </c>
      <c r="B38" s="20" t="s">
        <v>472</v>
      </c>
      <c r="C38" s="20" t="s">
        <v>660</v>
      </c>
      <c r="D38" s="150">
        <v>2010000</v>
      </c>
      <c r="E38" s="20" t="s">
        <v>661</v>
      </c>
      <c r="F38" s="20" t="s">
        <v>662</v>
      </c>
      <c r="G38" s="8" t="str">
        <f t="shared" si="0"/>
        <v>MAELZER KURT</v>
      </c>
    </row>
    <row r="39" spans="1:7" x14ac:dyDescent="0.25">
      <c r="A39" s="8">
        <v>42806.24423611111</v>
      </c>
      <c r="B39" s="20" t="s">
        <v>597</v>
      </c>
      <c r="C39" s="20" t="s">
        <v>664</v>
      </c>
      <c r="D39" s="150">
        <v>2370000</v>
      </c>
      <c r="E39" s="20" t="s">
        <v>651</v>
      </c>
      <c r="F39" s="20" t="s">
        <v>652</v>
      </c>
      <c r="G39" s="8" t="str">
        <f t="shared" si="0"/>
        <v>DELGADO DIANAH</v>
      </c>
    </row>
    <row r="40" spans="1:7" x14ac:dyDescent="0.25">
      <c r="A40" s="8">
        <v>42806.246435185189</v>
      </c>
      <c r="B40" s="25" t="s">
        <v>584</v>
      </c>
      <c r="C40" s="20" t="s">
        <v>665</v>
      </c>
      <c r="D40" s="150">
        <v>1360000</v>
      </c>
      <c r="E40" s="20" t="s">
        <v>631</v>
      </c>
      <c r="F40" s="20" t="s">
        <v>632</v>
      </c>
      <c r="G40" s="8" t="str">
        <f t="shared" si="0"/>
        <v>SANTIZO D. EDY</v>
      </c>
    </row>
    <row r="41" spans="1:7" x14ac:dyDescent="0.25">
      <c r="A41" s="8">
        <v>42806.250949074078</v>
      </c>
      <c r="B41" s="20" t="s">
        <v>590</v>
      </c>
      <c r="C41" s="20" t="s">
        <v>666</v>
      </c>
      <c r="D41" s="150">
        <v>2550000</v>
      </c>
      <c r="E41" s="20" t="s">
        <v>637</v>
      </c>
      <c r="F41" s="20" t="s">
        <v>638</v>
      </c>
      <c r="G41" s="8" t="str">
        <f t="shared" si="0"/>
        <v>BADERTSCHER DIANE</v>
      </c>
    </row>
    <row r="42" spans="1:7" x14ac:dyDescent="0.25">
      <c r="A42" s="8">
        <v>42806.258483796293</v>
      </c>
      <c r="B42" s="20" t="s">
        <v>646</v>
      </c>
      <c r="C42" s="20" t="s">
        <v>667</v>
      </c>
      <c r="D42" s="150">
        <v>1990000</v>
      </c>
      <c r="E42" s="20" t="s">
        <v>642</v>
      </c>
      <c r="F42" s="20" t="s">
        <v>643</v>
      </c>
      <c r="G42" s="8" t="str">
        <f t="shared" si="0"/>
        <v>DAVIS WENDY</v>
      </c>
    </row>
    <row r="43" spans="1:7" x14ac:dyDescent="0.25">
      <c r="A43" s="8">
        <v>42806.261458333334</v>
      </c>
      <c r="B43" s="20" t="s">
        <v>433</v>
      </c>
      <c r="C43" s="20" t="s">
        <v>668</v>
      </c>
      <c r="D43" s="150">
        <v>2420000</v>
      </c>
      <c r="E43" s="20" t="s">
        <v>658</v>
      </c>
      <c r="F43" s="20" t="s">
        <v>659</v>
      </c>
      <c r="G43" s="8" t="str">
        <f t="shared" si="0"/>
        <v>HOLCOMB KAMDEN</v>
      </c>
    </row>
    <row r="44" spans="1:7" x14ac:dyDescent="0.25">
      <c r="A44" s="8">
        <v>42806.269259259258</v>
      </c>
      <c r="B44" s="20" t="s">
        <v>274</v>
      </c>
      <c r="C44" s="20" t="s">
        <v>669</v>
      </c>
      <c r="D44" s="150">
        <v>1520000</v>
      </c>
      <c r="E44" s="20" t="s">
        <v>648</v>
      </c>
      <c r="F44" s="20" t="s">
        <v>649</v>
      </c>
      <c r="G44" s="8" t="str">
        <f t="shared" si="0"/>
        <v>MAYBERRY BILL</v>
      </c>
    </row>
    <row r="45" spans="1:7" x14ac:dyDescent="0.25">
      <c r="A45" s="8">
        <v>42806.269409722219</v>
      </c>
      <c r="B45" s="20" t="s">
        <v>414</v>
      </c>
      <c r="C45" s="20" t="s">
        <v>670</v>
      </c>
      <c r="D45" s="150">
        <v>2020000</v>
      </c>
      <c r="E45" s="20" t="s">
        <v>517</v>
      </c>
      <c r="F45" s="20" t="s">
        <v>416</v>
      </c>
      <c r="G45" s="8" t="str">
        <f t="shared" si="0"/>
        <v>SHOOK JOHN</v>
      </c>
    </row>
    <row r="46" spans="1:7" x14ac:dyDescent="0.25">
      <c r="A46" s="8">
        <v>42806.273472222223</v>
      </c>
      <c r="B46" s="20" t="s">
        <v>471</v>
      </c>
      <c r="C46" s="20" t="s">
        <v>671</v>
      </c>
      <c r="D46" s="150">
        <v>2010000</v>
      </c>
      <c r="E46" s="20" t="s">
        <v>661</v>
      </c>
      <c r="F46" s="20" t="s">
        <v>662</v>
      </c>
      <c r="G46" s="8" t="str">
        <f t="shared" si="0"/>
        <v>MAELZER KURT</v>
      </c>
    </row>
    <row r="47" spans="1:7" x14ac:dyDescent="0.25">
      <c r="A47" s="8">
        <v>42806.275787037041</v>
      </c>
      <c r="B47" s="20" t="s">
        <v>580</v>
      </c>
      <c r="C47" s="20" t="s">
        <v>581</v>
      </c>
      <c r="D47" s="150">
        <v>2420000</v>
      </c>
      <c r="E47" s="20" t="s">
        <v>658</v>
      </c>
      <c r="F47" s="20" t="s">
        <v>659</v>
      </c>
      <c r="G47" s="8" t="str">
        <f t="shared" si="0"/>
        <v>HOLCOMB KAMDEN</v>
      </c>
    </row>
    <row r="48" spans="1:7" x14ac:dyDescent="0.25">
      <c r="A48" s="8">
        <v>42806.277766203704</v>
      </c>
      <c r="B48" s="20" t="s">
        <v>633</v>
      </c>
      <c r="C48" s="20" t="s">
        <v>672</v>
      </c>
      <c r="D48" s="150">
        <v>2370000</v>
      </c>
      <c r="E48" s="20" t="s">
        <v>651</v>
      </c>
      <c r="F48" s="20" t="s">
        <v>652</v>
      </c>
      <c r="G48" s="8" t="str">
        <f t="shared" si="0"/>
        <v>DELGADO DIANAH</v>
      </c>
    </row>
    <row r="49" spans="1:7" x14ac:dyDescent="0.25">
      <c r="A49" s="8">
        <v>42806.288055555553</v>
      </c>
      <c r="B49" s="20" t="s">
        <v>414</v>
      </c>
      <c r="C49" s="20" t="s">
        <v>673</v>
      </c>
      <c r="D49" s="150">
        <v>2020000</v>
      </c>
      <c r="E49" s="20" t="s">
        <v>517</v>
      </c>
      <c r="F49" s="20" t="s">
        <v>416</v>
      </c>
      <c r="G49" s="8" t="str">
        <f t="shared" si="0"/>
        <v>SHOOK JOHN</v>
      </c>
    </row>
    <row r="50" spans="1:7" x14ac:dyDescent="0.25">
      <c r="A50" s="8">
        <v>42806.288113425922</v>
      </c>
      <c r="B50" s="20" t="s">
        <v>601</v>
      </c>
      <c r="C50" s="20" t="s">
        <v>674</v>
      </c>
      <c r="D50" s="150">
        <v>1360000</v>
      </c>
      <c r="E50" s="20" t="s">
        <v>631</v>
      </c>
      <c r="F50" s="20" t="s">
        <v>632</v>
      </c>
      <c r="G50" s="8" t="str">
        <f t="shared" si="0"/>
        <v>SANTIZO D. EDY</v>
      </c>
    </row>
    <row r="51" spans="1:7" x14ac:dyDescent="0.25">
      <c r="A51" s="8">
        <v>42806.288159722222</v>
      </c>
      <c r="B51" s="20" t="s">
        <v>593</v>
      </c>
      <c r="C51" s="20" t="s">
        <v>675</v>
      </c>
      <c r="D51" s="150">
        <v>2550000</v>
      </c>
      <c r="E51" s="20" t="s">
        <v>637</v>
      </c>
      <c r="F51" s="20" t="s">
        <v>638</v>
      </c>
      <c r="G51" s="8" t="str">
        <f t="shared" si="0"/>
        <v>BADERTSCHER DIANE</v>
      </c>
    </row>
    <row r="52" spans="1:7" x14ac:dyDescent="0.25">
      <c r="A52" s="8">
        <v>42806.29409722222</v>
      </c>
      <c r="B52" s="20" t="s">
        <v>518</v>
      </c>
      <c r="C52" s="20" t="s">
        <v>676</v>
      </c>
      <c r="D52" s="150">
        <v>2040000</v>
      </c>
      <c r="E52" s="20" t="s">
        <v>275</v>
      </c>
      <c r="F52" s="20" t="s">
        <v>276</v>
      </c>
      <c r="G52" s="8" t="str">
        <f t="shared" si="0"/>
        <v>MOSES BRADLEY</v>
      </c>
    </row>
    <row r="53" spans="1:7" x14ac:dyDescent="0.25">
      <c r="A53" s="8">
        <v>42806.294722222221</v>
      </c>
      <c r="B53" s="20" t="s">
        <v>433</v>
      </c>
      <c r="C53" s="20" t="s">
        <v>582</v>
      </c>
      <c r="D53" s="150">
        <v>2420000</v>
      </c>
      <c r="E53" s="20" t="s">
        <v>658</v>
      </c>
      <c r="F53" s="20" t="s">
        <v>659</v>
      </c>
      <c r="G53" s="8" t="str">
        <f t="shared" si="0"/>
        <v>HOLCOMB KAMDEN</v>
      </c>
    </row>
    <row r="54" spans="1:7" x14ac:dyDescent="0.25">
      <c r="A54" s="8">
        <v>42806.297152777777</v>
      </c>
      <c r="B54" s="20" t="s">
        <v>587</v>
      </c>
      <c r="C54" s="20" t="s">
        <v>677</v>
      </c>
      <c r="D54" s="150">
        <v>1990000</v>
      </c>
      <c r="E54" s="20" t="s">
        <v>642</v>
      </c>
      <c r="F54" s="20" t="s">
        <v>643</v>
      </c>
      <c r="G54" s="8" t="str">
        <f t="shared" si="0"/>
        <v>DAVIS WENDY</v>
      </c>
    </row>
    <row r="55" spans="1:7" x14ac:dyDescent="0.25">
      <c r="A55" s="8">
        <v>42806.305520833332</v>
      </c>
      <c r="B55" s="20" t="s">
        <v>413</v>
      </c>
      <c r="C55" s="20" t="s">
        <v>678</v>
      </c>
      <c r="D55" s="150">
        <v>1520000</v>
      </c>
      <c r="E55" s="20" t="s">
        <v>648</v>
      </c>
      <c r="F55" s="20" t="s">
        <v>649</v>
      </c>
      <c r="G55" s="8" t="str">
        <f t="shared" si="0"/>
        <v>MAYBERRY BILL</v>
      </c>
    </row>
    <row r="56" spans="1:7" x14ac:dyDescent="0.25">
      <c r="A56" s="8">
        <v>42806.310763888891</v>
      </c>
      <c r="B56" s="20" t="s">
        <v>472</v>
      </c>
      <c r="C56" s="20" t="s">
        <v>679</v>
      </c>
      <c r="D56" s="150">
        <v>2010000</v>
      </c>
      <c r="E56" s="20" t="s">
        <v>661</v>
      </c>
      <c r="F56" s="20" t="s">
        <v>662</v>
      </c>
      <c r="G56" s="8" t="str">
        <f t="shared" si="0"/>
        <v>MAELZER KURT</v>
      </c>
    </row>
    <row r="57" spans="1:7" x14ac:dyDescent="0.25">
      <c r="A57" s="8">
        <v>42806.316319444442</v>
      </c>
      <c r="B57" s="20" t="s">
        <v>597</v>
      </c>
      <c r="C57" s="20" t="s">
        <v>680</v>
      </c>
      <c r="D57" s="150">
        <v>2370000</v>
      </c>
      <c r="E57" s="20" t="s">
        <v>651</v>
      </c>
      <c r="F57" s="20" t="s">
        <v>652</v>
      </c>
      <c r="G57" s="8" t="str">
        <f t="shared" si="0"/>
        <v>DELGADO DIANAH</v>
      </c>
    </row>
    <row r="58" spans="1:7" x14ac:dyDescent="0.25">
      <c r="A58" s="8">
        <v>42806.318124999998</v>
      </c>
      <c r="B58" s="20" t="s">
        <v>580</v>
      </c>
      <c r="C58" s="20" t="s">
        <v>681</v>
      </c>
      <c r="D58" s="150">
        <v>2420000</v>
      </c>
      <c r="E58" s="20" t="s">
        <v>658</v>
      </c>
      <c r="F58" s="20" t="s">
        <v>659</v>
      </c>
      <c r="G58" s="8" t="str">
        <f t="shared" si="0"/>
        <v>HOLCOMB KAMDEN</v>
      </c>
    </row>
    <row r="59" spans="1:7" x14ac:dyDescent="0.25">
      <c r="A59" s="8">
        <v>42806.31894675926</v>
      </c>
      <c r="B59" s="20" t="s">
        <v>584</v>
      </c>
      <c r="C59" s="20" t="s">
        <v>585</v>
      </c>
      <c r="D59" s="150">
        <v>1360000</v>
      </c>
      <c r="E59" s="20" t="s">
        <v>631</v>
      </c>
      <c r="F59" s="20" t="s">
        <v>632</v>
      </c>
      <c r="G59" s="8" t="str">
        <f t="shared" si="0"/>
        <v>SANTIZO D. EDY</v>
      </c>
    </row>
    <row r="60" spans="1:7" x14ac:dyDescent="0.25">
      <c r="A60" s="8">
        <v>42806.320092592592</v>
      </c>
      <c r="B60" s="20" t="s">
        <v>590</v>
      </c>
      <c r="C60" s="20" t="s">
        <v>682</v>
      </c>
      <c r="D60" s="150">
        <v>2550000</v>
      </c>
      <c r="E60" s="20" t="s">
        <v>637</v>
      </c>
      <c r="F60" s="20" t="s">
        <v>638</v>
      </c>
      <c r="G60" s="8" t="str">
        <f t="shared" si="0"/>
        <v>BADERTSCHER DIANE</v>
      </c>
    </row>
    <row r="61" spans="1:7" x14ac:dyDescent="0.25">
      <c r="A61" s="8">
        <v>42806.33084490741</v>
      </c>
      <c r="B61" s="20" t="s">
        <v>646</v>
      </c>
      <c r="C61" s="20" t="s">
        <v>683</v>
      </c>
      <c r="D61" s="150">
        <v>1990000</v>
      </c>
      <c r="E61" s="20" t="s">
        <v>642</v>
      </c>
      <c r="F61" s="20" t="s">
        <v>643</v>
      </c>
      <c r="G61" s="8" t="str">
        <f t="shared" si="0"/>
        <v>DAVIS WENDY</v>
      </c>
    </row>
    <row r="62" spans="1:7" x14ac:dyDescent="0.25">
      <c r="A62" s="8">
        <v>42806.337939814817</v>
      </c>
      <c r="B62" s="20" t="s">
        <v>510</v>
      </c>
      <c r="C62" s="20" t="s">
        <v>684</v>
      </c>
      <c r="D62" s="150">
        <v>2040000</v>
      </c>
      <c r="E62" s="20" t="s">
        <v>275</v>
      </c>
      <c r="F62" s="20" t="s">
        <v>276</v>
      </c>
      <c r="G62" s="8" t="str">
        <f t="shared" si="0"/>
        <v>MOSES BRADLEY</v>
      </c>
    </row>
    <row r="63" spans="1:7" x14ac:dyDescent="0.25">
      <c r="A63" s="8">
        <v>42806.340173611112</v>
      </c>
      <c r="B63" s="20" t="s">
        <v>274</v>
      </c>
      <c r="C63" s="20" t="s">
        <v>685</v>
      </c>
      <c r="D63" s="150">
        <v>1520000</v>
      </c>
      <c r="E63" s="20" t="s">
        <v>648</v>
      </c>
      <c r="F63" s="20" t="s">
        <v>649</v>
      </c>
      <c r="G63" s="8" t="str">
        <f t="shared" si="0"/>
        <v>MAYBERRY BILL</v>
      </c>
    </row>
    <row r="64" spans="1:7" x14ac:dyDescent="0.25">
      <c r="A64" s="26">
        <v>42806.343275462961</v>
      </c>
      <c r="B64" s="20" t="s">
        <v>433</v>
      </c>
      <c r="C64" s="20" t="s">
        <v>583</v>
      </c>
      <c r="D64" s="150">
        <v>2420000</v>
      </c>
      <c r="E64" s="20" t="s">
        <v>658</v>
      </c>
      <c r="F64" s="20" t="s">
        <v>659</v>
      </c>
      <c r="G64" s="8" t="str">
        <f t="shared" si="0"/>
        <v>HOLCOMB KAMDEN</v>
      </c>
    </row>
    <row r="65" spans="1:7" x14ac:dyDescent="0.25">
      <c r="A65" s="8">
        <v>42806.343506944446</v>
      </c>
      <c r="B65" s="20" t="s">
        <v>471</v>
      </c>
      <c r="C65" s="20" t="s">
        <v>686</v>
      </c>
      <c r="D65" s="150">
        <v>2010000</v>
      </c>
      <c r="E65" s="20" t="s">
        <v>661</v>
      </c>
      <c r="F65" s="20" t="s">
        <v>662</v>
      </c>
      <c r="G65" s="8" t="str">
        <f t="shared" si="0"/>
        <v>MAELZER KURT</v>
      </c>
    </row>
    <row r="66" spans="1:7" x14ac:dyDescent="0.25">
      <c r="A66" s="8">
        <v>42806.351018518515</v>
      </c>
      <c r="B66" s="20" t="s">
        <v>633</v>
      </c>
      <c r="C66" s="20" t="s">
        <v>687</v>
      </c>
      <c r="D66" s="150">
        <v>2370000</v>
      </c>
      <c r="E66" s="20" t="s">
        <v>651</v>
      </c>
      <c r="F66" s="20" t="s">
        <v>652</v>
      </c>
      <c r="G66" s="8" t="str">
        <f t="shared" si="0"/>
        <v>DELGADO DIANAH</v>
      </c>
    </row>
    <row r="67" spans="1:7" x14ac:dyDescent="0.25">
      <c r="A67" s="8">
        <v>42806.356307870374</v>
      </c>
      <c r="B67" s="20" t="s">
        <v>593</v>
      </c>
      <c r="C67" s="20" t="s">
        <v>688</v>
      </c>
      <c r="D67" s="150">
        <v>2550000</v>
      </c>
      <c r="E67" s="20" t="s">
        <v>637</v>
      </c>
      <c r="F67" s="20" t="s">
        <v>638</v>
      </c>
      <c r="G67" s="8" t="str">
        <f t="shared" ref="G67:G130" si="1">E67&amp;" "&amp;F67</f>
        <v>BADERTSCHER DIANE</v>
      </c>
    </row>
    <row r="68" spans="1:7" x14ac:dyDescent="0.25">
      <c r="A68" s="8">
        <v>42806.358877314815</v>
      </c>
      <c r="B68" s="20" t="s">
        <v>580</v>
      </c>
      <c r="C68" s="20" t="s">
        <v>586</v>
      </c>
      <c r="D68" s="150">
        <v>2420000</v>
      </c>
      <c r="E68" s="20" t="s">
        <v>658</v>
      </c>
      <c r="F68" s="20" t="s">
        <v>659</v>
      </c>
      <c r="G68" s="8" t="str">
        <f t="shared" si="1"/>
        <v>HOLCOMB KAMDEN</v>
      </c>
    </row>
    <row r="69" spans="1:7" x14ac:dyDescent="0.25">
      <c r="A69" s="8">
        <v>42806.359317129631</v>
      </c>
      <c r="B69" s="20" t="s">
        <v>601</v>
      </c>
      <c r="C69" s="20" t="s">
        <v>689</v>
      </c>
      <c r="D69" s="150">
        <v>1360000</v>
      </c>
      <c r="E69" s="20" t="s">
        <v>631</v>
      </c>
      <c r="F69" s="20" t="s">
        <v>632</v>
      </c>
      <c r="G69" s="8" t="str">
        <f t="shared" si="1"/>
        <v>SANTIZO D. EDY</v>
      </c>
    </row>
    <row r="70" spans="1:7" x14ac:dyDescent="0.25">
      <c r="A70" s="8">
        <v>42806.36990740741</v>
      </c>
      <c r="B70" s="20" t="s">
        <v>587</v>
      </c>
      <c r="C70" s="20" t="s">
        <v>588</v>
      </c>
      <c r="D70" s="150">
        <v>1990000</v>
      </c>
      <c r="E70" s="20" t="s">
        <v>642</v>
      </c>
      <c r="F70" s="20" t="s">
        <v>643</v>
      </c>
      <c r="G70" s="8" t="str">
        <f t="shared" si="1"/>
        <v>DAVIS WENDY</v>
      </c>
    </row>
    <row r="71" spans="1:7" x14ac:dyDescent="0.25">
      <c r="A71" s="8">
        <v>42806.370625000003</v>
      </c>
      <c r="B71" s="20" t="s">
        <v>413</v>
      </c>
      <c r="C71" s="20" t="s">
        <v>690</v>
      </c>
      <c r="D71" s="150">
        <v>1520000</v>
      </c>
      <c r="E71" s="20" t="s">
        <v>648</v>
      </c>
      <c r="F71" s="20" t="s">
        <v>649</v>
      </c>
      <c r="G71" s="8" t="str">
        <f t="shared" si="1"/>
        <v>MAYBERRY BILL</v>
      </c>
    </row>
    <row r="72" spans="1:7" x14ac:dyDescent="0.25">
      <c r="A72" s="8">
        <v>42806.371759259258</v>
      </c>
      <c r="B72" s="20" t="s">
        <v>518</v>
      </c>
      <c r="C72" s="20" t="s">
        <v>691</v>
      </c>
      <c r="D72" s="150">
        <v>2020000</v>
      </c>
      <c r="E72" s="20" t="s">
        <v>517</v>
      </c>
      <c r="F72" s="20" t="s">
        <v>416</v>
      </c>
      <c r="G72" s="8" t="str">
        <f t="shared" si="1"/>
        <v>SHOOK JOHN</v>
      </c>
    </row>
    <row r="73" spans="1:7" x14ac:dyDescent="0.25">
      <c r="A73" s="8">
        <v>42806.381319444445</v>
      </c>
      <c r="B73" s="20" t="s">
        <v>472</v>
      </c>
      <c r="C73" s="20" t="s">
        <v>692</v>
      </c>
      <c r="D73" s="150">
        <v>2010000</v>
      </c>
      <c r="E73" s="20" t="s">
        <v>661</v>
      </c>
      <c r="F73" s="20" t="s">
        <v>662</v>
      </c>
      <c r="G73" s="8" t="str">
        <f t="shared" si="1"/>
        <v>MAELZER KURT</v>
      </c>
    </row>
    <row r="74" spans="1:7" x14ac:dyDescent="0.25">
      <c r="A74" s="8">
        <v>42806.383240740739</v>
      </c>
      <c r="B74" s="20" t="s">
        <v>597</v>
      </c>
      <c r="C74" s="20" t="s">
        <v>693</v>
      </c>
      <c r="D74" s="150">
        <v>2370000</v>
      </c>
      <c r="E74" s="20" t="s">
        <v>651</v>
      </c>
      <c r="F74" s="20" t="s">
        <v>652</v>
      </c>
      <c r="G74" s="8" t="str">
        <f t="shared" si="1"/>
        <v>DELGADO DIANAH</v>
      </c>
    </row>
    <row r="75" spans="1:7" x14ac:dyDescent="0.25">
      <c r="A75" s="8">
        <v>42806.387800925928</v>
      </c>
      <c r="B75" s="20" t="s">
        <v>433</v>
      </c>
      <c r="C75" s="20" t="s">
        <v>589</v>
      </c>
      <c r="D75" s="150">
        <v>2420000</v>
      </c>
      <c r="E75" s="20" t="s">
        <v>658</v>
      </c>
      <c r="F75" s="20" t="s">
        <v>659</v>
      </c>
      <c r="G75" s="8" t="str">
        <f t="shared" si="1"/>
        <v>HOLCOMB KAMDEN</v>
      </c>
    </row>
    <row r="76" spans="1:7" x14ac:dyDescent="0.25">
      <c r="A76" s="8">
        <v>42806.390810185185</v>
      </c>
      <c r="B76" s="20" t="s">
        <v>584</v>
      </c>
      <c r="C76" s="20" t="s">
        <v>694</v>
      </c>
      <c r="D76" s="150">
        <v>1360000</v>
      </c>
      <c r="E76" s="20" t="s">
        <v>631</v>
      </c>
      <c r="F76" s="20" t="s">
        <v>632</v>
      </c>
      <c r="G76" s="8" t="str">
        <f t="shared" si="1"/>
        <v>SANTIZO D. EDY</v>
      </c>
    </row>
    <row r="77" spans="1:7" x14ac:dyDescent="0.25">
      <c r="A77" s="8">
        <v>42806.393148148149</v>
      </c>
      <c r="B77" s="20" t="s">
        <v>590</v>
      </c>
      <c r="C77" s="20" t="s">
        <v>591</v>
      </c>
      <c r="D77" s="150">
        <v>2550000</v>
      </c>
      <c r="E77" s="20" t="s">
        <v>637</v>
      </c>
      <c r="F77" s="20" t="s">
        <v>638</v>
      </c>
      <c r="G77" s="8" t="str">
        <f t="shared" si="1"/>
        <v>BADERTSCHER DIANE</v>
      </c>
    </row>
    <row r="78" spans="1:7" x14ac:dyDescent="0.25">
      <c r="A78" s="8">
        <v>42806.400995370372</v>
      </c>
      <c r="B78" s="20" t="s">
        <v>580</v>
      </c>
      <c r="C78" s="20" t="s">
        <v>695</v>
      </c>
      <c r="D78" s="150">
        <v>2420000</v>
      </c>
      <c r="E78" s="20" t="s">
        <v>658</v>
      </c>
      <c r="F78" s="20" t="s">
        <v>659</v>
      </c>
      <c r="G78" s="8" t="str">
        <f t="shared" si="1"/>
        <v>HOLCOMB KAMDEN</v>
      </c>
    </row>
    <row r="79" spans="1:7" x14ac:dyDescent="0.25">
      <c r="A79" s="8">
        <v>42806.403148148151</v>
      </c>
      <c r="B79" s="20" t="s">
        <v>646</v>
      </c>
      <c r="C79" s="20" t="s">
        <v>696</v>
      </c>
      <c r="D79" s="150">
        <v>1990000</v>
      </c>
      <c r="E79" s="20" t="s">
        <v>642</v>
      </c>
      <c r="F79" s="20" t="s">
        <v>643</v>
      </c>
      <c r="G79" s="8" t="str">
        <f t="shared" si="1"/>
        <v>DAVIS WENDY</v>
      </c>
    </row>
    <row r="80" spans="1:7" x14ac:dyDescent="0.25">
      <c r="A80" s="8">
        <v>42806.404398148145</v>
      </c>
      <c r="B80" s="20" t="s">
        <v>510</v>
      </c>
      <c r="C80" s="20" t="s">
        <v>592</v>
      </c>
      <c r="D80" s="150">
        <v>2020000</v>
      </c>
      <c r="E80" s="20" t="s">
        <v>517</v>
      </c>
      <c r="F80" s="20" t="s">
        <v>416</v>
      </c>
      <c r="G80" s="8" t="str">
        <f t="shared" si="1"/>
        <v>SHOOK JOHN</v>
      </c>
    </row>
    <row r="81" spans="1:7" x14ac:dyDescent="0.25">
      <c r="A81" s="8">
        <v>42806.41265046296</v>
      </c>
      <c r="B81" s="20" t="s">
        <v>274</v>
      </c>
      <c r="C81" s="20" t="s">
        <v>697</v>
      </c>
      <c r="D81" s="150">
        <v>2140000</v>
      </c>
      <c r="E81" s="20" t="s">
        <v>515</v>
      </c>
      <c r="F81" s="20" t="s">
        <v>516</v>
      </c>
      <c r="G81" s="8" t="str">
        <f t="shared" si="1"/>
        <v>ROBINSON KADDIBA</v>
      </c>
    </row>
    <row r="82" spans="1:7" x14ac:dyDescent="0.25">
      <c r="A82" s="8">
        <v>42806.421979166669</v>
      </c>
      <c r="B82" s="20" t="s">
        <v>471</v>
      </c>
      <c r="C82" s="20" t="s">
        <v>698</v>
      </c>
      <c r="D82" s="150">
        <v>2010000</v>
      </c>
      <c r="E82" s="20" t="s">
        <v>661</v>
      </c>
      <c r="F82" s="20" t="s">
        <v>662</v>
      </c>
      <c r="G82" s="8" t="str">
        <f t="shared" si="1"/>
        <v>MAELZER KURT</v>
      </c>
    </row>
    <row r="83" spans="1:7" x14ac:dyDescent="0.25">
      <c r="A83" s="8">
        <v>42806.423101851855</v>
      </c>
      <c r="B83" s="20" t="s">
        <v>633</v>
      </c>
      <c r="C83" s="20" t="s">
        <v>699</v>
      </c>
      <c r="D83" s="150">
        <v>2370000</v>
      </c>
      <c r="E83" s="20" t="s">
        <v>651</v>
      </c>
      <c r="F83" s="20" t="s">
        <v>652</v>
      </c>
      <c r="G83" s="8" t="str">
        <f t="shared" si="1"/>
        <v>DELGADO DIANAH</v>
      </c>
    </row>
    <row r="84" spans="1:7" x14ac:dyDescent="0.25">
      <c r="A84" s="8">
        <v>42806.425844907404</v>
      </c>
      <c r="B84" s="20" t="s">
        <v>593</v>
      </c>
      <c r="C84" s="20" t="s">
        <v>594</v>
      </c>
      <c r="D84" s="150">
        <v>2550000</v>
      </c>
      <c r="E84" s="20" t="s">
        <v>637</v>
      </c>
      <c r="F84" s="20" t="s">
        <v>638</v>
      </c>
      <c r="G84" s="8" t="str">
        <f t="shared" si="1"/>
        <v>BADERTSCHER DIANE</v>
      </c>
    </row>
    <row r="85" spans="1:7" x14ac:dyDescent="0.25">
      <c r="A85" s="8">
        <v>42806.426863425928</v>
      </c>
      <c r="B85" s="20" t="s">
        <v>433</v>
      </c>
      <c r="C85" s="20" t="s">
        <v>700</v>
      </c>
      <c r="D85" s="150">
        <v>2420000</v>
      </c>
      <c r="E85" s="20" t="s">
        <v>658</v>
      </c>
      <c r="F85" s="20" t="s">
        <v>659</v>
      </c>
      <c r="G85" s="8" t="str">
        <f t="shared" si="1"/>
        <v>HOLCOMB KAMDEN</v>
      </c>
    </row>
    <row r="86" spans="1:7" x14ac:dyDescent="0.25">
      <c r="A86" s="8">
        <v>42806.435069444444</v>
      </c>
      <c r="B86" s="20" t="s">
        <v>601</v>
      </c>
      <c r="C86" s="20" t="s">
        <v>701</v>
      </c>
      <c r="D86" s="150">
        <v>2470000</v>
      </c>
      <c r="E86" s="20" t="s">
        <v>702</v>
      </c>
      <c r="F86" s="20" t="s">
        <v>703</v>
      </c>
      <c r="G86" s="8" t="str">
        <f t="shared" si="1"/>
        <v>ROMERO CHAD</v>
      </c>
    </row>
    <row r="87" spans="1:7" x14ac:dyDescent="0.25">
      <c r="A87" s="8">
        <v>42806.440925925926</v>
      </c>
      <c r="B87" s="20" t="s">
        <v>587</v>
      </c>
      <c r="C87" s="20" t="s">
        <v>704</v>
      </c>
      <c r="D87" s="150">
        <v>1990000</v>
      </c>
      <c r="E87" s="20" t="s">
        <v>642</v>
      </c>
      <c r="F87" s="20" t="s">
        <v>643</v>
      </c>
      <c r="G87" s="8" t="str">
        <f t="shared" si="1"/>
        <v>DAVIS WENDY</v>
      </c>
    </row>
    <row r="88" spans="1:7" x14ac:dyDescent="0.25">
      <c r="A88" s="8">
        <v>42806.44189814815</v>
      </c>
      <c r="B88" s="20" t="s">
        <v>580</v>
      </c>
      <c r="C88" s="20" t="s">
        <v>595</v>
      </c>
      <c r="D88" s="150">
        <v>2420000</v>
      </c>
      <c r="E88" s="20" t="s">
        <v>658</v>
      </c>
      <c r="F88" s="20" t="s">
        <v>659</v>
      </c>
      <c r="G88" s="8" t="str">
        <f t="shared" si="1"/>
        <v>HOLCOMB KAMDEN</v>
      </c>
    </row>
    <row r="89" spans="1:7" x14ac:dyDescent="0.25">
      <c r="A89" s="8">
        <v>42806.444513888891</v>
      </c>
      <c r="B89" s="20" t="s">
        <v>511</v>
      </c>
      <c r="C89" s="20" t="s">
        <v>596</v>
      </c>
      <c r="D89" s="150">
        <v>2020000</v>
      </c>
      <c r="E89" s="20" t="s">
        <v>517</v>
      </c>
      <c r="F89" s="20" t="s">
        <v>416</v>
      </c>
      <c r="G89" s="8" t="str">
        <f t="shared" si="1"/>
        <v>SHOOK JOHN</v>
      </c>
    </row>
    <row r="90" spans="1:7" x14ac:dyDescent="0.25">
      <c r="A90" s="8">
        <v>42806.451053240744</v>
      </c>
      <c r="B90" s="20" t="s">
        <v>413</v>
      </c>
      <c r="C90" s="20" t="s">
        <v>705</v>
      </c>
      <c r="D90" s="150">
        <v>2140000</v>
      </c>
      <c r="E90" s="20" t="s">
        <v>515</v>
      </c>
      <c r="F90" s="20" t="s">
        <v>516</v>
      </c>
      <c r="G90" s="8" t="str">
        <f t="shared" si="1"/>
        <v>ROBINSON KADDIBA</v>
      </c>
    </row>
    <row r="91" spans="1:7" x14ac:dyDescent="0.25">
      <c r="A91" s="8">
        <v>42806.45113425926</v>
      </c>
      <c r="B91" s="20" t="s">
        <v>511</v>
      </c>
      <c r="C91" s="20" t="s">
        <v>596</v>
      </c>
      <c r="D91" s="150">
        <v>2020000</v>
      </c>
      <c r="E91" s="20" t="s">
        <v>517</v>
      </c>
      <c r="F91" s="20" t="s">
        <v>416</v>
      </c>
      <c r="G91" s="8" t="str">
        <f t="shared" si="1"/>
        <v>SHOOK JOHN</v>
      </c>
    </row>
    <row r="92" spans="1:7" x14ac:dyDescent="0.25">
      <c r="A92" s="8">
        <v>42806.455752314818</v>
      </c>
      <c r="B92" s="20" t="s">
        <v>472</v>
      </c>
      <c r="C92" s="20" t="s">
        <v>706</v>
      </c>
      <c r="D92" s="150">
        <v>880000</v>
      </c>
      <c r="E92" s="20" t="s">
        <v>707</v>
      </c>
      <c r="F92" s="20" t="s">
        <v>200</v>
      </c>
      <c r="G92" s="8" t="str">
        <f t="shared" si="1"/>
        <v>STEWART MICHAEL</v>
      </c>
    </row>
    <row r="93" spans="1:7" x14ac:dyDescent="0.25">
      <c r="A93" s="8">
        <v>42806.458877314813</v>
      </c>
      <c r="B93" s="20" t="s">
        <v>511</v>
      </c>
      <c r="C93" s="20" t="s">
        <v>596</v>
      </c>
      <c r="D93" s="150">
        <v>2020000</v>
      </c>
      <c r="E93" s="20" t="s">
        <v>517</v>
      </c>
      <c r="F93" s="20" t="s">
        <v>416</v>
      </c>
      <c r="G93" s="8" t="str">
        <f t="shared" si="1"/>
        <v>SHOOK JOHN</v>
      </c>
    </row>
    <row r="94" spans="1:7" x14ac:dyDescent="0.25">
      <c r="A94" s="8">
        <v>42806.45989583333</v>
      </c>
      <c r="B94" s="20" t="s">
        <v>597</v>
      </c>
      <c r="C94" s="20" t="s">
        <v>598</v>
      </c>
      <c r="D94" s="150">
        <v>2370000</v>
      </c>
      <c r="E94" s="20" t="s">
        <v>651</v>
      </c>
      <c r="F94" s="20" t="s">
        <v>652</v>
      </c>
      <c r="G94" s="8" t="str">
        <f t="shared" si="1"/>
        <v>DELGADO DIANAH</v>
      </c>
    </row>
    <row r="95" spans="1:7" x14ac:dyDescent="0.25">
      <c r="A95" s="8">
        <v>42806.464201388888</v>
      </c>
      <c r="B95" s="20" t="s">
        <v>433</v>
      </c>
      <c r="C95" s="20" t="s">
        <v>708</v>
      </c>
      <c r="D95" s="150">
        <v>2440000</v>
      </c>
      <c r="E95" s="20" t="s">
        <v>522</v>
      </c>
      <c r="F95" s="20" t="s">
        <v>523</v>
      </c>
      <c r="G95" s="8" t="str">
        <f t="shared" si="1"/>
        <v>LOPES KIMBERLY</v>
      </c>
    </row>
    <row r="96" spans="1:7" x14ac:dyDescent="0.25">
      <c r="A96" s="8">
        <v>42806.470243055555</v>
      </c>
      <c r="B96" s="20" t="s">
        <v>584</v>
      </c>
      <c r="C96" s="20" t="s">
        <v>599</v>
      </c>
      <c r="D96" s="150">
        <v>2470000</v>
      </c>
      <c r="E96" s="20" t="s">
        <v>702</v>
      </c>
      <c r="F96" s="20" t="s">
        <v>703</v>
      </c>
      <c r="G96" s="8" t="str">
        <f t="shared" si="1"/>
        <v>ROMERO CHAD</v>
      </c>
    </row>
    <row r="97" spans="1:7" x14ac:dyDescent="0.25">
      <c r="A97" s="8">
        <v>42806.471076388887</v>
      </c>
      <c r="B97" s="20" t="s">
        <v>590</v>
      </c>
      <c r="C97" s="20" t="s">
        <v>709</v>
      </c>
      <c r="D97" s="150">
        <v>920000</v>
      </c>
      <c r="E97" s="20" t="s">
        <v>642</v>
      </c>
      <c r="F97" s="20" t="s">
        <v>200</v>
      </c>
      <c r="G97" s="8" t="str">
        <f t="shared" si="1"/>
        <v>DAVIS MICHAEL</v>
      </c>
    </row>
    <row r="98" spans="1:7" x14ac:dyDescent="0.25">
      <c r="A98" s="8">
        <v>42806.480567129627</v>
      </c>
      <c r="B98" s="20" t="s">
        <v>646</v>
      </c>
      <c r="C98" s="20" t="s">
        <v>710</v>
      </c>
      <c r="D98" s="150">
        <v>1300000</v>
      </c>
      <c r="E98" s="20" t="s">
        <v>711</v>
      </c>
      <c r="F98" s="20" t="s">
        <v>712</v>
      </c>
      <c r="G98" s="8" t="str">
        <f t="shared" si="1"/>
        <v>LEVIN SCOTT</v>
      </c>
    </row>
    <row r="99" spans="1:7" x14ac:dyDescent="0.25">
      <c r="A99" s="8">
        <v>42806.48364583333</v>
      </c>
      <c r="B99" s="20" t="s">
        <v>580</v>
      </c>
      <c r="C99" s="20" t="s">
        <v>713</v>
      </c>
      <c r="D99" s="150">
        <v>2440000</v>
      </c>
      <c r="E99" s="20" t="s">
        <v>522</v>
      </c>
      <c r="F99" s="20" t="s">
        <v>523</v>
      </c>
      <c r="G99" s="8" t="str">
        <f t="shared" si="1"/>
        <v>LOPES KIMBERLY</v>
      </c>
    </row>
    <row r="100" spans="1:7" x14ac:dyDescent="0.25">
      <c r="A100" s="8">
        <v>42806.485682870371</v>
      </c>
      <c r="B100" s="20" t="s">
        <v>514</v>
      </c>
      <c r="C100" s="20" t="s">
        <v>600</v>
      </c>
      <c r="D100" s="150">
        <v>2020000</v>
      </c>
      <c r="E100" s="20" t="s">
        <v>517</v>
      </c>
      <c r="F100" s="20" t="s">
        <v>416</v>
      </c>
      <c r="G100" s="8" t="str">
        <f t="shared" si="1"/>
        <v>SHOOK JOHN</v>
      </c>
    </row>
    <row r="101" spans="1:7" x14ac:dyDescent="0.25">
      <c r="A101" s="8">
        <v>42806.488310185188</v>
      </c>
      <c r="B101" s="20" t="s">
        <v>274</v>
      </c>
      <c r="C101" s="20" t="s">
        <v>714</v>
      </c>
      <c r="D101" s="150">
        <v>1770000</v>
      </c>
      <c r="E101" s="20" t="s">
        <v>478</v>
      </c>
      <c r="F101" s="20" t="s">
        <v>479</v>
      </c>
      <c r="G101" s="8" t="str">
        <f t="shared" si="1"/>
        <v>BRUDER RICHARD</v>
      </c>
    </row>
    <row r="102" spans="1:7" x14ac:dyDescent="0.25">
      <c r="A102" s="8">
        <v>42806.495567129627</v>
      </c>
      <c r="B102" s="20" t="s">
        <v>471</v>
      </c>
      <c r="C102" s="20" t="s">
        <v>715</v>
      </c>
      <c r="D102" s="150">
        <v>880000</v>
      </c>
      <c r="E102" s="20" t="s">
        <v>707</v>
      </c>
      <c r="F102" s="20" t="s">
        <v>200</v>
      </c>
      <c r="G102" s="8" t="str">
        <f t="shared" si="1"/>
        <v>STEWART MICHAEL</v>
      </c>
    </row>
    <row r="103" spans="1:7" x14ac:dyDescent="0.25">
      <c r="A103" s="8">
        <v>42806.498819444445</v>
      </c>
      <c r="B103" s="20" t="s">
        <v>633</v>
      </c>
      <c r="C103" s="20" t="s">
        <v>716</v>
      </c>
      <c r="D103" s="150">
        <v>1120000</v>
      </c>
      <c r="E103" s="20" t="s">
        <v>264</v>
      </c>
      <c r="F103" s="20" t="s">
        <v>265</v>
      </c>
      <c r="G103" s="8" t="str">
        <f t="shared" si="1"/>
        <v>LOCKLEAR TRAVIS</v>
      </c>
    </row>
    <row r="104" spans="1:7" x14ac:dyDescent="0.25">
      <c r="A104" s="8">
        <v>42806.505509259259</v>
      </c>
      <c r="B104" s="20" t="s">
        <v>601</v>
      </c>
      <c r="C104" s="20" t="s">
        <v>602</v>
      </c>
      <c r="D104" s="150">
        <v>2470000</v>
      </c>
      <c r="E104" s="20" t="s">
        <v>702</v>
      </c>
      <c r="F104" s="20" t="s">
        <v>703</v>
      </c>
      <c r="G104" s="8" t="str">
        <f t="shared" si="1"/>
        <v>ROMERO CHAD</v>
      </c>
    </row>
    <row r="105" spans="1:7" x14ac:dyDescent="0.25">
      <c r="A105" s="8">
        <v>42806.509942129633</v>
      </c>
      <c r="B105" s="20" t="s">
        <v>433</v>
      </c>
      <c r="C105" s="20" t="s">
        <v>717</v>
      </c>
      <c r="D105" s="150">
        <v>2440000</v>
      </c>
      <c r="E105" s="20" t="s">
        <v>522</v>
      </c>
      <c r="F105" s="20" t="s">
        <v>523</v>
      </c>
      <c r="G105" s="8" t="str">
        <f t="shared" si="1"/>
        <v>LOPES KIMBERLY</v>
      </c>
    </row>
    <row r="106" spans="1:7" x14ac:dyDescent="0.25">
      <c r="A106" s="8">
        <v>42806.511504629627</v>
      </c>
      <c r="B106" s="20" t="s">
        <v>593</v>
      </c>
      <c r="C106" s="20" t="s">
        <v>718</v>
      </c>
      <c r="D106" s="150">
        <v>920000</v>
      </c>
      <c r="E106" s="20" t="s">
        <v>642</v>
      </c>
      <c r="F106" s="20" t="s">
        <v>200</v>
      </c>
      <c r="G106" s="8" t="str">
        <f t="shared" si="1"/>
        <v>DAVIS MICHAEL</v>
      </c>
    </row>
    <row r="107" spans="1:7" x14ac:dyDescent="0.25">
      <c r="A107" s="8">
        <v>42806.516944444447</v>
      </c>
      <c r="B107" s="20" t="s">
        <v>587</v>
      </c>
      <c r="C107" s="20" t="s">
        <v>719</v>
      </c>
      <c r="D107" s="150">
        <v>1300000</v>
      </c>
      <c r="E107" s="20" t="s">
        <v>711</v>
      </c>
      <c r="F107" s="20" t="s">
        <v>712</v>
      </c>
      <c r="G107" s="8" t="str">
        <f t="shared" si="1"/>
        <v>LEVIN SCOTT</v>
      </c>
    </row>
    <row r="108" spans="1:7" x14ac:dyDescent="0.25">
      <c r="A108" s="8">
        <v>42806.521840277775</v>
      </c>
      <c r="B108" s="20" t="s">
        <v>511</v>
      </c>
      <c r="C108" s="20" t="s">
        <v>720</v>
      </c>
      <c r="D108" s="150">
        <v>2560000</v>
      </c>
      <c r="E108" s="20" t="s">
        <v>721</v>
      </c>
      <c r="F108" s="20" t="s">
        <v>722</v>
      </c>
      <c r="G108" s="8" t="str">
        <f t="shared" si="1"/>
        <v>MACDONALD THOMAS</v>
      </c>
    </row>
    <row r="109" spans="1:7" x14ac:dyDescent="0.25">
      <c r="A109" s="8">
        <v>42806.525613425925</v>
      </c>
      <c r="B109" s="20" t="s">
        <v>580</v>
      </c>
      <c r="C109" s="20" t="s">
        <v>723</v>
      </c>
      <c r="D109" s="150">
        <v>2440000</v>
      </c>
      <c r="E109" s="20" t="s">
        <v>522</v>
      </c>
      <c r="F109" s="20" t="s">
        <v>523</v>
      </c>
      <c r="G109" s="8" t="str">
        <f t="shared" si="1"/>
        <v>LOPES KIMBERLY</v>
      </c>
    </row>
    <row r="110" spans="1:7" x14ac:dyDescent="0.25">
      <c r="A110" s="8">
        <v>42806.526805555557</v>
      </c>
      <c r="B110" s="20" t="s">
        <v>413</v>
      </c>
      <c r="C110" s="20" t="s">
        <v>724</v>
      </c>
      <c r="D110" s="150">
        <v>1770000</v>
      </c>
      <c r="E110" s="20" t="s">
        <v>478</v>
      </c>
      <c r="F110" s="20" t="s">
        <v>479</v>
      </c>
      <c r="G110" s="8" t="str">
        <f t="shared" si="1"/>
        <v>BRUDER RICHARD</v>
      </c>
    </row>
    <row r="111" spans="1:7" x14ac:dyDescent="0.25">
      <c r="A111" s="8">
        <v>42806.528356481482</v>
      </c>
      <c r="B111" s="20" t="s">
        <v>593</v>
      </c>
      <c r="C111" s="20" t="s">
        <v>718</v>
      </c>
      <c r="D111" s="150">
        <v>920000</v>
      </c>
      <c r="E111" s="20" t="s">
        <v>642</v>
      </c>
      <c r="F111" s="20" t="s">
        <v>200</v>
      </c>
      <c r="G111" s="8" t="str">
        <f t="shared" si="1"/>
        <v>DAVIS MICHAEL</v>
      </c>
    </row>
    <row r="112" spans="1:7" x14ac:dyDescent="0.25">
      <c r="A112" s="8">
        <v>42806.528495370374</v>
      </c>
      <c r="B112" s="20" t="s">
        <v>472</v>
      </c>
      <c r="C112" s="20" t="s">
        <v>725</v>
      </c>
      <c r="D112" s="150">
        <v>880000</v>
      </c>
      <c r="E112" s="20" t="s">
        <v>707</v>
      </c>
      <c r="F112" s="20" t="s">
        <v>200</v>
      </c>
      <c r="G112" s="8" t="str">
        <f t="shared" si="1"/>
        <v>STEWART MICHAEL</v>
      </c>
    </row>
    <row r="113" spans="1:7" x14ac:dyDescent="0.25">
      <c r="A113" s="8">
        <v>42806.5315162037</v>
      </c>
      <c r="B113" s="20" t="s">
        <v>593</v>
      </c>
      <c r="C113" s="20" t="s">
        <v>718</v>
      </c>
      <c r="D113" s="150">
        <v>920000</v>
      </c>
      <c r="E113" s="20" t="s">
        <v>642</v>
      </c>
      <c r="F113" s="20" t="s">
        <v>200</v>
      </c>
      <c r="G113" s="8" t="str">
        <f t="shared" si="1"/>
        <v>DAVIS MICHAEL</v>
      </c>
    </row>
    <row r="114" spans="1:7" x14ac:dyDescent="0.25">
      <c r="A114" s="8">
        <v>42806.533321759256</v>
      </c>
      <c r="B114" s="20" t="s">
        <v>597</v>
      </c>
      <c r="C114" s="20" t="s">
        <v>603</v>
      </c>
      <c r="D114" s="150">
        <v>1120000</v>
      </c>
      <c r="E114" s="20" t="s">
        <v>264</v>
      </c>
      <c r="F114" s="20" t="s">
        <v>265</v>
      </c>
      <c r="G114" s="8" t="str">
        <f t="shared" si="1"/>
        <v>LOCKLEAR TRAVIS</v>
      </c>
    </row>
    <row r="115" spans="1:7" x14ac:dyDescent="0.25">
      <c r="A115" s="8">
        <v>42806.540717592594</v>
      </c>
      <c r="B115" s="20" t="s">
        <v>584</v>
      </c>
      <c r="C115" s="20" t="s">
        <v>604</v>
      </c>
      <c r="D115" s="150">
        <v>2470000</v>
      </c>
      <c r="E115" s="20" t="s">
        <v>702</v>
      </c>
      <c r="F115" s="20" t="s">
        <v>703</v>
      </c>
      <c r="G115" s="8" t="str">
        <f t="shared" si="1"/>
        <v>ROMERO CHAD</v>
      </c>
    </row>
    <row r="116" spans="1:7" x14ac:dyDescent="0.25">
      <c r="A116" s="8">
        <v>42806.542754629627</v>
      </c>
      <c r="B116" s="20" t="s">
        <v>518</v>
      </c>
      <c r="C116" s="20" t="s">
        <v>726</v>
      </c>
      <c r="D116" s="150">
        <v>2530000</v>
      </c>
      <c r="E116" s="20" t="s">
        <v>727</v>
      </c>
      <c r="F116" s="20" t="s">
        <v>728</v>
      </c>
      <c r="G116" s="8" t="str">
        <f t="shared" si="1"/>
        <v>LALONDE GREGORY</v>
      </c>
    </row>
    <row r="117" spans="1:7" x14ac:dyDescent="0.25">
      <c r="A117" s="8">
        <v>42806.545520833337</v>
      </c>
      <c r="B117" s="20" t="s">
        <v>415</v>
      </c>
      <c r="C117" s="20" t="s">
        <v>605</v>
      </c>
      <c r="D117" s="150">
        <v>2480000</v>
      </c>
      <c r="E117" s="20" t="s">
        <v>484</v>
      </c>
      <c r="F117" s="20" t="s">
        <v>210</v>
      </c>
      <c r="G117" s="8" t="str">
        <f t="shared" si="1"/>
        <v>WHITED DUSTIN</v>
      </c>
    </row>
    <row r="118" spans="1:7" x14ac:dyDescent="0.25">
      <c r="A118" s="8">
        <v>42806.546261574076</v>
      </c>
      <c r="B118" s="20" t="s">
        <v>433</v>
      </c>
      <c r="C118" s="20" t="s">
        <v>729</v>
      </c>
      <c r="D118" s="150">
        <v>2440000</v>
      </c>
      <c r="E118" s="20" t="s">
        <v>522</v>
      </c>
      <c r="F118" s="20" t="s">
        <v>523</v>
      </c>
      <c r="G118" s="8" t="str">
        <f t="shared" si="1"/>
        <v>LOPES KIMBERLY</v>
      </c>
    </row>
    <row r="119" spans="1:7" x14ac:dyDescent="0.25">
      <c r="A119" s="8">
        <v>42806.55201388889</v>
      </c>
      <c r="B119" s="20" t="s">
        <v>510</v>
      </c>
      <c r="C119" s="20" t="s">
        <v>726</v>
      </c>
      <c r="D119" s="150">
        <v>2530000</v>
      </c>
      <c r="E119" s="20" t="s">
        <v>727</v>
      </c>
      <c r="F119" s="20" t="s">
        <v>728</v>
      </c>
      <c r="G119" s="8" t="str">
        <f t="shared" si="1"/>
        <v>LALONDE GREGORY</v>
      </c>
    </row>
    <row r="120" spans="1:7" x14ac:dyDescent="0.25">
      <c r="A120" s="8">
        <v>42806.553344907406</v>
      </c>
      <c r="B120" s="20" t="s">
        <v>510</v>
      </c>
      <c r="C120" s="20" t="s">
        <v>726</v>
      </c>
      <c r="D120" s="150">
        <v>2530000</v>
      </c>
      <c r="E120" s="20" t="s">
        <v>727</v>
      </c>
      <c r="F120" s="20" t="s">
        <v>728</v>
      </c>
      <c r="G120" s="8" t="str">
        <f t="shared" si="1"/>
        <v>LALONDE GREGORY</v>
      </c>
    </row>
    <row r="121" spans="1:7" x14ac:dyDescent="0.25">
      <c r="A121" s="8">
        <v>42806.55641203704</v>
      </c>
      <c r="B121" s="20" t="s">
        <v>514</v>
      </c>
      <c r="C121" s="20" t="s">
        <v>730</v>
      </c>
      <c r="D121" s="150">
        <v>2560000</v>
      </c>
      <c r="E121" s="20" t="s">
        <v>721</v>
      </c>
      <c r="F121" s="20" t="s">
        <v>722</v>
      </c>
      <c r="G121" s="8" t="str">
        <f t="shared" si="1"/>
        <v>MACDONALD THOMAS</v>
      </c>
    </row>
    <row r="122" spans="1:7" x14ac:dyDescent="0.25">
      <c r="A122" s="8">
        <v>42806.560057870367</v>
      </c>
      <c r="B122" s="25" t="s">
        <v>590</v>
      </c>
      <c r="C122" s="20" t="s">
        <v>731</v>
      </c>
      <c r="D122" s="150">
        <v>920000</v>
      </c>
      <c r="E122" s="20" t="s">
        <v>642</v>
      </c>
      <c r="F122" s="20" t="s">
        <v>200</v>
      </c>
      <c r="G122" s="8" t="str">
        <f t="shared" si="1"/>
        <v>DAVIS MICHAEL</v>
      </c>
    </row>
    <row r="123" spans="1:7" x14ac:dyDescent="0.25">
      <c r="A123" s="8">
        <v>42806.561203703706</v>
      </c>
      <c r="B123" s="20" t="s">
        <v>590</v>
      </c>
      <c r="C123" s="20" t="s">
        <v>731</v>
      </c>
      <c r="D123" s="150">
        <v>920000</v>
      </c>
      <c r="E123" s="20" t="s">
        <v>642</v>
      </c>
      <c r="F123" s="20" t="s">
        <v>200</v>
      </c>
      <c r="G123" s="8" t="str">
        <f t="shared" si="1"/>
        <v>DAVIS MICHAEL</v>
      </c>
    </row>
    <row r="124" spans="1:7" x14ac:dyDescent="0.25">
      <c r="A124" s="8">
        <v>42806.565138888887</v>
      </c>
      <c r="B124" s="20" t="s">
        <v>646</v>
      </c>
      <c r="C124" s="20" t="s">
        <v>732</v>
      </c>
      <c r="D124" s="150">
        <v>2540000</v>
      </c>
      <c r="E124" s="20" t="s">
        <v>214</v>
      </c>
      <c r="F124" s="20" t="s">
        <v>215</v>
      </c>
      <c r="G124" s="8" t="str">
        <f t="shared" si="1"/>
        <v>MCREYNOLDS KYLE</v>
      </c>
    </row>
    <row r="125" spans="1:7" x14ac:dyDescent="0.25">
      <c r="A125" s="8">
        <v>42806.569120370368</v>
      </c>
      <c r="B125" s="20" t="s">
        <v>580</v>
      </c>
      <c r="C125" s="20" t="s">
        <v>733</v>
      </c>
      <c r="D125" s="150">
        <v>2440000</v>
      </c>
      <c r="E125" s="20" t="s">
        <v>522</v>
      </c>
      <c r="F125" s="20" t="s">
        <v>523</v>
      </c>
      <c r="G125" s="8" t="str">
        <f t="shared" si="1"/>
        <v>LOPES KIMBERLY</v>
      </c>
    </row>
    <row r="126" spans="1:7" x14ac:dyDescent="0.25">
      <c r="A126" s="8">
        <v>42806.571377314816</v>
      </c>
      <c r="B126" s="20" t="s">
        <v>471</v>
      </c>
      <c r="C126" s="20" t="s">
        <v>734</v>
      </c>
      <c r="D126" s="150">
        <v>880000</v>
      </c>
      <c r="E126" s="20" t="s">
        <v>707</v>
      </c>
      <c r="F126" s="20" t="s">
        <v>200</v>
      </c>
      <c r="G126" s="8" t="str">
        <f t="shared" si="1"/>
        <v>STEWART MICHAEL</v>
      </c>
    </row>
    <row r="127" spans="1:7" x14ac:dyDescent="0.25">
      <c r="A127" s="8">
        <v>42806.579293981478</v>
      </c>
      <c r="B127" s="20" t="s">
        <v>274</v>
      </c>
      <c r="C127" s="20" t="s">
        <v>735</v>
      </c>
      <c r="D127" s="150">
        <v>2450000</v>
      </c>
      <c r="E127" s="20" t="s">
        <v>482</v>
      </c>
      <c r="F127" s="20" t="s">
        <v>483</v>
      </c>
      <c r="G127" s="8" t="str">
        <f t="shared" si="1"/>
        <v>NELSON ARIANE</v>
      </c>
    </row>
    <row r="128" spans="1:7" x14ac:dyDescent="0.25">
      <c r="A128" s="8">
        <v>42806.581076388888</v>
      </c>
      <c r="B128" s="20" t="s">
        <v>601</v>
      </c>
      <c r="C128" s="20" t="s">
        <v>736</v>
      </c>
      <c r="D128" s="150">
        <v>2470000</v>
      </c>
      <c r="E128" s="20" t="s">
        <v>702</v>
      </c>
      <c r="F128" s="20" t="s">
        <v>703</v>
      </c>
      <c r="G128" s="8" t="str">
        <f t="shared" si="1"/>
        <v>ROMERO CHAD</v>
      </c>
    </row>
    <row r="129" spans="1:7" x14ac:dyDescent="0.25">
      <c r="A129" s="8">
        <v>42806.588113425925</v>
      </c>
      <c r="B129" s="20" t="s">
        <v>414</v>
      </c>
      <c r="C129" s="20" t="s">
        <v>607</v>
      </c>
      <c r="D129" s="150">
        <v>2480000</v>
      </c>
      <c r="E129" s="20" t="s">
        <v>484</v>
      </c>
      <c r="F129" s="20" t="s">
        <v>210</v>
      </c>
      <c r="G129" s="8" t="str">
        <f t="shared" si="1"/>
        <v>WHITED DUSTIN</v>
      </c>
    </row>
    <row r="130" spans="1:7" x14ac:dyDescent="0.25">
      <c r="A130" s="8">
        <v>42806.594537037039</v>
      </c>
      <c r="B130" s="20" t="s">
        <v>433</v>
      </c>
      <c r="C130" s="20" t="s">
        <v>606</v>
      </c>
      <c r="D130" s="150">
        <v>1540000</v>
      </c>
      <c r="E130" s="20" t="s">
        <v>476</v>
      </c>
      <c r="F130" s="20" t="s">
        <v>477</v>
      </c>
      <c r="G130" s="8" t="str">
        <f t="shared" si="1"/>
        <v>HELVIE ADAM</v>
      </c>
    </row>
    <row r="131" spans="1:7" x14ac:dyDescent="0.25">
      <c r="A131" s="8">
        <v>42806.599293981482</v>
      </c>
      <c r="B131" s="20" t="s">
        <v>593</v>
      </c>
      <c r="C131" s="20" t="s">
        <v>608</v>
      </c>
      <c r="D131" s="150">
        <v>920000</v>
      </c>
      <c r="E131" s="20" t="s">
        <v>642</v>
      </c>
      <c r="F131" s="20" t="s">
        <v>200</v>
      </c>
      <c r="G131" s="8" t="str">
        <f t="shared" ref="G131:G194" si="2">E131&amp;" "&amp;F131</f>
        <v>DAVIS MICHAEL</v>
      </c>
    </row>
    <row r="132" spans="1:7" x14ac:dyDescent="0.25">
      <c r="A132" s="8">
        <v>42806.603634259256</v>
      </c>
      <c r="B132" s="20" t="s">
        <v>511</v>
      </c>
      <c r="C132" s="20" t="s">
        <v>737</v>
      </c>
      <c r="D132" s="150">
        <v>2560000</v>
      </c>
      <c r="E132" s="20" t="s">
        <v>721</v>
      </c>
      <c r="F132" s="20" t="s">
        <v>722</v>
      </c>
      <c r="G132" s="8" t="str">
        <f t="shared" si="2"/>
        <v>MACDONALD THOMAS</v>
      </c>
    </row>
    <row r="133" spans="1:7" x14ac:dyDescent="0.25">
      <c r="A133" s="8">
        <v>42806.609016203707</v>
      </c>
      <c r="B133" s="20" t="s">
        <v>587</v>
      </c>
      <c r="C133" s="20" t="s">
        <v>609</v>
      </c>
      <c r="D133" s="150">
        <v>2540000</v>
      </c>
      <c r="E133" s="20" t="s">
        <v>214</v>
      </c>
      <c r="F133" s="20" t="s">
        <v>215</v>
      </c>
      <c r="G133" s="8" t="str">
        <f t="shared" si="2"/>
        <v>MCREYNOLDS KYLE</v>
      </c>
    </row>
    <row r="134" spans="1:7" x14ac:dyDescent="0.25">
      <c r="A134" s="8">
        <v>42806.611458333333</v>
      </c>
      <c r="B134" s="20" t="s">
        <v>580</v>
      </c>
      <c r="C134" s="20" t="s">
        <v>738</v>
      </c>
      <c r="D134" s="150">
        <v>1540000</v>
      </c>
      <c r="E134" s="20" t="s">
        <v>476</v>
      </c>
      <c r="F134" s="20" t="s">
        <v>477</v>
      </c>
      <c r="G134" s="8" t="str">
        <f t="shared" si="2"/>
        <v>HELVIE ADAM</v>
      </c>
    </row>
    <row r="135" spans="1:7" x14ac:dyDescent="0.25">
      <c r="A135" s="8">
        <v>42806.612488425926</v>
      </c>
      <c r="B135" s="20" t="s">
        <v>472</v>
      </c>
      <c r="C135" s="20" t="s">
        <v>739</v>
      </c>
      <c r="D135" s="150">
        <v>880000</v>
      </c>
      <c r="E135" s="20" t="s">
        <v>707</v>
      </c>
      <c r="F135" s="20" t="s">
        <v>200</v>
      </c>
      <c r="G135" s="8" t="str">
        <f t="shared" si="2"/>
        <v>STEWART MICHAEL</v>
      </c>
    </row>
    <row r="136" spans="1:7" x14ac:dyDescent="0.25">
      <c r="A136" s="8">
        <v>42806.619409722225</v>
      </c>
      <c r="B136" s="20" t="s">
        <v>413</v>
      </c>
      <c r="C136" s="20" t="s">
        <v>740</v>
      </c>
      <c r="D136" s="150">
        <v>2450000</v>
      </c>
      <c r="E136" s="20" t="s">
        <v>482</v>
      </c>
      <c r="F136" s="20" t="s">
        <v>483</v>
      </c>
      <c r="G136" s="8" t="str">
        <f t="shared" si="2"/>
        <v>NELSON ARIANE</v>
      </c>
    </row>
    <row r="137" spans="1:7" x14ac:dyDescent="0.25">
      <c r="A137" s="8">
        <v>42806.621041666665</v>
      </c>
      <c r="B137" s="20" t="s">
        <v>633</v>
      </c>
      <c r="C137" s="20" t="s">
        <v>741</v>
      </c>
      <c r="D137" s="150">
        <v>1300000</v>
      </c>
      <c r="E137" s="20" t="s">
        <v>711</v>
      </c>
      <c r="F137" s="20" t="s">
        <v>712</v>
      </c>
      <c r="G137" s="8" t="str">
        <f t="shared" si="2"/>
        <v>LEVIN SCOTT</v>
      </c>
    </row>
    <row r="138" spans="1:7" x14ac:dyDescent="0.25">
      <c r="A138" s="8">
        <v>42806.628321759257</v>
      </c>
      <c r="B138" s="20" t="s">
        <v>584</v>
      </c>
      <c r="C138" s="20" t="s">
        <v>742</v>
      </c>
      <c r="D138" s="150">
        <v>2470000</v>
      </c>
      <c r="E138" s="20" t="s">
        <v>702</v>
      </c>
      <c r="F138" s="20" t="s">
        <v>703</v>
      </c>
      <c r="G138" s="8" t="str">
        <f t="shared" si="2"/>
        <v>ROMERO CHAD</v>
      </c>
    </row>
    <row r="139" spans="1:7" x14ac:dyDescent="0.25">
      <c r="A139" s="8">
        <v>42806.637789351851</v>
      </c>
      <c r="B139" s="20" t="s">
        <v>433</v>
      </c>
      <c r="C139" s="20" t="s">
        <v>743</v>
      </c>
      <c r="D139" s="150">
        <v>1540000</v>
      </c>
      <c r="E139" s="20" t="s">
        <v>476</v>
      </c>
      <c r="F139" s="20" t="s">
        <v>477</v>
      </c>
      <c r="G139" s="8" t="str">
        <f t="shared" si="2"/>
        <v>HELVIE ADAM</v>
      </c>
    </row>
    <row r="140" spans="1:7" x14ac:dyDescent="0.25">
      <c r="A140" s="8">
        <v>42806.640439814815</v>
      </c>
      <c r="B140" s="20" t="s">
        <v>590</v>
      </c>
      <c r="C140" s="20" t="s">
        <v>744</v>
      </c>
      <c r="D140" s="150">
        <v>1770000</v>
      </c>
      <c r="E140" s="20" t="s">
        <v>478</v>
      </c>
      <c r="F140" s="20" t="s">
        <v>479</v>
      </c>
      <c r="G140" s="8" t="str">
        <f t="shared" si="2"/>
        <v>BRUDER RICHARD</v>
      </c>
    </row>
    <row r="141" spans="1:7" x14ac:dyDescent="0.25">
      <c r="A141" s="8">
        <v>42806.6408912037</v>
      </c>
      <c r="B141" s="20" t="s">
        <v>514</v>
      </c>
      <c r="C141" s="20" t="s">
        <v>610</v>
      </c>
      <c r="D141" s="150">
        <v>2560000</v>
      </c>
      <c r="E141" s="20" t="s">
        <v>721</v>
      </c>
      <c r="F141" s="20" t="s">
        <v>722</v>
      </c>
      <c r="G141" s="8" t="str">
        <f t="shared" si="2"/>
        <v>MACDONALD THOMAS</v>
      </c>
    </row>
    <row r="142" spans="1:7" x14ac:dyDescent="0.25">
      <c r="A142" s="8">
        <v>42806.641909722224</v>
      </c>
      <c r="B142" s="20" t="s">
        <v>514</v>
      </c>
      <c r="C142" s="20" t="s">
        <v>610</v>
      </c>
      <c r="D142" s="150">
        <v>2560000</v>
      </c>
      <c r="E142" s="20" t="s">
        <v>721</v>
      </c>
      <c r="F142" s="20" t="s">
        <v>722</v>
      </c>
      <c r="G142" s="8" t="str">
        <f t="shared" si="2"/>
        <v>MACDONALD THOMAS</v>
      </c>
    </row>
    <row r="143" spans="1:7" x14ac:dyDescent="0.25">
      <c r="A143" s="8">
        <v>42806.643055555556</v>
      </c>
      <c r="B143" s="20" t="s">
        <v>514</v>
      </c>
      <c r="C143" s="20" t="s">
        <v>610</v>
      </c>
      <c r="D143" s="150">
        <v>2560000</v>
      </c>
      <c r="E143" s="20" t="s">
        <v>721</v>
      </c>
      <c r="F143" s="20" t="s">
        <v>722</v>
      </c>
      <c r="G143" s="8" t="str">
        <f t="shared" si="2"/>
        <v>MACDONALD THOMAS</v>
      </c>
    </row>
    <row r="144" spans="1:7" x14ac:dyDescent="0.25">
      <c r="A144" s="8">
        <v>42806.644965277781</v>
      </c>
      <c r="B144" s="20" t="s">
        <v>646</v>
      </c>
      <c r="C144" s="20" t="s">
        <v>745</v>
      </c>
      <c r="D144" s="150">
        <v>1120000</v>
      </c>
      <c r="E144" s="20" t="s">
        <v>264</v>
      </c>
      <c r="F144" s="20" t="s">
        <v>265</v>
      </c>
      <c r="G144" s="8" t="str">
        <f t="shared" si="2"/>
        <v>LOCKLEAR TRAVIS</v>
      </c>
    </row>
    <row r="145" spans="1:7" x14ac:dyDescent="0.25">
      <c r="A145" s="8">
        <v>42806.651238425926</v>
      </c>
      <c r="B145" s="20" t="s">
        <v>580</v>
      </c>
      <c r="C145" s="20" t="s">
        <v>746</v>
      </c>
      <c r="D145" s="150">
        <v>1540000</v>
      </c>
      <c r="E145" s="20" t="s">
        <v>476</v>
      </c>
      <c r="F145" s="20" t="s">
        <v>477</v>
      </c>
      <c r="G145" s="8" t="str">
        <f t="shared" si="2"/>
        <v>HELVIE ADAM</v>
      </c>
    </row>
    <row r="146" spans="1:7" x14ac:dyDescent="0.25">
      <c r="A146" s="8">
        <v>42806.652129629627</v>
      </c>
      <c r="B146" s="20" t="s">
        <v>471</v>
      </c>
      <c r="C146" s="20" t="s">
        <v>747</v>
      </c>
      <c r="D146" s="150">
        <v>880000</v>
      </c>
      <c r="E146" s="20" t="s">
        <v>707</v>
      </c>
      <c r="F146" s="20" t="s">
        <v>200</v>
      </c>
      <c r="G146" s="8" t="str">
        <f t="shared" si="2"/>
        <v>STEWART MICHAEL</v>
      </c>
    </row>
    <row r="147" spans="1:7" x14ac:dyDescent="0.25">
      <c r="A147" s="8">
        <v>42806.657233796293</v>
      </c>
      <c r="B147" s="20" t="s">
        <v>274</v>
      </c>
      <c r="C147" s="20" t="s">
        <v>748</v>
      </c>
      <c r="D147" s="150">
        <v>2450000</v>
      </c>
      <c r="E147" s="20" t="s">
        <v>482</v>
      </c>
      <c r="F147" s="20" t="s">
        <v>483</v>
      </c>
      <c r="G147" s="8" t="str">
        <f t="shared" si="2"/>
        <v>NELSON ARIANE</v>
      </c>
    </row>
    <row r="148" spans="1:7" x14ac:dyDescent="0.25">
      <c r="A148" s="8">
        <v>42806.660752314812</v>
      </c>
      <c r="B148" s="20" t="s">
        <v>597</v>
      </c>
      <c r="C148" s="20" t="s">
        <v>749</v>
      </c>
      <c r="D148" s="150">
        <v>1300000</v>
      </c>
      <c r="E148" s="20" t="s">
        <v>711</v>
      </c>
      <c r="F148" s="20" t="s">
        <v>712</v>
      </c>
      <c r="G148" s="8" t="str">
        <f t="shared" si="2"/>
        <v>LEVIN SCOTT</v>
      </c>
    </row>
    <row r="149" spans="1:7" x14ac:dyDescent="0.25">
      <c r="A149" s="8">
        <v>42806.663518518515</v>
      </c>
      <c r="B149" s="20" t="s">
        <v>601</v>
      </c>
      <c r="C149" s="20" t="s">
        <v>750</v>
      </c>
      <c r="D149" s="150">
        <v>2470000</v>
      </c>
      <c r="E149" s="20" t="s">
        <v>702</v>
      </c>
      <c r="F149" s="20" t="s">
        <v>703</v>
      </c>
      <c r="G149" s="8" t="str">
        <f t="shared" si="2"/>
        <v>ROMERO CHAD</v>
      </c>
    </row>
    <row r="150" spans="1:7" x14ac:dyDescent="0.25">
      <c r="A150" s="8">
        <v>42806.672129629631</v>
      </c>
      <c r="B150" s="20" t="s">
        <v>593</v>
      </c>
      <c r="C150" s="20" t="s">
        <v>751</v>
      </c>
      <c r="D150" s="150">
        <v>1770000</v>
      </c>
      <c r="E150" s="20" t="s">
        <v>478</v>
      </c>
      <c r="F150" s="20" t="s">
        <v>479</v>
      </c>
      <c r="G150" s="8" t="str">
        <f t="shared" si="2"/>
        <v>BRUDER RICHARD</v>
      </c>
    </row>
    <row r="151" spans="1:7" x14ac:dyDescent="0.25">
      <c r="A151" s="8">
        <v>42806.675891203704</v>
      </c>
      <c r="B151" s="20" t="s">
        <v>511</v>
      </c>
      <c r="C151" s="20" t="s">
        <v>752</v>
      </c>
      <c r="D151" s="150">
        <v>2530000</v>
      </c>
      <c r="E151" s="20" t="s">
        <v>727</v>
      </c>
      <c r="F151" s="20" t="s">
        <v>728</v>
      </c>
      <c r="G151" s="8" t="str">
        <f t="shared" si="2"/>
        <v>LALONDE GREGORY</v>
      </c>
    </row>
    <row r="152" spans="1:7" x14ac:dyDescent="0.25">
      <c r="A152" s="8">
        <v>42806.679386574076</v>
      </c>
      <c r="B152" s="20" t="s">
        <v>433</v>
      </c>
      <c r="C152" s="20" t="s">
        <v>753</v>
      </c>
      <c r="D152" s="150">
        <v>1540000</v>
      </c>
      <c r="E152" s="20" t="s">
        <v>476</v>
      </c>
      <c r="F152" s="20" t="s">
        <v>477</v>
      </c>
      <c r="G152" s="8" t="str">
        <f t="shared" si="2"/>
        <v>HELVIE ADAM</v>
      </c>
    </row>
    <row r="153" spans="1:7" x14ac:dyDescent="0.25">
      <c r="A153" s="8">
        <v>42806.682442129626</v>
      </c>
      <c r="B153" s="20" t="s">
        <v>587</v>
      </c>
      <c r="C153" s="20" t="s">
        <v>754</v>
      </c>
      <c r="D153" s="150">
        <v>1120000</v>
      </c>
      <c r="E153" s="20" t="s">
        <v>264</v>
      </c>
      <c r="F153" s="20" t="s">
        <v>265</v>
      </c>
      <c r="G153" s="8" t="str">
        <f t="shared" si="2"/>
        <v>LOCKLEAR TRAVIS</v>
      </c>
    </row>
    <row r="154" spans="1:7" x14ac:dyDescent="0.25">
      <c r="A154" s="8">
        <v>42806.684965277775</v>
      </c>
      <c r="B154" s="20" t="s">
        <v>472</v>
      </c>
      <c r="C154" s="20" t="s">
        <v>755</v>
      </c>
      <c r="D154" s="150">
        <v>920000</v>
      </c>
      <c r="E154" s="20" t="s">
        <v>642</v>
      </c>
      <c r="F154" s="20" t="s">
        <v>200</v>
      </c>
      <c r="G154" s="8" t="str">
        <f t="shared" si="2"/>
        <v>DAVIS MICHAEL</v>
      </c>
    </row>
    <row r="155" spans="1:7" x14ac:dyDescent="0.25">
      <c r="A155" s="8">
        <v>42806.692303240743</v>
      </c>
      <c r="B155" s="20" t="s">
        <v>580</v>
      </c>
      <c r="C155" s="20" t="s">
        <v>756</v>
      </c>
      <c r="D155" s="150">
        <v>1540000</v>
      </c>
      <c r="E155" s="20" t="s">
        <v>476</v>
      </c>
      <c r="F155" s="20" t="s">
        <v>477</v>
      </c>
      <c r="G155" s="8" t="str">
        <f t="shared" si="2"/>
        <v>HELVIE ADAM</v>
      </c>
    </row>
    <row r="156" spans="1:7" x14ac:dyDescent="0.25">
      <c r="A156" s="8">
        <v>42806.695185185185</v>
      </c>
      <c r="B156" s="20" t="s">
        <v>633</v>
      </c>
      <c r="C156" s="20" t="s">
        <v>757</v>
      </c>
      <c r="D156" s="150">
        <v>1300000</v>
      </c>
      <c r="E156" s="20" t="s">
        <v>711</v>
      </c>
      <c r="F156" s="20" t="s">
        <v>712</v>
      </c>
      <c r="G156" s="8" t="str">
        <f t="shared" si="2"/>
        <v>LEVIN SCOTT</v>
      </c>
    </row>
    <row r="157" spans="1:7" x14ac:dyDescent="0.25">
      <c r="A157" s="8">
        <v>42806.695185185185</v>
      </c>
      <c r="B157" s="20" t="s">
        <v>413</v>
      </c>
      <c r="C157" s="20" t="s">
        <v>611</v>
      </c>
      <c r="D157" s="150">
        <v>2450000</v>
      </c>
      <c r="E157" s="20" t="s">
        <v>482</v>
      </c>
      <c r="F157" s="20" t="s">
        <v>483</v>
      </c>
      <c r="G157" s="8" t="str">
        <f t="shared" si="2"/>
        <v>NELSON ARIANE</v>
      </c>
    </row>
    <row r="158" spans="1:7" x14ac:dyDescent="0.25">
      <c r="A158" s="8">
        <v>42806.699074074073</v>
      </c>
      <c r="B158" s="20" t="s">
        <v>584</v>
      </c>
      <c r="C158" s="20" t="s">
        <v>758</v>
      </c>
      <c r="D158" s="150">
        <v>2470000</v>
      </c>
      <c r="E158" s="20" t="s">
        <v>702</v>
      </c>
      <c r="F158" s="20" t="s">
        <v>703</v>
      </c>
      <c r="G158" s="8" t="str">
        <f t="shared" si="2"/>
        <v>ROMERO CHAD</v>
      </c>
    </row>
    <row r="159" spans="1:7" x14ac:dyDescent="0.25">
      <c r="A159" s="8">
        <v>42806.706145833334</v>
      </c>
      <c r="B159" s="20" t="s">
        <v>590</v>
      </c>
      <c r="C159" s="20" t="s">
        <v>759</v>
      </c>
      <c r="D159" s="150">
        <v>1770000</v>
      </c>
      <c r="E159" s="20" t="s">
        <v>478</v>
      </c>
      <c r="F159" s="20" t="s">
        <v>479</v>
      </c>
      <c r="G159" s="8" t="str">
        <f t="shared" si="2"/>
        <v>BRUDER RICHARD</v>
      </c>
    </row>
    <row r="160" spans="1:7" x14ac:dyDescent="0.25">
      <c r="A160" s="8">
        <v>42806.706643518519</v>
      </c>
      <c r="B160" s="20" t="s">
        <v>514</v>
      </c>
      <c r="C160" s="20" t="s">
        <v>760</v>
      </c>
      <c r="D160" s="150">
        <v>2530000</v>
      </c>
      <c r="E160" s="20" t="s">
        <v>727</v>
      </c>
      <c r="F160" s="20" t="s">
        <v>728</v>
      </c>
      <c r="G160" s="8" t="str">
        <f t="shared" si="2"/>
        <v>LALONDE GREGORY</v>
      </c>
    </row>
    <row r="161" spans="1:7" x14ac:dyDescent="0.25">
      <c r="A161" s="8">
        <v>42806.717581018522</v>
      </c>
      <c r="B161" s="20" t="s">
        <v>646</v>
      </c>
      <c r="C161" s="20" t="s">
        <v>761</v>
      </c>
      <c r="D161" s="150">
        <v>1800000</v>
      </c>
      <c r="E161" s="20" t="s">
        <v>224</v>
      </c>
      <c r="F161" s="20" t="s">
        <v>225</v>
      </c>
      <c r="G161" s="8" t="str">
        <f t="shared" si="2"/>
        <v>CHANDLER KELVIN</v>
      </c>
    </row>
    <row r="162" spans="1:7" x14ac:dyDescent="0.25">
      <c r="A162" s="8">
        <v>42806.721064814818</v>
      </c>
      <c r="B162" s="20" t="s">
        <v>433</v>
      </c>
      <c r="C162" s="20" t="s">
        <v>762</v>
      </c>
      <c r="D162" s="150">
        <v>1540000</v>
      </c>
      <c r="E162" s="20" t="s">
        <v>476</v>
      </c>
      <c r="F162" s="20" t="s">
        <v>477</v>
      </c>
      <c r="G162" s="8" t="str">
        <f t="shared" si="2"/>
        <v>HELVIE ADAM</v>
      </c>
    </row>
    <row r="163" spans="1:7" x14ac:dyDescent="0.25">
      <c r="A163" s="8">
        <v>42806.721759259257</v>
      </c>
      <c r="B163" s="20" t="s">
        <v>415</v>
      </c>
      <c r="C163" s="20" t="s">
        <v>763</v>
      </c>
      <c r="D163" s="150">
        <v>2480000</v>
      </c>
      <c r="E163" s="20" t="s">
        <v>484</v>
      </c>
      <c r="F163" s="20" t="s">
        <v>210</v>
      </c>
      <c r="G163" s="8" t="str">
        <f t="shared" si="2"/>
        <v>WHITED DUSTIN</v>
      </c>
    </row>
    <row r="164" spans="1:7" x14ac:dyDescent="0.25">
      <c r="A164" s="8">
        <v>42806.72388888889</v>
      </c>
      <c r="B164" s="20" t="s">
        <v>471</v>
      </c>
      <c r="C164" s="20" t="s">
        <v>764</v>
      </c>
      <c r="D164" s="150">
        <v>920000</v>
      </c>
      <c r="E164" s="20" t="s">
        <v>642</v>
      </c>
      <c r="F164" s="20" t="s">
        <v>200</v>
      </c>
      <c r="G164" s="8" t="str">
        <f t="shared" si="2"/>
        <v>DAVIS MICHAEL</v>
      </c>
    </row>
    <row r="165" spans="1:7" x14ac:dyDescent="0.25">
      <c r="A165" s="8">
        <v>42806.728194444448</v>
      </c>
      <c r="B165" s="20" t="s">
        <v>274</v>
      </c>
      <c r="C165" s="20" t="s">
        <v>765</v>
      </c>
      <c r="D165" s="150">
        <v>1120000</v>
      </c>
      <c r="E165" s="20" t="s">
        <v>264</v>
      </c>
      <c r="F165" s="20" t="s">
        <v>265</v>
      </c>
      <c r="G165" s="8" t="str">
        <f t="shared" si="2"/>
        <v>LOCKLEAR TRAVIS</v>
      </c>
    </row>
    <row r="166" spans="1:7" x14ac:dyDescent="0.25">
      <c r="A166" s="8">
        <v>42806.733599537038</v>
      </c>
      <c r="B166" s="20" t="s">
        <v>597</v>
      </c>
      <c r="C166" s="20" t="s">
        <v>766</v>
      </c>
      <c r="D166" s="150">
        <v>1300000</v>
      </c>
      <c r="E166" s="20" t="s">
        <v>711</v>
      </c>
      <c r="F166" s="20" t="s">
        <v>712</v>
      </c>
      <c r="G166" s="8" t="str">
        <f t="shared" si="2"/>
        <v>LEVIN SCOTT</v>
      </c>
    </row>
    <row r="167" spans="1:7" x14ac:dyDescent="0.25">
      <c r="A167" s="8">
        <v>42806.734131944446</v>
      </c>
      <c r="B167" s="20" t="s">
        <v>580</v>
      </c>
      <c r="C167" s="20" t="s">
        <v>612</v>
      </c>
      <c r="D167" s="150">
        <v>1540000</v>
      </c>
      <c r="E167" s="20" t="s">
        <v>476</v>
      </c>
      <c r="F167" s="20" t="s">
        <v>477</v>
      </c>
      <c r="G167" s="8" t="str">
        <f t="shared" si="2"/>
        <v>HELVIE ADAM</v>
      </c>
    </row>
    <row r="168" spans="1:7" x14ac:dyDescent="0.25">
      <c r="A168" s="8">
        <v>42806.734733796293</v>
      </c>
      <c r="B168" s="20" t="s">
        <v>518</v>
      </c>
      <c r="C168" s="20" t="s">
        <v>767</v>
      </c>
      <c r="D168" s="150">
        <v>2540000</v>
      </c>
      <c r="E168" s="20" t="s">
        <v>214</v>
      </c>
      <c r="F168" s="20" t="s">
        <v>215</v>
      </c>
      <c r="G168" s="8" t="str">
        <f t="shared" si="2"/>
        <v>MCREYNOLDS KYLE</v>
      </c>
    </row>
    <row r="169" spans="1:7" x14ac:dyDescent="0.25">
      <c r="A169" s="8">
        <v>42806.736145833333</v>
      </c>
      <c r="B169" s="20" t="s">
        <v>601</v>
      </c>
      <c r="C169" s="20" t="s">
        <v>768</v>
      </c>
      <c r="D169" s="150">
        <v>1810000</v>
      </c>
      <c r="E169" s="20" t="s">
        <v>201</v>
      </c>
      <c r="F169" s="20" t="s">
        <v>197</v>
      </c>
      <c r="G169" s="8" t="str">
        <f t="shared" si="2"/>
        <v>NEWELL JAMES</v>
      </c>
    </row>
    <row r="170" spans="1:7" x14ac:dyDescent="0.25">
      <c r="A170" s="8">
        <v>42806.742060185185</v>
      </c>
      <c r="B170" s="20" t="s">
        <v>593</v>
      </c>
      <c r="C170" s="20" t="s">
        <v>769</v>
      </c>
      <c r="D170" s="150">
        <v>1770000</v>
      </c>
      <c r="E170" s="20" t="s">
        <v>478</v>
      </c>
      <c r="F170" s="20" t="s">
        <v>479</v>
      </c>
      <c r="G170" s="8" t="str">
        <f t="shared" si="2"/>
        <v>BRUDER RICHARD</v>
      </c>
    </row>
    <row r="171" spans="1:7" x14ac:dyDescent="0.25">
      <c r="A171" s="8">
        <v>42806.745370370372</v>
      </c>
      <c r="B171" s="20" t="s">
        <v>511</v>
      </c>
      <c r="C171" s="20" t="s">
        <v>770</v>
      </c>
      <c r="D171" s="150">
        <v>2560000</v>
      </c>
      <c r="E171" s="20" t="s">
        <v>721</v>
      </c>
      <c r="F171" s="20" t="s">
        <v>722</v>
      </c>
      <c r="G171" s="8" t="str">
        <f t="shared" si="2"/>
        <v>MACDONALD THOMAS</v>
      </c>
    </row>
    <row r="172" spans="1:7" x14ac:dyDescent="0.25">
      <c r="A172" s="8">
        <v>42806.750243055554</v>
      </c>
      <c r="B172" s="20" t="s">
        <v>251</v>
      </c>
      <c r="C172" s="20" t="s">
        <v>613</v>
      </c>
      <c r="D172" s="150">
        <v>2610000</v>
      </c>
      <c r="E172" s="20" t="s">
        <v>620</v>
      </c>
      <c r="F172" s="20" t="s">
        <v>621</v>
      </c>
      <c r="G172" s="8" t="str">
        <f t="shared" si="2"/>
        <v>MAGEE KENYA</v>
      </c>
    </row>
    <row r="173" spans="1:7" x14ac:dyDescent="0.25">
      <c r="A173" s="8">
        <v>42806.759189814817</v>
      </c>
      <c r="B173" s="20" t="s">
        <v>472</v>
      </c>
      <c r="C173" s="20" t="s">
        <v>771</v>
      </c>
      <c r="D173" s="150">
        <v>2230000</v>
      </c>
      <c r="E173" s="20" t="s">
        <v>519</v>
      </c>
      <c r="F173" s="20" t="s">
        <v>200</v>
      </c>
      <c r="G173" s="8" t="str">
        <f t="shared" si="2"/>
        <v>SMITH MICHAEL</v>
      </c>
    </row>
    <row r="174" spans="1:7" x14ac:dyDescent="0.25">
      <c r="A174" s="8">
        <v>42806.762638888889</v>
      </c>
      <c r="B174" s="20" t="s">
        <v>433</v>
      </c>
      <c r="C174" s="20" t="s">
        <v>772</v>
      </c>
      <c r="D174" s="150">
        <v>1540000</v>
      </c>
      <c r="E174" s="20" t="s">
        <v>476</v>
      </c>
      <c r="F174" s="20" t="s">
        <v>477</v>
      </c>
      <c r="G174" s="8" t="str">
        <f t="shared" si="2"/>
        <v>HELVIE ADAM</v>
      </c>
    </row>
    <row r="175" spans="1:7" x14ac:dyDescent="0.25">
      <c r="A175" s="8">
        <v>42806.765844907408</v>
      </c>
      <c r="B175" s="20" t="s">
        <v>413</v>
      </c>
      <c r="C175" s="20" t="s">
        <v>773</v>
      </c>
      <c r="D175" s="150">
        <v>1120000</v>
      </c>
      <c r="E175" s="20" t="s">
        <v>264</v>
      </c>
      <c r="F175" s="20" t="s">
        <v>265</v>
      </c>
      <c r="G175" s="8" t="str">
        <f t="shared" si="2"/>
        <v>LOCKLEAR TRAVIS</v>
      </c>
    </row>
    <row r="176" spans="1:7" x14ac:dyDescent="0.25">
      <c r="A176" s="8">
        <v>42806.767048611109</v>
      </c>
      <c r="B176" s="20" t="s">
        <v>633</v>
      </c>
      <c r="C176" s="20" t="s">
        <v>774</v>
      </c>
      <c r="D176" s="150">
        <v>2000000</v>
      </c>
      <c r="E176" s="20" t="s">
        <v>775</v>
      </c>
      <c r="F176" s="20" t="s">
        <v>197</v>
      </c>
      <c r="G176" s="8" t="str">
        <f t="shared" si="2"/>
        <v>STAMBAUGH JAMES</v>
      </c>
    </row>
    <row r="177" spans="1:7" x14ac:dyDescent="0.25">
      <c r="A177" s="8">
        <v>42806.770104166666</v>
      </c>
      <c r="B177" s="20" t="s">
        <v>584</v>
      </c>
      <c r="C177" s="20" t="s">
        <v>776</v>
      </c>
      <c r="D177" s="150">
        <v>1810000</v>
      </c>
      <c r="E177" s="20" t="s">
        <v>201</v>
      </c>
      <c r="F177" s="20" t="s">
        <v>197</v>
      </c>
      <c r="G177" s="8" t="str">
        <f t="shared" si="2"/>
        <v>NEWELL JAMES</v>
      </c>
    </row>
    <row r="178" spans="1:7" x14ac:dyDescent="0.25">
      <c r="A178" s="8">
        <v>42806.775462962964</v>
      </c>
      <c r="B178" s="20" t="s">
        <v>580</v>
      </c>
      <c r="C178" s="20" t="s">
        <v>777</v>
      </c>
      <c r="D178" s="150">
        <v>1540000</v>
      </c>
      <c r="E178" s="20" t="s">
        <v>476</v>
      </c>
      <c r="F178" s="20" t="s">
        <v>477</v>
      </c>
      <c r="G178" s="8" t="str">
        <f t="shared" si="2"/>
        <v>HELVIE ADAM</v>
      </c>
    </row>
    <row r="179" spans="1:7" x14ac:dyDescent="0.25">
      <c r="A179" s="8">
        <v>42806.777395833335</v>
      </c>
      <c r="B179" s="20" t="s">
        <v>590</v>
      </c>
      <c r="C179" s="20" t="s">
        <v>778</v>
      </c>
      <c r="D179" s="150">
        <v>1770000</v>
      </c>
      <c r="E179" s="20" t="s">
        <v>478</v>
      </c>
      <c r="F179" s="20" t="s">
        <v>479</v>
      </c>
      <c r="G179" s="8" t="str">
        <f t="shared" si="2"/>
        <v>BRUDER RICHARD</v>
      </c>
    </row>
    <row r="180" spans="1:7" x14ac:dyDescent="0.25">
      <c r="A180" s="8">
        <v>42806.786724537036</v>
      </c>
      <c r="B180" s="20" t="s">
        <v>514</v>
      </c>
      <c r="C180" s="20" t="s">
        <v>779</v>
      </c>
      <c r="D180" s="150">
        <v>2560000</v>
      </c>
      <c r="E180" s="20" t="s">
        <v>721</v>
      </c>
      <c r="F180" s="20" t="s">
        <v>722</v>
      </c>
      <c r="G180" s="8" t="str">
        <f t="shared" si="2"/>
        <v>MACDONALD THOMAS</v>
      </c>
    </row>
    <row r="181" spans="1:7" x14ac:dyDescent="0.25">
      <c r="A181" s="8">
        <v>42806.791018518517</v>
      </c>
      <c r="B181" s="20" t="s">
        <v>471</v>
      </c>
      <c r="C181" s="20" t="s">
        <v>780</v>
      </c>
      <c r="D181" s="150">
        <v>2230000</v>
      </c>
      <c r="E181" s="20" t="s">
        <v>519</v>
      </c>
      <c r="F181" s="20" t="s">
        <v>200</v>
      </c>
      <c r="G181" s="8" t="str">
        <f t="shared" si="2"/>
        <v>SMITH MICHAEL</v>
      </c>
    </row>
    <row r="182" spans="1:7" x14ac:dyDescent="0.25">
      <c r="A182" s="8">
        <v>42806.791631944441</v>
      </c>
      <c r="B182" s="20" t="s">
        <v>646</v>
      </c>
      <c r="C182" s="20" t="s">
        <v>781</v>
      </c>
      <c r="D182" s="150">
        <v>1800000</v>
      </c>
      <c r="E182" s="20" t="s">
        <v>224</v>
      </c>
      <c r="F182" s="20" t="s">
        <v>225</v>
      </c>
      <c r="G182" s="8" t="str">
        <f t="shared" si="2"/>
        <v>CHANDLER KELVIN</v>
      </c>
    </row>
    <row r="183" spans="1:7" x14ac:dyDescent="0.25">
      <c r="A183" s="8">
        <v>42806.798750000002</v>
      </c>
      <c r="B183" s="20" t="s">
        <v>274</v>
      </c>
      <c r="C183" s="20" t="s">
        <v>782</v>
      </c>
      <c r="D183" s="150">
        <v>1120000</v>
      </c>
      <c r="E183" s="20" t="s">
        <v>264</v>
      </c>
      <c r="F183" s="20" t="s">
        <v>265</v>
      </c>
      <c r="G183" s="8" t="str">
        <f t="shared" si="2"/>
        <v>LOCKLEAR TRAVIS</v>
      </c>
    </row>
    <row r="184" spans="1:7" x14ac:dyDescent="0.25">
      <c r="A184" s="8">
        <v>42806.802442129629</v>
      </c>
      <c r="B184" s="20" t="s">
        <v>597</v>
      </c>
      <c r="C184" s="20" t="s">
        <v>783</v>
      </c>
      <c r="D184" s="150">
        <v>2000000</v>
      </c>
      <c r="E184" s="20" t="s">
        <v>775</v>
      </c>
      <c r="F184" s="20" t="s">
        <v>197</v>
      </c>
      <c r="G184" s="8" t="str">
        <f t="shared" si="2"/>
        <v>STAMBAUGH JAMES</v>
      </c>
    </row>
    <row r="185" spans="1:7" x14ac:dyDescent="0.25">
      <c r="A185" s="8">
        <v>42806.804386574076</v>
      </c>
      <c r="B185" s="20" t="s">
        <v>433</v>
      </c>
      <c r="C185" s="20" t="s">
        <v>784</v>
      </c>
      <c r="D185" s="150">
        <v>2610000</v>
      </c>
      <c r="E185" s="20" t="s">
        <v>620</v>
      </c>
      <c r="F185" s="20" t="s">
        <v>621</v>
      </c>
      <c r="G185" s="8" t="str">
        <f t="shared" si="2"/>
        <v>MAGEE KENYA</v>
      </c>
    </row>
    <row r="186" spans="1:7" x14ac:dyDescent="0.25">
      <c r="A186" s="8">
        <v>42806.80810185185</v>
      </c>
      <c r="B186" s="20" t="s">
        <v>601</v>
      </c>
      <c r="C186" s="20" t="s">
        <v>785</v>
      </c>
      <c r="D186" s="150">
        <v>1810000</v>
      </c>
      <c r="E186" s="20" t="s">
        <v>201</v>
      </c>
      <c r="F186" s="20" t="s">
        <v>197</v>
      </c>
      <c r="G186" s="8" t="str">
        <f t="shared" si="2"/>
        <v>NEWELL JAMES</v>
      </c>
    </row>
    <row r="187" spans="1:7" x14ac:dyDescent="0.25">
      <c r="A187" s="8">
        <v>42806.818599537037</v>
      </c>
      <c r="B187" s="20" t="s">
        <v>580</v>
      </c>
      <c r="C187" s="20" t="s">
        <v>614</v>
      </c>
      <c r="D187" s="150">
        <v>2610000</v>
      </c>
      <c r="E187" s="20" t="s">
        <v>620</v>
      </c>
      <c r="F187" s="20" t="s">
        <v>621</v>
      </c>
      <c r="G187" s="8" t="str">
        <f t="shared" si="2"/>
        <v>MAGEE KENYA</v>
      </c>
    </row>
    <row r="188" spans="1:7" x14ac:dyDescent="0.25">
      <c r="A188" s="8">
        <v>42806.819178240738</v>
      </c>
      <c r="B188" s="20" t="s">
        <v>511</v>
      </c>
      <c r="C188" s="20" t="s">
        <v>786</v>
      </c>
      <c r="D188" s="150">
        <v>2560000</v>
      </c>
      <c r="E188" s="20" t="s">
        <v>721</v>
      </c>
      <c r="F188" s="20" t="s">
        <v>722</v>
      </c>
      <c r="G188" s="8" t="str">
        <f t="shared" si="2"/>
        <v>MACDONALD THOMAS</v>
      </c>
    </row>
    <row r="189" spans="1:7" x14ac:dyDescent="0.25">
      <c r="A189" s="8">
        <v>42806.827349537038</v>
      </c>
      <c r="B189" s="20" t="s">
        <v>587</v>
      </c>
      <c r="C189" s="20" t="s">
        <v>787</v>
      </c>
      <c r="D189" s="150">
        <v>1800000</v>
      </c>
      <c r="E189" s="20" t="s">
        <v>224</v>
      </c>
      <c r="F189" s="20" t="s">
        <v>225</v>
      </c>
      <c r="G189" s="8" t="str">
        <f t="shared" si="2"/>
        <v>CHANDLER KELVIN</v>
      </c>
    </row>
    <row r="190" spans="1:7" x14ac:dyDescent="0.25">
      <c r="A190" s="8">
        <v>42806.829710648148</v>
      </c>
      <c r="B190" s="20" t="s">
        <v>472</v>
      </c>
      <c r="C190" s="20" t="s">
        <v>788</v>
      </c>
      <c r="D190" s="150">
        <v>2230000</v>
      </c>
      <c r="E190" s="20" t="s">
        <v>519</v>
      </c>
      <c r="F190" s="20" t="s">
        <v>200</v>
      </c>
      <c r="G190" s="8" t="str">
        <f t="shared" si="2"/>
        <v>SMITH MICHAEL</v>
      </c>
    </row>
    <row r="191" spans="1:7" x14ac:dyDescent="0.25">
      <c r="A191" s="8">
        <v>42806.839930555558</v>
      </c>
      <c r="B191" s="20" t="s">
        <v>470</v>
      </c>
      <c r="C191" s="20" t="s">
        <v>789</v>
      </c>
      <c r="D191" s="150">
        <v>2730000</v>
      </c>
      <c r="E191" s="20" t="s">
        <v>240</v>
      </c>
      <c r="F191" s="20" t="s">
        <v>241</v>
      </c>
      <c r="G191" s="8" t="str">
        <f t="shared" si="2"/>
        <v>YANG JAN</v>
      </c>
    </row>
    <row r="192" spans="1:7" x14ac:dyDescent="0.25">
      <c r="A192" s="8">
        <v>42806.840243055558</v>
      </c>
      <c r="B192" s="20" t="s">
        <v>584</v>
      </c>
      <c r="C192" s="20" t="s">
        <v>790</v>
      </c>
      <c r="D192" s="150">
        <v>1810000</v>
      </c>
      <c r="E192" s="20" t="s">
        <v>201</v>
      </c>
      <c r="F192" s="20" t="s">
        <v>197</v>
      </c>
      <c r="G192" s="8" t="str">
        <f t="shared" si="2"/>
        <v>NEWELL JAMES</v>
      </c>
    </row>
    <row r="193" spans="1:7" x14ac:dyDescent="0.25">
      <c r="A193" s="8">
        <v>42806.841099537036</v>
      </c>
      <c r="B193" s="20" t="s">
        <v>470</v>
      </c>
      <c r="C193" s="20" t="s">
        <v>789</v>
      </c>
      <c r="D193" s="150">
        <v>2730000</v>
      </c>
      <c r="E193" s="20" t="s">
        <v>240</v>
      </c>
      <c r="F193" s="20" t="s">
        <v>241</v>
      </c>
      <c r="G193" s="8" t="str">
        <f t="shared" si="2"/>
        <v>YANG JAN</v>
      </c>
    </row>
    <row r="194" spans="1:7" x14ac:dyDescent="0.25">
      <c r="A194" s="8">
        <v>42806.845763888887</v>
      </c>
      <c r="B194" s="20" t="s">
        <v>633</v>
      </c>
      <c r="C194" s="20" t="s">
        <v>791</v>
      </c>
      <c r="D194" s="150">
        <v>2630000</v>
      </c>
      <c r="E194" s="20" t="s">
        <v>792</v>
      </c>
      <c r="F194" s="20" t="s">
        <v>793</v>
      </c>
      <c r="G194" s="8" t="str">
        <f t="shared" si="2"/>
        <v>SAFIEF AEIMEN</v>
      </c>
    </row>
    <row r="195" spans="1:7" x14ac:dyDescent="0.25">
      <c r="A195" s="8">
        <v>42806.846250000002</v>
      </c>
      <c r="B195" s="20" t="s">
        <v>433</v>
      </c>
      <c r="C195" s="20" t="s">
        <v>794</v>
      </c>
      <c r="D195" s="150">
        <v>1540000</v>
      </c>
      <c r="E195" s="20" t="s">
        <v>476</v>
      </c>
      <c r="F195" s="20" t="s">
        <v>477</v>
      </c>
      <c r="G195" s="8" t="str">
        <f t="shared" ref="G195:G258" si="3">E195&amp;" "&amp;F195</f>
        <v>HELVIE ADAM</v>
      </c>
    </row>
    <row r="196" spans="1:7" x14ac:dyDescent="0.25">
      <c r="A196" s="8">
        <v>42806.850891203707</v>
      </c>
      <c r="B196" s="20" t="s">
        <v>474</v>
      </c>
      <c r="C196" s="20" t="s">
        <v>795</v>
      </c>
      <c r="D196" s="150">
        <v>2730000</v>
      </c>
      <c r="E196" s="20" t="s">
        <v>240</v>
      </c>
      <c r="F196" s="20" t="s">
        <v>241</v>
      </c>
      <c r="G196" s="8" t="str">
        <f t="shared" si="3"/>
        <v>YANG JAN</v>
      </c>
    </row>
    <row r="197" spans="1:7" x14ac:dyDescent="0.25">
      <c r="A197" s="8">
        <v>42806.860115740739</v>
      </c>
      <c r="B197" s="20" t="s">
        <v>580</v>
      </c>
      <c r="C197" s="20" t="s">
        <v>796</v>
      </c>
      <c r="D197" s="150">
        <v>1540000</v>
      </c>
      <c r="E197" s="20" t="s">
        <v>476</v>
      </c>
      <c r="F197" s="20" t="s">
        <v>477</v>
      </c>
      <c r="G197" s="8" t="str">
        <f t="shared" si="3"/>
        <v>HELVIE ADAM</v>
      </c>
    </row>
    <row r="198" spans="1:7" x14ac:dyDescent="0.25">
      <c r="A198" s="8">
        <v>42806.863553240742</v>
      </c>
      <c r="B198" s="20" t="s">
        <v>471</v>
      </c>
      <c r="C198" s="20" t="s">
        <v>797</v>
      </c>
      <c r="D198" s="150">
        <v>2230000</v>
      </c>
      <c r="E198" s="20" t="s">
        <v>519</v>
      </c>
      <c r="F198" s="20" t="s">
        <v>200</v>
      </c>
      <c r="G198" s="8" t="str">
        <f t="shared" si="3"/>
        <v>SMITH MICHAEL</v>
      </c>
    </row>
    <row r="199" spans="1:7" x14ac:dyDescent="0.25">
      <c r="A199" s="8">
        <v>42806.874641203707</v>
      </c>
      <c r="B199" s="20" t="s">
        <v>646</v>
      </c>
      <c r="C199" s="20" t="s">
        <v>798</v>
      </c>
      <c r="D199" s="150">
        <v>1800000</v>
      </c>
      <c r="E199" s="20" t="s">
        <v>224</v>
      </c>
      <c r="F199" s="20" t="s">
        <v>225</v>
      </c>
      <c r="G199" s="8" t="str">
        <f t="shared" si="3"/>
        <v>CHANDLER KELVIN</v>
      </c>
    </row>
    <row r="200" spans="1:7" x14ac:dyDescent="0.25">
      <c r="A200" s="8">
        <v>42806.879733796297</v>
      </c>
      <c r="B200" s="20" t="s">
        <v>601</v>
      </c>
      <c r="C200" s="20" t="s">
        <v>799</v>
      </c>
      <c r="D200" s="150">
        <v>1810000</v>
      </c>
      <c r="E200" s="20" t="s">
        <v>201</v>
      </c>
      <c r="F200" s="20" t="s">
        <v>197</v>
      </c>
      <c r="G200" s="8" t="str">
        <f t="shared" si="3"/>
        <v>NEWELL JAMES</v>
      </c>
    </row>
    <row r="201" spans="1:7" x14ac:dyDescent="0.25">
      <c r="A201" s="8">
        <v>42806.884155092594</v>
      </c>
      <c r="B201" s="20" t="s">
        <v>597</v>
      </c>
      <c r="C201" s="20" t="s">
        <v>800</v>
      </c>
      <c r="D201" s="150">
        <v>2630000</v>
      </c>
      <c r="E201" s="20" t="s">
        <v>792</v>
      </c>
      <c r="F201" s="20" t="s">
        <v>793</v>
      </c>
      <c r="G201" s="8" t="str">
        <f t="shared" si="3"/>
        <v>SAFIEF AEIMEN</v>
      </c>
    </row>
    <row r="202" spans="1:7" x14ac:dyDescent="0.25">
      <c r="A202" s="26">
        <v>42806.885717592595</v>
      </c>
      <c r="B202" s="20" t="s">
        <v>646</v>
      </c>
      <c r="C202" s="20" t="s">
        <v>798</v>
      </c>
      <c r="D202" s="150">
        <v>1800000</v>
      </c>
      <c r="E202" s="20" t="s">
        <v>224</v>
      </c>
      <c r="F202" s="20" t="s">
        <v>225</v>
      </c>
      <c r="G202" s="8" t="str">
        <f t="shared" si="3"/>
        <v>CHANDLER KELVIN</v>
      </c>
    </row>
    <row r="203" spans="1:7" x14ac:dyDescent="0.25">
      <c r="A203" s="8">
        <v>42806.886331018519</v>
      </c>
      <c r="B203" s="20" t="s">
        <v>433</v>
      </c>
      <c r="C203" s="20" t="s">
        <v>801</v>
      </c>
      <c r="D203" s="150">
        <v>1540000</v>
      </c>
      <c r="E203" s="20" t="s">
        <v>476</v>
      </c>
      <c r="F203" s="20" t="s">
        <v>477</v>
      </c>
      <c r="G203" s="8" t="str">
        <f t="shared" si="3"/>
        <v>HELVIE ADAM</v>
      </c>
    </row>
    <row r="204" spans="1:7" x14ac:dyDescent="0.25">
      <c r="A204" s="8">
        <v>42806.887673611112</v>
      </c>
      <c r="B204" s="20" t="s">
        <v>646</v>
      </c>
      <c r="C204" s="20" t="s">
        <v>798</v>
      </c>
      <c r="D204" s="150">
        <v>1800000</v>
      </c>
      <c r="E204" s="20" t="s">
        <v>224</v>
      </c>
      <c r="F204" s="20" t="s">
        <v>225</v>
      </c>
      <c r="G204" s="8" t="str">
        <f t="shared" si="3"/>
        <v>CHANDLER KELVIN</v>
      </c>
    </row>
    <row r="205" spans="1:7" x14ac:dyDescent="0.25">
      <c r="A205" s="8">
        <v>42806.893958333334</v>
      </c>
      <c r="B205" s="20" t="s">
        <v>470</v>
      </c>
      <c r="C205" s="20" t="s">
        <v>789</v>
      </c>
      <c r="D205" s="150">
        <v>2730000</v>
      </c>
      <c r="E205" s="20" t="s">
        <v>240</v>
      </c>
      <c r="F205" s="20" t="s">
        <v>241</v>
      </c>
      <c r="G205" s="8" t="str">
        <f t="shared" si="3"/>
        <v>YANG JAN</v>
      </c>
    </row>
    <row r="206" spans="1:7" x14ac:dyDescent="0.25">
      <c r="A206" s="8">
        <v>42806.903796296298</v>
      </c>
      <c r="B206" s="20" t="s">
        <v>580</v>
      </c>
      <c r="C206" s="20" t="s">
        <v>802</v>
      </c>
      <c r="D206" s="150">
        <v>1540000</v>
      </c>
      <c r="E206" s="20" t="s">
        <v>476</v>
      </c>
      <c r="F206" s="20" t="s">
        <v>477</v>
      </c>
      <c r="G206" s="8" t="str">
        <f t="shared" si="3"/>
        <v>HELVIE ADAM</v>
      </c>
    </row>
    <row r="207" spans="1:7" x14ac:dyDescent="0.25">
      <c r="A207" s="8">
        <v>42806.905474537038</v>
      </c>
      <c r="B207" s="20" t="s">
        <v>472</v>
      </c>
      <c r="C207" s="20" t="s">
        <v>803</v>
      </c>
      <c r="D207" s="150">
        <v>2230000</v>
      </c>
      <c r="E207" s="20" t="s">
        <v>519</v>
      </c>
      <c r="F207" s="20" t="s">
        <v>200</v>
      </c>
      <c r="G207" s="8" t="str">
        <f t="shared" si="3"/>
        <v>SMITH MICHAEL</v>
      </c>
    </row>
    <row r="208" spans="1:7" x14ac:dyDescent="0.25">
      <c r="A208" s="8">
        <v>42806.913136574076</v>
      </c>
      <c r="B208" s="20" t="s">
        <v>587</v>
      </c>
      <c r="C208" s="20" t="s">
        <v>804</v>
      </c>
      <c r="D208" s="150">
        <v>1800000</v>
      </c>
      <c r="E208" s="20" t="s">
        <v>224</v>
      </c>
      <c r="F208" s="20" t="s">
        <v>225</v>
      </c>
      <c r="G208" s="8" t="str">
        <f t="shared" si="3"/>
        <v>CHANDLER KELVIN</v>
      </c>
    </row>
    <row r="209" spans="1:7" x14ac:dyDescent="0.25">
      <c r="A209" s="8">
        <v>42806.92454861111</v>
      </c>
      <c r="B209" s="20" t="s">
        <v>633</v>
      </c>
      <c r="C209" s="20" t="s">
        <v>805</v>
      </c>
      <c r="D209" s="150">
        <v>2000000</v>
      </c>
      <c r="E209" s="20" t="s">
        <v>775</v>
      </c>
      <c r="F209" s="20" t="s">
        <v>197</v>
      </c>
      <c r="G209" s="8" t="str">
        <f t="shared" si="3"/>
        <v>STAMBAUGH JAMES</v>
      </c>
    </row>
    <row r="210" spans="1:7" x14ac:dyDescent="0.25">
      <c r="A210" s="8">
        <v>42806.928530092591</v>
      </c>
      <c r="B210" s="20" t="s">
        <v>433</v>
      </c>
      <c r="C210" s="20" t="s">
        <v>806</v>
      </c>
      <c r="D210" s="150">
        <v>1540000</v>
      </c>
      <c r="E210" s="20" t="s">
        <v>476</v>
      </c>
      <c r="F210" s="20" t="s">
        <v>477</v>
      </c>
      <c r="G210" s="8" t="str">
        <f t="shared" si="3"/>
        <v>HELVIE ADAM</v>
      </c>
    </row>
    <row r="211" spans="1:7" x14ac:dyDescent="0.25">
      <c r="A211" s="8">
        <v>42806.931446759256</v>
      </c>
      <c r="B211" s="20" t="s">
        <v>474</v>
      </c>
      <c r="C211" s="20" t="s">
        <v>795</v>
      </c>
      <c r="D211" s="150">
        <v>2730000</v>
      </c>
      <c r="E211" s="20" t="s">
        <v>240</v>
      </c>
      <c r="F211" s="20" t="s">
        <v>241</v>
      </c>
      <c r="G211" s="8" t="str">
        <f t="shared" si="3"/>
        <v>YANG JAN</v>
      </c>
    </row>
    <row r="212" spans="1:7" x14ac:dyDescent="0.25">
      <c r="A212" s="8">
        <v>42806.932337962964</v>
      </c>
      <c r="B212" s="20" t="s">
        <v>584</v>
      </c>
      <c r="C212" s="20" t="s">
        <v>807</v>
      </c>
      <c r="D212" s="150">
        <v>1810000</v>
      </c>
      <c r="E212" s="20" t="s">
        <v>201</v>
      </c>
      <c r="F212" s="20" t="s">
        <v>197</v>
      </c>
      <c r="G212" s="8" t="str">
        <f t="shared" si="3"/>
        <v>NEWELL JAMES</v>
      </c>
    </row>
    <row r="213" spans="1:7" x14ac:dyDescent="0.25">
      <c r="A213" s="8">
        <v>42806.942152777781</v>
      </c>
      <c r="B213" s="20" t="s">
        <v>580</v>
      </c>
      <c r="C213" s="20" t="s">
        <v>808</v>
      </c>
      <c r="D213" s="150">
        <v>1540000</v>
      </c>
      <c r="E213" s="20" t="s">
        <v>476</v>
      </c>
      <c r="F213" s="20" t="s">
        <v>477</v>
      </c>
      <c r="G213" s="8" t="str">
        <f t="shared" si="3"/>
        <v>HELVIE ADAM</v>
      </c>
    </row>
    <row r="214" spans="1:7" x14ac:dyDescent="0.25">
      <c r="A214" s="8">
        <v>42806.948969907404</v>
      </c>
      <c r="B214" s="20" t="s">
        <v>471</v>
      </c>
      <c r="C214" s="20" t="s">
        <v>809</v>
      </c>
      <c r="D214" s="150">
        <v>2230000</v>
      </c>
      <c r="E214" s="20" t="s">
        <v>519</v>
      </c>
      <c r="F214" s="20" t="s">
        <v>200</v>
      </c>
      <c r="G214" s="8" t="str">
        <f t="shared" si="3"/>
        <v>SMITH MICHAEL</v>
      </c>
    </row>
    <row r="215" spans="1:7" x14ac:dyDescent="0.25">
      <c r="A215" s="8">
        <v>42806.95685185185</v>
      </c>
      <c r="B215" s="20" t="s">
        <v>646</v>
      </c>
      <c r="C215" s="20" t="s">
        <v>810</v>
      </c>
      <c r="D215" s="150">
        <v>1800000</v>
      </c>
      <c r="E215" s="20" t="s">
        <v>224</v>
      </c>
      <c r="F215" s="20" t="s">
        <v>225</v>
      </c>
      <c r="G215" s="8" t="str">
        <f t="shared" si="3"/>
        <v>CHANDLER KELVIN</v>
      </c>
    </row>
    <row r="216" spans="1:7" x14ac:dyDescent="0.25">
      <c r="A216" s="8">
        <v>42806.961875000001</v>
      </c>
      <c r="B216" s="20" t="s">
        <v>470</v>
      </c>
      <c r="C216" s="20" t="s">
        <v>789</v>
      </c>
      <c r="D216" s="150">
        <v>2730000</v>
      </c>
      <c r="E216" s="20" t="s">
        <v>240</v>
      </c>
      <c r="F216" s="20" t="s">
        <v>241</v>
      </c>
      <c r="G216" s="8" t="str">
        <f t="shared" si="3"/>
        <v>YANG JAN</v>
      </c>
    </row>
    <row r="217" spans="1:7" x14ac:dyDescent="0.25">
      <c r="A217" s="8">
        <v>42806.975243055553</v>
      </c>
      <c r="B217" s="20" t="s">
        <v>597</v>
      </c>
      <c r="C217" s="20" t="s">
        <v>811</v>
      </c>
      <c r="D217" s="150">
        <v>2000000</v>
      </c>
      <c r="E217" s="20" t="s">
        <v>775</v>
      </c>
      <c r="F217" s="20" t="s">
        <v>197</v>
      </c>
      <c r="G217" s="8" t="str">
        <f t="shared" si="3"/>
        <v>STAMBAUGH JAMES</v>
      </c>
    </row>
    <row r="218" spans="1:7" x14ac:dyDescent="0.25">
      <c r="A218" s="8">
        <v>42806.977476851855</v>
      </c>
      <c r="B218" s="20" t="s">
        <v>601</v>
      </c>
      <c r="C218" s="20" t="s">
        <v>812</v>
      </c>
      <c r="D218" s="150">
        <v>1810000</v>
      </c>
      <c r="E218" s="20" t="s">
        <v>201</v>
      </c>
      <c r="F218" s="20" t="s">
        <v>197</v>
      </c>
      <c r="G218" s="8" t="str">
        <f t="shared" si="3"/>
        <v>NEWELL JAMES</v>
      </c>
    </row>
    <row r="219" spans="1:7" x14ac:dyDescent="0.25">
      <c r="A219" s="8">
        <v>42806.986539351848</v>
      </c>
      <c r="B219" s="20" t="s">
        <v>472</v>
      </c>
      <c r="C219" s="20" t="s">
        <v>813</v>
      </c>
      <c r="D219" s="150">
        <v>2230000</v>
      </c>
      <c r="E219" s="20" t="s">
        <v>519</v>
      </c>
      <c r="F219" s="20" t="s">
        <v>200</v>
      </c>
      <c r="G219" s="8" t="str">
        <f t="shared" si="3"/>
        <v>SMITH MICHAEL</v>
      </c>
    </row>
    <row r="220" spans="1:7" x14ac:dyDescent="0.25">
      <c r="A220" s="8">
        <v>42806.994814814818</v>
      </c>
      <c r="B220" s="20" t="s">
        <v>587</v>
      </c>
      <c r="C220" s="20" t="s">
        <v>814</v>
      </c>
      <c r="D220" s="150">
        <v>1800000</v>
      </c>
      <c r="E220" s="20" t="s">
        <v>224</v>
      </c>
      <c r="F220" s="20" t="s">
        <v>225</v>
      </c>
      <c r="G220" s="8" t="str">
        <f t="shared" si="3"/>
        <v>CHANDLER KELVIN</v>
      </c>
    </row>
    <row r="221" spans="1:7" x14ac:dyDescent="0.25">
      <c r="A221" s="8">
        <v>42807.006921296299</v>
      </c>
      <c r="B221" s="20" t="s">
        <v>633</v>
      </c>
      <c r="C221" s="20" t="s">
        <v>815</v>
      </c>
      <c r="D221" s="150">
        <v>2000000</v>
      </c>
      <c r="E221" s="20" t="s">
        <v>775</v>
      </c>
      <c r="F221" s="20" t="s">
        <v>197</v>
      </c>
      <c r="G221" s="8" t="str">
        <f t="shared" si="3"/>
        <v>STAMBAUGH JAMES</v>
      </c>
    </row>
    <row r="222" spans="1:7" x14ac:dyDescent="0.25">
      <c r="A222" s="8">
        <v>42807.010150462964</v>
      </c>
      <c r="B222" s="20" t="s">
        <v>474</v>
      </c>
      <c r="C222" s="20" t="s">
        <v>795</v>
      </c>
      <c r="D222" s="150">
        <v>2730000</v>
      </c>
      <c r="E222" s="20" t="s">
        <v>240</v>
      </c>
      <c r="F222" s="20" t="s">
        <v>241</v>
      </c>
      <c r="G222" s="8" t="str">
        <f t="shared" si="3"/>
        <v>YANG JAN</v>
      </c>
    </row>
    <row r="223" spans="1:7" x14ac:dyDescent="0.25">
      <c r="A223" s="8">
        <v>42807.016099537039</v>
      </c>
      <c r="B223" s="20" t="s">
        <v>584</v>
      </c>
      <c r="C223" s="20" t="s">
        <v>816</v>
      </c>
      <c r="D223" s="150">
        <v>1810000</v>
      </c>
      <c r="E223" s="20" t="s">
        <v>201</v>
      </c>
      <c r="F223" s="20" t="s">
        <v>197</v>
      </c>
      <c r="G223" s="8" t="str">
        <f t="shared" si="3"/>
        <v>NEWELL JAMES</v>
      </c>
    </row>
    <row r="224" spans="1:7" x14ac:dyDescent="0.25">
      <c r="A224" s="8">
        <v>42807.028854166667</v>
      </c>
      <c r="B224" t="s">
        <v>471</v>
      </c>
      <c r="C224" t="s">
        <v>817</v>
      </c>
      <c r="D224" s="150">
        <v>2230000</v>
      </c>
      <c r="E224" t="s">
        <v>519</v>
      </c>
      <c r="F224" s="20" t="s">
        <v>200</v>
      </c>
      <c r="G224" s="8" t="str">
        <f t="shared" si="3"/>
        <v>SMITH MICHAEL</v>
      </c>
    </row>
    <row r="225" spans="1:7" x14ac:dyDescent="0.25">
      <c r="A225" s="8">
        <v>42807.030046296299</v>
      </c>
      <c r="B225" t="s">
        <v>646</v>
      </c>
      <c r="C225" t="s">
        <v>818</v>
      </c>
      <c r="D225" s="150">
        <v>1800000</v>
      </c>
      <c r="E225" t="s">
        <v>224</v>
      </c>
      <c r="F225" s="20" t="s">
        <v>225</v>
      </c>
      <c r="G225" s="8" t="str">
        <f t="shared" si="3"/>
        <v>CHANDLER KELVIN</v>
      </c>
    </row>
    <row r="226" spans="1:7" x14ac:dyDescent="0.25">
      <c r="A226" s="8">
        <v>42807.030486111114</v>
      </c>
      <c r="B226" t="s">
        <v>584</v>
      </c>
      <c r="C226" t="s">
        <v>816</v>
      </c>
      <c r="D226" s="150">
        <v>1810000</v>
      </c>
      <c r="E226" t="s">
        <v>201</v>
      </c>
      <c r="F226" s="20" t="s">
        <v>197</v>
      </c>
      <c r="G226" s="8" t="str">
        <f t="shared" si="3"/>
        <v>NEWELL JAMES</v>
      </c>
    </row>
    <row r="227" spans="1:7" x14ac:dyDescent="0.25">
      <c r="A227" s="8">
        <v>42807.040648148148</v>
      </c>
      <c r="B227" t="s">
        <v>470</v>
      </c>
      <c r="C227" t="s">
        <v>789</v>
      </c>
      <c r="D227" s="150">
        <v>2730000</v>
      </c>
      <c r="E227" t="s">
        <v>240</v>
      </c>
      <c r="F227" s="20" t="s">
        <v>241</v>
      </c>
      <c r="G227" s="8" t="str">
        <f t="shared" si="3"/>
        <v>YANG JAN</v>
      </c>
    </row>
    <row r="228" spans="1:7" x14ac:dyDescent="0.25">
      <c r="A228" s="8">
        <v>42807.052152777775</v>
      </c>
      <c r="B228" t="s">
        <v>601</v>
      </c>
      <c r="C228" t="s">
        <v>819</v>
      </c>
      <c r="D228" s="150">
        <v>1810000</v>
      </c>
      <c r="E228" t="s">
        <v>201</v>
      </c>
      <c r="F228" s="20" t="s">
        <v>197</v>
      </c>
      <c r="G228" s="8" t="str">
        <f t="shared" si="3"/>
        <v>NEWELL JAMES</v>
      </c>
    </row>
    <row r="229" spans="1:7" x14ac:dyDescent="0.25">
      <c r="A229" s="8">
        <v>42807.058819444443</v>
      </c>
      <c r="B229" t="s">
        <v>597</v>
      </c>
      <c r="C229" t="s">
        <v>615</v>
      </c>
      <c r="D229" s="150">
        <v>2000000</v>
      </c>
      <c r="E229" t="s">
        <v>775</v>
      </c>
      <c r="F229" s="20" t="s">
        <v>197</v>
      </c>
      <c r="G229" s="8" t="str">
        <f t="shared" si="3"/>
        <v>STAMBAUGH JAMES</v>
      </c>
    </row>
    <row r="230" spans="1:7" x14ac:dyDescent="0.25">
      <c r="A230" s="8">
        <v>42807.071273148147</v>
      </c>
      <c r="B230" t="s">
        <v>472</v>
      </c>
      <c r="C230" t="s">
        <v>820</v>
      </c>
      <c r="D230" s="150">
        <v>2230000</v>
      </c>
      <c r="E230" t="s">
        <v>519</v>
      </c>
      <c r="F230" s="20" t="s">
        <v>200</v>
      </c>
      <c r="G230" s="8" t="str">
        <f t="shared" si="3"/>
        <v>SMITH MICHAEL</v>
      </c>
    </row>
    <row r="231" spans="1:7" x14ac:dyDescent="0.25">
      <c r="A231" s="8">
        <v>42807.075624999998</v>
      </c>
      <c r="B231" t="s">
        <v>474</v>
      </c>
      <c r="C231" t="s">
        <v>795</v>
      </c>
      <c r="D231" s="150">
        <v>2730000</v>
      </c>
      <c r="E231" t="s">
        <v>240</v>
      </c>
      <c r="F231" s="20" t="s">
        <v>241</v>
      </c>
      <c r="G231" s="8" t="str">
        <f t="shared" si="3"/>
        <v>YANG JAN</v>
      </c>
    </row>
    <row r="232" spans="1:7" x14ac:dyDescent="0.25">
      <c r="A232" s="8">
        <v>42807.087858796294</v>
      </c>
      <c r="B232" t="s">
        <v>470</v>
      </c>
      <c r="C232" t="s">
        <v>789</v>
      </c>
      <c r="D232" s="150">
        <v>2730000</v>
      </c>
      <c r="E232" t="s">
        <v>240</v>
      </c>
      <c r="F232" s="20" t="s">
        <v>241</v>
      </c>
      <c r="G232" s="8" t="str">
        <f t="shared" si="3"/>
        <v>YANG JAN</v>
      </c>
    </row>
    <row r="233" spans="1:7" x14ac:dyDescent="0.25">
      <c r="A233" s="8">
        <v>42807.091481481482</v>
      </c>
      <c r="B233" t="s">
        <v>633</v>
      </c>
      <c r="C233" t="s">
        <v>821</v>
      </c>
      <c r="D233" s="150">
        <v>2000000</v>
      </c>
      <c r="E233" t="s">
        <v>775</v>
      </c>
      <c r="F233" s="20" t="s">
        <v>197</v>
      </c>
      <c r="G233" s="8" t="str">
        <f t="shared" si="3"/>
        <v>STAMBAUGH JAMES</v>
      </c>
    </row>
    <row r="234" spans="1:7" x14ac:dyDescent="0.25">
      <c r="A234" s="8">
        <v>42807.103206018517</v>
      </c>
      <c r="B234" t="s">
        <v>474</v>
      </c>
      <c r="C234" t="s">
        <v>795</v>
      </c>
      <c r="D234" s="150">
        <v>2730000</v>
      </c>
      <c r="E234" t="s">
        <v>240</v>
      </c>
      <c r="F234" s="20" t="s">
        <v>241</v>
      </c>
      <c r="G234" s="8" t="str">
        <f t="shared" si="3"/>
        <v>YANG JAN</v>
      </c>
    </row>
    <row r="235" spans="1:7" x14ac:dyDescent="0.25">
      <c r="A235" s="8">
        <v>42803.966319444444</v>
      </c>
      <c r="B235" t="s">
        <v>514</v>
      </c>
      <c r="C235" t="s">
        <v>526</v>
      </c>
      <c r="D235" s="150">
        <v>2150000</v>
      </c>
      <c r="E235" t="s">
        <v>480</v>
      </c>
      <c r="F235" s="20" t="s">
        <v>481</v>
      </c>
      <c r="G235" s="8" t="str">
        <f t="shared" si="3"/>
        <v>SWANSON BRYCE</v>
      </c>
    </row>
    <row r="236" spans="1:7" x14ac:dyDescent="0.25">
      <c r="A236" s="8">
        <v>42803.97760416667</v>
      </c>
      <c r="B236" t="s">
        <v>274</v>
      </c>
      <c r="C236" t="s">
        <v>527</v>
      </c>
      <c r="D236" s="150">
        <v>1810000</v>
      </c>
      <c r="E236" t="s">
        <v>201</v>
      </c>
      <c r="F236" s="20" t="s">
        <v>197</v>
      </c>
      <c r="G236" s="8" t="str">
        <f t="shared" si="3"/>
        <v>NEWELL JAMES</v>
      </c>
    </row>
    <row r="237" spans="1:7" x14ac:dyDescent="0.25">
      <c r="A237" s="8">
        <v>42803.991446759261</v>
      </c>
      <c r="B237" t="s">
        <v>415</v>
      </c>
      <c r="C237" t="s">
        <v>528</v>
      </c>
      <c r="D237" s="150">
        <v>2540000</v>
      </c>
      <c r="E237" t="s">
        <v>214</v>
      </c>
      <c r="F237" s="20" t="s">
        <v>215</v>
      </c>
      <c r="G237" s="8" t="str">
        <f t="shared" si="3"/>
        <v>MCREYNOLDS KYLE</v>
      </c>
    </row>
    <row r="238" spans="1:7" x14ac:dyDescent="0.25">
      <c r="A238" s="8">
        <v>42803.996504629627</v>
      </c>
      <c r="B238" t="s">
        <v>512</v>
      </c>
      <c r="C238" t="s">
        <v>513</v>
      </c>
      <c r="D238" s="150">
        <v>1800000</v>
      </c>
      <c r="E238" t="s">
        <v>224</v>
      </c>
      <c r="F238" s="20" t="s">
        <v>225</v>
      </c>
      <c r="G238" s="8" t="str">
        <f t="shared" si="3"/>
        <v>CHANDLER KELVIN</v>
      </c>
    </row>
    <row r="239" spans="1:7" x14ac:dyDescent="0.25">
      <c r="A239" s="8">
        <v>42803.996979166666</v>
      </c>
      <c r="B239" t="s">
        <v>470</v>
      </c>
      <c r="C239" t="s">
        <v>524</v>
      </c>
      <c r="D239" s="150">
        <v>2730000</v>
      </c>
      <c r="E239" t="s">
        <v>240</v>
      </c>
      <c r="F239" s="20" t="s">
        <v>241</v>
      </c>
      <c r="G239" s="8" t="str">
        <f t="shared" si="3"/>
        <v>YANG JAN</v>
      </c>
    </row>
    <row r="240" spans="1:7" x14ac:dyDescent="0.25">
      <c r="A240" s="8">
        <v>42804.015717592592</v>
      </c>
      <c r="B240" t="s">
        <v>413</v>
      </c>
      <c r="C240" t="s">
        <v>529</v>
      </c>
      <c r="D240" s="150">
        <v>1810000</v>
      </c>
      <c r="E240" t="s">
        <v>201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42804.018888888888</v>
      </c>
      <c r="B241" t="s">
        <v>511</v>
      </c>
      <c r="C241" t="s">
        <v>530</v>
      </c>
      <c r="D241" s="150">
        <v>2150000</v>
      </c>
      <c r="E241" t="s">
        <v>480</v>
      </c>
      <c r="F241" s="20" t="s">
        <v>481</v>
      </c>
      <c r="G241" s="8" t="str">
        <f t="shared" si="3"/>
        <v>SWANSON BRYCE</v>
      </c>
    </row>
    <row r="242" spans="1:7" x14ac:dyDescent="0.25">
      <c r="A242" s="8">
        <v>42804.033171296294</v>
      </c>
      <c r="B242" t="s">
        <v>414</v>
      </c>
      <c r="C242" t="s">
        <v>531</v>
      </c>
      <c r="D242" s="150">
        <v>2540000</v>
      </c>
      <c r="E242" t="s">
        <v>214</v>
      </c>
      <c r="F242" s="20" t="s">
        <v>215</v>
      </c>
      <c r="G242" s="8" t="str">
        <f t="shared" si="3"/>
        <v>MCREYNOLDS KYLE</v>
      </c>
    </row>
    <row r="243" spans="1:7" x14ac:dyDescent="0.25">
      <c r="A243" s="8">
        <v>42804.042881944442</v>
      </c>
      <c r="B243" t="s">
        <v>474</v>
      </c>
      <c r="C243" t="s">
        <v>525</v>
      </c>
      <c r="D243" s="150">
        <v>2730000</v>
      </c>
      <c r="E243" t="s">
        <v>240</v>
      </c>
      <c r="F243" s="20" t="s">
        <v>241</v>
      </c>
      <c r="G243" s="8" t="str">
        <f t="shared" si="3"/>
        <v>YANG JAN</v>
      </c>
    </row>
    <row r="244" spans="1:7" x14ac:dyDescent="0.25">
      <c r="A244" s="8">
        <v>42804.04996527778</v>
      </c>
      <c r="B244" t="s">
        <v>274</v>
      </c>
      <c r="C244" t="s">
        <v>532</v>
      </c>
      <c r="D244" s="150">
        <v>1810000</v>
      </c>
      <c r="E244" t="s">
        <v>201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42804.052256944444</v>
      </c>
      <c r="B245" t="s">
        <v>514</v>
      </c>
      <c r="C245" t="s">
        <v>533</v>
      </c>
      <c r="D245" s="150">
        <v>2150000</v>
      </c>
      <c r="E245" t="s">
        <v>480</v>
      </c>
      <c r="F245" s="20" t="s">
        <v>481</v>
      </c>
      <c r="G245" s="8" t="str">
        <f t="shared" si="3"/>
        <v>SWANSON BRYCE</v>
      </c>
    </row>
    <row r="246" spans="1:7" x14ac:dyDescent="0.25">
      <c r="A246" s="8">
        <v>42804.060740740744</v>
      </c>
      <c r="B246" t="s">
        <v>470</v>
      </c>
      <c r="C246" t="s">
        <v>524</v>
      </c>
      <c r="D246" s="150">
        <v>2730000</v>
      </c>
      <c r="E246" t="s">
        <v>240</v>
      </c>
      <c r="F246" s="20" t="s">
        <v>241</v>
      </c>
      <c r="G246" s="8" t="str">
        <f t="shared" si="3"/>
        <v>YANG JAN</v>
      </c>
    </row>
    <row r="247" spans="1:7" x14ac:dyDescent="0.25">
      <c r="A247" s="8">
        <v>42804.071018518516</v>
      </c>
      <c r="B247" t="s">
        <v>415</v>
      </c>
      <c r="C247" t="s">
        <v>534</v>
      </c>
      <c r="D247" s="150">
        <v>2540000</v>
      </c>
      <c r="E247" t="s">
        <v>214</v>
      </c>
      <c r="F247" s="20" t="s">
        <v>215</v>
      </c>
      <c r="G247" s="8" t="str">
        <f t="shared" si="3"/>
        <v>MCREYNOLDS KYLE</v>
      </c>
    </row>
    <row r="248" spans="1:7" x14ac:dyDescent="0.25">
      <c r="A248" s="8">
        <v>42804.073368055557</v>
      </c>
      <c r="B248" t="s">
        <v>474</v>
      </c>
      <c r="C248" t="s">
        <v>525</v>
      </c>
      <c r="D248" s="150">
        <v>2730000</v>
      </c>
      <c r="E248" t="s">
        <v>240</v>
      </c>
      <c r="F248" s="20" t="s">
        <v>241</v>
      </c>
      <c r="G248" s="8" t="str">
        <f t="shared" si="3"/>
        <v>YANG JAN</v>
      </c>
    </row>
    <row r="249" spans="1:7" x14ac:dyDescent="0.25">
      <c r="A249" s="8">
        <v>42804.085752314815</v>
      </c>
      <c r="B249" t="s">
        <v>470</v>
      </c>
      <c r="C249" t="s">
        <v>524</v>
      </c>
      <c r="D249" s="150">
        <v>2730000</v>
      </c>
      <c r="E249" t="s">
        <v>240</v>
      </c>
      <c r="F249" s="20" t="s">
        <v>241</v>
      </c>
      <c r="G249" s="8" t="str">
        <f t="shared" si="3"/>
        <v>YANG JAN</v>
      </c>
    </row>
    <row r="250" spans="1:7" x14ac:dyDescent="0.25">
      <c r="A250" s="8">
        <v>42804.091979166667</v>
      </c>
      <c r="B250" t="s">
        <v>511</v>
      </c>
      <c r="C250" t="s">
        <v>535</v>
      </c>
      <c r="D250" s="150">
        <v>2150000</v>
      </c>
      <c r="E250" t="s">
        <v>480</v>
      </c>
      <c r="F250" s="20" t="s">
        <v>481</v>
      </c>
      <c r="G250" s="8" t="str">
        <f t="shared" si="3"/>
        <v>SWANSON BRYCE</v>
      </c>
    </row>
    <row r="251" spans="1:7" x14ac:dyDescent="0.25">
      <c r="A251" s="8">
        <v>42804.100902777776</v>
      </c>
      <c r="B251" t="s">
        <v>474</v>
      </c>
      <c r="C251" t="s">
        <v>525</v>
      </c>
      <c r="D251" s="150">
        <v>2730000</v>
      </c>
      <c r="E251" t="s">
        <v>240</v>
      </c>
      <c r="F251" s="20" t="s">
        <v>241</v>
      </c>
      <c r="G251" s="8" t="str">
        <f t="shared" si="3"/>
        <v>YANG JAN</v>
      </c>
    </row>
    <row r="252" spans="1:7" x14ac:dyDescent="0.25">
      <c r="A252" s="8">
        <v>42804.11314814815</v>
      </c>
      <c r="B252" t="s">
        <v>470</v>
      </c>
      <c r="C252" t="s">
        <v>524</v>
      </c>
      <c r="D252" s="150">
        <v>2730000</v>
      </c>
      <c r="E252" t="s">
        <v>240</v>
      </c>
      <c r="F252" s="20" t="s">
        <v>241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433</v>
      </c>
      <c r="C253" t="s">
        <v>487</v>
      </c>
      <c r="D253" s="150">
        <v>2150000</v>
      </c>
      <c r="E253" t="s">
        <v>480</v>
      </c>
      <c r="F253" s="20" t="s">
        <v>481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471</v>
      </c>
      <c r="C254" t="s">
        <v>488</v>
      </c>
      <c r="D254" s="150">
        <v>2450000</v>
      </c>
      <c r="E254" t="s">
        <v>482</v>
      </c>
      <c r="F254" s="20" t="s">
        <v>483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470</v>
      </c>
      <c r="C255" t="s">
        <v>485</v>
      </c>
      <c r="D255" s="150">
        <v>2730000</v>
      </c>
      <c r="E255" t="s">
        <v>240</v>
      </c>
      <c r="F255" s="20" t="s">
        <v>241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212</v>
      </c>
      <c r="C256" t="s">
        <v>489</v>
      </c>
      <c r="D256" s="150">
        <v>1810000</v>
      </c>
      <c r="E256" t="s">
        <v>201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421</v>
      </c>
      <c r="C257" t="s">
        <v>490</v>
      </c>
      <c r="D257" s="150">
        <v>1740000</v>
      </c>
      <c r="E257" t="s">
        <v>435</v>
      </c>
      <c r="F257" s="20" t="s">
        <v>436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472</v>
      </c>
      <c r="C258" t="s">
        <v>491</v>
      </c>
      <c r="D258" s="150">
        <v>2450000</v>
      </c>
      <c r="E258" t="s">
        <v>482</v>
      </c>
      <c r="F258" s="20" t="s">
        <v>483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474</v>
      </c>
      <c r="C259" t="s">
        <v>486</v>
      </c>
      <c r="D259" s="150">
        <v>2730000</v>
      </c>
      <c r="E259" t="s">
        <v>240</v>
      </c>
      <c r="F259" s="20" t="s">
        <v>241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211</v>
      </c>
      <c r="C260" t="s">
        <v>492</v>
      </c>
      <c r="D260" s="150">
        <v>1810000</v>
      </c>
      <c r="E260" t="s">
        <v>201</v>
      </c>
      <c r="F260" s="20" t="s">
        <v>197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251</v>
      </c>
      <c r="C261" t="s">
        <v>252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244</v>
      </c>
      <c r="C262" t="s">
        <v>254</v>
      </c>
      <c r="D262" s="150">
        <v>2670000</v>
      </c>
      <c r="E262" t="s">
        <v>221</v>
      </c>
      <c r="F262" s="20" t="s">
        <v>222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211</v>
      </c>
      <c r="C263" t="s">
        <v>256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245</v>
      </c>
      <c r="C264" t="s">
        <v>255</v>
      </c>
      <c r="D264" s="150">
        <v>2730000</v>
      </c>
      <c r="E264" t="s">
        <v>240</v>
      </c>
      <c r="F264" s="20" t="s">
        <v>241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231</v>
      </c>
      <c r="C265" t="s">
        <v>257</v>
      </c>
      <c r="D265" s="150">
        <v>2220000</v>
      </c>
      <c r="E265" t="s">
        <v>209</v>
      </c>
      <c r="F265" s="20" t="s">
        <v>210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244</v>
      </c>
      <c r="C266" t="s">
        <v>254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245</v>
      </c>
      <c r="C267" t="s">
        <v>255</v>
      </c>
      <c r="D267" s="150">
        <v>2730000</v>
      </c>
      <c r="E267" t="s">
        <v>240</v>
      </c>
      <c r="F267" s="20" t="s">
        <v>241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253</v>
      </c>
      <c r="C268" t="s">
        <v>258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244</v>
      </c>
      <c r="C269" t="s">
        <v>254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245</v>
      </c>
      <c r="C270" t="s">
        <v>255</v>
      </c>
      <c r="D270" s="150">
        <v>2730000</v>
      </c>
      <c r="E270" t="s">
        <v>240</v>
      </c>
      <c r="F270" s="20" t="s">
        <v>241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259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244</v>
      </c>
      <c r="C272" t="s">
        <v>254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245</v>
      </c>
      <c r="C273" t="s">
        <v>255</v>
      </c>
      <c r="D273" s="150">
        <v>2730000</v>
      </c>
      <c r="E273" t="s">
        <v>240</v>
      </c>
      <c r="F273" s="20" t="s">
        <v>241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8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822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36.94</v>
      </c>
      <c r="B2" s="168">
        <v>0.67</v>
      </c>
      <c r="C2" s="168">
        <v>29.51</v>
      </c>
      <c r="D2" s="8">
        <v>42806</v>
      </c>
      <c r="E2" s="168">
        <v>0.74</v>
      </c>
      <c r="F2" s="168" t="s">
        <v>422</v>
      </c>
      <c r="G2" s="168">
        <v>324.68</v>
      </c>
      <c r="H2" s="168">
        <v>0</v>
      </c>
      <c r="I2" s="168">
        <v>0</v>
      </c>
      <c r="J2" s="168"/>
      <c r="K2" s="168">
        <v>1019.86</v>
      </c>
      <c r="L2" s="168" t="s">
        <v>536</v>
      </c>
      <c r="M2" s="168">
        <v>36.94</v>
      </c>
      <c r="N2" s="168">
        <v>1489302000</v>
      </c>
      <c r="O2" s="168">
        <v>6.44</v>
      </c>
      <c r="P2" s="168">
        <v>216</v>
      </c>
      <c r="Q2" s="168">
        <v>2.67</v>
      </c>
      <c r="R2"/>
    </row>
    <row r="3" spans="1:18" x14ac:dyDescent="0.25">
      <c r="A3" s="168">
        <v>36.520000000000003</v>
      </c>
      <c r="B3" s="168">
        <v>0.56000000000000005</v>
      </c>
      <c r="C3" s="168">
        <v>29.48</v>
      </c>
      <c r="D3" s="8">
        <v>42806.041666666664</v>
      </c>
      <c r="E3" s="168">
        <v>0.75</v>
      </c>
      <c r="F3" s="168" t="s">
        <v>422</v>
      </c>
      <c r="G3" s="168">
        <v>323.68</v>
      </c>
      <c r="H3" s="168">
        <v>0</v>
      </c>
      <c r="I3" s="168">
        <v>0</v>
      </c>
      <c r="J3" s="168"/>
      <c r="K3" s="168">
        <v>1018.96</v>
      </c>
      <c r="L3" s="168" t="s">
        <v>423</v>
      </c>
      <c r="M3" s="168">
        <v>36.520000000000003</v>
      </c>
      <c r="N3" s="168">
        <v>1489305600</v>
      </c>
      <c r="O3" s="168">
        <v>6.35</v>
      </c>
      <c r="P3" s="168">
        <v>215</v>
      </c>
      <c r="Q3" s="168">
        <v>2.48</v>
      </c>
      <c r="R3"/>
    </row>
    <row r="4" spans="1:18" x14ac:dyDescent="0.25">
      <c r="A4" s="168">
        <v>31.98</v>
      </c>
      <c r="B4" s="168">
        <v>0.44</v>
      </c>
      <c r="C4" s="168">
        <v>28.01</v>
      </c>
      <c r="D4" s="8">
        <v>42806.125</v>
      </c>
      <c r="E4" s="168">
        <v>0.74</v>
      </c>
      <c r="F4" s="168" t="s">
        <v>422</v>
      </c>
      <c r="G4" s="168">
        <v>322.68</v>
      </c>
      <c r="H4" s="168">
        <v>0</v>
      </c>
      <c r="I4" s="168">
        <v>0</v>
      </c>
      <c r="J4" s="168"/>
      <c r="K4" s="168">
        <v>1018.09</v>
      </c>
      <c r="L4" s="168" t="s">
        <v>423</v>
      </c>
      <c r="M4" s="168">
        <v>35.35</v>
      </c>
      <c r="N4" s="168">
        <v>1489309200</v>
      </c>
      <c r="O4" s="168">
        <v>6.08</v>
      </c>
      <c r="P4" s="168">
        <v>215</v>
      </c>
      <c r="Q4" s="168">
        <v>3.97</v>
      </c>
      <c r="R4"/>
    </row>
    <row r="5" spans="1:18" x14ac:dyDescent="0.25">
      <c r="A5" s="168">
        <v>32.81</v>
      </c>
      <c r="B5" s="168">
        <v>0.47</v>
      </c>
      <c r="C5" s="168">
        <v>28.01</v>
      </c>
      <c r="D5" s="8">
        <v>42806.166666666664</v>
      </c>
      <c r="E5" s="168">
        <v>0.74</v>
      </c>
      <c r="F5" s="168" t="s">
        <v>422</v>
      </c>
      <c r="G5" s="168">
        <v>322.04000000000002</v>
      </c>
      <c r="H5" s="168">
        <v>0</v>
      </c>
      <c r="I5" s="168">
        <v>0</v>
      </c>
      <c r="J5" s="168"/>
      <c r="K5" s="168">
        <v>1017.43</v>
      </c>
      <c r="L5" s="168" t="s">
        <v>423</v>
      </c>
      <c r="M5" s="168">
        <v>35.56</v>
      </c>
      <c r="N5" s="168">
        <v>1489312800</v>
      </c>
      <c r="O5" s="168">
        <v>5.95</v>
      </c>
      <c r="P5" s="168">
        <v>213</v>
      </c>
      <c r="Q5" s="168">
        <v>3.43</v>
      </c>
      <c r="R5"/>
    </row>
    <row r="6" spans="1:18" x14ac:dyDescent="0.25">
      <c r="A6" s="168">
        <v>34.33</v>
      </c>
      <c r="B6" s="168">
        <v>0.51</v>
      </c>
      <c r="C6" s="168">
        <v>26.11</v>
      </c>
      <c r="D6" s="8">
        <v>42806.208333333336</v>
      </c>
      <c r="E6" s="168">
        <v>0.72</v>
      </c>
      <c r="F6" s="168" t="s">
        <v>422</v>
      </c>
      <c r="G6" s="168">
        <v>321.69</v>
      </c>
      <c r="H6" s="168">
        <v>0</v>
      </c>
      <c r="I6" s="168">
        <v>0</v>
      </c>
      <c r="J6" s="168"/>
      <c r="K6" s="168">
        <v>1016.88</v>
      </c>
      <c r="L6" s="168" t="s">
        <v>423</v>
      </c>
      <c r="M6" s="168">
        <v>34.33</v>
      </c>
      <c r="N6" s="168">
        <v>1489316400</v>
      </c>
      <c r="O6" s="168">
        <v>6.3</v>
      </c>
      <c r="P6" s="168">
        <v>219</v>
      </c>
      <c r="Q6" s="168">
        <v>1.76</v>
      </c>
      <c r="R6"/>
    </row>
    <row r="7" spans="1:18" x14ac:dyDescent="0.25">
      <c r="A7" s="168">
        <v>33.42</v>
      </c>
      <c r="B7" s="168">
        <v>0.63</v>
      </c>
      <c r="C7" s="168">
        <v>26.29</v>
      </c>
      <c r="D7" s="8">
        <v>42806.25</v>
      </c>
      <c r="E7" s="168">
        <v>0.75</v>
      </c>
      <c r="F7" s="168" t="s">
        <v>422</v>
      </c>
      <c r="G7" s="168">
        <v>322.33</v>
      </c>
      <c r="H7" s="168">
        <v>0</v>
      </c>
      <c r="I7" s="168">
        <v>0</v>
      </c>
      <c r="J7" s="168"/>
      <c r="K7" s="168">
        <v>1016.26</v>
      </c>
      <c r="L7" s="168" t="s">
        <v>536</v>
      </c>
      <c r="M7" s="168">
        <v>33.42</v>
      </c>
      <c r="N7" s="168">
        <v>1489320000</v>
      </c>
      <c r="O7" s="168">
        <v>7.38</v>
      </c>
      <c r="P7" s="168">
        <v>230</v>
      </c>
      <c r="Q7" s="168">
        <v>1.29</v>
      </c>
      <c r="R7"/>
    </row>
    <row r="8" spans="1:18" x14ac:dyDescent="0.25">
      <c r="A8" s="168">
        <v>33.270000000000003</v>
      </c>
      <c r="B8" s="168">
        <v>0.61</v>
      </c>
      <c r="C8" s="168">
        <v>26.14</v>
      </c>
      <c r="D8" s="8">
        <v>42806.291666666664</v>
      </c>
      <c r="E8" s="168">
        <v>0.75</v>
      </c>
      <c r="F8" s="168" t="s">
        <v>422</v>
      </c>
      <c r="G8" s="168">
        <v>324.08</v>
      </c>
      <c r="H8" s="168">
        <v>0</v>
      </c>
      <c r="I8" s="168">
        <v>0</v>
      </c>
      <c r="J8" s="168"/>
      <c r="K8" s="168">
        <v>1015.51</v>
      </c>
      <c r="L8" s="168" t="s">
        <v>536</v>
      </c>
      <c r="M8" s="168">
        <v>33.270000000000003</v>
      </c>
      <c r="N8" s="168">
        <v>1489323600</v>
      </c>
      <c r="O8" s="168">
        <v>6.41</v>
      </c>
      <c r="P8" s="168">
        <v>237</v>
      </c>
      <c r="Q8" s="168">
        <v>1.77</v>
      </c>
      <c r="R8"/>
    </row>
    <row r="9" spans="1:18" x14ac:dyDescent="0.25">
      <c r="A9" s="168">
        <v>33.86</v>
      </c>
      <c r="B9" s="168">
        <v>0.64</v>
      </c>
      <c r="C9" s="168">
        <v>26.25</v>
      </c>
      <c r="D9" s="8">
        <v>42806.333333333336</v>
      </c>
      <c r="E9" s="168">
        <v>0.73</v>
      </c>
      <c r="F9" s="168" t="s">
        <v>424</v>
      </c>
      <c r="G9" s="168">
        <v>326.81</v>
      </c>
      <c r="H9" s="168">
        <v>0</v>
      </c>
      <c r="I9" s="168">
        <v>0</v>
      </c>
      <c r="J9" s="168"/>
      <c r="K9" s="168">
        <v>1014.66</v>
      </c>
      <c r="L9" s="168" t="s">
        <v>536</v>
      </c>
      <c r="M9" s="168">
        <v>33.86</v>
      </c>
      <c r="N9" s="168">
        <v>1489327200</v>
      </c>
      <c r="O9" s="168">
        <v>5.73</v>
      </c>
      <c r="P9" s="168">
        <v>251</v>
      </c>
      <c r="Q9" s="168">
        <v>1.71</v>
      </c>
      <c r="R9"/>
    </row>
    <row r="10" spans="1:18" x14ac:dyDescent="0.25">
      <c r="A10" s="168">
        <v>37.44</v>
      </c>
      <c r="B10" s="168">
        <v>0.7</v>
      </c>
      <c r="C10" s="168">
        <v>28.26</v>
      </c>
      <c r="D10" s="8">
        <v>42806.375</v>
      </c>
      <c r="E10" s="168">
        <v>0.69</v>
      </c>
      <c r="F10" s="168" t="s">
        <v>424</v>
      </c>
      <c r="G10" s="168">
        <v>330.86</v>
      </c>
      <c r="H10" s="168">
        <v>0</v>
      </c>
      <c r="I10" s="168">
        <v>0</v>
      </c>
      <c r="J10" s="168"/>
      <c r="K10" s="168">
        <v>1013.84</v>
      </c>
      <c r="L10" s="168" t="s">
        <v>536</v>
      </c>
      <c r="M10" s="168">
        <v>37.44</v>
      </c>
      <c r="N10" s="168">
        <v>1489330800</v>
      </c>
      <c r="O10" s="168">
        <v>5.4</v>
      </c>
      <c r="P10" s="168">
        <v>253</v>
      </c>
      <c r="Q10" s="168">
        <v>2.08</v>
      </c>
      <c r="R10"/>
    </row>
    <row r="11" spans="1:18" x14ac:dyDescent="0.25">
      <c r="A11" s="168">
        <v>40.1</v>
      </c>
      <c r="B11" s="168">
        <v>0.68</v>
      </c>
      <c r="C11" s="168">
        <v>29.41</v>
      </c>
      <c r="D11" s="8">
        <v>42806.416666666664</v>
      </c>
      <c r="E11" s="168">
        <v>0.59</v>
      </c>
      <c r="F11" s="168" t="s">
        <v>424</v>
      </c>
      <c r="G11" s="168">
        <v>337.11</v>
      </c>
      <c r="H11" s="168">
        <v>0</v>
      </c>
      <c r="I11" s="168">
        <v>0</v>
      </c>
      <c r="J11" s="168"/>
      <c r="K11" s="168">
        <v>1013.15</v>
      </c>
      <c r="L11" s="168" t="s">
        <v>536</v>
      </c>
      <c r="M11" s="168">
        <v>42.82</v>
      </c>
      <c r="N11" s="168">
        <v>1489334400</v>
      </c>
      <c r="O11" s="168">
        <v>5.24</v>
      </c>
      <c r="P11" s="168">
        <v>272</v>
      </c>
      <c r="Q11" s="168">
        <v>4.57</v>
      </c>
      <c r="R11"/>
    </row>
    <row r="12" spans="1:18" x14ac:dyDescent="0.25">
      <c r="A12" s="168">
        <v>50.13</v>
      </c>
      <c r="B12" s="168">
        <v>0.67</v>
      </c>
      <c r="C12" s="168">
        <v>28.82</v>
      </c>
      <c r="D12" s="8">
        <v>42806.458333333336</v>
      </c>
      <c r="E12" s="168">
        <v>0.44</v>
      </c>
      <c r="F12" s="168" t="s">
        <v>424</v>
      </c>
      <c r="G12" s="168">
        <v>344.67</v>
      </c>
      <c r="H12" s="168">
        <v>0</v>
      </c>
      <c r="I12" s="168">
        <v>0</v>
      </c>
      <c r="J12" s="168"/>
      <c r="K12" s="168">
        <v>1012.56</v>
      </c>
      <c r="L12" s="168" t="s">
        <v>536</v>
      </c>
      <c r="M12" s="168">
        <v>50.13</v>
      </c>
      <c r="N12" s="168">
        <v>1489338000</v>
      </c>
      <c r="O12" s="168">
        <v>6.74</v>
      </c>
      <c r="P12" s="168">
        <v>295</v>
      </c>
      <c r="Q12" s="168">
        <v>6.98</v>
      </c>
      <c r="R12"/>
    </row>
    <row r="13" spans="1:18" x14ac:dyDescent="0.25">
      <c r="A13" s="168">
        <v>54.2</v>
      </c>
      <c r="B13" s="168">
        <v>0.68</v>
      </c>
      <c r="C13" s="168">
        <v>26.29</v>
      </c>
      <c r="D13" s="8">
        <v>42806.5</v>
      </c>
      <c r="E13" s="168">
        <v>0.34</v>
      </c>
      <c r="F13" s="168" t="s">
        <v>424</v>
      </c>
      <c r="G13" s="168">
        <v>351.17</v>
      </c>
      <c r="H13" s="168">
        <v>0</v>
      </c>
      <c r="I13" s="168">
        <v>0</v>
      </c>
      <c r="J13" s="168"/>
      <c r="K13" s="168">
        <v>1012.19</v>
      </c>
      <c r="L13" s="168" t="s">
        <v>536</v>
      </c>
      <c r="M13" s="168">
        <v>54.2</v>
      </c>
      <c r="N13" s="168">
        <v>1489341600</v>
      </c>
      <c r="O13" s="168">
        <v>5.26</v>
      </c>
      <c r="P13" s="168">
        <v>314</v>
      </c>
      <c r="Q13" s="168">
        <v>7.82</v>
      </c>
      <c r="R13"/>
    </row>
    <row r="14" spans="1:18" x14ac:dyDescent="0.25">
      <c r="A14" s="168">
        <v>59.01</v>
      </c>
      <c r="B14" s="168">
        <v>0.59</v>
      </c>
      <c r="C14" s="168">
        <v>25.34</v>
      </c>
      <c r="D14" s="8">
        <v>42806.541666666664</v>
      </c>
      <c r="E14" s="168">
        <v>0.27</v>
      </c>
      <c r="F14" s="168" t="s">
        <v>424</v>
      </c>
      <c r="G14" s="168">
        <v>355.96</v>
      </c>
      <c r="H14" s="168">
        <v>0</v>
      </c>
      <c r="I14" s="168">
        <v>0</v>
      </c>
      <c r="J14" s="168"/>
      <c r="K14" s="168">
        <v>1012.08</v>
      </c>
      <c r="L14" s="168" t="s">
        <v>423</v>
      </c>
      <c r="M14" s="168">
        <v>59.01</v>
      </c>
      <c r="N14" s="168">
        <v>1489345200</v>
      </c>
      <c r="O14" s="168">
        <v>5.28</v>
      </c>
      <c r="P14" s="168">
        <v>308</v>
      </c>
      <c r="Q14" s="168">
        <v>12.94</v>
      </c>
      <c r="R14"/>
    </row>
    <row r="15" spans="1:18" x14ac:dyDescent="0.25">
      <c r="A15" s="168">
        <v>59.96</v>
      </c>
      <c r="B15" s="168">
        <v>0.49</v>
      </c>
      <c r="C15" s="168">
        <v>25.34</v>
      </c>
      <c r="D15" s="8">
        <v>42806.583333333336</v>
      </c>
      <c r="E15" s="168">
        <v>0.26</v>
      </c>
      <c r="F15" s="168" t="s">
        <v>424</v>
      </c>
      <c r="G15" s="168">
        <v>359.69</v>
      </c>
      <c r="H15" s="168">
        <v>0</v>
      </c>
      <c r="I15" s="168">
        <v>0</v>
      </c>
      <c r="J15" s="168"/>
      <c r="K15" s="168">
        <v>1012.23</v>
      </c>
      <c r="L15" s="168" t="s">
        <v>423</v>
      </c>
      <c r="M15" s="168">
        <v>59.96</v>
      </c>
      <c r="N15" s="168">
        <v>1489348800</v>
      </c>
      <c r="O15" s="168">
        <v>5.27</v>
      </c>
      <c r="P15" s="168">
        <v>318</v>
      </c>
      <c r="Q15" s="168">
        <v>13.66</v>
      </c>
      <c r="R15"/>
    </row>
    <row r="16" spans="1:18" x14ac:dyDescent="0.25">
      <c r="A16" s="168">
        <v>59.32</v>
      </c>
      <c r="B16" s="168">
        <v>0.43</v>
      </c>
      <c r="C16" s="168">
        <v>26.76</v>
      </c>
      <c r="D16" s="8">
        <v>42806.625</v>
      </c>
      <c r="E16" s="168">
        <v>0.28999999999999998</v>
      </c>
      <c r="F16" s="168" t="s">
        <v>424</v>
      </c>
      <c r="G16" s="168">
        <v>361.91</v>
      </c>
      <c r="H16" s="168">
        <v>2.8999999999999998E-3</v>
      </c>
      <c r="I16" s="168">
        <v>0.09</v>
      </c>
      <c r="J16" s="168" t="s">
        <v>823</v>
      </c>
      <c r="K16" s="168">
        <v>1012.67</v>
      </c>
      <c r="L16" s="168" t="s">
        <v>423</v>
      </c>
      <c r="M16" s="168">
        <v>59.32</v>
      </c>
      <c r="N16" s="168">
        <v>1489352400</v>
      </c>
      <c r="O16" s="168">
        <v>10</v>
      </c>
      <c r="P16" s="168">
        <v>335</v>
      </c>
      <c r="Q16" s="168">
        <v>12.33</v>
      </c>
      <c r="R16"/>
    </row>
    <row r="17" spans="1:18" x14ac:dyDescent="0.25">
      <c r="A17" s="168">
        <v>54.99</v>
      </c>
      <c r="B17" s="168">
        <v>0.49</v>
      </c>
      <c r="C17" s="168">
        <v>31.94</v>
      </c>
      <c r="D17" s="8">
        <v>42806.666666666664</v>
      </c>
      <c r="E17" s="168">
        <v>0.41</v>
      </c>
      <c r="F17" s="168" t="s">
        <v>424</v>
      </c>
      <c r="G17" s="168">
        <v>361.89</v>
      </c>
      <c r="H17" s="168">
        <v>3.8E-3</v>
      </c>
      <c r="I17" s="168">
        <v>0.14000000000000001</v>
      </c>
      <c r="J17" s="168" t="s">
        <v>823</v>
      </c>
      <c r="K17" s="168">
        <v>1013.48</v>
      </c>
      <c r="L17" s="168" t="s">
        <v>423</v>
      </c>
      <c r="M17" s="168">
        <v>54.99</v>
      </c>
      <c r="N17" s="168">
        <v>1489356000</v>
      </c>
      <c r="O17" s="168">
        <v>5.23</v>
      </c>
      <c r="P17" s="168">
        <v>342</v>
      </c>
      <c r="Q17" s="168">
        <v>9.69</v>
      </c>
      <c r="R17"/>
    </row>
    <row r="18" spans="1:18" x14ac:dyDescent="0.25">
      <c r="A18" s="168">
        <v>47.08</v>
      </c>
      <c r="B18" s="168">
        <v>0.57999999999999996</v>
      </c>
      <c r="C18" s="168">
        <v>31.12</v>
      </c>
      <c r="D18" s="8">
        <v>42806.708333333336</v>
      </c>
      <c r="E18" s="168">
        <v>0.48</v>
      </c>
      <c r="F18" s="168" t="s">
        <v>424</v>
      </c>
      <c r="G18" s="168">
        <v>360.36</v>
      </c>
      <c r="H18" s="168">
        <v>4.1999999999999997E-3</v>
      </c>
      <c r="I18" s="168">
        <v>0.16</v>
      </c>
      <c r="J18" s="168" t="s">
        <v>823</v>
      </c>
      <c r="K18" s="168">
        <v>1014.57</v>
      </c>
      <c r="L18" s="168" t="s">
        <v>423</v>
      </c>
      <c r="M18" s="168">
        <v>49.94</v>
      </c>
      <c r="N18" s="168">
        <v>1489359600</v>
      </c>
      <c r="O18" s="168">
        <v>5.32</v>
      </c>
      <c r="P18" s="168">
        <v>13</v>
      </c>
      <c r="Q18" s="168">
        <v>7.1</v>
      </c>
      <c r="R18"/>
    </row>
    <row r="19" spans="1:18" x14ac:dyDescent="0.25">
      <c r="A19" s="168">
        <v>50.34</v>
      </c>
      <c r="B19" s="168">
        <v>0.65</v>
      </c>
      <c r="C19" s="168">
        <v>30.74</v>
      </c>
      <c r="D19" s="8">
        <v>42806.75</v>
      </c>
      <c r="E19" s="168">
        <v>0.47</v>
      </c>
      <c r="F19" s="168" t="s">
        <v>424</v>
      </c>
      <c r="G19" s="168">
        <v>359.1</v>
      </c>
      <c r="H19" s="168">
        <v>1.1999999999999999E-3</v>
      </c>
      <c r="I19" s="168">
        <v>0.02</v>
      </c>
      <c r="J19" s="168" t="s">
        <v>823</v>
      </c>
      <c r="K19" s="168">
        <v>1015.75</v>
      </c>
      <c r="L19" s="168" t="s">
        <v>536</v>
      </c>
      <c r="M19" s="168">
        <v>50.34</v>
      </c>
      <c r="N19" s="168">
        <v>1489363200</v>
      </c>
      <c r="O19" s="168">
        <v>5.7</v>
      </c>
      <c r="P19" s="168">
        <v>27</v>
      </c>
      <c r="Q19" s="168">
        <v>4.8499999999999996</v>
      </c>
      <c r="R19"/>
    </row>
    <row r="20" spans="1:18" x14ac:dyDescent="0.25">
      <c r="A20" s="168">
        <v>47.6</v>
      </c>
      <c r="B20" s="168">
        <v>0.56000000000000005</v>
      </c>
      <c r="C20" s="168">
        <v>26.42</v>
      </c>
      <c r="D20" s="8">
        <v>42806.791666666664</v>
      </c>
      <c r="E20" s="168">
        <v>0.43</v>
      </c>
      <c r="F20" s="168" t="s">
        <v>424</v>
      </c>
      <c r="G20" s="168">
        <v>358.83</v>
      </c>
      <c r="H20" s="168">
        <v>0</v>
      </c>
      <c r="I20" s="168">
        <v>0</v>
      </c>
      <c r="J20" s="168"/>
      <c r="K20" s="168">
        <v>1016.73</v>
      </c>
      <c r="L20" s="168" t="s">
        <v>423</v>
      </c>
      <c r="M20" s="168">
        <v>47.6</v>
      </c>
      <c r="N20" s="168">
        <v>1489366800</v>
      </c>
      <c r="O20" s="168">
        <v>6.26</v>
      </c>
      <c r="P20" s="168">
        <v>44</v>
      </c>
      <c r="Q20" s="168">
        <v>2.5099999999999998</v>
      </c>
      <c r="R20"/>
    </row>
    <row r="21" spans="1:18" x14ac:dyDescent="0.25">
      <c r="A21" s="168">
        <v>44.85</v>
      </c>
      <c r="B21" s="168">
        <v>0.39</v>
      </c>
      <c r="C21" s="168">
        <v>26.11</v>
      </c>
      <c r="D21" s="8">
        <v>42806.833333333336</v>
      </c>
      <c r="E21" s="168">
        <v>0.47</v>
      </c>
      <c r="F21" s="168" t="s">
        <v>422</v>
      </c>
      <c r="G21" s="168">
        <v>358.83</v>
      </c>
      <c r="H21" s="168">
        <v>1.1999999999999999E-3</v>
      </c>
      <c r="I21" s="168">
        <v>0.02</v>
      </c>
      <c r="J21" s="168" t="s">
        <v>823</v>
      </c>
      <c r="K21" s="168">
        <v>1017.94</v>
      </c>
      <c r="L21" s="168" t="s">
        <v>423</v>
      </c>
      <c r="M21" s="168">
        <v>44.85</v>
      </c>
      <c r="N21" s="168">
        <v>1489370400</v>
      </c>
      <c r="O21" s="168">
        <v>7.37</v>
      </c>
      <c r="P21" s="168">
        <v>261</v>
      </c>
      <c r="Q21" s="168">
        <v>0.49</v>
      </c>
      <c r="R21"/>
    </row>
    <row r="22" spans="1:18" x14ac:dyDescent="0.25">
      <c r="A22" s="168">
        <v>42.42</v>
      </c>
      <c r="B22" s="168">
        <v>0.26</v>
      </c>
      <c r="C22" s="168">
        <v>27.36</v>
      </c>
      <c r="D22" s="8">
        <v>42806.875</v>
      </c>
      <c r="E22" s="168">
        <v>0.55000000000000004</v>
      </c>
      <c r="F22" s="168" t="s">
        <v>422</v>
      </c>
      <c r="G22" s="168">
        <v>358.73</v>
      </c>
      <c r="H22" s="168">
        <v>0</v>
      </c>
      <c r="I22" s="168">
        <v>0</v>
      </c>
      <c r="J22" s="168"/>
      <c r="K22" s="168">
        <v>1019.28</v>
      </c>
      <c r="L22" s="168" t="s">
        <v>423</v>
      </c>
      <c r="M22" s="168">
        <v>42.42</v>
      </c>
      <c r="N22" s="168">
        <v>1489374000</v>
      </c>
      <c r="O22" s="168">
        <v>6.72</v>
      </c>
      <c r="P22" s="168">
        <v>232</v>
      </c>
      <c r="Q22" s="168">
        <v>0.57999999999999996</v>
      </c>
      <c r="R22"/>
    </row>
    <row r="23" spans="1:18" x14ac:dyDescent="0.25">
      <c r="A23" s="168">
        <v>41.84</v>
      </c>
      <c r="B23" s="168">
        <v>0.33</v>
      </c>
      <c r="C23" s="168">
        <v>26.83</v>
      </c>
      <c r="D23" s="8">
        <v>42806.916666666664</v>
      </c>
      <c r="E23" s="168">
        <v>0.55000000000000004</v>
      </c>
      <c r="F23" s="168" t="s">
        <v>422</v>
      </c>
      <c r="G23" s="168">
        <v>358.7</v>
      </c>
      <c r="H23" s="168">
        <v>0</v>
      </c>
      <c r="I23" s="168">
        <v>0</v>
      </c>
      <c r="J23" s="168"/>
      <c r="K23" s="168">
        <v>1020.93</v>
      </c>
      <c r="L23" s="168" t="s">
        <v>423</v>
      </c>
      <c r="M23" s="168">
        <v>41.84</v>
      </c>
      <c r="N23" s="168">
        <v>1489377600</v>
      </c>
      <c r="O23" s="168">
        <v>5.89</v>
      </c>
      <c r="P23" s="168">
        <v>35</v>
      </c>
      <c r="Q23" s="168">
        <v>0.57999999999999996</v>
      </c>
      <c r="R23"/>
    </row>
    <row r="24" spans="1:18" x14ac:dyDescent="0.25">
      <c r="A24" s="168">
        <v>37.29</v>
      </c>
      <c r="B24" s="168">
        <v>0.39</v>
      </c>
      <c r="C24" s="168">
        <v>23.97</v>
      </c>
      <c r="D24" s="8">
        <v>42806.958333333336</v>
      </c>
      <c r="E24" s="168">
        <v>0.54</v>
      </c>
      <c r="F24" s="168" t="s">
        <v>422</v>
      </c>
      <c r="G24" s="168">
        <v>358.57</v>
      </c>
      <c r="H24" s="168">
        <v>0</v>
      </c>
      <c r="I24" s="168">
        <v>0</v>
      </c>
      <c r="J24" s="168"/>
      <c r="K24" s="168">
        <v>1022.8</v>
      </c>
      <c r="L24" s="168" t="s">
        <v>423</v>
      </c>
      <c r="M24" s="168">
        <v>39.340000000000003</v>
      </c>
      <c r="N24" s="168">
        <v>1489381200</v>
      </c>
      <c r="O24" s="168">
        <v>5.44</v>
      </c>
      <c r="P24" s="168">
        <v>356</v>
      </c>
      <c r="Q24" s="168">
        <v>3.28</v>
      </c>
      <c r="R24"/>
    </row>
    <row r="25" spans="1:18" x14ac:dyDescent="0.25">
      <c r="A25" s="168">
        <v>35.68</v>
      </c>
      <c r="B25" s="168">
        <v>0.54</v>
      </c>
      <c r="C25" s="168">
        <v>25.6</v>
      </c>
      <c r="D25" s="8">
        <v>42807</v>
      </c>
      <c r="E25" s="168">
        <v>0.57999999999999996</v>
      </c>
      <c r="F25" s="168" t="s">
        <v>422</v>
      </c>
      <c r="G25" s="168">
        <v>357.46</v>
      </c>
      <c r="H25" s="168">
        <v>0</v>
      </c>
      <c r="I25" s="168">
        <v>0</v>
      </c>
      <c r="J25" s="168"/>
      <c r="K25" s="168">
        <v>1024.27</v>
      </c>
      <c r="L25" s="168" t="s">
        <v>423</v>
      </c>
      <c r="M25" s="168">
        <v>38.96</v>
      </c>
      <c r="N25" s="168">
        <v>1489384800</v>
      </c>
      <c r="O25" s="168">
        <v>5.56</v>
      </c>
      <c r="P25" s="168">
        <v>359</v>
      </c>
      <c r="Q25" s="168">
        <v>4.47</v>
      </c>
      <c r="R25"/>
    </row>
    <row r="26" spans="1:18" x14ac:dyDescent="0.25">
      <c r="A26" s="168">
        <v>34.42</v>
      </c>
      <c r="B26" s="168">
        <v>0.61</v>
      </c>
      <c r="C26" s="168">
        <v>26.22</v>
      </c>
      <c r="D26" s="8">
        <v>42807.041666666664</v>
      </c>
      <c r="E26" s="168">
        <v>0.62</v>
      </c>
      <c r="F26" s="168" t="s">
        <v>422</v>
      </c>
      <c r="G26" s="168">
        <v>354.09</v>
      </c>
      <c r="H26" s="168">
        <v>0</v>
      </c>
      <c r="I26" s="168">
        <v>0</v>
      </c>
      <c r="J26" s="168"/>
      <c r="K26" s="168">
        <v>1024.8699999999999</v>
      </c>
      <c r="L26" s="168" t="s">
        <v>536</v>
      </c>
      <c r="M26" s="168">
        <v>37.86</v>
      </c>
      <c r="N26" s="168">
        <v>1489388400</v>
      </c>
      <c r="O26" s="168">
        <v>5.9</v>
      </c>
      <c r="P26" s="168">
        <v>7</v>
      </c>
      <c r="Q26" s="168">
        <v>4.47</v>
      </c>
      <c r="R26"/>
    </row>
    <row r="27" spans="1:18" x14ac:dyDescent="0.25">
      <c r="A27" s="168">
        <v>33.299999999999997</v>
      </c>
      <c r="B27" s="168">
        <v>0.62</v>
      </c>
      <c r="C27" s="168">
        <v>27.54</v>
      </c>
      <c r="D27" s="8">
        <v>42807.083333333336</v>
      </c>
      <c r="E27" s="168">
        <v>0.7</v>
      </c>
      <c r="F27" s="168" t="s">
        <v>422</v>
      </c>
      <c r="G27" s="168">
        <v>350.73</v>
      </c>
      <c r="H27" s="168">
        <v>0</v>
      </c>
      <c r="I27" s="168">
        <v>0</v>
      </c>
      <c r="J27" s="168"/>
      <c r="K27" s="168">
        <v>1025.45</v>
      </c>
      <c r="L27" s="168" t="s">
        <v>536</v>
      </c>
      <c r="M27" s="168">
        <v>36.43</v>
      </c>
      <c r="N27" s="168">
        <v>1489392000</v>
      </c>
      <c r="O27" s="168">
        <v>6.03</v>
      </c>
      <c r="P27" s="168">
        <v>359</v>
      </c>
      <c r="Q27" s="168">
        <v>3.9</v>
      </c>
      <c r="R27"/>
    </row>
    <row r="28" spans="1:18" x14ac:dyDescent="0.25">
      <c r="A28" s="168">
        <v>35.57</v>
      </c>
      <c r="B28" s="168">
        <v>0.65</v>
      </c>
      <c r="C28" s="168">
        <v>27.65</v>
      </c>
      <c r="D28" s="8">
        <v>42807.125</v>
      </c>
      <c r="E28" s="168">
        <v>0.73</v>
      </c>
      <c r="F28" s="168" t="s">
        <v>422</v>
      </c>
      <c r="G28" s="168">
        <v>347.36</v>
      </c>
      <c r="H28" s="168">
        <v>0</v>
      </c>
      <c r="I28" s="168">
        <v>0</v>
      </c>
      <c r="J28" s="168"/>
      <c r="K28" s="168">
        <v>1026.01</v>
      </c>
      <c r="L28" s="168" t="s">
        <v>536</v>
      </c>
      <c r="M28" s="168">
        <v>35.57</v>
      </c>
      <c r="N28" s="168">
        <v>1489395600</v>
      </c>
      <c r="O28" s="168">
        <v>5.34</v>
      </c>
      <c r="P28" s="168">
        <v>350</v>
      </c>
      <c r="Q28" s="168">
        <v>2.63</v>
      </c>
      <c r="R28"/>
    </row>
    <row r="29" spans="1:18" x14ac:dyDescent="0.25">
      <c r="A29"/>
      <c r="B29"/>
      <c r="C29"/>
      <c r="D29" s="8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C14" sqref="C1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454</v>
      </c>
      <c r="U1" s="219"/>
      <c r="V1" s="219"/>
      <c r="W1" s="219"/>
      <c r="X1" s="219"/>
    </row>
    <row r="2" spans="1:24" ht="15.75" thickBot="1" x14ac:dyDescent="0.3">
      <c r="A2" s="12">
        <v>42806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455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467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468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469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961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962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963</v>
      </c>
      <c r="J20" s="152" t="s">
        <v>87</v>
      </c>
      <c r="M20" s="168" t="s">
        <v>446</v>
      </c>
      <c r="N20" s="168" t="s">
        <v>446</v>
      </c>
      <c r="T20" s="197"/>
      <c r="U20" s="197"/>
      <c r="V20" s="197"/>
      <c r="W20" s="197"/>
      <c r="X20" s="197"/>
    </row>
    <row r="21" spans="3:24" x14ac:dyDescent="0.25">
      <c r="C21" t="s">
        <v>964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965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966</v>
      </c>
      <c r="J23" s="162" t="s">
        <v>95</v>
      </c>
      <c r="M23" s="168">
        <v>-6</v>
      </c>
      <c r="T23" s="197"/>
      <c r="U23" s="197"/>
      <c r="V23" s="197"/>
      <c r="W23" s="197"/>
      <c r="X23" s="197"/>
    </row>
    <row r="24" spans="3:24" x14ac:dyDescent="0.25">
      <c r="C24" t="s">
        <v>967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968</v>
      </c>
      <c r="J25" s="152" t="s">
        <v>150</v>
      </c>
      <c r="M25" s="168" t="b">
        <v>1</v>
      </c>
    </row>
    <row r="26" spans="3:24" x14ac:dyDescent="0.25">
      <c r="C26" t="s">
        <v>969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C:\Users\stu\Documents\GitHub\eaglep3-reporting\EC\2017-03-12-refined-times.txt</v>
      </c>
    </row>
    <row r="27" spans="3:24" x14ac:dyDescent="0.25">
      <c r="C27" t="s">
        <v>970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C:\Users\stu\Documents\GitHub\eaglep3-reporting\EC\2017-03-12-Enforcements.txt</v>
      </c>
    </row>
    <row r="28" spans="3:24" x14ac:dyDescent="0.25">
      <c r="C28" t="s">
        <v>971</v>
      </c>
      <c r="J28" s="152" t="s">
        <v>181</v>
      </c>
      <c r="M28" s="168" t="str">
        <f>"C:\Users\stu\Documents\GitHub\eaglep3-reporting\EC\"&amp;TEXT(A2,"YYYY-MM-DD")&amp;"-Runs.txt"</f>
        <v>C:\Users\stu\Documents\GitHub\eaglep3-reporting\EC\2017-03-12-Runs.txt</v>
      </c>
    </row>
    <row r="29" spans="3:24" x14ac:dyDescent="0.25">
      <c r="C29" t="s">
        <v>972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C:\Users\stu\Documents\GitHub\eaglep3-reporting\EC\2017-03-12-Trips.txt</v>
      </c>
    </row>
    <row r="30" spans="3:24" x14ac:dyDescent="0.25">
      <c r="C30" t="s">
        <v>973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C:\Users\stu\Documents\GitHub\eaglep3-reporting\EC\2017-03-12-Weather.txt</v>
      </c>
    </row>
    <row r="31" spans="3:24" x14ac:dyDescent="0.25">
      <c r="C31" t="s">
        <v>974</v>
      </c>
      <c r="J31" s="152" t="s">
        <v>206</v>
      </c>
      <c r="M31" s="168" t="s">
        <v>207</v>
      </c>
    </row>
    <row r="32" spans="3:24" x14ac:dyDescent="0.25">
      <c r="C32" t="s">
        <v>975</v>
      </c>
    </row>
    <row r="33" spans="3:3" x14ac:dyDescent="0.25">
      <c r="C33" t="s">
        <v>976</v>
      </c>
    </row>
    <row r="34" spans="3:3" x14ac:dyDescent="0.25">
      <c r="C34" t="s">
        <v>977</v>
      </c>
    </row>
    <row r="35" spans="3:3" x14ac:dyDescent="0.25">
      <c r="C35" t="s">
        <v>978</v>
      </c>
    </row>
    <row r="36" spans="3:3" x14ac:dyDescent="0.25">
      <c r="C36" t="s">
        <v>979</v>
      </c>
    </row>
    <row r="37" spans="3:3" x14ac:dyDescent="0.25">
      <c r="C37" t="s">
        <v>980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283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284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285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286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287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288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289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290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291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292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293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294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295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296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297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298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299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300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301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302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303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304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305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306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307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308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309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310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311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312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313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314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315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316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317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318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319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320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321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322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323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324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325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326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327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328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329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330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331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332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333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334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335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336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337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338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339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340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341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342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343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344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345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346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347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348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349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350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351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352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353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354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355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356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357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358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359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360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361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362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363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364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365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366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367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368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369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370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371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372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373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374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375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376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377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378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379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380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381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382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383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384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385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386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387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388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389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390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391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392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393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394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395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396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397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398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399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400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401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402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403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404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405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406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407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408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409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410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411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412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2017-03-14T15:48:38Z</dcterms:modified>
</cp:coreProperties>
</file>