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9" i="1" l="1"/>
  <c r="X190" i="1"/>
  <c r="X191" i="1"/>
  <c r="X192" i="1"/>
  <c r="K14" i="1" l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T17" i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X20" i="1"/>
  <c r="Y20" i="1"/>
  <c r="Z20" i="1"/>
  <c r="AB20" i="1"/>
  <c r="AC20" i="1"/>
  <c r="AD20" i="1"/>
  <c r="T20" i="1" s="1"/>
  <c r="AE20" i="1"/>
  <c r="AF20" i="1"/>
  <c r="AG20" i="1"/>
  <c r="AH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H21" i="1"/>
  <c r="K22" i="1"/>
  <c r="L22" i="1"/>
  <c r="M22" i="1"/>
  <c r="P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V23" i="1"/>
  <c r="Y23" i="1"/>
  <c r="Z23" i="1"/>
  <c r="AA23" i="1" s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S20" i="3" s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P26" i="1" s="1"/>
  <c r="V26" i="1"/>
  <c r="S23" i="3" s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S34" i="3" s="1"/>
  <c r="Y30" i="1"/>
  <c r="Z30" i="1"/>
  <c r="AA30" i="1" s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S8" i="3" s="1"/>
  <c r="Y31" i="1"/>
  <c r="Z31" i="1"/>
  <c r="AA31" i="1" s="1"/>
  <c r="AB31" i="1"/>
  <c r="AC31" i="1"/>
  <c r="AD31" i="1"/>
  <c r="T31" i="1" s="1"/>
  <c r="AE31" i="1"/>
  <c r="AF31" i="1"/>
  <c r="AG31" i="1"/>
  <c r="AH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S10" i="3" s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T48" i="1"/>
  <c r="V48" i="1"/>
  <c r="S19" i="3" s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R13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T63" i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AA75" i="1" s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G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R16" i="3" s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5" i="3" s="1"/>
  <c r="AF90" i="1"/>
  <c r="AH90" i="1"/>
  <c r="K91" i="1"/>
  <c r="L91" i="1"/>
  <c r="M91" i="1"/>
  <c r="N91" i="1" s="1"/>
  <c r="T91" i="1"/>
  <c r="V91" i="1"/>
  <c r="X91" i="1"/>
  <c r="Y91" i="1"/>
  <c r="Z91" i="1"/>
  <c r="AB91" i="1"/>
  <c r="AC91" i="1"/>
  <c r="AD91" i="1"/>
  <c r="AE91" i="1"/>
  <c r="AF91" i="1"/>
  <c r="AG91" i="1"/>
  <c r="AH91" i="1"/>
  <c r="K92" i="1"/>
  <c r="L92" i="1"/>
  <c r="M92" i="1"/>
  <c r="N92" i="1" s="1"/>
  <c r="V92" i="1"/>
  <c r="X92" i="1"/>
  <c r="Y92" i="1"/>
  <c r="Z92" i="1"/>
  <c r="AA92" i="1" s="1"/>
  <c r="W92" i="1" s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R11" i="3" s="1"/>
  <c r="AF93" i="1"/>
  <c r="AH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R17" i="3" s="1"/>
  <c r="AF94" i="1"/>
  <c r="AG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S9" i="3" s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T102" i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R22" i="3" s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S29" i="3" s="1"/>
  <c r="Y114" i="1"/>
  <c r="Z114" i="1"/>
  <c r="AB114" i="1"/>
  <c r="AC114" i="1"/>
  <c r="AD114" i="1"/>
  <c r="X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A124" i="1" s="1"/>
  <c r="W124" i="1" s="1"/>
  <c r="AB124" i="1"/>
  <c r="AC124" i="1"/>
  <c r="AD124" i="1"/>
  <c r="AG124" i="1" s="1"/>
  <c r="AE124" i="1"/>
  <c r="AF124" i="1"/>
  <c r="AH124" i="1"/>
  <c r="K125" i="1"/>
  <c r="L125" i="1"/>
  <c r="M125" i="1"/>
  <c r="N125" i="1"/>
  <c r="V125" i="1"/>
  <c r="Y125" i="1"/>
  <c r="AA125" i="1" s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S21" i="3" s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A133" i="1" s="1"/>
  <c r="W133" i="1" s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G134" i="1"/>
  <c r="AI134" i="1" s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AA136" i="1" s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T144" i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S31" i="3" s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/>
  <c r="V154" i="1"/>
  <c r="Y154" i="1"/>
  <c r="AA154" i="1" s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2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5" i="1"/>
  <c r="K227" i="1"/>
  <c r="L227" i="1"/>
  <c r="M227" i="1"/>
  <c r="N227" i="1" s="1"/>
  <c r="V227" i="1"/>
  <c r="S43" i="3" s="1"/>
  <c r="Y227" i="1"/>
  <c r="Z227" i="1"/>
  <c r="AB227" i="1"/>
  <c r="AC227" i="1"/>
  <c r="AD227" i="1"/>
  <c r="AG227" i="1" s="1"/>
  <c r="AE227" i="1"/>
  <c r="R43" i="3" s="1"/>
  <c r="AF227" i="1"/>
  <c r="AH176" i="1"/>
  <c r="K228" i="1"/>
  <c r="L228" i="1"/>
  <c r="M228" i="1"/>
  <c r="N228" i="1"/>
  <c r="V228" i="1"/>
  <c r="Y228" i="1"/>
  <c r="AA228" i="1" s="1"/>
  <c r="Z228" i="1"/>
  <c r="AB228" i="1"/>
  <c r="AC228" i="1"/>
  <c r="AD228" i="1"/>
  <c r="AG228" i="1" s="1"/>
  <c r="AE228" i="1"/>
  <c r="AF228" i="1"/>
  <c r="AH17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/>
  <c r="V160" i="1"/>
  <c r="Y160" i="1"/>
  <c r="Z160" i="1"/>
  <c r="AB160" i="1"/>
  <c r="AC160" i="1"/>
  <c r="AD160" i="1"/>
  <c r="T160" i="1" s="1"/>
  <c r="AE160" i="1"/>
  <c r="AF160" i="1"/>
  <c r="AH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0" i="1"/>
  <c r="K163" i="1"/>
  <c r="L163" i="1"/>
  <c r="M163" i="1"/>
  <c r="N163" i="1" s="1"/>
  <c r="T163" i="1"/>
  <c r="V163" i="1"/>
  <c r="Y163" i="1"/>
  <c r="Z163" i="1"/>
  <c r="AB163" i="1"/>
  <c r="AC163" i="1"/>
  <c r="AD163" i="1"/>
  <c r="AG163" i="1" s="1"/>
  <c r="AE163" i="1"/>
  <c r="AF163" i="1"/>
  <c r="AH18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5" i="1"/>
  <c r="K168" i="1"/>
  <c r="L168" i="1"/>
  <c r="M168" i="1"/>
  <c r="N168" i="1"/>
  <c r="V168" i="1"/>
  <c r="Y168" i="1"/>
  <c r="AB168" i="1"/>
  <c r="AC168" i="1"/>
  <c r="AD168" i="1"/>
  <c r="AG168" i="1" s="1"/>
  <c r="AE168" i="1"/>
  <c r="R36" i="3" s="1"/>
  <c r="AF168" i="1"/>
  <c r="AH186" i="1"/>
  <c r="K169" i="1"/>
  <c r="L169" i="1"/>
  <c r="M169" i="1"/>
  <c r="N169" i="1" s="1"/>
  <c r="V169" i="1"/>
  <c r="S39" i="3" s="1"/>
  <c r="Y169" i="1"/>
  <c r="AB169" i="1"/>
  <c r="AC169" i="1"/>
  <c r="AD169" i="1"/>
  <c r="T169" i="1" s="1"/>
  <c r="AE169" i="1"/>
  <c r="AF169" i="1"/>
  <c r="AH187" i="1"/>
  <c r="K170" i="1"/>
  <c r="L170" i="1"/>
  <c r="M170" i="1"/>
  <c r="N170" i="1" s="1"/>
  <c r="V170" i="1"/>
  <c r="Y170" i="1"/>
  <c r="AA170" i="1" s="1"/>
  <c r="Z170" i="1"/>
  <c r="AB170" i="1"/>
  <c r="AC170" i="1"/>
  <c r="AD170" i="1"/>
  <c r="T170" i="1" s="1"/>
  <c r="AE170" i="1"/>
  <c r="AF170" i="1"/>
  <c r="AH188" i="1"/>
  <c r="K171" i="1"/>
  <c r="L171" i="1"/>
  <c r="M171" i="1"/>
  <c r="N171" i="1" s="1"/>
  <c r="V171" i="1"/>
  <c r="Y171" i="1"/>
  <c r="AA171" i="1" s="1"/>
  <c r="Z171" i="1"/>
  <c r="AB171" i="1"/>
  <c r="AC171" i="1"/>
  <c r="AD171" i="1"/>
  <c r="AG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V174" i="1"/>
  <c r="S37" i="3" s="1"/>
  <c r="Y174" i="1"/>
  <c r="Z174" i="1"/>
  <c r="AB174" i="1"/>
  <c r="AC174" i="1"/>
  <c r="AD174" i="1"/>
  <c r="AG174" i="1" s="1"/>
  <c r="AE174" i="1"/>
  <c r="R37" i="3" s="1"/>
  <c r="AF174" i="1"/>
  <c r="AH191" i="1"/>
  <c r="K175" i="1"/>
  <c r="L175" i="1"/>
  <c r="M175" i="1"/>
  <c r="N175" i="1"/>
  <c r="V175" i="1"/>
  <c r="Y175" i="1"/>
  <c r="AA175" i="1" s="1"/>
  <c r="Z175" i="1"/>
  <c r="AB175" i="1"/>
  <c r="AC175" i="1"/>
  <c r="AD175" i="1"/>
  <c r="AG175" i="1" s="1"/>
  <c r="AE175" i="1"/>
  <c r="AF175" i="1"/>
  <c r="AH19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3" i="1"/>
  <c r="K177" i="1"/>
  <c r="L177" i="1"/>
  <c r="M177" i="1"/>
  <c r="N177" i="1" s="1"/>
  <c r="V177" i="1"/>
  <c r="S38" i="3" s="1"/>
  <c r="Y177" i="1"/>
  <c r="Z177" i="1"/>
  <c r="AB177" i="1"/>
  <c r="AC177" i="1"/>
  <c r="AD177" i="1"/>
  <c r="T177" i="1" s="1"/>
  <c r="AE177" i="1"/>
  <c r="AF177" i="1"/>
  <c r="AH194" i="1"/>
  <c r="AH19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G180" i="1"/>
  <c r="AH198" i="1"/>
  <c r="K181" i="1"/>
  <c r="L181" i="1"/>
  <c r="M181" i="1"/>
  <c r="N181" i="1" s="1"/>
  <c r="V181" i="1"/>
  <c r="Y181" i="1"/>
  <c r="AA181" i="1" s="1"/>
  <c r="Z181" i="1"/>
  <c r="AB181" i="1"/>
  <c r="AC181" i="1"/>
  <c r="AD181" i="1"/>
  <c r="X181" i="1" s="1"/>
  <c r="AE181" i="1"/>
  <c r="AF181" i="1"/>
  <c r="AH19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R40" i="3" s="1"/>
  <c r="AF182" i="1"/>
  <c r="AH20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3" i="1"/>
  <c r="K186" i="1"/>
  <c r="L186" i="1"/>
  <c r="M186" i="1"/>
  <c r="P186" i="1" s="1"/>
  <c r="V186" i="1"/>
  <c r="Y186" i="1"/>
  <c r="Z186" i="1"/>
  <c r="AB186" i="1"/>
  <c r="AC186" i="1"/>
  <c r="AD186" i="1"/>
  <c r="AG186" i="1" s="1"/>
  <c r="AE186" i="1"/>
  <c r="AF186" i="1"/>
  <c r="AH20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6" i="1"/>
  <c r="K189" i="1"/>
  <c r="L189" i="1"/>
  <c r="M189" i="1"/>
  <c r="P189" i="1" s="1"/>
  <c r="V189" i="1"/>
  <c r="Y189" i="1"/>
  <c r="Z189" i="1"/>
  <c r="AB189" i="1"/>
  <c r="AC189" i="1"/>
  <c r="AD189" i="1"/>
  <c r="AG189" i="1" s="1"/>
  <c r="AE189" i="1"/>
  <c r="AF189" i="1"/>
  <c r="AH207" i="1"/>
  <c r="AH208" i="1"/>
  <c r="K190" i="1"/>
  <c r="L190" i="1"/>
  <c r="M190" i="1"/>
  <c r="N190" i="1"/>
  <c r="V190" i="1"/>
  <c r="Y190" i="1"/>
  <c r="Z190" i="1"/>
  <c r="AB190" i="1"/>
  <c r="AC190" i="1"/>
  <c r="AD190" i="1"/>
  <c r="AG190" i="1" s="1"/>
  <c r="AE190" i="1"/>
  <c r="AF190" i="1"/>
  <c r="AH20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5" i="1"/>
  <c r="K219" i="1"/>
  <c r="L219" i="1"/>
  <c r="M219" i="1"/>
  <c r="N219" i="1" s="1"/>
  <c r="V219" i="1"/>
  <c r="S41" i="3" s="1"/>
  <c r="Y219" i="1"/>
  <c r="Z219" i="1"/>
  <c r="AB219" i="1"/>
  <c r="AC219" i="1"/>
  <c r="AD219" i="1"/>
  <c r="X219" i="1" s="1"/>
  <c r="AE219" i="1"/>
  <c r="R41" i="3" s="1"/>
  <c r="AF219" i="1"/>
  <c r="AH22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8" i="1"/>
  <c r="M14" i="3"/>
  <c r="N14" i="3"/>
  <c r="U14" i="3"/>
  <c r="T14" i="3" s="1"/>
  <c r="V14" i="3"/>
  <c r="W14" i="3"/>
  <c r="X14" i="3"/>
  <c r="AC14" i="3"/>
  <c r="M15" i="3"/>
  <c r="N15" i="3"/>
  <c r="U15" i="3"/>
  <c r="T15" i="3" s="1"/>
  <c r="V15" i="3"/>
  <c r="W15" i="3"/>
  <c r="Y15" i="3" s="1"/>
  <c r="X15" i="3"/>
  <c r="AC15" i="3"/>
  <c r="M33" i="3"/>
  <c r="N33" i="3"/>
  <c r="R33" i="3"/>
  <c r="S33" i="3"/>
  <c r="U33" i="3"/>
  <c r="AC33" i="3" s="1"/>
  <c r="V33" i="3"/>
  <c r="W33" i="3"/>
  <c r="X33" i="3"/>
  <c r="M23" i="3"/>
  <c r="N23" i="3"/>
  <c r="R23" i="3"/>
  <c r="U23" i="3"/>
  <c r="T23" i="3" s="1"/>
  <c r="V23" i="3"/>
  <c r="W23" i="3"/>
  <c r="X23" i="3"/>
  <c r="Y23" i="3"/>
  <c r="M41" i="3"/>
  <c r="N41" i="3"/>
  <c r="U41" i="3"/>
  <c r="T41" i="3" s="1"/>
  <c r="V41" i="3"/>
  <c r="W41" i="3"/>
  <c r="X41" i="3"/>
  <c r="M34" i="3"/>
  <c r="N34" i="3"/>
  <c r="R34" i="3"/>
  <c r="T34" i="3"/>
  <c r="U34" i="3"/>
  <c r="V34" i="3"/>
  <c r="W34" i="3"/>
  <c r="X34" i="3"/>
  <c r="AC34" i="3"/>
  <c r="M20" i="3"/>
  <c r="N20" i="3"/>
  <c r="R20" i="3"/>
  <c r="U20" i="3"/>
  <c r="AC20" i="3" s="1"/>
  <c r="V20" i="3"/>
  <c r="W20" i="3"/>
  <c r="Y20" i="3" s="1"/>
  <c r="X20" i="3"/>
  <c r="M35" i="3"/>
  <c r="N35" i="3"/>
  <c r="R35" i="3"/>
  <c r="S35" i="3"/>
  <c r="U35" i="3"/>
  <c r="AC35" i="3" s="1"/>
  <c r="V35" i="3"/>
  <c r="W35" i="3"/>
  <c r="X35" i="3"/>
  <c r="M8" i="3"/>
  <c r="N8" i="3"/>
  <c r="R8" i="3"/>
  <c r="U8" i="3"/>
  <c r="T8" i="3" s="1"/>
  <c r="V8" i="3"/>
  <c r="W8" i="3"/>
  <c r="X8" i="3"/>
  <c r="M12" i="3"/>
  <c r="N12" i="3"/>
  <c r="R12" i="3"/>
  <c r="S12" i="3"/>
  <c r="U12" i="3"/>
  <c r="T12" i="3" s="1"/>
  <c r="V12" i="3"/>
  <c r="W12" i="3"/>
  <c r="X12" i="3"/>
  <c r="AC12" i="3"/>
  <c r="M19" i="3"/>
  <c r="N19" i="3"/>
  <c r="R19" i="3"/>
  <c r="U19" i="3"/>
  <c r="AC19" i="3" s="1"/>
  <c r="V19" i="3"/>
  <c r="W19" i="3"/>
  <c r="Y19" i="3" s="1"/>
  <c r="X19" i="3"/>
  <c r="M36" i="3"/>
  <c r="N36" i="3"/>
  <c r="S36" i="3"/>
  <c r="U36" i="3"/>
  <c r="T36" i="3" s="1"/>
  <c r="V36" i="3"/>
  <c r="W36" i="3"/>
  <c r="Y36" i="3" s="1"/>
  <c r="X36" i="3"/>
  <c r="M10" i="3"/>
  <c r="N10" i="3"/>
  <c r="R10" i="3"/>
  <c r="U10" i="3"/>
  <c r="T10" i="3" s="1"/>
  <c r="V10" i="3"/>
  <c r="W10" i="3"/>
  <c r="Y10" i="3" s="1"/>
  <c r="X10" i="3"/>
  <c r="M39" i="3"/>
  <c r="N39" i="3"/>
  <c r="R39" i="3"/>
  <c r="U39" i="3"/>
  <c r="T39" i="3" s="1"/>
  <c r="V39" i="3"/>
  <c r="W39" i="3"/>
  <c r="X39" i="3"/>
  <c r="AC39" i="3"/>
  <c r="M13" i="3"/>
  <c r="N13" i="3"/>
  <c r="S13" i="3"/>
  <c r="U13" i="3"/>
  <c r="AC13" i="3" s="1"/>
  <c r="V13" i="3"/>
  <c r="W13" i="3"/>
  <c r="X13" i="3"/>
  <c r="Y13" i="3"/>
  <c r="M37" i="3"/>
  <c r="N37" i="3"/>
  <c r="U37" i="3"/>
  <c r="AC37" i="3" s="1"/>
  <c r="V37" i="3"/>
  <c r="W37" i="3"/>
  <c r="Y37" i="3" s="1"/>
  <c r="X37" i="3"/>
  <c r="M7" i="3"/>
  <c r="N7" i="3"/>
  <c r="R7" i="3"/>
  <c r="S7" i="3"/>
  <c r="U7" i="3"/>
  <c r="T7" i="3" s="1"/>
  <c r="V7" i="3"/>
  <c r="W7" i="3"/>
  <c r="X7" i="3"/>
  <c r="M26" i="3"/>
  <c r="N26" i="3"/>
  <c r="R26" i="3"/>
  <c r="S26" i="3"/>
  <c r="T26" i="3"/>
  <c r="U26" i="3"/>
  <c r="V26" i="3"/>
  <c r="W26" i="3"/>
  <c r="Y26" i="3" s="1"/>
  <c r="X26" i="3"/>
  <c r="AC26" i="3"/>
  <c r="M24" i="3"/>
  <c r="N24" i="3"/>
  <c r="R24" i="3"/>
  <c r="S24" i="3"/>
  <c r="U24" i="3"/>
  <c r="AC24" i="3" s="1"/>
  <c r="V24" i="3"/>
  <c r="W24" i="3"/>
  <c r="Y24" i="3" s="1"/>
  <c r="X24" i="3"/>
  <c r="M38" i="3"/>
  <c r="N38" i="3"/>
  <c r="R38" i="3"/>
  <c r="U38" i="3"/>
  <c r="T38" i="3" s="1"/>
  <c r="V38" i="3"/>
  <c r="W38" i="3"/>
  <c r="Y38" i="3" s="1"/>
  <c r="X38" i="3"/>
  <c r="M18" i="3"/>
  <c r="N18" i="3"/>
  <c r="R18" i="3"/>
  <c r="S18" i="3"/>
  <c r="U18" i="3"/>
  <c r="T18" i="3" s="1"/>
  <c r="V18" i="3"/>
  <c r="W18" i="3"/>
  <c r="X18" i="3"/>
  <c r="M16" i="3"/>
  <c r="N16" i="3"/>
  <c r="S16" i="3"/>
  <c r="T16" i="3"/>
  <c r="U16" i="3"/>
  <c r="V16" i="3"/>
  <c r="W16" i="3"/>
  <c r="X16" i="3"/>
  <c r="AC16" i="3"/>
  <c r="M11" i="3"/>
  <c r="N11" i="3"/>
  <c r="S11" i="3"/>
  <c r="U11" i="3"/>
  <c r="AC11" i="3" s="1"/>
  <c r="V11" i="3"/>
  <c r="W11" i="3"/>
  <c r="Y11" i="3" s="1"/>
  <c r="X11" i="3"/>
  <c r="M27" i="3"/>
  <c r="N27" i="3"/>
  <c r="R27" i="3"/>
  <c r="S27" i="3"/>
  <c r="U27" i="3"/>
  <c r="AC27" i="3" s="1"/>
  <c r="V27" i="3"/>
  <c r="W27" i="3"/>
  <c r="Y27" i="3" s="1"/>
  <c r="X27" i="3"/>
  <c r="M25" i="3"/>
  <c r="N25" i="3"/>
  <c r="S25" i="3"/>
  <c r="U25" i="3"/>
  <c r="T25" i="3" s="1"/>
  <c r="V25" i="3"/>
  <c r="W25" i="3"/>
  <c r="X25" i="3"/>
  <c r="M17" i="3"/>
  <c r="N17" i="3"/>
  <c r="S17" i="3"/>
  <c r="U17" i="3"/>
  <c r="T17" i="3" s="1"/>
  <c r="V17" i="3"/>
  <c r="W17" i="3"/>
  <c r="X17" i="3"/>
  <c r="AC17" i="3"/>
  <c r="M40" i="3"/>
  <c r="N40" i="3"/>
  <c r="S40" i="3"/>
  <c r="U40" i="3"/>
  <c r="AC40" i="3" s="1"/>
  <c r="V40" i="3"/>
  <c r="W40" i="3"/>
  <c r="X40" i="3"/>
  <c r="M9" i="3"/>
  <c r="N9" i="3"/>
  <c r="R9" i="3"/>
  <c r="U9" i="3"/>
  <c r="T9" i="3" s="1"/>
  <c r="V9" i="3"/>
  <c r="W9" i="3"/>
  <c r="X9" i="3"/>
  <c r="Y9" i="3"/>
  <c r="M22" i="3"/>
  <c r="N22" i="3"/>
  <c r="S22" i="3"/>
  <c r="U22" i="3"/>
  <c r="T22" i="3" s="1"/>
  <c r="V22" i="3"/>
  <c r="W22" i="3"/>
  <c r="Y22" i="3" s="1"/>
  <c r="X22" i="3"/>
  <c r="M28" i="3"/>
  <c r="N28" i="3"/>
  <c r="R28" i="3"/>
  <c r="S28" i="3"/>
  <c r="U28" i="3"/>
  <c r="T28" i="3" s="1"/>
  <c r="V28" i="3"/>
  <c r="W28" i="3"/>
  <c r="X28" i="3"/>
  <c r="AC28" i="3"/>
  <c r="M29" i="3"/>
  <c r="N29" i="3"/>
  <c r="R29" i="3"/>
  <c r="U29" i="3"/>
  <c r="AC29" i="3" s="1"/>
  <c r="V29" i="3"/>
  <c r="W29" i="3"/>
  <c r="X29" i="3"/>
  <c r="Y29" i="3"/>
  <c r="M43" i="3"/>
  <c r="N43" i="3"/>
  <c r="U43" i="3"/>
  <c r="AC43" i="3" s="1"/>
  <c r="V43" i="3"/>
  <c r="W43" i="3"/>
  <c r="X43" i="3"/>
  <c r="M21" i="3"/>
  <c r="N21" i="3"/>
  <c r="R21" i="3"/>
  <c r="U21" i="3"/>
  <c r="T21" i="3" s="1"/>
  <c r="V21" i="3"/>
  <c r="W21" i="3"/>
  <c r="X21" i="3"/>
  <c r="M30" i="3"/>
  <c r="N30" i="3"/>
  <c r="R30" i="3"/>
  <c r="S30" i="3"/>
  <c r="T30" i="3"/>
  <c r="U30" i="3"/>
  <c r="V30" i="3"/>
  <c r="W30" i="3"/>
  <c r="Y30" i="3" s="1"/>
  <c r="X30" i="3"/>
  <c r="AC30" i="3"/>
  <c r="M31" i="3"/>
  <c r="N31" i="3"/>
  <c r="R31" i="3"/>
  <c r="U31" i="3"/>
  <c r="AC31" i="3" s="1"/>
  <c r="V31" i="3"/>
  <c r="W31" i="3"/>
  <c r="Y31" i="3" s="1"/>
  <c r="X31" i="3"/>
  <c r="M32" i="3"/>
  <c r="N32" i="3"/>
  <c r="R32" i="3"/>
  <c r="S32" i="3"/>
  <c r="U32" i="3"/>
  <c r="T32" i="3" s="1"/>
  <c r="V32" i="3"/>
  <c r="W32" i="3"/>
  <c r="Y32" i="3" s="1"/>
  <c r="X32" i="3"/>
  <c r="X220" i="1" l="1"/>
  <c r="AA219" i="1"/>
  <c r="W219" i="1" s="1"/>
  <c r="T219" i="1"/>
  <c r="AA188" i="1"/>
  <c r="AA187" i="1"/>
  <c r="AI223" i="1"/>
  <c r="AA210" i="1"/>
  <c r="AA209" i="1"/>
  <c r="AA208" i="1"/>
  <c r="W208" i="1" s="1"/>
  <c r="AA158" i="1"/>
  <c r="AA115" i="1"/>
  <c r="AA114" i="1"/>
  <c r="T114" i="1"/>
  <c r="AA102" i="1"/>
  <c r="W102" i="1" s="1"/>
  <c r="AA50" i="1"/>
  <c r="W50" i="1" s="1"/>
  <c r="AA49" i="1"/>
  <c r="P48" i="1"/>
  <c r="AG39" i="1"/>
  <c r="AI17" i="1"/>
  <c r="T136" i="1"/>
  <c r="W134" i="1"/>
  <c r="AG19" i="1"/>
  <c r="AA221" i="1"/>
  <c r="AA220" i="1"/>
  <c r="AG219" i="1"/>
  <c r="AA218" i="1"/>
  <c r="AA205" i="1"/>
  <c r="T180" i="1"/>
  <c r="X180" i="1"/>
  <c r="AG179" i="1"/>
  <c r="X179" i="1"/>
  <c r="AG178" i="1"/>
  <c r="X178" i="1"/>
  <c r="AA148" i="1"/>
  <c r="W148" i="1" s="1"/>
  <c r="AA143" i="1"/>
  <c r="AA142" i="1"/>
  <c r="AG114" i="1"/>
  <c r="U114" i="1" s="1"/>
  <c r="AA111" i="1"/>
  <c r="AA61" i="1"/>
  <c r="AG53" i="1"/>
  <c r="X40" i="1"/>
  <c r="AA39" i="1"/>
  <c r="AA38" i="1"/>
  <c r="T189" i="1"/>
  <c r="W171" i="1"/>
  <c r="T140" i="1"/>
  <c r="U140" i="1" s="1"/>
  <c r="S140" i="1" s="1"/>
  <c r="W31" i="1"/>
  <c r="W228" i="1"/>
  <c r="U180" i="1"/>
  <c r="S180" i="1" s="1"/>
  <c r="AG204" i="1"/>
  <c r="X204" i="1"/>
  <c r="AG202" i="1"/>
  <c r="U202" i="1" s="1"/>
  <c r="AA186" i="1"/>
  <c r="W186" i="1" s="1"/>
  <c r="AA185" i="1"/>
  <c r="AA182" i="1"/>
  <c r="W182" i="1" s="1"/>
  <c r="T174" i="1"/>
  <c r="U174" i="1" s="1"/>
  <c r="S174" i="1" s="1"/>
  <c r="AG165" i="1"/>
  <c r="U165" i="1" s="1"/>
  <c r="AA161" i="1"/>
  <c r="X216" i="1"/>
  <c r="AG214" i="1"/>
  <c r="U214" i="1" s="1"/>
  <c r="S214" i="1" s="1"/>
  <c r="AA157" i="1"/>
  <c r="W157" i="1" s="1"/>
  <c r="AG152" i="1"/>
  <c r="T133" i="1"/>
  <c r="AA132" i="1"/>
  <c r="AG128" i="1"/>
  <c r="U128" i="1" s="1"/>
  <c r="S128" i="1" s="1"/>
  <c r="X128" i="1"/>
  <c r="AG117" i="1"/>
  <c r="U117" i="1" s="1"/>
  <c r="AG110" i="1"/>
  <c r="U110" i="1" s="1"/>
  <c r="S110" i="1" s="1"/>
  <c r="AA107" i="1"/>
  <c r="AA106" i="1"/>
  <c r="T106" i="1"/>
  <c r="AG98" i="1"/>
  <c r="U98" i="1" s="1"/>
  <c r="X98" i="1"/>
  <c r="AA95" i="1"/>
  <c r="AA81" i="1"/>
  <c r="AA78" i="1"/>
  <c r="AA77" i="1"/>
  <c r="AA74" i="1"/>
  <c r="AA73" i="1"/>
  <c r="AA72" i="1"/>
  <c r="W72" i="1" s="1"/>
  <c r="T72" i="1"/>
  <c r="U72" i="1" s="1"/>
  <c r="S72" i="1" s="1"/>
  <c r="AA69" i="1"/>
  <c r="AA66" i="1"/>
  <c r="AA65" i="1"/>
  <c r="X59" i="1"/>
  <c r="AA59" i="1"/>
  <c r="AA58" i="1"/>
  <c r="T55" i="1"/>
  <c r="U55" i="1" s="1"/>
  <c r="S55" i="1" s="1"/>
  <c r="AA43" i="1"/>
  <c r="AA42" i="1"/>
  <c r="AA41" i="1"/>
  <c r="AG35" i="1"/>
  <c r="U35" i="1" s="1"/>
  <c r="S35" i="1" s="1"/>
  <c r="AA15" i="1"/>
  <c r="AA204" i="1"/>
  <c r="W204" i="1" s="1"/>
  <c r="AG203" i="1"/>
  <c r="X203" i="1"/>
  <c r="AA202" i="1"/>
  <c r="AA201" i="1"/>
  <c r="AA200" i="1"/>
  <c r="AI178" i="1"/>
  <c r="AA173" i="1"/>
  <c r="W173" i="1" s="1"/>
  <c r="X166" i="1"/>
  <c r="AA166" i="1"/>
  <c r="AA165" i="1"/>
  <c r="AA163" i="1"/>
  <c r="W163" i="1" s="1"/>
  <c r="AA224" i="1"/>
  <c r="W224" i="1" s="1"/>
  <c r="AA217" i="1"/>
  <c r="AA216" i="1"/>
  <c r="AG215" i="1"/>
  <c r="AI215" i="1" s="1"/>
  <c r="X215" i="1"/>
  <c r="AG156" i="1"/>
  <c r="U156" i="1" s="1"/>
  <c r="AG130" i="1"/>
  <c r="AI130" i="1" s="1"/>
  <c r="X129" i="1"/>
  <c r="AG127" i="1"/>
  <c r="AA121" i="1"/>
  <c r="AA120" i="1"/>
  <c r="AG119" i="1"/>
  <c r="AI119" i="1" s="1"/>
  <c r="AA117" i="1"/>
  <c r="AA110" i="1"/>
  <c r="AG106" i="1"/>
  <c r="U106" i="1" s="1"/>
  <c r="AA103" i="1"/>
  <c r="AA99" i="1"/>
  <c r="AA98" i="1"/>
  <c r="AA88" i="1"/>
  <c r="X72" i="1"/>
  <c r="X64" i="1"/>
  <c r="AG58" i="1"/>
  <c r="W58" i="1" s="1"/>
  <c r="AI55" i="1"/>
  <c r="AI50" i="1"/>
  <c r="X49" i="1"/>
  <c r="AG43" i="1"/>
  <c r="AG15" i="1"/>
  <c r="T223" i="1"/>
  <c r="U223" i="1" s="1"/>
  <c r="S223" i="1" s="1"/>
  <c r="T207" i="1"/>
  <c r="U207" i="1" s="1"/>
  <c r="S207" i="1" s="1"/>
  <c r="T145" i="1"/>
  <c r="U145" i="1" s="1"/>
  <c r="S145" i="1" s="1"/>
  <c r="U144" i="1"/>
  <c r="X111" i="1"/>
  <c r="X103" i="1"/>
  <c r="X95" i="1"/>
  <c r="W94" i="1"/>
  <c r="U91" i="1"/>
  <c r="S91" i="1" s="1"/>
  <c r="T75" i="1"/>
  <c r="AA64" i="1"/>
  <c r="W64" i="1" s="1"/>
  <c r="T64" i="1"/>
  <c r="U64" i="1" s="1"/>
  <c r="S64" i="1" s="1"/>
  <c r="AA46" i="1"/>
  <c r="AA45" i="1"/>
  <c r="AA35" i="1"/>
  <c r="AA34" i="1"/>
  <c r="AA33" i="1"/>
  <c r="W33" i="1" s="1"/>
  <c r="X29" i="1"/>
  <c r="AA27" i="1"/>
  <c r="AA26" i="1"/>
  <c r="AA25" i="1"/>
  <c r="W25" i="1" s="1"/>
  <c r="AG23" i="1"/>
  <c r="X21" i="1"/>
  <c r="U17" i="1"/>
  <c r="S17" i="1" s="1"/>
  <c r="X17" i="1"/>
  <c r="AG220" i="1"/>
  <c r="W220" i="1" s="1"/>
  <c r="AG198" i="1"/>
  <c r="U198" i="1" s="1"/>
  <c r="AA196" i="1"/>
  <c r="AG195" i="1"/>
  <c r="AI195" i="1" s="1"/>
  <c r="X195" i="1"/>
  <c r="AA194" i="1"/>
  <c r="AA193" i="1"/>
  <c r="AG185" i="1"/>
  <c r="U185" i="1" s="1"/>
  <c r="S185" i="1" s="1"/>
  <c r="X185" i="1"/>
  <c r="AA184" i="1"/>
  <c r="AA183" i="1"/>
  <c r="W183" i="1" s="1"/>
  <c r="AA178" i="1"/>
  <c r="W178" i="1" s="1"/>
  <c r="AG170" i="1"/>
  <c r="X170" i="1"/>
  <c r="AA169" i="1"/>
  <c r="AA168" i="1"/>
  <c r="W168" i="1" s="1"/>
  <c r="AA159" i="1"/>
  <c r="T227" i="1"/>
  <c r="AA215" i="1"/>
  <c r="W215" i="1" s="1"/>
  <c r="AA211" i="1"/>
  <c r="AA156" i="1"/>
  <c r="W156" i="1" s="1"/>
  <c r="AA152" i="1"/>
  <c r="AA147" i="1"/>
  <c r="AA146" i="1"/>
  <c r="AA145" i="1"/>
  <c r="W145" i="1" s="1"/>
  <c r="AA138" i="1"/>
  <c r="AG131" i="1"/>
  <c r="AI131" i="1" s="1"/>
  <c r="AG122" i="1"/>
  <c r="U122" i="1" s="1"/>
  <c r="S122" i="1" s="1"/>
  <c r="X122" i="1"/>
  <c r="AG115" i="1"/>
  <c r="W115" i="1" s="1"/>
  <c r="AG107" i="1"/>
  <c r="AI107" i="1" s="1"/>
  <c r="AG99" i="1"/>
  <c r="AI99" i="1" s="1"/>
  <c r="AG86" i="1"/>
  <c r="AA79" i="1"/>
  <c r="AG69" i="1"/>
  <c r="U69" i="1" s="1"/>
  <c r="S69" i="1" s="1"/>
  <c r="AA67" i="1"/>
  <c r="AA60" i="1"/>
  <c r="W60" i="1" s="1"/>
  <c r="X33" i="1"/>
  <c r="AG27" i="1"/>
  <c r="W27" i="1" s="1"/>
  <c r="X25" i="1"/>
  <c r="AA22" i="1"/>
  <c r="AG196" i="1"/>
  <c r="X196" i="1"/>
  <c r="AG194" i="1"/>
  <c r="X186" i="1"/>
  <c r="AG184" i="1"/>
  <c r="AI184" i="1" s="1"/>
  <c r="AI182" i="1"/>
  <c r="X171" i="1"/>
  <c r="AG169" i="1"/>
  <c r="AA167" i="1"/>
  <c r="W167" i="1" s="1"/>
  <c r="AA160" i="1"/>
  <c r="AI227" i="1"/>
  <c r="AA212" i="1"/>
  <c r="W212" i="1" s="1"/>
  <c r="X157" i="1"/>
  <c r="AA140" i="1"/>
  <c r="AG138" i="1"/>
  <c r="AI138" i="1" s="1"/>
  <c r="X137" i="1"/>
  <c r="AG132" i="1"/>
  <c r="AI132" i="1" s="1"/>
  <c r="X132" i="1"/>
  <c r="AA131" i="1"/>
  <c r="AA128" i="1"/>
  <c r="AG111" i="1"/>
  <c r="AI111" i="1" s="1"/>
  <c r="AG103" i="1"/>
  <c r="AI103" i="1" s="1"/>
  <c r="AG95" i="1"/>
  <c r="AI95" i="1" s="1"/>
  <c r="AA87" i="1"/>
  <c r="AA86" i="1"/>
  <c r="W86" i="1" s="1"/>
  <c r="AA85" i="1"/>
  <c r="AA84" i="1"/>
  <c r="W84" i="1" s="1"/>
  <c r="AG82" i="1"/>
  <c r="X82" i="1"/>
  <c r="AG71" i="1"/>
  <c r="AG61" i="1"/>
  <c r="U61" i="1" s="1"/>
  <c r="AA53" i="1"/>
  <c r="W53" i="1" s="1"/>
  <c r="AA52" i="1"/>
  <c r="W52" i="1" s="1"/>
  <c r="AG49" i="1"/>
  <c r="AI49" i="1" s="1"/>
  <c r="AA48" i="1"/>
  <c r="W48" i="1" s="1"/>
  <c r="X41" i="1"/>
  <c r="W39" i="1"/>
  <c r="AA37" i="1"/>
  <c r="AA203" i="1"/>
  <c r="W203" i="1" s="1"/>
  <c r="AG200" i="1"/>
  <c r="U200" i="1" s="1"/>
  <c r="S200" i="1" s="1"/>
  <c r="AG199" i="1"/>
  <c r="U199" i="1" s="1"/>
  <c r="X199" i="1"/>
  <c r="AA195" i="1"/>
  <c r="AG192" i="1"/>
  <c r="AA189" i="1"/>
  <c r="W189" i="1" s="1"/>
  <c r="AG188" i="1"/>
  <c r="T186" i="1"/>
  <c r="AA180" i="1"/>
  <c r="W180" i="1" s="1"/>
  <c r="AA179" i="1"/>
  <c r="W179" i="1" s="1"/>
  <c r="AA174" i="1"/>
  <c r="W174" i="1" s="1"/>
  <c r="AG173" i="1"/>
  <c r="AI173" i="1" s="1"/>
  <c r="T171" i="1"/>
  <c r="U171" i="1" s="1"/>
  <c r="S171" i="1" s="1"/>
  <c r="W165" i="1"/>
  <c r="AG164" i="1"/>
  <c r="U164" i="1" s="1"/>
  <c r="AA162" i="1"/>
  <c r="AG160" i="1"/>
  <c r="U160" i="1" s="1"/>
  <c r="X160" i="1"/>
  <c r="AA227" i="1"/>
  <c r="W227" i="1" s="1"/>
  <c r="AA225" i="1"/>
  <c r="AA223" i="1"/>
  <c r="W223" i="1" s="1"/>
  <c r="AG222" i="1"/>
  <c r="U222" i="1" s="1"/>
  <c r="AA214" i="1"/>
  <c r="AA213" i="1"/>
  <c r="X212" i="1"/>
  <c r="AG211" i="1"/>
  <c r="AA207" i="1"/>
  <c r="W207" i="1" s="1"/>
  <c r="AA206" i="1"/>
  <c r="T157" i="1"/>
  <c r="U157" i="1" s="1"/>
  <c r="S157" i="1" s="1"/>
  <c r="AA153" i="1"/>
  <c r="W153" i="1" s="1"/>
  <c r="T153" i="1"/>
  <c r="T148" i="1"/>
  <c r="U148" i="1" s="1"/>
  <c r="S148" i="1" s="1"/>
  <c r="X145" i="1"/>
  <c r="W140" i="1"/>
  <c r="AA139" i="1"/>
  <c r="W136" i="1"/>
  <c r="AA135" i="1"/>
  <c r="X133" i="1"/>
  <c r="AA126" i="1"/>
  <c r="W125" i="1"/>
  <c r="W107" i="1"/>
  <c r="U220" i="1"/>
  <c r="S220" i="1" s="1"/>
  <c r="U219" i="1"/>
  <c r="X200" i="1"/>
  <c r="AA198" i="1"/>
  <c r="AA197" i="1"/>
  <c r="AA191" i="1"/>
  <c r="AA190" i="1"/>
  <c r="T182" i="1"/>
  <c r="T181" i="1"/>
  <c r="AA177" i="1"/>
  <c r="AA176" i="1"/>
  <c r="W176" i="1" s="1"/>
  <c r="X175" i="1"/>
  <c r="X174" i="1"/>
  <c r="W170" i="1"/>
  <c r="T167" i="1"/>
  <c r="U167" i="1" s="1"/>
  <c r="S167" i="1" s="1"/>
  <c r="T166" i="1"/>
  <c r="X163" i="1"/>
  <c r="AG162" i="1"/>
  <c r="U162" i="1" s="1"/>
  <c r="S162" i="1" s="1"/>
  <c r="X228" i="1"/>
  <c r="X224" i="1"/>
  <c r="X223" i="1"/>
  <c r="T216" i="1"/>
  <c r="U216" i="1" s="1"/>
  <c r="S216" i="1" s="1"/>
  <c r="X208" i="1"/>
  <c r="AA155" i="1"/>
  <c r="W152" i="1"/>
  <c r="AA151" i="1"/>
  <c r="AA150" i="1"/>
  <c r="AA149" i="1"/>
  <c r="W149" i="1" s="1"/>
  <c r="T149" i="1"/>
  <c r="X141" i="1"/>
  <c r="U136" i="1"/>
  <c r="S136" i="1" s="1"/>
  <c r="U107" i="1"/>
  <c r="S107" i="1" s="1"/>
  <c r="W41" i="1"/>
  <c r="AI33" i="1"/>
  <c r="AI25" i="1"/>
  <c r="U204" i="1"/>
  <c r="S204" i="1" s="1"/>
  <c r="U203" i="1"/>
  <c r="S203" i="1" s="1"/>
  <c r="AI219" i="1"/>
  <c r="AA199" i="1"/>
  <c r="U196" i="1"/>
  <c r="S196" i="1" s="1"/>
  <c r="U195" i="1"/>
  <c r="W188" i="1"/>
  <c r="T178" i="1"/>
  <c r="U178" i="1" s="1"/>
  <c r="S178" i="1" s="1"/>
  <c r="AA172" i="1"/>
  <c r="W159" i="1"/>
  <c r="U227" i="1"/>
  <c r="S227" i="1" s="1"/>
  <c r="AA222" i="1"/>
  <c r="T212" i="1"/>
  <c r="X153" i="1"/>
  <c r="U152" i="1"/>
  <c r="AA127" i="1"/>
  <c r="W127" i="1" s="1"/>
  <c r="AG126" i="1"/>
  <c r="AI126" i="1" s="1"/>
  <c r="X126" i="1"/>
  <c r="AI124" i="1"/>
  <c r="AG123" i="1"/>
  <c r="W123" i="1" s="1"/>
  <c r="U119" i="1"/>
  <c r="S119" i="1" s="1"/>
  <c r="T109" i="1"/>
  <c r="X110" i="1"/>
  <c r="AG109" i="1"/>
  <c r="AI41" i="1"/>
  <c r="AA192" i="1"/>
  <c r="W192" i="1" s="1"/>
  <c r="AG191" i="1"/>
  <c r="U191" i="1" s="1"/>
  <c r="X182" i="1"/>
  <c r="AG181" i="1"/>
  <c r="W181" i="1" s="1"/>
  <c r="AG177" i="1"/>
  <c r="T175" i="1"/>
  <c r="X167" i="1"/>
  <c r="AG166" i="1"/>
  <c r="U166" i="1" s="1"/>
  <c r="S166" i="1" s="1"/>
  <c r="AA164" i="1"/>
  <c r="W164" i="1" s="1"/>
  <c r="T228" i="1"/>
  <c r="U228" i="1" s="1"/>
  <c r="S228" i="1" s="1"/>
  <c r="T224" i="1"/>
  <c r="U224" i="1" s="1"/>
  <c r="S224" i="1" s="1"/>
  <c r="U215" i="1"/>
  <c r="S215" i="1" s="1"/>
  <c r="T208" i="1"/>
  <c r="U208" i="1" s="1"/>
  <c r="S208" i="1" s="1"/>
  <c r="X149" i="1"/>
  <c r="AA144" i="1"/>
  <c r="W144" i="1" s="1"/>
  <c r="AA141" i="1"/>
  <c r="W141" i="1" s="1"/>
  <c r="T141" i="1"/>
  <c r="U141" i="1" s="1"/>
  <c r="S141" i="1" s="1"/>
  <c r="W138" i="1"/>
  <c r="AA137" i="1"/>
  <c r="T137" i="1"/>
  <c r="U137" i="1" s="1"/>
  <c r="S137" i="1" s="1"/>
  <c r="AA130" i="1"/>
  <c r="W130" i="1" s="1"/>
  <c r="AA129" i="1"/>
  <c r="T129" i="1"/>
  <c r="U129" i="1" s="1"/>
  <c r="S129" i="1" s="1"/>
  <c r="T118" i="1"/>
  <c r="X118" i="1"/>
  <c r="AG118" i="1"/>
  <c r="W117" i="1"/>
  <c r="X119" i="1"/>
  <c r="X115" i="1"/>
  <c r="AA113" i="1"/>
  <c r="AA112" i="1"/>
  <c r="X107" i="1"/>
  <c r="AA105" i="1"/>
  <c r="AA104" i="1"/>
  <c r="AG101" i="1"/>
  <c r="U101" i="1" s="1"/>
  <c r="S101" i="1" s="1"/>
  <c r="X99" i="1"/>
  <c r="AA97" i="1"/>
  <c r="AA96" i="1"/>
  <c r="AA90" i="1"/>
  <c r="AA89" i="1"/>
  <c r="X88" i="1"/>
  <c r="AG87" i="1"/>
  <c r="U87" i="1" s="1"/>
  <c r="X87" i="1"/>
  <c r="AI84" i="1"/>
  <c r="X80" i="1"/>
  <c r="AG79" i="1"/>
  <c r="W79" i="1" s="1"/>
  <c r="AG77" i="1"/>
  <c r="W77" i="1" s="1"/>
  <c r="AA76" i="1"/>
  <c r="W76" i="1" s="1"/>
  <c r="T76" i="1"/>
  <c r="X68" i="1"/>
  <c r="AG67" i="1"/>
  <c r="U67" i="1" s="1"/>
  <c r="S67" i="1" s="1"/>
  <c r="AG65" i="1"/>
  <c r="AI65" i="1" s="1"/>
  <c r="AA63" i="1"/>
  <c r="W63" i="1" s="1"/>
  <c r="AG62" i="1"/>
  <c r="X62" i="1"/>
  <c r="T59" i="1"/>
  <c r="AA57" i="1"/>
  <c r="AA56" i="1"/>
  <c r="AA55" i="1"/>
  <c r="W55" i="1" s="1"/>
  <c r="AG54" i="1"/>
  <c r="U54" i="1" s="1"/>
  <c r="S54" i="1" s="1"/>
  <c r="T49" i="1"/>
  <c r="AG47" i="1"/>
  <c r="U47" i="1" s="1"/>
  <c r="AG45" i="1"/>
  <c r="AG44" i="1"/>
  <c r="U44" i="1" s="1"/>
  <c r="X44" i="1"/>
  <c r="AA40" i="1"/>
  <c r="T40" i="1"/>
  <c r="AG37" i="1"/>
  <c r="AG36" i="1"/>
  <c r="U36" i="1" s="1"/>
  <c r="X36" i="1"/>
  <c r="AA32" i="1"/>
  <c r="T32" i="1"/>
  <c r="AG29" i="1"/>
  <c r="AG28" i="1"/>
  <c r="U28" i="1" s="1"/>
  <c r="X28" i="1"/>
  <c r="AA24" i="1"/>
  <c r="T24" i="1"/>
  <c r="AG21" i="1"/>
  <c r="AA19" i="1"/>
  <c r="W19" i="1" s="1"/>
  <c r="AA18" i="1"/>
  <c r="AA17" i="1"/>
  <c r="W17" i="1" s="1"/>
  <c r="AG16" i="1"/>
  <c r="U16" i="1" s="1"/>
  <c r="X16" i="1"/>
  <c r="W114" i="1"/>
  <c r="W106" i="1"/>
  <c r="U103" i="1"/>
  <c r="S103" i="1" s="1"/>
  <c r="U102" i="1"/>
  <c r="X102" i="1"/>
  <c r="U95" i="1"/>
  <c r="S95" i="1" s="1"/>
  <c r="T92" i="1"/>
  <c r="W75" i="1"/>
  <c r="X63" i="1"/>
  <c r="W61" i="1"/>
  <c r="X55" i="1"/>
  <c r="U53" i="1"/>
  <c r="S53" i="1" s="1"/>
  <c r="U49" i="1"/>
  <c r="U48" i="1"/>
  <c r="X48" i="1"/>
  <c r="X45" i="1"/>
  <c r="T41" i="1"/>
  <c r="U41" i="1" s="1"/>
  <c r="S41" i="1" s="1"/>
  <c r="X37" i="1"/>
  <c r="W35" i="1"/>
  <c r="T33" i="1"/>
  <c r="U33" i="1" s="1"/>
  <c r="S33" i="1" s="1"/>
  <c r="T25" i="1"/>
  <c r="U25" i="1" s="1"/>
  <c r="S25" i="1" s="1"/>
  <c r="AA20" i="1"/>
  <c r="W20" i="1" s="1"/>
  <c r="W15" i="1"/>
  <c r="AA14" i="1"/>
  <c r="AA118" i="1"/>
  <c r="AA116" i="1"/>
  <c r="AG113" i="1"/>
  <c r="AI113" i="1" s="1"/>
  <c r="AA109" i="1"/>
  <c r="W109" i="1" s="1"/>
  <c r="AA108" i="1"/>
  <c r="AG105" i="1"/>
  <c r="U105" i="1" s="1"/>
  <c r="S105" i="1" s="1"/>
  <c r="AA101" i="1"/>
  <c r="W101" i="1" s="1"/>
  <c r="AA100" i="1"/>
  <c r="AG97" i="1"/>
  <c r="AA91" i="1"/>
  <c r="W91" i="1" s="1"/>
  <c r="AG90" i="1"/>
  <c r="U90" i="1" s="1"/>
  <c r="S90" i="1" s="1"/>
  <c r="T88" i="1"/>
  <c r="AA83" i="1"/>
  <c r="W83" i="1" s="1"/>
  <c r="AA80" i="1"/>
  <c r="W80" i="1" s="1"/>
  <c r="T80" i="1"/>
  <c r="U80" i="1" s="1"/>
  <c r="S80" i="1" s="1"/>
  <c r="X76" i="1"/>
  <c r="AG73" i="1"/>
  <c r="AI73" i="1" s="1"/>
  <c r="AA71" i="1"/>
  <c r="W71" i="1" s="1"/>
  <c r="AA70" i="1"/>
  <c r="AA68" i="1"/>
  <c r="T68" i="1"/>
  <c r="AA62" i="1"/>
  <c r="W62" i="1" s="1"/>
  <c r="AG59" i="1"/>
  <c r="AI59" i="1" s="1"/>
  <c r="AG57" i="1"/>
  <c r="AA54" i="1"/>
  <c r="AA51" i="1"/>
  <c r="W51" i="1" s="1"/>
  <c r="AA47" i="1"/>
  <c r="W47" i="1" s="1"/>
  <c r="AA44" i="1"/>
  <c r="AG40" i="1"/>
  <c r="AA36" i="1"/>
  <c r="W36" i="1" s="1"/>
  <c r="AG32" i="1"/>
  <c r="AI32" i="1" s="1"/>
  <c r="AA28" i="1"/>
  <c r="AG24" i="1"/>
  <c r="AA16" i="1"/>
  <c r="W16" i="1" s="1"/>
  <c r="W87" i="1"/>
  <c r="W23" i="1"/>
  <c r="AA21" i="1"/>
  <c r="U20" i="1"/>
  <c r="S20" i="1" s="1"/>
  <c r="AI208" i="1"/>
  <c r="U188" i="1"/>
  <c r="S188" i="1" s="1"/>
  <c r="AI204" i="1"/>
  <c r="U186" i="1"/>
  <c r="S186" i="1" s="1"/>
  <c r="U173" i="1"/>
  <c r="AI189" i="1"/>
  <c r="AI186" i="1"/>
  <c r="AI181" i="1"/>
  <c r="U163" i="1"/>
  <c r="S163" i="1" s="1"/>
  <c r="U194" i="1"/>
  <c r="S194" i="1" s="1"/>
  <c r="W190" i="1"/>
  <c r="AI200" i="1"/>
  <c r="U182" i="1"/>
  <c r="S182" i="1" s="1"/>
  <c r="U169" i="1"/>
  <c r="S169" i="1" s="1"/>
  <c r="AI185" i="1"/>
  <c r="W187" i="1"/>
  <c r="AI196" i="1"/>
  <c r="W175" i="1"/>
  <c r="W172" i="1"/>
  <c r="AI192" i="1"/>
  <c r="U175" i="1"/>
  <c r="S175" i="1" s="1"/>
  <c r="AG218" i="1"/>
  <c r="AI218" i="1" s="1"/>
  <c r="AG221" i="1"/>
  <c r="W221" i="1" s="1"/>
  <c r="S219" i="1"/>
  <c r="X218" i="1"/>
  <c r="AG205" i="1"/>
  <c r="W205" i="1" s="1"/>
  <c r="X202" i="1"/>
  <c r="AG201" i="1"/>
  <c r="AI201" i="1" s="1"/>
  <c r="X198" i="1"/>
  <c r="AG197" i="1"/>
  <c r="AI197" i="1" s="1"/>
  <c r="AI214" i="1"/>
  <c r="X194" i="1"/>
  <c r="AG193" i="1"/>
  <c r="AI193" i="1" s="1"/>
  <c r="S191" i="1"/>
  <c r="T190" i="1"/>
  <c r="U190" i="1" s="1"/>
  <c r="S190" i="1" s="1"/>
  <c r="X187" i="1"/>
  <c r="T187" i="1"/>
  <c r="U187" i="1" s="1"/>
  <c r="S187" i="1" s="1"/>
  <c r="X183" i="1"/>
  <c r="T183" i="1"/>
  <c r="U183" i="1" s="1"/>
  <c r="S183" i="1" s="1"/>
  <c r="AI198" i="1"/>
  <c r="T179" i="1"/>
  <c r="U179" i="1" s="1"/>
  <c r="S179" i="1" s="1"/>
  <c r="AI194" i="1"/>
  <c r="X176" i="1"/>
  <c r="T176" i="1"/>
  <c r="U176" i="1" s="1"/>
  <c r="S176" i="1" s="1"/>
  <c r="AI190" i="1"/>
  <c r="S173" i="1"/>
  <c r="X172" i="1"/>
  <c r="T172" i="1"/>
  <c r="U172" i="1" s="1"/>
  <c r="S172" i="1" s="1"/>
  <c r="AI187" i="1"/>
  <c r="X168" i="1"/>
  <c r="T168" i="1"/>
  <c r="U168" i="1" s="1"/>
  <c r="S168" i="1" s="1"/>
  <c r="AI183" i="1"/>
  <c r="S165" i="1"/>
  <c r="X164" i="1"/>
  <c r="T159" i="1"/>
  <c r="U159" i="1" s="1"/>
  <c r="S159" i="1" s="1"/>
  <c r="X159" i="1"/>
  <c r="AA226" i="1"/>
  <c r="T225" i="1"/>
  <c r="X225" i="1"/>
  <c r="AG225" i="1"/>
  <c r="S222" i="1"/>
  <c r="AI171" i="1"/>
  <c r="T217" i="1"/>
  <c r="X217" i="1"/>
  <c r="AG217" i="1"/>
  <c r="AI217" i="1" s="1"/>
  <c r="W216" i="1"/>
  <c r="AI157" i="1"/>
  <c r="AI141" i="1"/>
  <c r="AI137" i="1"/>
  <c r="AI129" i="1"/>
  <c r="X221" i="1"/>
  <c r="X205" i="1"/>
  <c r="AI221" i="1"/>
  <c r="X201" i="1"/>
  <c r="S198" i="1"/>
  <c r="X197" i="1"/>
  <c r="X193" i="1"/>
  <c r="U192" i="1"/>
  <c r="S192" i="1" s="1"/>
  <c r="U189" i="1"/>
  <c r="S189" i="1" s="1"/>
  <c r="U170" i="1"/>
  <c r="S170" i="1" s="1"/>
  <c r="S164" i="1"/>
  <c r="T226" i="1"/>
  <c r="X226" i="1"/>
  <c r="AI169" i="1"/>
  <c r="U153" i="1"/>
  <c r="S153" i="1" s="1"/>
  <c r="AI153" i="1"/>
  <c r="X162" i="1"/>
  <c r="AG161" i="1"/>
  <c r="W161" i="1" s="1"/>
  <c r="AI176" i="1"/>
  <c r="X227" i="1"/>
  <c r="AG226" i="1"/>
  <c r="AI226" i="1" s="1"/>
  <c r="U212" i="1"/>
  <c r="S212" i="1" s="1"/>
  <c r="AI165" i="1"/>
  <c r="U149" i="1"/>
  <c r="S149" i="1" s="1"/>
  <c r="AI149" i="1"/>
  <c r="AI207" i="1"/>
  <c r="X188" i="1"/>
  <c r="AI203" i="1"/>
  <c r="X184" i="1"/>
  <c r="X177" i="1"/>
  <c r="AI191" i="1"/>
  <c r="X173" i="1"/>
  <c r="AI188" i="1"/>
  <c r="X169" i="1"/>
  <c r="X165" i="1"/>
  <c r="AI180" i="1"/>
  <c r="X161" i="1"/>
  <c r="AI161" i="1"/>
  <c r="AI145" i="1"/>
  <c r="W137" i="1"/>
  <c r="U133" i="1"/>
  <c r="S133" i="1" s="1"/>
  <c r="AI133" i="1"/>
  <c r="W129" i="1"/>
  <c r="X211" i="1"/>
  <c r="AG210" i="1"/>
  <c r="AI210" i="1" s="1"/>
  <c r="X207" i="1"/>
  <c r="AG206" i="1"/>
  <c r="W206" i="1" s="1"/>
  <c r="X156" i="1"/>
  <c r="AG155" i="1"/>
  <c r="X152" i="1"/>
  <c r="AG151" i="1"/>
  <c r="X148" i="1"/>
  <c r="AG147" i="1"/>
  <c r="X144" i="1"/>
  <c r="AG143" i="1"/>
  <c r="X140" i="1"/>
  <c r="AG139" i="1"/>
  <c r="W139" i="1" s="1"/>
  <c r="X136" i="1"/>
  <c r="AG135" i="1"/>
  <c r="U131" i="1"/>
  <c r="S131" i="1" s="1"/>
  <c r="U127" i="1"/>
  <c r="S127" i="1" s="1"/>
  <c r="AI122" i="1"/>
  <c r="AI172" i="1"/>
  <c r="X222" i="1"/>
  <c r="AI168" i="1"/>
  <c r="X214" i="1"/>
  <c r="AG213" i="1"/>
  <c r="AI213" i="1" s="1"/>
  <c r="AI164" i="1"/>
  <c r="X210" i="1"/>
  <c r="AG209" i="1"/>
  <c r="W209" i="1" s="1"/>
  <c r="X206" i="1"/>
  <c r="AG158" i="1"/>
  <c r="X155" i="1"/>
  <c r="AG154" i="1"/>
  <c r="W154" i="1" s="1"/>
  <c r="AI152" i="1"/>
  <c r="S152" i="1"/>
  <c r="X151" i="1"/>
  <c r="AG150" i="1"/>
  <c r="W150" i="1" s="1"/>
  <c r="AI148" i="1"/>
  <c r="X147" i="1"/>
  <c r="AG146" i="1"/>
  <c r="AI144" i="1"/>
  <c r="S144" i="1"/>
  <c r="X143" i="1"/>
  <c r="AG142" i="1"/>
  <c r="W142" i="1" s="1"/>
  <c r="AI140" i="1"/>
  <c r="X139" i="1"/>
  <c r="U138" i="1"/>
  <c r="S138" i="1" s="1"/>
  <c r="AI136" i="1"/>
  <c r="X135" i="1"/>
  <c r="U134" i="1"/>
  <c r="S134" i="1" s="1"/>
  <c r="X131" i="1"/>
  <c r="U130" i="1"/>
  <c r="S130" i="1" s="1"/>
  <c r="X127" i="1"/>
  <c r="AI125" i="1"/>
  <c r="T124" i="1"/>
  <c r="U124" i="1" s="1"/>
  <c r="S124" i="1" s="1"/>
  <c r="T121" i="1"/>
  <c r="X121" i="1"/>
  <c r="U94" i="1"/>
  <c r="S94" i="1" s="1"/>
  <c r="AI92" i="1"/>
  <c r="U92" i="1"/>
  <c r="S92" i="1" s="1"/>
  <c r="W88" i="1"/>
  <c r="U82" i="1"/>
  <c r="S82" i="1" s="1"/>
  <c r="AI167" i="1"/>
  <c r="X213" i="1"/>
  <c r="X209" i="1"/>
  <c r="X158" i="1"/>
  <c r="X154" i="1"/>
  <c r="X150" i="1"/>
  <c r="X146" i="1"/>
  <c r="X142" i="1"/>
  <c r="X138" i="1"/>
  <c r="X134" i="1"/>
  <c r="X130" i="1"/>
  <c r="AI127" i="1"/>
  <c r="T125" i="1"/>
  <c r="U125" i="1" s="1"/>
  <c r="S125" i="1" s="1"/>
  <c r="X125" i="1"/>
  <c r="X124" i="1"/>
  <c r="X123" i="1"/>
  <c r="AA122" i="1"/>
  <c r="AG121" i="1"/>
  <c r="W121" i="1" s="1"/>
  <c r="T120" i="1"/>
  <c r="X120" i="1"/>
  <c r="AG120" i="1"/>
  <c r="W120" i="1" s="1"/>
  <c r="AI88" i="1"/>
  <c r="U88" i="1"/>
  <c r="S88" i="1" s="1"/>
  <c r="S117" i="1"/>
  <c r="AI117" i="1"/>
  <c r="T116" i="1"/>
  <c r="X116" i="1"/>
  <c r="AG116" i="1"/>
  <c r="U86" i="1"/>
  <c r="S86" i="1" s="1"/>
  <c r="U113" i="1"/>
  <c r="S113" i="1" s="1"/>
  <c r="U109" i="1"/>
  <c r="S109" i="1" s="1"/>
  <c r="U97" i="1"/>
  <c r="S97" i="1" s="1"/>
  <c r="X94" i="1"/>
  <c r="AG93" i="1"/>
  <c r="W93" i="1" s="1"/>
  <c r="AI91" i="1"/>
  <c r="X90" i="1"/>
  <c r="AG89" i="1"/>
  <c r="AI87" i="1"/>
  <c r="S87" i="1"/>
  <c r="X86" i="1"/>
  <c r="AG85" i="1"/>
  <c r="T84" i="1"/>
  <c r="U84" i="1" s="1"/>
  <c r="S84" i="1" s="1"/>
  <c r="U83" i="1"/>
  <c r="S83" i="1" s="1"/>
  <c r="T81" i="1"/>
  <c r="X81" i="1"/>
  <c r="AI80" i="1"/>
  <c r="U76" i="1"/>
  <c r="S76" i="1"/>
  <c r="AI76" i="1"/>
  <c r="AI64" i="1"/>
  <c r="W56" i="1"/>
  <c r="AI52" i="1"/>
  <c r="AI118" i="1"/>
  <c r="X117" i="1"/>
  <c r="AI114" i="1"/>
  <c r="S114" i="1"/>
  <c r="X113" i="1"/>
  <c r="AG112" i="1"/>
  <c r="AI110" i="1"/>
  <c r="X109" i="1"/>
  <c r="AG108" i="1"/>
  <c r="W108" i="1" s="1"/>
  <c r="AI106" i="1"/>
  <c r="S106" i="1"/>
  <c r="X105" i="1"/>
  <c r="AG104" i="1"/>
  <c r="W104" i="1" s="1"/>
  <c r="AI102" i="1"/>
  <c r="S102" i="1"/>
  <c r="X101" i="1"/>
  <c r="AG100" i="1"/>
  <c r="AI98" i="1"/>
  <c r="S98" i="1"/>
  <c r="X97" i="1"/>
  <c r="AG96" i="1"/>
  <c r="AI94" i="1"/>
  <c r="X93" i="1"/>
  <c r="X89" i="1"/>
  <c r="AI86" i="1"/>
  <c r="X85" i="1"/>
  <c r="X84" i="1"/>
  <c r="X83" i="1"/>
  <c r="AA82" i="1"/>
  <c r="W82" i="1" s="1"/>
  <c r="AG81" i="1"/>
  <c r="W81" i="1" s="1"/>
  <c r="AI79" i="1"/>
  <c r="AI75" i="1"/>
  <c r="AI56" i="1"/>
  <c r="X112" i="1"/>
  <c r="AI109" i="1"/>
  <c r="X108" i="1"/>
  <c r="X104" i="1"/>
  <c r="X100" i="1"/>
  <c r="AI97" i="1"/>
  <c r="X96" i="1"/>
  <c r="AI83" i="1"/>
  <c r="U79" i="1"/>
  <c r="S79" i="1" s="1"/>
  <c r="T78" i="1"/>
  <c r="X78" i="1"/>
  <c r="AG78" i="1"/>
  <c r="X79" i="1"/>
  <c r="U75" i="1"/>
  <c r="S75" i="1" s="1"/>
  <c r="T74" i="1"/>
  <c r="X74" i="1"/>
  <c r="AG74" i="1"/>
  <c r="W74" i="1" s="1"/>
  <c r="X75" i="1"/>
  <c r="U73" i="1"/>
  <c r="S73" i="1" s="1"/>
  <c r="AI72" i="1"/>
  <c r="W68" i="1"/>
  <c r="AI60" i="1"/>
  <c r="U57" i="1"/>
  <c r="AI82" i="1"/>
  <c r="U68" i="1"/>
  <c r="S68" i="1" s="1"/>
  <c r="AI68" i="1"/>
  <c r="U71" i="1"/>
  <c r="S71" i="1" s="1"/>
  <c r="U63" i="1"/>
  <c r="S63" i="1" s="1"/>
  <c r="AI61" i="1"/>
  <c r="S61" i="1"/>
  <c r="X60" i="1"/>
  <c r="T60" i="1"/>
  <c r="U60" i="1" s="1"/>
  <c r="S60" i="1" s="1"/>
  <c r="AI57" i="1"/>
  <c r="S57" i="1"/>
  <c r="X56" i="1"/>
  <c r="T56" i="1"/>
  <c r="U56" i="1" s="1"/>
  <c r="S56" i="1" s="1"/>
  <c r="AI53" i="1"/>
  <c r="X52" i="1"/>
  <c r="T52" i="1"/>
  <c r="U52" i="1" s="1"/>
  <c r="S52" i="1" s="1"/>
  <c r="S47" i="1"/>
  <c r="AI47" i="1"/>
  <c r="T46" i="1"/>
  <c r="X46" i="1"/>
  <c r="AG46" i="1"/>
  <c r="X71" i="1"/>
  <c r="AG70" i="1"/>
  <c r="X67" i="1"/>
  <c r="AG66" i="1"/>
  <c r="U62" i="1"/>
  <c r="S62" i="1" s="1"/>
  <c r="AI71" i="1"/>
  <c r="X70" i="1"/>
  <c r="AI67" i="1"/>
  <c r="X66" i="1"/>
  <c r="AI63" i="1"/>
  <c r="X58" i="1"/>
  <c r="X54" i="1"/>
  <c r="AI51" i="1"/>
  <c r="T50" i="1"/>
  <c r="U50" i="1" s="1"/>
  <c r="S50" i="1" s="1"/>
  <c r="X77" i="1"/>
  <c r="X73" i="1"/>
  <c r="X69" i="1"/>
  <c r="X65" i="1"/>
  <c r="AI62" i="1"/>
  <c r="X61" i="1"/>
  <c r="AI58" i="1"/>
  <c r="X57" i="1"/>
  <c r="X53" i="1"/>
  <c r="T51" i="1"/>
  <c r="U51" i="1" s="1"/>
  <c r="S51" i="1" s="1"/>
  <c r="X51" i="1"/>
  <c r="X50" i="1"/>
  <c r="U43" i="1"/>
  <c r="S43" i="1" s="1"/>
  <c r="U39" i="1"/>
  <c r="S39" i="1" s="1"/>
  <c r="U31" i="1"/>
  <c r="S31" i="1" s="1"/>
  <c r="U23" i="1"/>
  <c r="S23" i="1" s="1"/>
  <c r="U19" i="1"/>
  <c r="S19" i="1" s="1"/>
  <c r="U15" i="1"/>
  <c r="S15" i="1" s="1"/>
  <c r="AI48" i="1"/>
  <c r="S48" i="1"/>
  <c r="X47" i="1"/>
  <c r="AI44" i="1"/>
  <c r="S44" i="1"/>
  <c r="X43" i="1"/>
  <c r="AG42" i="1"/>
  <c r="AI40" i="1"/>
  <c r="X39" i="1"/>
  <c r="AG38" i="1"/>
  <c r="AI36" i="1"/>
  <c r="S36" i="1"/>
  <c r="X35" i="1"/>
  <c r="AG34" i="1"/>
  <c r="X31" i="1"/>
  <c r="AG30" i="1"/>
  <c r="AI28" i="1"/>
  <c r="S28" i="1"/>
  <c r="X27" i="1"/>
  <c r="AG26" i="1"/>
  <c r="AI24" i="1"/>
  <c r="X23" i="1"/>
  <c r="AG22" i="1"/>
  <c r="AI20" i="1"/>
  <c r="X19" i="1"/>
  <c r="AG18" i="1"/>
  <c r="AI16" i="1"/>
  <c r="S16" i="1"/>
  <c r="X15" i="1"/>
  <c r="AG14" i="1"/>
  <c r="X42" i="1"/>
  <c r="AI39" i="1"/>
  <c r="X38" i="1"/>
  <c r="X34" i="1"/>
  <c r="AI31" i="1"/>
  <c r="X30" i="1"/>
  <c r="X26" i="1"/>
  <c r="AI23" i="1"/>
  <c r="X22" i="1"/>
  <c r="AI19" i="1"/>
  <c r="X18" i="1"/>
  <c r="AI15" i="1"/>
  <c r="Y43" i="3"/>
  <c r="Y40" i="3"/>
  <c r="Y17" i="3"/>
  <c r="Y18" i="3"/>
  <c r="Y12" i="3"/>
  <c r="Y41" i="3"/>
  <c r="Y14" i="3"/>
  <c r="Y35" i="3"/>
  <c r="Y33" i="3"/>
  <c r="Y21" i="3"/>
  <c r="Y25" i="3"/>
  <c r="Y7" i="3"/>
  <c r="Y8" i="3"/>
  <c r="AC32" i="3"/>
  <c r="T43" i="3"/>
  <c r="Y28" i="3"/>
  <c r="AC9" i="3"/>
  <c r="T27" i="3"/>
  <c r="Y16" i="3"/>
  <c r="AC38" i="3"/>
  <c r="T37" i="3"/>
  <c r="Y39" i="3"/>
  <c r="AC36" i="3"/>
  <c r="T35" i="3"/>
  <c r="Y34" i="3"/>
  <c r="AC23" i="3"/>
  <c r="T31" i="3"/>
  <c r="AC21" i="3"/>
  <c r="T29" i="3"/>
  <c r="AC22" i="3"/>
  <c r="T40" i="3"/>
  <c r="AC25" i="3"/>
  <c r="T11" i="3"/>
  <c r="AC18" i="3"/>
  <c r="T24" i="3"/>
  <c r="AC7" i="3"/>
  <c r="T13" i="3"/>
  <c r="AC10" i="3"/>
  <c r="T19" i="3"/>
  <c r="AC8" i="3"/>
  <c r="T20" i="3"/>
  <c r="AC41" i="3"/>
  <c r="T33" i="3"/>
  <c r="S42" i="3"/>
  <c r="M42" i="3"/>
  <c r="N42" i="3"/>
  <c r="R42" i="3"/>
  <c r="U42" i="3"/>
  <c r="T42" i="3" s="1"/>
  <c r="V42" i="3"/>
  <c r="W42" i="3"/>
  <c r="X42" i="3"/>
  <c r="W70" i="1" l="1"/>
  <c r="AI101" i="1"/>
  <c r="U40" i="1"/>
  <c r="S40" i="1" s="1"/>
  <c r="W131" i="1"/>
  <c r="W43" i="1"/>
  <c r="W98" i="1"/>
  <c r="W110" i="1"/>
  <c r="W217" i="1"/>
  <c r="W26" i="1"/>
  <c r="AI90" i="1"/>
  <c r="AI128" i="1"/>
  <c r="W147" i="1"/>
  <c r="W67" i="1"/>
  <c r="AI69" i="1"/>
  <c r="U59" i="1"/>
  <c r="S59" i="1" s="1"/>
  <c r="W132" i="1"/>
  <c r="W222" i="1"/>
  <c r="W128" i="1"/>
  <c r="W211" i="1"/>
  <c r="W46" i="1"/>
  <c r="U27" i="1"/>
  <c r="S27" i="1" s="1"/>
  <c r="U181" i="1"/>
  <c r="S181" i="1" s="1"/>
  <c r="AI222" i="1"/>
  <c r="AI27" i="1"/>
  <c r="AI35" i="1"/>
  <c r="AI43" i="1"/>
  <c r="AI54" i="1"/>
  <c r="U58" i="1"/>
  <c r="S58" i="1" s="1"/>
  <c r="AI105" i="1"/>
  <c r="W122" i="1"/>
  <c r="AI156" i="1"/>
  <c r="S202" i="1"/>
  <c r="AI202" i="1"/>
  <c r="U184" i="1"/>
  <c r="S184" i="1" s="1"/>
  <c r="W199" i="1"/>
  <c r="U132" i="1"/>
  <c r="S132" i="1" s="1"/>
  <c r="W214" i="1"/>
  <c r="W195" i="1"/>
  <c r="U65" i="1"/>
  <c r="S65" i="1" s="1"/>
  <c r="W135" i="1"/>
  <c r="S160" i="1"/>
  <c r="AI199" i="1"/>
  <c r="S195" i="1"/>
  <c r="S199" i="1"/>
  <c r="U99" i="1"/>
  <c r="S99" i="1" s="1"/>
  <c r="U111" i="1"/>
  <c r="S111" i="1" s="1"/>
  <c r="W166" i="1"/>
  <c r="W160" i="1"/>
  <c r="W185" i="1"/>
  <c r="W202" i="1"/>
  <c r="S156" i="1"/>
  <c r="AI160" i="1"/>
  <c r="W155" i="1"/>
  <c r="U24" i="1"/>
  <c r="S24" i="1" s="1"/>
  <c r="W118" i="1"/>
  <c r="W198" i="1"/>
  <c r="W119" i="1"/>
  <c r="W57" i="1"/>
  <c r="W99" i="1"/>
  <c r="W111" i="1"/>
  <c r="W169" i="1"/>
  <c r="W196" i="1"/>
  <c r="W95" i="1"/>
  <c r="W54" i="1"/>
  <c r="U115" i="1"/>
  <c r="S115" i="1" s="1"/>
  <c r="AI115" i="1"/>
  <c r="W184" i="1"/>
  <c r="W194" i="1"/>
  <c r="W103" i="1"/>
  <c r="U118" i="1"/>
  <c r="S118" i="1" s="1"/>
  <c r="W69" i="1"/>
  <c r="W49" i="1"/>
  <c r="W210" i="1"/>
  <c r="W193" i="1"/>
  <c r="U32" i="1"/>
  <c r="S32" i="1" s="1"/>
  <c r="U21" i="1"/>
  <c r="S21" i="1" s="1"/>
  <c r="AI21" i="1"/>
  <c r="W40" i="1"/>
  <c r="W113" i="1"/>
  <c r="W73" i="1"/>
  <c r="W191" i="1"/>
  <c r="W65" i="1"/>
  <c r="W126" i="1"/>
  <c r="AI209" i="1"/>
  <c r="U29" i="1"/>
  <c r="S29" i="1" s="1"/>
  <c r="AI29" i="1"/>
  <c r="W97" i="1"/>
  <c r="W105" i="1"/>
  <c r="W29" i="1"/>
  <c r="U123" i="1"/>
  <c r="S123" i="1" s="1"/>
  <c r="AI123" i="1"/>
  <c r="W177" i="1"/>
  <c r="W162" i="1"/>
  <c r="W24" i="1"/>
  <c r="U37" i="1"/>
  <c r="S37" i="1" s="1"/>
  <c r="AI37" i="1"/>
  <c r="U177" i="1"/>
  <c r="S177" i="1" s="1"/>
  <c r="AI177" i="1"/>
  <c r="W200" i="1"/>
  <c r="AI206" i="1"/>
  <c r="AI205" i="1"/>
  <c r="W21" i="1"/>
  <c r="W28" i="1"/>
  <c r="W44" i="1"/>
  <c r="W59" i="1"/>
  <c r="W32" i="1"/>
  <c r="U45" i="1"/>
  <c r="S45" i="1" s="1"/>
  <c r="AI45" i="1"/>
  <c r="U77" i="1"/>
  <c r="S77" i="1" s="1"/>
  <c r="AI77" i="1"/>
  <c r="W90" i="1"/>
  <c r="W37" i="1"/>
  <c r="U126" i="1"/>
  <c r="S126" i="1" s="1"/>
  <c r="W45" i="1"/>
  <c r="U211" i="1"/>
  <c r="S211" i="1" s="1"/>
  <c r="AI211" i="1"/>
  <c r="AI70" i="1"/>
  <c r="U70" i="1"/>
  <c r="S70" i="1" s="1"/>
  <c r="AI78" i="1"/>
  <c r="U78" i="1"/>
  <c r="S78" i="1" s="1"/>
  <c r="W78" i="1"/>
  <c r="AI96" i="1"/>
  <c r="U96" i="1"/>
  <c r="S96" i="1" s="1"/>
  <c r="AI100" i="1"/>
  <c r="U100" i="1"/>
  <c r="S100" i="1" s="1"/>
  <c r="AI104" i="1"/>
  <c r="U104" i="1"/>
  <c r="S104" i="1" s="1"/>
  <c r="AI108" i="1"/>
  <c r="U108" i="1"/>
  <c r="S108" i="1" s="1"/>
  <c r="AI112" i="1"/>
  <c r="U112" i="1"/>
  <c r="S112" i="1" s="1"/>
  <c r="AI85" i="1"/>
  <c r="U85" i="1"/>
  <c r="S85" i="1" s="1"/>
  <c r="AI89" i="1"/>
  <c r="U89" i="1"/>
  <c r="S89" i="1" s="1"/>
  <c r="AI93" i="1"/>
  <c r="U93" i="1"/>
  <c r="S93" i="1" s="1"/>
  <c r="U120" i="1"/>
  <c r="S120" i="1" s="1"/>
  <c r="AI120" i="1"/>
  <c r="AI170" i="1"/>
  <c r="U217" i="1"/>
  <c r="S217" i="1" s="1"/>
  <c r="W226" i="1"/>
  <c r="AI225" i="1"/>
  <c r="U218" i="1"/>
  <c r="S218" i="1" s="1"/>
  <c r="AI14" i="1"/>
  <c r="U14" i="1"/>
  <c r="S14" i="1" s="1"/>
  <c r="S22" i="1"/>
  <c r="AI22" i="1"/>
  <c r="U22" i="1"/>
  <c r="AI30" i="1"/>
  <c r="U30" i="1"/>
  <c r="S30" i="1" s="1"/>
  <c r="AI34" i="1"/>
  <c r="U34" i="1"/>
  <c r="S34" i="1" s="1"/>
  <c r="AI42" i="1"/>
  <c r="U42" i="1"/>
  <c r="S42" i="1" s="1"/>
  <c r="AI135" i="1"/>
  <c r="U135" i="1"/>
  <c r="S135" i="1" s="1"/>
  <c r="AI143" i="1"/>
  <c r="U143" i="1"/>
  <c r="S143" i="1" s="1"/>
  <c r="AI151" i="1"/>
  <c r="U151" i="1"/>
  <c r="S151" i="1" s="1"/>
  <c r="AI159" i="1"/>
  <c r="U206" i="1"/>
  <c r="S206" i="1" s="1"/>
  <c r="U225" i="1"/>
  <c r="S225" i="1" s="1"/>
  <c r="AI174" i="1"/>
  <c r="W225" i="1"/>
  <c r="AI18" i="1"/>
  <c r="U18" i="1"/>
  <c r="S18" i="1" s="1"/>
  <c r="AI26" i="1"/>
  <c r="U26" i="1"/>
  <c r="S26" i="1" s="1"/>
  <c r="AI38" i="1"/>
  <c r="U38" i="1"/>
  <c r="S38" i="1" s="1"/>
  <c r="W30" i="1"/>
  <c r="AI116" i="1"/>
  <c r="U116" i="1"/>
  <c r="S116" i="1" s="1"/>
  <c r="AI142" i="1"/>
  <c r="U142" i="1"/>
  <c r="S142" i="1" s="1"/>
  <c r="AI146" i="1"/>
  <c r="U146" i="1"/>
  <c r="S146" i="1" s="1"/>
  <c r="AI150" i="1"/>
  <c r="U150" i="1"/>
  <c r="S150" i="1" s="1"/>
  <c r="AI154" i="1"/>
  <c r="U154" i="1"/>
  <c r="S154" i="1" s="1"/>
  <c r="AI158" i="1"/>
  <c r="U158" i="1"/>
  <c r="S158" i="1" s="1"/>
  <c r="AI162" i="1"/>
  <c r="U209" i="1"/>
  <c r="S209" i="1" s="1"/>
  <c r="AI166" i="1"/>
  <c r="U213" i="1"/>
  <c r="S213" i="1" s="1"/>
  <c r="W89" i="1"/>
  <c r="W143" i="1"/>
  <c r="AI175" i="1"/>
  <c r="U226" i="1"/>
  <c r="S226" i="1" s="1"/>
  <c r="W151" i="1"/>
  <c r="W213" i="1"/>
  <c r="W218" i="1"/>
  <c r="W42" i="1"/>
  <c r="AI66" i="1"/>
  <c r="U66" i="1"/>
  <c r="S66" i="1" s="1"/>
  <c r="W18" i="1"/>
  <c r="W22" i="1"/>
  <c r="W38" i="1"/>
  <c r="W14" i="1"/>
  <c r="W34" i="1"/>
  <c r="AI46" i="1"/>
  <c r="U46" i="1"/>
  <c r="S46" i="1" s="1"/>
  <c r="W66" i="1"/>
  <c r="AI74" i="1"/>
  <c r="U74" i="1"/>
  <c r="S74" i="1" s="1"/>
  <c r="AI81" i="1"/>
  <c r="U81" i="1"/>
  <c r="S81" i="1" s="1"/>
  <c r="W100" i="1"/>
  <c r="W116" i="1"/>
  <c r="U121" i="1"/>
  <c r="S121" i="1" s="1"/>
  <c r="AI121" i="1"/>
  <c r="W85" i="1"/>
  <c r="W96" i="1"/>
  <c r="W112" i="1"/>
  <c r="AI139" i="1"/>
  <c r="U139" i="1"/>
  <c r="S139" i="1" s="1"/>
  <c r="AI147" i="1"/>
  <c r="U147" i="1"/>
  <c r="S147" i="1" s="1"/>
  <c r="AI155" i="1"/>
  <c r="U155" i="1"/>
  <c r="S155" i="1" s="1"/>
  <c r="AI163" i="1"/>
  <c r="U210" i="1"/>
  <c r="S210" i="1" s="1"/>
  <c r="W146" i="1"/>
  <c r="U161" i="1"/>
  <c r="S161" i="1" s="1"/>
  <c r="AI179" i="1"/>
  <c r="W158" i="1"/>
  <c r="AI212" i="1"/>
  <c r="U193" i="1"/>
  <c r="S193" i="1" s="1"/>
  <c r="AI216" i="1"/>
  <c r="U197" i="1"/>
  <c r="S197" i="1" s="1"/>
  <c r="AI220" i="1"/>
  <c r="U201" i="1"/>
  <c r="S201" i="1" s="1"/>
  <c r="AI224" i="1"/>
  <c r="U205" i="1"/>
  <c r="S205" i="1" s="1"/>
  <c r="U221" i="1"/>
  <c r="S221" i="1" s="1"/>
  <c r="AI228" i="1"/>
  <c r="W197" i="1"/>
  <c r="W201" i="1"/>
  <c r="AC42" i="3"/>
  <c r="Y42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S15" i="3" l="1"/>
  <c r="S14" i="3"/>
  <c r="R14" i="3"/>
  <c r="R15" i="3"/>
  <c r="F9" i="6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<sst xmlns="http://schemas.openxmlformats.org/spreadsheetml/2006/main" count="2266" uniqueCount="829">
  <si>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</si>
  <si>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</si>
  <si>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</si>
  <si>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</si>
  <si>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</si>
  <si>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</si>
  <si>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</si>
  <si>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</si>
  <si>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</si>
  <si>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</si>
  <si>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</si>
  <si>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</si>
  <si>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</si>
  <si>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</si>
  <si>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</si>
  <si>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</si>
  <si>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</si>
  <si>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</si>
  <si>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</si>
  <si>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</si>
  <si>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</si>
  <si>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</si>
  <si>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</si>
  <si>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</si>
  <si>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</si>
  <si>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</si>
  <si>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</si>
  <si>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</si>
  <si>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</si>
  <si>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</si>
  <si>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</si>
  <si>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</si>
  <si>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</si>
  <si>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</si>
  <si>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</si>
  <si>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</si>
  <si>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</si>
  <si>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</si>
  <si>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</si>
  <si>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</si>
  <si>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</si>
  <si>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</si>
  <si>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</si>
  <si>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</si>
  <si>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</si>
  <si>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</si>
  <si>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</si>
  <si>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</si>
  <si>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</si>
  <si>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</si>
  <si>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</si>
  <si>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</si>
  <si>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</si>
  <si>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</si>
  <si>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</si>
  <si>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</si>
  <si>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</si>
  <si>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</si>
  <si>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</si>
  <si>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</si>
  <si>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</si>
  <si>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</si>
  <si>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</si>
  <si>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</si>
  <si>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</si>
  <si>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</si>
  <si>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</si>
  <si>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</si>
  <si>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</si>
  <si>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</si>
  <si>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</si>
  <si>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</si>
  <si>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</si>
  <si>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</si>
  <si>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</si>
  <si>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</si>
  <si>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</si>
  <si>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</si>
  <si>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</si>
  <si>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</si>
  <si>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</si>
  <si>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</si>
  <si>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</si>
  <si>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</si>
  <si>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</si>
  <si>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</si>
  <si>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</si>
  <si>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</si>
  <si>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</si>
  <si>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</si>
  <si>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</si>
  <si>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</si>
  <si>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</si>
  <si>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</si>
  <si>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</si>
  <si>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</si>
  <si>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</si>
  <si>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</si>
  <si>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</si>
  <si>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</si>
  <si>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</si>
  <si>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</si>
  <si>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</si>
  <si>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</si>
  <si>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</si>
  <si>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</si>
  <si>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</si>
  <si>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</si>
  <si>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</si>
  <si>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</si>
  <si>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</si>
  <si>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</si>
  <si>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</si>
  <si>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</si>
  <si>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</si>
  <si>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</si>
  <si>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</si>
  <si>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</si>
  <si>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</si>
  <si>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</si>
  <si>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</si>
  <si>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</si>
  <si>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</si>
  <si>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</si>
  <si>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</si>
  <si>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</si>
  <si>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</si>
  <si>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</si>
  <si>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</si>
  <si>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</si>
  <si>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</si>
  <si>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</si>
  <si>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</si>
  <si>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</si>
  <si>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</si>
  <si>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</si>
  <si>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</si>
  <si>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</si>
  <si>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</si>
  <si>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</si>
  <si>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</si>
  <si>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</si>
  <si>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</si>
  <si>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</si>
  <si>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</si>
  <si>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</si>
  <si>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</si>
  <si>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</si>
  <si>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</si>
  <si>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</si>
  <si>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</si>
  <si>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</si>
  <si>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</si>
  <si>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</si>
  <si>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</si>
  <si>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</si>
  <si>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</si>
  <si>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</si>
  <si>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</si>
  <si>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</si>
  <si>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</si>
  <si>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</si>
  <si>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</si>
  <si>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</si>
  <si>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</si>
  <si>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</si>
  <si>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</si>
  <si>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</si>
  <si>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</si>
  <si>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</si>
  <si>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</si>
  <si>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</si>
  <si>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</si>
  <si>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</si>
  <si>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</si>
  <si>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</si>
  <si>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</si>
  <si>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</si>
  <si>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</si>
  <si>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</si>
  <si>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</si>
  <si>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</si>
  <si>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</si>
  <si>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</si>
  <si>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</si>
  <si>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</si>
  <si>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</si>
  <si>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</si>
  <si>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</si>
  <si>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</si>
  <si>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</si>
  <si>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</si>
  <si>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</si>
  <si>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</si>
  <si>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</si>
  <si>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</si>
  <si>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</si>
  <si>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</si>
  <si>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</si>
  <si>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</si>
  <si>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</si>
  <si>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</si>
  <si>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</si>
  <si>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</si>
  <si>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</si>
  <si>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</si>
  <si>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</si>
  <si>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</si>
  <si>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</si>
  <si>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</si>
  <si>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</si>
  <si>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</si>
  <si>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rtdc.l.rtdc.4039:itc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</si>
  <si>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</si>
  <si>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</si>
  <si>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</si>
  <si>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</si>
  <si>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</si>
  <si>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</si>
  <si>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</si>
  <si>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</si>
  <si>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</si>
  <si>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</si>
  <si>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</si>
  <si>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</si>
  <si>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</si>
  <si>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</si>
  <si>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</si>
  <si>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204:134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</si>
  <si>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</si>
  <si>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</si>
  <si>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</si>
  <si>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</si>
  <si>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</si>
  <si>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</si>
  <si>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</si>
  <si>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</si>
  <si>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</si>
  <si>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</si>
  <si>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</si>
  <si>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</si>
  <si>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</si>
  <si>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</si>
  <si>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</si>
  <si>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</si>
  <si>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</si>
  <si>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</si>
  <si>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</si>
  <si>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</si>
  <si>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</si>
  <si>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</si>
  <si>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</si>
  <si>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204:232994</t>
  </si>
  <si>
    <t>204:232991</t>
  </si>
  <si>
    <t>204:471</t>
  </si>
  <si>
    <t>AWS CP Commands</t>
  </si>
  <si>
    <t>204:444</t>
  </si>
  <si>
    <t>204:156</t>
  </si>
  <si>
    <t>rtdc.l.rtdc.4029:itc</t>
  </si>
  <si>
    <t>rtdc.l.rtdc.4030:itc</t>
  </si>
  <si>
    <t>BERLING</t>
  </si>
  <si>
    <t>204:233304</t>
  </si>
  <si>
    <t>rtdc.l.rtdc.4054:itc</t>
  </si>
  <si>
    <t>rtdc.l.rtdc.4053:itc</t>
  </si>
  <si>
    <t>DELGADO</t>
  </si>
  <si>
    <t>MATTHEWS</t>
  </si>
  <si>
    <t>204:449</t>
  </si>
  <si>
    <t>204:232986</t>
  </si>
  <si>
    <t>204:138</t>
  </si>
  <si>
    <t>204:232990</t>
  </si>
  <si>
    <t>rtdc.l.rtdc.4016:itc</t>
  </si>
  <si>
    <t>rtdc.l.rtdc.4015:itc</t>
  </si>
  <si>
    <t>54-18</t>
  </si>
  <si>
    <t>PINCURA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</si>
  <si>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</si>
  <si>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</si>
  <si>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</si>
  <si>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</si>
  <si>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</si>
  <si>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</si>
  <si>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</si>
  <si>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</si>
  <si>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</si>
  <si>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</si>
  <si>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</si>
  <si>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</si>
  <si>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</si>
  <si>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204:232984</t>
  </si>
  <si>
    <t>204:462</t>
  </si>
  <si>
    <t>Y</t>
  </si>
  <si>
    <t>YOUNG</t>
  </si>
  <si>
    <t>204:232989</t>
  </si>
  <si>
    <t>204:232993</t>
  </si>
  <si>
    <t>204:233310</t>
  </si>
  <si>
    <t>204:233302</t>
  </si>
  <si>
    <t>Reactive Warning (1)</t>
  </si>
  <si>
    <t>rtdc.l.rtdc.4037:itc</t>
  </si>
  <si>
    <t>rtdc.l.rtdc.4005:itc</t>
  </si>
  <si>
    <t>NEWELL</t>
  </si>
  <si>
    <t>204:467</t>
  </si>
  <si>
    <t>204:163</t>
  </si>
  <si>
    <t>204:233320</t>
  </si>
  <si>
    <t>300:58929</t>
  </si>
  <si>
    <t>300:58924</t>
  </si>
  <si>
    <t>rtdc.l.rtdc.4013:itc</t>
  </si>
  <si>
    <t>rtdc.l.rtdc.4027:itc</t>
  </si>
  <si>
    <t>DAVIS</t>
  </si>
  <si>
    <t>CLARK</t>
  </si>
  <si>
    <t>partly-cloudy-day</t>
  </si>
  <si>
    <t>204:233291</t>
  </si>
  <si>
    <t>204:232971</t>
  </si>
  <si>
    <t>204:232985</t>
  </si>
  <si>
    <t>204:233289</t>
  </si>
  <si>
    <t>204:233298</t>
  </si>
  <si>
    <t>204:442</t>
  </si>
  <si>
    <t>204:233307</t>
  </si>
  <si>
    <t>204:478</t>
  </si>
  <si>
    <t>300:58922</t>
  </si>
  <si>
    <t>rtdc.l.rtdc.4011:itc</t>
  </si>
  <si>
    <t>ACKERMAN</t>
  </si>
  <si>
    <t>BARTLETT</t>
  </si>
  <si>
    <t>rtdc.l.rtdc.4006:itc</t>
  </si>
  <si>
    <t>204:457</t>
  </si>
  <si>
    <t>204:232987</t>
  </si>
  <si>
    <t>204:752</t>
  </si>
  <si>
    <t>204:167</t>
  </si>
  <si>
    <t>204:232992</t>
  </si>
  <si>
    <t>204:233303</t>
  </si>
  <si>
    <t>rtdc.l.rtdc.4021:itc</t>
  </si>
  <si>
    <t>STARKS</t>
  </si>
  <si>
    <t>rtdc.l.rtdc.4022:itc</t>
  </si>
  <si>
    <t>partly-cloudy-night</t>
  </si>
  <si>
    <t>Mostly Cloudy</t>
  </si>
  <si>
    <t>204:232968</t>
  </si>
  <si>
    <t>204:232998</t>
  </si>
  <si>
    <t>204:438</t>
  </si>
  <si>
    <t>204:233315</t>
  </si>
  <si>
    <t>300:58604</t>
  </si>
  <si>
    <t>204:726</t>
  </si>
  <si>
    <t>300:58954</t>
  </si>
  <si>
    <t>204:233327</t>
  </si>
  <si>
    <t>204:232996</t>
  </si>
  <si>
    <t>204:426</t>
  </si>
  <si>
    <t>204:475</t>
  </si>
  <si>
    <t>204:114</t>
  </si>
  <si>
    <t>204:1175</t>
  </si>
  <si>
    <t>rtdc.l.rtdc.4002:itc</t>
  </si>
  <si>
    <t>rtdc.l.rtdc.4001:itc</t>
  </si>
  <si>
    <t>BRANNON</t>
  </si>
  <si>
    <t>KILLION</t>
  </si>
  <si>
    <t>SPECTOR</t>
  </si>
  <si>
    <t>ROCHA</t>
  </si>
  <si>
    <t>SWANSON</t>
  </si>
  <si>
    <t>BONDS</t>
  </si>
  <si>
    <t>GRASTON</t>
  </si>
  <si>
    <t>MAHAN</t>
  </si>
  <si>
    <t>HELVIE</t>
  </si>
  <si>
    <t>242-24</t>
  </si>
  <si>
    <t>311-24</t>
  </si>
  <si>
    <t>244-24</t>
  </si>
  <si>
    <t>313-24</t>
  </si>
  <si>
    <t>315-24</t>
  </si>
  <si>
    <t>204:785</t>
  </si>
  <si>
    <t>204:233319</t>
  </si>
  <si>
    <t>204:232967</t>
  </si>
  <si>
    <t>204:757</t>
  </si>
  <si>
    <t>204:158</t>
  </si>
  <si>
    <t>204:232974</t>
  </si>
  <si>
    <t>204:233240</t>
  </si>
  <si>
    <t>204:233001</t>
  </si>
  <si>
    <t>204:233017</t>
  </si>
  <si>
    <t>204:232975</t>
  </si>
  <si>
    <t>204:161</t>
  </si>
  <si>
    <t>204:233311</t>
  </si>
  <si>
    <t>204:493</t>
  </si>
  <si>
    <t>204:129</t>
  </si>
  <si>
    <t>204:232980</t>
  </si>
  <si>
    <t>204:169</t>
  </si>
  <si>
    <t>204:232972</t>
  </si>
  <si>
    <t>204:233003</t>
  </si>
  <si>
    <t>204:473</t>
  </si>
  <si>
    <t>204:233378</t>
  </si>
  <si>
    <t>204:766</t>
  </si>
  <si>
    <t>204:233317</t>
  </si>
  <si>
    <t>204:692</t>
  </si>
  <si>
    <t>204:232652</t>
  </si>
  <si>
    <t>300:23301</t>
  </si>
  <si>
    <t>204:719</t>
  </si>
  <si>
    <t>300:22242</t>
  </si>
  <si>
    <t>300:23108</t>
  </si>
  <si>
    <t>300:58941</t>
  </si>
  <si>
    <t>300:58630</t>
  </si>
  <si>
    <t>204:698</t>
  </si>
  <si>
    <t>204:997</t>
  </si>
  <si>
    <t>204:972</t>
  </si>
  <si>
    <t>300:58632</t>
  </si>
  <si>
    <t>300:58969</t>
  </si>
  <si>
    <t>204:675</t>
  </si>
  <si>
    <t>204:1056</t>
  </si>
  <si>
    <t>300:58615</t>
  </si>
  <si>
    <t>204:967</t>
  </si>
  <si>
    <t>300:58943</t>
  </si>
  <si>
    <t>300:58626</t>
  </si>
  <si>
    <t>300:58937</t>
  </si>
  <si>
    <t>204:978</t>
  </si>
  <si>
    <t>300:58608</t>
  </si>
  <si>
    <t>rtdc.l.rtdc.4045:itc</t>
  </si>
  <si>
    <t>302-25</t>
  </si>
  <si>
    <t>101-25</t>
  </si>
  <si>
    <t>103-25</t>
  </si>
  <si>
    <t>rtdc.l.rtdc.4046:itc</t>
  </si>
  <si>
    <t>113-25</t>
  </si>
  <si>
    <t>902-25</t>
  </si>
  <si>
    <t>SWITCH UNKNOWN</t>
  </si>
  <si>
    <t>Track device (7)</t>
  </si>
  <si>
    <t>117-25</t>
  </si>
  <si>
    <t>112-25</t>
  </si>
  <si>
    <t>119-25</t>
  </si>
  <si>
    <t>rtdc.l.rtdc.4008:itc</t>
  </si>
  <si>
    <t>118-25</t>
  </si>
  <si>
    <t>120-25</t>
  </si>
  <si>
    <t>135-25</t>
  </si>
  <si>
    <t>809-25</t>
  </si>
  <si>
    <t>133-25</t>
  </si>
  <si>
    <t>810-25</t>
  </si>
  <si>
    <t>140-25</t>
  </si>
  <si>
    <t>815-25</t>
  </si>
  <si>
    <t>153-25</t>
  </si>
  <si>
    <t>EQUIPMENT RESTRICTION</t>
  </si>
  <si>
    <t>rtdc.l.rtdc.4032:itc</t>
  </si>
  <si>
    <t>152-25</t>
  </si>
  <si>
    <t>156-25</t>
  </si>
  <si>
    <t>818-25</t>
  </si>
  <si>
    <t>163-25</t>
  </si>
  <si>
    <t>172-25</t>
  </si>
  <si>
    <t>rtdc.l.rtdc.4031:itc</t>
  </si>
  <si>
    <t>179-25</t>
  </si>
  <si>
    <t>170-25</t>
  </si>
  <si>
    <t>176-25</t>
  </si>
  <si>
    <t>180-25</t>
  </si>
  <si>
    <t>823-25</t>
  </si>
  <si>
    <t>187-25</t>
  </si>
  <si>
    <t>191-25</t>
  </si>
  <si>
    <t>196-25</t>
  </si>
  <si>
    <t>200-25</t>
  </si>
  <si>
    <t>56-25</t>
  </si>
  <si>
    <t>218-25</t>
  </si>
  <si>
    <t>234-25</t>
  </si>
  <si>
    <t>236-25</t>
  </si>
  <si>
    <t>240-25</t>
  </si>
  <si>
    <t>304-25</t>
  </si>
  <si>
    <t>306-25</t>
  </si>
  <si>
    <t>308-25</t>
  </si>
  <si>
    <t>102-25</t>
  </si>
  <si>
    <t>105-25</t>
  </si>
  <si>
    <t>107-25</t>
  </si>
  <si>
    <t>310-25</t>
  </si>
  <si>
    <t>104-25</t>
  </si>
  <si>
    <t>109-25</t>
  </si>
  <si>
    <t>901-25</t>
  </si>
  <si>
    <t>106-25</t>
  </si>
  <si>
    <t>111-25</t>
  </si>
  <si>
    <t>GEBRETEKLE</t>
  </si>
  <si>
    <t>800-25</t>
  </si>
  <si>
    <t>108-25</t>
  </si>
  <si>
    <t>115-25</t>
  </si>
  <si>
    <t>BADERTSCHER</t>
  </si>
  <si>
    <t>110-25</t>
  </si>
  <si>
    <t>801-25</t>
  </si>
  <si>
    <t>NELSON</t>
  </si>
  <si>
    <t>114-25</t>
  </si>
  <si>
    <t>802-25</t>
  </si>
  <si>
    <t>121-25</t>
  </si>
  <si>
    <t>803-25</t>
  </si>
  <si>
    <t>116-25</t>
  </si>
  <si>
    <t>123-25</t>
  </si>
  <si>
    <t>804-25</t>
  </si>
  <si>
    <t>125-25</t>
  </si>
  <si>
    <t>805-25</t>
  </si>
  <si>
    <t>127-25</t>
  </si>
  <si>
    <t>122-25</t>
  </si>
  <si>
    <t>806-25</t>
  </si>
  <si>
    <t>124-25</t>
  </si>
  <si>
    <t>807-25</t>
  </si>
  <si>
    <t>126-25</t>
  </si>
  <si>
    <t>129-25</t>
  </si>
  <si>
    <t>MACDONALD</t>
  </si>
  <si>
    <t>131-25</t>
  </si>
  <si>
    <t>808-25</t>
  </si>
  <si>
    <t>128-25</t>
  </si>
  <si>
    <t>137-25</t>
  </si>
  <si>
    <t>130-25</t>
  </si>
  <si>
    <t>811-25</t>
  </si>
  <si>
    <t>132-25</t>
  </si>
  <si>
    <t>139-25</t>
  </si>
  <si>
    <t>812-25</t>
  </si>
  <si>
    <t>134-25</t>
  </si>
  <si>
    <t>141-25</t>
  </si>
  <si>
    <t>136-25</t>
  </si>
  <si>
    <t>143-25</t>
  </si>
  <si>
    <t>SANTIZO</t>
  </si>
  <si>
    <t>138-25</t>
  </si>
  <si>
    <t>145-25</t>
  </si>
  <si>
    <t>813-25</t>
  </si>
  <si>
    <t>147-25</t>
  </si>
  <si>
    <t>142-25</t>
  </si>
  <si>
    <t>814-25</t>
  </si>
  <si>
    <t>149-25</t>
  </si>
  <si>
    <t>144-25</t>
  </si>
  <si>
    <t>151-25</t>
  </si>
  <si>
    <t>146-25</t>
  </si>
  <si>
    <t>148-25</t>
  </si>
  <si>
    <t>155-25</t>
  </si>
  <si>
    <t>816-25</t>
  </si>
  <si>
    <t>150-25</t>
  </si>
  <si>
    <t>157-25</t>
  </si>
  <si>
    <t>159-25</t>
  </si>
  <si>
    <t>154-25</t>
  </si>
  <si>
    <t>50-25</t>
  </si>
  <si>
    <t>161-25</t>
  </si>
  <si>
    <t>HOLCOMB</t>
  </si>
  <si>
    <t>817-25</t>
  </si>
  <si>
    <t>JACKSON</t>
  </si>
  <si>
    <t>52-25</t>
  </si>
  <si>
    <t>158-25</t>
  </si>
  <si>
    <t>160-25</t>
  </si>
  <si>
    <t>165-25</t>
  </si>
  <si>
    <t>53-25</t>
  </si>
  <si>
    <t>167-25</t>
  </si>
  <si>
    <t>162-25</t>
  </si>
  <si>
    <t>169-25</t>
  </si>
  <si>
    <t>819-25</t>
  </si>
  <si>
    <t>51-25</t>
  </si>
  <si>
    <t>164-25</t>
  </si>
  <si>
    <t>171-25</t>
  </si>
  <si>
    <t>ROMERO</t>
  </si>
  <si>
    <t>166-25</t>
  </si>
  <si>
    <t>820-25</t>
  </si>
  <si>
    <t>173-25</t>
  </si>
  <si>
    <t>168-25</t>
  </si>
  <si>
    <t>175-25</t>
  </si>
  <si>
    <t>821-25</t>
  </si>
  <si>
    <t>NICHOLSON</t>
  </si>
  <si>
    <t>177-25</t>
  </si>
  <si>
    <t>174-25</t>
  </si>
  <si>
    <t>822-25</t>
  </si>
  <si>
    <t>181-25</t>
  </si>
  <si>
    <t>178-25</t>
  </si>
  <si>
    <t>183-25</t>
  </si>
  <si>
    <t>185-25</t>
  </si>
  <si>
    <t>182-25</t>
  </si>
  <si>
    <t>824-25</t>
  </si>
  <si>
    <t>189-25</t>
  </si>
  <si>
    <t>184-25</t>
  </si>
  <si>
    <t>825-25</t>
  </si>
  <si>
    <t>186-25</t>
  </si>
  <si>
    <t>193-25</t>
  </si>
  <si>
    <t>188-25</t>
  </si>
  <si>
    <t>195-25</t>
  </si>
  <si>
    <t>190-25</t>
  </si>
  <si>
    <t>826-25</t>
  </si>
  <si>
    <t>827-25</t>
  </si>
  <si>
    <t>192-25</t>
  </si>
  <si>
    <t>197-25</t>
  </si>
  <si>
    <t>199-25</t>
  </si>
  <si>
    <t>829-25</t>
  </si>
  <si>
    <t>207-25</t>
  </si>
  <si>
    <t>194-25</t>
  </si>
  <si>
    <t>201-25</t>
  </si>
  <si>
    <t>828-25</t>
  </si>
  <si>
    <t>203-25</t>
  </si>
  <si>
    <t>198-25</t>
  </si>
  <si>
    <t>830-25</t>
  </si>
  <si>
    <t>831-25</t>
  </si>
  <si>
    <t>205-25</t>
  </si>
  <si>
    <t>202-25</t>
  </si>
  <si>
    <t>832-25</t>
  </si>
  <si>
    <t>833-25</t>
  </si>
  <si>
    <t>209-25</t>
  </si>
  <si>
    <t>63-25</t>
  </si>
  <si>
    <t>204-25</t>
  </si>
  <si>
    <t>211-25</t>
  </si>
  <si>
    <t>206-25</t>
  </si>
  <si>
    <t>834-25</t>
  </si>
  <si>
    <t>213-25</t>
  </si>
  <si>
    <t>208-25</t>
  </si>
  <si>
    <t>835-25</t>
  </si>
  <si>
    <t>215-25</t>
  </si>
  <si>
    <t>837-25</t>
  </si>
  <si>
    <t>210-25</t>
  </si>
  <si>
    <t>836-25</t>
  </si>
  <si>
    <t>217-25</t>
  </si>
  <si>
    <t>212-25</t>
  </si>
  <si>
    <t>219-25</t>
  </si>
  <si>
    <t>214-25</t>
  </si>
  <si>
    <t>838-25</t>
  </si>
  <si>
    <t>303-25</t>
  </si>
  <si>
    <t>839-25</t>
  </si>
  <si>
    <t>216-25</t>
  </si>
  <si>
    <t>221-25</t>
  </si>
  <si>
    <t>841-25</t>
  </si>
  <si>
    <t>906-25</t>
  </si>
  <si>
    <t>305-25</t>
  </si>
  <si>
    <t>220-25</t>
  </si>
  <si>
    <t>223-25</t>
  </si>
  <si>
    <t>307-25</t>
  </si>
  <si>
    <t>840-25</t>
  </si>
  <si>
    <t>222-25</t>
  </si>
  <si>
    <t>225-25</t>
  </si>
  <si>
    <t>843-25</t>
  </si>
  <si>
    <t>224-25</t>
  </si>
  <si>
    <t>227-25</t>
  </si>
  <si>
    <t>842-25</t>
  </si>
  <si>
    <t>226-25</t>
  </si>
  <si>
    <t>229-25</t>
  </si>
  <si>
    <t>845-25</t>
  </si>
  <si>
    <t>228-25</t>
  </si>
  <si>
    <t>231-25</t>
  </si>
  <si>
    <t>233-25</t>
  </si>
  <si>
    <t>844-25</t>
  </si>
  <si>
    <t>230-25</t>
  </si>
  <si>
    <t>847-25</t>
  </si>
  <si>
    <t>235-25</t>
  </si>
  <si>
    <t>232-25</t>
  </si>
  <si>
    <t>908-25</t>
  </si>
  <si>
    <t>237-25</t>
  </si>
  <si>
    <t>239-25</t>
  </si>
  <si>
    <t>241-25</t>
  </si>
  <si>
    <t>238-25</t>
  </si>
  <si>
    <t>243-25</t>
  </si>
  <si>
    <t>309-25</t>
  </si>
  <si>
    <t>242-25</t>
  </si>
  <si>
    <t>311-25</t>
  </si>
  <si>
    <t>244-25</t>
  </si>
  <si>
    <t>313-25</t>
  </si>
  <si>
    <t>51-26</t>
  </si>
  <si>
    <t>CHIONE</t>
  </si>
  <si>
    <t>precipType</t>
  </si>
  <si>
    <t>rain</t>
  </si>
  <si>
    <t>clear-day</t>
  </si>
  <si>
    <t>204:746</t>
  </si>
  <si>
    <t>204:232648</t>
  </si>
  <si>
    <t>204:232733</t>
  </si>
  <si>
    <t>204:233019</t>
  </si>
  <si>
    <t>204:192575</t>
  </si>
  <si>
    <t>204:1171</t>
  </si>
  <si>
    <t>204:204656</t>
  </si>
  <si>
    <t>204:768</t>
  </si>
  <si>
    <t>204:182509</t>
  </si>
  <si>
    <t>204:765</t>
  </si>
  <si>
    <t>204:233285</t>
  </si>
  <si>
    <t>204:233218</t>
  </si>
  <si>
    <t>204:232879</t>
  </si>
  <si>
    <t>204:759</t>
  </si>
  <si>
    <t>204:232915</t>
  </si>
  <si>
    <t>204:233308</t>
  </si>
  <si>
    <t>204:233000</t>
  </si>
  <si>
    <t>204:464</t>
  </si>
  <si>
    <t>204:233301</t>
  </si>
  <si>
    <t>204:233283</t>
  </si>
  <si>
    <t>204:37186</t>
  </si>
  <si>
    <t>204:232969</t>
  </si>
  <si>
    <t>204:1173</t>
  </si>
  <si>
    <t>204:482</t>
  </si>
  <si>
    <t>204:424</t>
  </si>
  <si>
    <t>204:233345</t>
  </si>
  <si>
    <t>204:384</t>
  </si>
  <si>
    <t>204:37199</t>
  </si>
  <si>
    <t>204:233329</t>
  </si>
  <si>
    <t>204:422</t>
  </si>
  <si>
    <t>204:1054</t>
  </si>
  <si>
    <t>204:232981</t>
  </si>
  <si>
    <t>204:233004</t>
  </si>
  <si>
    <t>204:232978</t>
  </si>
  <si>
    <t>204:233393</t>
  </si>
  <si>
    <t>204:233079</t>
  </si>
  <si>
    <t>204:233305</t>
  </si>
  <si>
    <t>204:232988</t>
  </si>
  <si>
    <t>204:130</t>
  </si>
  <si>
    <t>204:172</t>
  </si>
  <si>
    <t>204:174</t>
  </si>
  <si>
    <t>204:178</t>
  </si>
  <si>
    <t>204:233398</t>
  </si>
  <si>
    <t>204:233068</t>
  </si>
  <si>
    <t>204:415</t>
  </si>
  <si>
    <t>204:165</t>
  </si>
  <si>
    <t>204:484</t>
  </si>
  <si>
    <t>204:233355</t>
  </si>
  <si>
    <t>204:233025</t>
  </si>
  <si>
    <t>204:233325</t>
  </si>
  <si>
    <t>204:233015</t>
  </si>
  <si>
    <t>204:488</t>
  </si>
  <si>
    <t>204:233284</t>
  </si>
  <si>
    <t>204:232963</t>
  </si>
  <si>
    <t>204:232976</t>
  </si>
  <si>
    <t>204:233316</t>
  </si>
  <si>
    <t>204:136</t>
  </si>
  <si>
    <t>204:278</t>
  </si>
  <si>
    <t>204:233374</t>
  </si>
  <si>
    <t>204:233087</t>
  </si>
  <si>
    <t>204:233274</t>
  </si>
  <si>
    <t>204:233314</t>
  </si>
  <si>
    <t>204:431</t>
  </si>
  <si>
    <t>204:582</t>
  </si>
  <si>
    <t>204:233338</t>
  </si>
  <si>
    <t>204:486</t>
  </si>
  <si>
    <t>204:433</t>
  </si>
  <si>
    <t>204:132</t>
  </si>
  <si>
    <t>204:440</t>
  </si>
  <si>
    <t>204:198</t>
  </si>
  <si>
    <t>204:232955</t>
  </si>
  <si>
    <t>204:209</t>
  </si>
  <si>
    <t>204:498</t>
  </si>
  <si>
    <t>204:233334</t>
  </si>
  <si>
    <t>300:22020</t>
  </si>
  <si>
    <t>300:23310</t>
  </si>
  <si>
    <t>300:22318</t>
  </si>
  <si>
    <t>204:87</t>
  </si>
  <si>
    <t>300:23297</t>
  </si>
  <si>
    <t>300:22189</t>
  </si>
  <si>
    <t>300:23370</t>
  </si>
  <si>
    <t>300:22841</t>
  </si>
  <si>
    <t>300:23304</t>
  </si>
  <si>
    <t>300:23091</t>
  </si>
  <si>
    <t>300:21829</t>
  </si>
  <si>
    <t>204:921</t>
  </si>
  <si>
    <t>204:1231</t>
  </si>
  <si>
    <t>300:24241</t>
  </si>
  <si>
    <t>DE.1.0.8.0</t>
  </si>
  <si>
    <t>204:128275</t>
  </si>
  <si>
    <t>300:22705</t>
  </si>
  <si>
    <t>300:19309</t>
  </si>
  <si>
    <t>204:1571</t>
  </si>
  <si>
    <t>300:24226</t>
  </si>
  <si>
    <t>300:23143</t>
  </si>
  <si>
    <t>204:896</t>
  </si>
  <si>
    <t>204:1484</t>
  </si>
  <si>
    <t>300:23314</t>
  </si>
  <si>
    <t>300:58606</t>
  </si>
  <si>
    <t>204:1013</t>
  </si>
  <si>
    <t>300:58623</t>
  </si>
  <si>
    <t>204:720</t>
  </si>
  <si>
    <t>204:1002</t>
  </si>
  <si>
    <t>300:58933</t>
  </si>
  <si>
    <t>204:1014</t>
  </si>
  <si>
    <t>300:58935</t>
  </si>
  <si>
    <t>300:58617</t>
  </si>
  <si>
    <t>204:710</t>
  </si>
  <si>
    <t>204:1018</t>
  </si>
  <si>
    <t>300:58609</t>
  </si>
  <si>
    <t>204:713</t>
  </si>
  <si>
    <t>300:49340</t>
  </si>
  <si>
    <t>204:1009</t>
  </si>
  <si>
    <t>204:706</t>
  </si>
  <si>
    <t>204:1011</t>
  </si>
  <si>
    <t>300:58619</t>
  </si>
  <si>
    <t>204:715</t>
  </si>
  <si>
    <t>204:990</t>
  </si>
  <si>
    <t>300:57331</t>
  </si>
  <si>
    <t>204:999</t>
  </si>
  <si>
    <t>204:722</t>
  </si>
  <si>
    <t>204:1007</t>
  </si>
  <si>
    <t>300:58952</t>
  </si>
  <si>
    <t>300:58636</t>
  </si>
  <si>
    <t>300:58944</t>
  </si>
  <si>
    <t>204:677</t>
  </si>
  <si>
    <t>300:9094</t>
  </si>
  <si>
    <t>300:58649</t>
  </si>
  <si>
    <t>204:783</t>
  </si>
  <si>
    <t>300:39240</t>
  </si>
  <si>
    <t>204:1086</t>
  </si>
  <si>
    <t>300:58971</t>
  </si>
  <si>
    <t>300:58647</t>
  </si>
  <si>
    <t>300:58641</t>
  </si>
  <si>
    <t>204:981</t>
  </si>
  <si>
    <t>300:58624</t>
  </si>
  <si>
    <t>204:685</t>
  </si>
  <si>
    <t>204:1069</t>
  </si>
  <si>
    <t>300:58958</t>
  </si>
  <si>
    <t>300:58656</t>
  </si>
  <si>
    <t>204:974</t>
  </si>
  <si>
    <t>204:682</t>
  </si>
  <si>
    <t>300:58651</t>
  </si>
  <si>
    <t>204:734</t>
  </si>
  <si>
    <t>300:58967</t>
  </si>
  <si>
    <t>204:1037</t>
  </si>
  <si>
    <t>300:58956</t>
  </si>
  <si>
    <t>300:30337</t>
  </si>
  <si>
    <t>300:23299</t>
  </si>
  <si>
    <t>204:712</t>
  </si>
  <si>
    <t>300:28791</t>
  </si>
  <si>
    <t>300:21407</t>
  </si>
  <si>
    <t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t>
  </si>
  <si>
    <t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t>
  </si>
  <si>
    <t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t>
  </si>
  <si>
    <t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t>
  </si>
  <si>
    <t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t>
  </si>
  <si>
    <t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t>
  </si>
  <si>
    <t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t>
  </si>
  <si>
    <t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t>
  </si>
  <si>
    <t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t>
  </si>
  <si>
    <t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t>
  </si>
  <si>
    <t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t>
  </si>
  <si>
    <t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t>
  </si>
  <si>
    <t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t>
  </si>
  <si>
    <t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t>
  </si>
  <si>
    <t>At 05:44:33, EC2044RH 210-2T 2S dropped to STOP &amp; PROCEED. Also, incidents logs say that around this time EC2044RH went out of correspondence. Any logs that say something similar?</t>
  </si>
  <si>
    <t>CP PENA ELXS failure</t>
  </si>
  <si>
    <t>At 05:44:33, EC1827RH 175-1T 1N dropped to STOP &amp; PROCEED. Also, incidents logs say that around this time CP PENA went out of correspondence. Any logs that say something similar?</t>
  </si>
  <si>
    <t>CP PENA ELXS failure?</t>
  </si>
  <si>
    <t>CCROC/crew/equipment not associated in TMDS (dispatcher error)</t>
  </si>
  <si>
    <t>Multiple init attempts in the 07:00-07:30 timeframe. A few unsuccesful due to empty 1001s, which almost always indicate CCROC/equipment/crew not being associated correctly</t>
  </si>
  <si>
    <t>DUS 2N stuck at STOP because 20N was also STOP</t>
  </si>
  <si>
    <t>See title</t>
  </si>
  <si>
    <t>Went active too close to Westminster 2S, otherwise normal run</t>
  </si>
  <si>
    <t>Multiple init attempts in the 2016-10-25 15:38:08.000-2016-10-25 15:56:10.000 timeframe. A few unsuccesful due to office commanded cut outs, which almost always indicate CCROC/equipment/crew not being associated correctly</t>
  </si>
  <si>
    <t xml:space="preserve">multiple cpu faults around 2016-10-25 16:43:45.000 </t>
  </si>
  <si>
    <t>Onboard in-route failure</t>
  </si>
  <si>
    <t>Early arrival</t>
  </si>
  <si>
    <t>Form C</t>
  </si>
  <si>
    <t>Went active too close to signal</t>
  </si>
  <si>
    <t>Speedometer jumped (from 80-&gt;84)</t>
  </si>
  <si>
    <t>At 10:47:07, reading from speedometer jumped from 80-&gt;84</t>
  </si>
  <si>
    <t>RESTRICTING aspect</t>
  </si>
  <si>
    <t>40th 4S STOP, cleared afterward</t>
  </si>
  <si>
    <t>Pena 4S STOP, cleared afterward</t>
  </si>
  <si>
    <t>Premature downgrade at EC1981RH 204-2T 2S</t>
  </si>
  <si>
    <t>EC1981RH 204-2T 2S downgraded from 120 to STOP &amp; PROCEED at 11:00:26. Anything out of the ordinary?</t>
  </si>
  <si>
    <t>61st 2N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</si>
</sst>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6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4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42668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COUNTIFS($N$13:$N$9407,"&gt;0",$AG$13:$AG$9407,I1)</f>
        <v>140</v>
      </c>
      <c r="K5" s="44"/>
      <c r="L5" s="44"/>
      <c r="M5" s="45">
        <f>AVERAGEIFS($N$13:$N$9407,$AG$13:$AG$9407,I1)</f>
        <v>39.624166666313876</v>
      </c>
      <c r="N5" s="43">
        <f t="array" ref="N5">MIN(IF($AG$13:$AG$9407=I1,IF(ISNUMBER($N$13:$N$9407),IF($N$13:$N$9407&gt;0,$N$13:$N$9407))))</f>
        <v>34.766666673822328</v>
      </c>
      <c r="O5" s="3">
        <f t="array" ref="O5">MAX(IF($AG$13:$AG$9407=I1,IF(ISNUMBER($N$13:$N$9407),IF($N$13:$N$9407&gt;0,$N$13:$N$9407))))</f>
        <v>52.050000003073364</v>
      </c>
      <c r="P5" s="2"/>
      <c r="R5" s="80" t="s">
        <v>17</v>
      </c>
      <c r="S5" s="55">
        <f>COUNTIFS($N$13:$N$9407,"&gt;0",$AG$13:$AG$9407,R1)</f>
        <v>45</v>
      </c>
      <c r="T5" s="44"/>
      <c r="U5" s="175"/>
      <c r="V5" s="45">
        <f>AVERAGEIFS($N$13:$N$9407,$AG$13:$AG$9407,R1)</f>
        <v>15.101481480756775</v>
      </c>
      <c r="W5" s="43">
        <f t="array" ref="W5">MIN(IF($AG$13:$AG$9407=R1,IF(ISNUMBER($N$13:$N$9407),IF($N$13:$N$9407&gt;0,$N$13:$N$9407))))</f>
        <v>12.766666664974764</v>
      </c>
      <c r="X5" s="167">
        <f t="array" ref="X5">MAX(IF($AG$13:$AG$9407=R1,IF(ISNUMBER($N$13:$N$9407),IF($N$13:$N$9407&gt;0,$N$13:$N$9407))))</f>
        <v>18.716666662367061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COUNT($O$13:$O$179)</f>
        <v>0</v>
      </c>
      <c r="K6" s="44"/>
      <c r="L6" s="44"/>
      <c r="M6" s="45">
        <f>IFERROR(AVERAGE($O$13:$O$179),0)</f>
        <v>0</v>
      </c>
      <c r="N6" s="43">
        <f>MIN($O$13:$O$179)</f>
        <v>0</v>
      </c>
      <c r="O6" s="3">
        <f>MAX($O$13:$O$179)</f>
        <v>0</v>
      </c>
      <c r="P6" s="2"/>
      <c r="R6" s="81" t="s">
        <v>43</v>
      </c>
      <c r="S6" s="55">
        <f>COUNT($O$13:$O$179)</f>
        <v>0</v>
      </c>
      <c r="T6" s="44"/>
      <c r="U6" s="175"/>
      <c r="V6" s="45">
        <f>IFERROR(AVERAGE($O$13:$O$179),0)</f>
        <v>0</v>
      </c>
      <c r="W6" s="43">
        <f>MIN($O$13:$O$179)</f>
        <v>0</v>
      </c>
      <c r="X6" s="167">
        <f>MAX($O$13:$O$179)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COUNTIFS($P$13:$P$9407,"&gt;0",$AG$13:$AG$9407,I1)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COUNTIFS($P$13:$P$9407,"&gt;0",$AG$13:$AG$9407,R1)</f>
        <v>2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39.624166666313876</v>
      </c>
      <c r="N8" s="43">
        <f>N5</f>
        <v>34.766666673822328</v>
      </c>
      <c r="O8" s="3">
        <f>O5</f>
        <v>52.050000003073364</v>
      </c>
      <c r="P8" s="2"/>
      <c r="R8" s="80" t="s">
        <v>16</v>
      </c>
      <c r="S8" s="55">
        <f>S5</f>
        <v>45</v>
      </c>
      <c r="T8" s="44"/>
      <c r="U8" s="175"/>
      <c r="V8" s="45">
        <f>V5</f>
        <v>15.101481480756775</v>
      </c>
      <c r="W8" s="43">
        <f>W5</f>
        <v>12.766666664974764</v>
      </c>
      <c r="X8" s="167">
        <f>X5</f>
        <v>18.716666662367061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0.95744680851063835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- 2016-10-25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AVERAGE(S13:S114)</f>
        <v>0.98514851485148514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408</v>
      </c>
      <c r="B13" s="7">
        <v>4006</v>
      </c>
      <c r="C13" s="22" t="s">
        <v>99</v>
      </c>
      <c r="D13" s="22" t="s">
        <v>640</v>
      </c>
      <c r="E13" s="13">
        <v>42668.136365740742</v>
      </c>
      <c r="F13" s="13">
        <v>42668.137662037036</v>
      </c>
      <c r="G13" s="7">
        <v>0</v>
      </c>
      <c r="H13" s="13" t="s">
        <v>315</v>
      </c>
      <c r="I13" s="13">
        <v>42668.164189814815</v>
      </c>
      <c r="J13" s="7">
        <v>0</v>
      </c>
      <c r="K13" s="112" t="str">
        <f t="shared" ref="K13:K76" si="0">IF(ISEVEN(B13),(B13-1)&amp;"/"&amp;B13,B13&amp;"/"&amp;(B13+1))</f>
        <v>4005/4006</v>
      </c>
      <c r="L13" s="22" t="str">
        <f>VLOOKUP(A13,'Trips&amp;Operators'!$C$1:$E$10000,3,FALSE)</f>
        <v>KILLION</v>
      </c>
      <c r="M13" s="6">
        <f t="shared" ref="M13:M76" si="1">I13-F13</f>
        <v>2.6527777779847383E-2</v>
      </c>
      <c r="N13" s="7">
        <f t="shared" ref="N13:P76" si="2">24*60*SUM($M13:$M13)</f>
        <v>38.200000002980232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https://search-rtdc-monitor-bjffxe2xuh6vdkpspy63sjmuny.us-east-1.es.amazonaws.com/_plugin/kibana/#/discover/Steve-Slow-Train-Analysis-(2080s-and-2083s)?_g=(refreshInterval:(display:Off,section:0,value:0),time:(from:'2016-10-25 02:16:22-0600',mode:absolute,to:'2016-10-25 04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" s="52" t="str">
        <f t="shared" ref="W13:W76" si="6">IF(AA13&lt;IF(AG13="EC",23,5.65),"Y","N")</f>
        <v>N</v>
      </c>
      <c r="X13" s="171" t="e">
        <f t="shared" ref="X13:X76" si="7">VALUE(LEFT(AD13,4))-VALUE(LEFT(AD12,4))</f>
        <v>#VALUE!</v>
      </c>
      <c r="Y13" s="67">
        <f t="shared" ref="Y13:Y76" si="8">RIGHT(D13,LEN(D13)-4)/10000</f>
        <v>7.46E-2</v>
      </c>
      <c r="Z13" s="67">
        <f t="shared" ref="Z13:Z76" si="9">RIGHT(H13,LEN(H13)-4)/10000</f>
        <v>23.3307</v>
      </c>
      <c r="AA13" s="67">
        <f t="shared" ref="AA13:AA76" si="10">ABS(Z13-Y13)</f>
        <v>23.2561</v>
      </c>
      <c r="AB13" s="64" t="str">
        <f>VLOOKUP(A13,Enforcements!$C$7:$K$21,8,0)</f>
        <v>Speed (6)</v>
      </c>
      <c r="AC13" s="60" t="str">
        <f>VLOOKUP(A13,Enforcements!$C$7:$E$21,3,0)</f>
        <v>PERMANENT SPEED RESTRICTION</v>
      </c>
      <c r="AD13" s="61" t="str">
        <f t="shared" ref="AD13:AD76" si="11">IF(LEN(A13)=6,"0"&amp;A13,A13)</f>
        <v>0101-25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/stypes="app*4006*20161025*"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4006 --swversion DE.1.0.7.0 --startMP 204:746 --initTime 2016-10-25T03:16:22 --startdatetime 2016-10-25T03:18:14 --delay 0 --endMP 204:233307 --enddatetime 2016-10-25T03:56:26 --enforcementcount 0 &gt;&gt;C:\Users\stu\Documents\GitHub\eaglep3-reporting\EC\2016-10-25-refined-times.txt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{"issue":{"subject":"","project_id":79,"tracker_id":40,"status_id":1,"priority_id":2,"assigned_to_id":23,"start_date":"2016-10-25","description":"","custom_fields":[{"id":1,"name":"Subdivision","value":"EC"},{"id":4,"name":"Milepost","value":"23.3307"},{"id":17,"name":"Train ID","value":"101-25"},{"id":16,"name":"Locomotive ID","value":"4006"},{"id":130,"name":"Impact","value":""},{"id":150,"name":"Time of Event (Mountain Time)","value":"03:56:26"},{"id":151,"name":"Denver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453</v>
      </c>
      <c r="B14" s="7">
        <v>4045</v>
      </c>
      <c r="C14" s="22" t="s">
        <v>99</v>
      </c>
      <c r="D14" s="22" t="s">
        <v>641</v>
      </c>
      <c r="E14" s="13">
        <v>42668.170763888891</v>
      </c>
      <c r="F14" s="13">
        <v>42668.174513888887</v>
      </c>
      <c r="G14" s="7">
        <v>1</v>
      </c>
      <c r="H14" s="13" t="s">
        <v>372</v>
      </c>
      <c r="I14" s="13">
        <v>42668.201689814814</v>
      </c>
      <c r="J14" s="7">
        <v>0</v>
      </c>
      <c r="K14" s="112" t="str">
        <f t="shared" si="0"/>
        <v>4045/4046</v>
      </c>
      <c r="L14" s="22" t="str">
        <f>VLOOKUP(A14,'Trips&amp;Operators'!$C$1:$E$10000,3,FALSE)</f>
        <v>KILLION</v>
      </c>
      <c r="M14" s="6">
        <f t="shared" si="1"/>
        <v>2.7175925926712807E-2</v>
      </c>
      <c r="N14" s="7">
        <f t="shared" si="2"/>
        <v>39.133333334466442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03:05:54-0600',mode:absolute,to:'2016-10-25 05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23.264800000000001</v>
      </c>
      <c r="Z14" s="67">
        <f t="shared" si="9"/>
        <v>1.61E-2</v>
      </c>
      <c r="AA14" s="67">
        <f t="shared" si="10"/>
        <v>23.248699999999999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0102-25</v>
      </c>
      <c r="AE14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14" s="88" t="str">
        <f t="shared" si="13"/>
        <v>"C:\Program Files (x86)\AstroGrep\AstroGrep.exe" /spath="%USERPROFILE%\AppData\Local\Temp\OnboardLogs" /stypes="app*4045*20161025*"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4045 --swversion DE.1.0.7.0 --startMP 204:232648 --initTime 2016-10-25T04:05:54 --startdatetime 2016-10-25T04:11:18 --delay 1 --endMP 204:161 --enddatetime 2016-10-25T04:50:26 --enforcementcount 0 &gt;&gt;C:\Users\stu\Documents\GitHub\eaglep3-reporting\EC\2016-10-25-refined-times.txt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{"issue":{"subject":"","project_id":79,"tracker_id":40,"status_id":1,"priority_id":2,"assigned_to_id":23,"start_date":"2016-10-25","description":"","custom_fields":[{"id":1,"name":"Subdivision","value":"EC"},{"id":4,"name":"Milepost","value":"0.0161"},{"id":17,"name":"Train ID","value":"102-25"},{"id":16,"name":"Locomotive ID","value":"4045"},{"id":130,"name":"Impact","value":""},{"id":150,"name":"Time of Event (Mountain Time)","value":"04:50:26"},{"id":151,"name":"Denver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409</v>
      </c>
      <c r="B15" s="7">
        <v>4009</v>
      </c>
      <c r="C15" s="22" t="s">
        <v>99</v>
      </c>
      <c r="D15" s="22" t="s">
        <v>384</v>
      </c>
      <c r="E15" s="13">
        <v>42668.152581018519</v>
      </c>
      <c r="F15" s="13">
        <v>42668.156898148147</v>
      </c>
      <c r="G15" s="7">
        <v>2</v>
      </c>
      <c r="H15" s="13" t="s">
        <v>381</v>
      </c>
      <c r="I15" s="13">
        <v>42668.181979166664</v>
      </c>
      <c r="J15" s="7">
        <v>0</v>
      </c>
      <c r="K15" s="112" t="str">
        <f t="shared" si="0"/>
        <v>4009/4010</v>
      </c>
      <c r="L15" s="22" t="str">
        <f>VLOOKUP(A15,'Trips&amp;Operators'!$C$1:$E$10000,3,FALSE)</f>
        <v>ACKERMAN</v>
      </c>
      <c r="M15" s="6">
        <f t="shared" si="1"/>
        <v>2.5081018517084885E-2</v>
      </c>
      <c r="N15" s="7">
        <f t="shared" si="2"/>
        <v>36.116666664602235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02:39:43-0600',mode:absolute,to:'2016-10-25 05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6.9199999999999998E-2</v>
      </c>
      <c r="Z15" s="67">
        <f t="shared" si="9"/>
        <v>23.337800000000001</v>
      </c>
      <c r="AA15" s="67">
        <f t="shared" si="10"/>
        <v>23.268600000000003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0103-25</v>
      </c>
      <c r="AE15" s="91" t="str">
        <f t="shared" si="12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5" s="88" t="str">
        <f t="shared" si="13"/>
        <v>"C:\Program Files (x86)\AstroGrep\AstroGrep.exe" /spath="%USERPROFILE%\AppData\Local\Temp\OnboardLogs" /stypes="app*4009*20161025*"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103-25 --locoid 4009 --swversion DE.1.0.7.0 --startMP 204:692 --initTime 2016-10-25T03:39:43 --startdatetime 2016-10-25T03:45:56 --delay 2 --endMP 204:233378 --enddatetime 2016-10-25T04:22:03 --enforcementcount 0 &gt;&gt;C:\Users\stu\Documents\GitHub\eaglep3-reporting\EC\2016-10-25-refined-times.txt</v>
      </c>
      <c r="AI1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{"issue":{"subject":"","project_id":79,"tracker_id":40,"status_id":1,"priority_id":2,"assigned_to_id":23,"start_date":"2016-10-25","description":"","custom_fields":[{"id":1,"name":"Subdivision","value":"EC"},{"id":4,"name":"Milepost","value":"23.3378"},{"id":17,"name":"Train ID","value":"103-25"},{"id":16,"name":"Locomotive ID","value":"4009"},{"id":130,"name":"Impact","value":""},{"id":150,"name":"Time of Event (Mountain Time)","value":"04:22:03"},{"id":151,"name":"Denver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457</v>
      </c>
      <c r="B16" s="7">
        <v>4008</v>
      </c>
      <c r="C16" s="22" t="s">
        <v>99</v>
      </c>
      <c r="D16" s="22" t="s">
        <v>642</v>
      </c>
      <c r="E16" s="13">
        <v>42668.190370370372</v>
      </c>
      <c r="F16" s="13">
        <v>42668.1953587963</v>
      </c>
      <c r="G16" s="7">
        <v>1</v>
      </c>
      <c r="H16" s="13" t="s">
        <v>176</v>
      </c>
      <c r="I16" s="13">
        <v>42668.222361111111</v>
      </c>
      <c r="J16" s="7">
        <v>0</v>
      </c>
      <c r="K16" s="112" t="str">
        <f t="shared" si="0"/>
        <v>4007/4008</v>
      </c>
      <c r="L16" s="22" t="str">
        <f>VLOOKUP(A16,'Trips&amp;Operators'!$C$1:$E$10000,3,FALSE)</f>
        <v>ACKERMAN</v>
      </c>
      <c r="M16" s="6">
        <f t="shared" si="1"/>
        <v>2.700231481139781E-2</v>
      </c>
      <c r="N16" s="7">
        <f t="shared" si="2"/>
        <v>38.883333328412846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03:34:08-0600',mode:absolute,to:'2016-10-25 06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23.273299999999999</v>
      </c>
      <c r="Z16" s="67">
        <f t="shared" si="9"/>
        <v>1.47E-2</v>
      </c>
      <c r="AA16" s="67">
        <f t="shared" si="10"/>
        <v>23.258599999999998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0104-25</v>
      </c>
      <c r="AE16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6" s="88" t="str">
        <f t="shared" si="13"/>
        <v>"C:\Program Files (x86)\AstroGrep\AstroGrep.exe" /spath="%USERPROFILE%\AppData\Local\Temp\OnboardLogs" /stypes="app*4008*20161025*"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104-25 --locoid 4008 --swversion DE.1.0.7.0 --startMP 204:232733 --initTime 2016-10-25T04:34:08 --startdatetime 2016-10-25T04:41:19 --delay 1 --endMP 204:147 --enddatetime 2016-10-25T05:20:12 --enforcementcount 0 &gt;&gt;C:\Users\stu\Documents\GitHub\eaglep3-reporting\EC\2016-10-25-refined-times.txt</v>
      </c>
      <c r="AI1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{"issue":{"subject":"","project_id":79,"tracker_id":40,"status_id":1,"priority_id":2,"assigned_to_id":23,"start_date":"2016-10-25","description":"","custom_fields":[{"id":1,"name":"Subdivision","value":"EC"},{"id":4,"name":"Milepost","value":"0.0147"},{"id":17,"name":"Train ID","value":"104-25"},{"id":16,"name":"Locomotive ID","value":"4008"},{"id":130,"name":"Impact","value":""},{"id":150,"name":"Time of Event (Mountain Time)","value":"05:20:12"},{"id":151,"name":"Denver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454</v>
      </c>
      <c r="B17" s="7">
        <v>4042</v>
      </c>
      <c r="C17" s="22" t="s">
        <v>99</v>
      </c>
      <c r="D17" s="22" t="s">
        <v>365</v>
      </c>
      <c r="E17" s="13">
        <v>42668.172627314816</v>
      </c>
      <c r="F17" s="13">
        <v>42668.177291666667</v>
      </c>
      <c r="G17" s="7">
        <v>1</v>
      </c>
      <c r="H17" s="13" t="s">
        <v>309</v>
      </c>
      <c r="I17" s="13">
        <v>42668.202662037038</v>
      </c>
      <c r="J17" s="7">
        <v>0</v>
      </c>
      <c r="K17" s="112" t="str">
        <f t="shared" si="0"/>
        <v>4041/4042</v>
      </c>
      <c r="L17" s="22" t="str">
        <f>VLOOKUP(A17,'Trips&amp;Operators'!$C$1:$E$10000,3,FALSE)</f>
        <v>BRANNON</v>
      </c>
      <c r="M17" s="6">
        <f t="shared" si="1"/>
        <v>2.5370370371092577E-2</v>
      </c>
      <c r="N17" s="7">
        <f t="shared" si="2"/>
        <v>36.53333333437331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03:08:35-0600',mode:absolute,to:'2016-10-25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7.5700000000000003E-2</v>
      </c>
      <c r="Z17" s="67">
        <f t="shared" si="9"/>
        <v>23.3291</v>
      </c>
      <c r="AA17" s="67">
        <f t="shared" si="10"/>
        <v>23.253399999999999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0105-25</v>
      </c>
      <c r="AE17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7" s="88" t="str">
        <f t="shared" si="13"/>
        <v>"C:\Program Files (x86)\AstroGrep\AstroGrep.exe" /spath="%USERPROFILE%\AppData\Local\Temp\OnboardLogs" /stypes="app*4042*20161025*"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105-25 --locoid 4042 --swversion DE.1.0.7.0 --startMP 204:757 --initTime 2016-10-25T04:08:35 --startdatetime 2016-10-25T04:15:18 --delay 1 --endMP 204:233291 --enddatetime 2016-10-25T04:51:50 --enforcementcount 0 &gt;&gt;C:\Users\stu\Documents\GitHub\eaglep3-reporting\EC\2016-10-25-refined-times.txt</v>
      </c>
      <c r="AI1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ID","value":"105-25"},{"id":16,"name":"Locomotive ID","value":"4042"},{"id":130,"name":"Impact","value":""},{"id":150,"name":"Time of Event (Mountain Time)","value":"04:51:50"},{"id":151,"name":"Denver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460</v>
      </c>
      <c r="B18" s="7">
        <v>4032</v>
      </c>
      <c r="C18" s="22" t="s">
        <v>99</v>
      </c>
      <c r="D18" s="22" t="s">
        <v>385</v>
      </c>
      <c r="E18" s="13">
        <v>42668.204513888886</v>
      </c>
      <c r="F18" s="13">
        <v>42668.216168981482</v>
      </c>
      <c r="G18" s="7">
        <v>1</v>
      </c>
      <c r="H18" s="13" t="s">
        <v>177</v>
      </c>
      <c r="I18" s="13">
        <v>42668.243969907409</v>
      </c>
      <c r="J18" s="7">
        <v>0</v>
      </c>
      <c r="K18" s="112" t="str">
        <f t="shared" si="0"/>
        <v>4031/4032</v>
      </c>
      <c r="L18" s="22" t="str">
        <f>VLOOKUP(A18,'Trips&amp;Operators'!$C$1:$E$10000,3,FALSE)</f>
        <v>BRANNON</v>
      </c>
      <c r="M18" s="6">
        <f t="shared" si="1"/>
        <v>2.7800925927294884E-2</v>
      </c>
      <c r="N18" s="7">
        <f t="shared" si="2"/>
        <v>40.033333335304633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03:54:30-0600',mode:absolute,to:'2016-10-25 06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23.2652</v>
      </c>
      <c r="Z18" s="67">
        <f t="shared" si="9"/>
        <v>1.52E-2</v>
      </c>
      <c r="AA18" s="67">
        <f t="shared" si="10"/>
        <v>23.25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0106-25</v>
      </c>
      <c r="AE18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18" s="88" t="str">
        <f t="shared" si="13"/>
        <v>"C:\Program Files (x86)\AstroGrep\AstroGrep.exe" /spath="%USERPROFILE%\AppData\Local\Temp\OnboardLogs" /stypes="app*4032*20161025*"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106-25 --locoid 4032 --swversion DE.1.0.7.0 --startMP 204:232652 --initTime 2016-10-25T04:54:30 --startdatetime 2016-10-25T05:11:17 --delay 1 --endMP 204:152 --enddatetime 2016-10-25T05:51:19 --enforcementcount 0 &gt;&gt;C:\Users\stu\Documents\GitHub\eaglep3-reporting\EC\2016-10-25-refined-times.txt</v>
      </c>
      <c r="AI1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ID","value":"106-25"},{"id":16,"name":"Locomotive ID","value":"4032"},{"id":130,"name":"Impact","value":""},{"id":150,"name":"Time of Event (Mountain Time)","value":"05:51:19"},{"id":151,"name":"Denver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455</v>
      </c>
      <c r="B19" s="7">
        <v>4027</v>
      </c>
      <c r="C19" s="22" t="s">
        <v>99</v>
      </c>
      <c r="D19" s="22" t="s">
        <v>224</v>
      </c>
      <c r="E19" s="13">
        <v>42668.180254629631</v>
      </c>
      <c r="F19" s="13">
        <v>42668.187673611108</v>
      </c>
      <c r="G19" s="7">
        <v>1</v>
      </c>
      <c r="H19" s="13" t="s">
        <v>340</v>
      </c>
      <c r="I19" s="13">
        <v>42668.212835648148</v>
      </c>
      <c r="J19" s="7">
        <v>0</v>
      </c>
      <c r="K19" s="112" t="str">
        <f t="shared" si="0"/>
        <v>4027/4028</v>
      </c>
      <c r="L19" s="22" t="str">
        <f>VLOOKUP(A19,'Trips&amp;Operators'!$C$1:$E$10000,3,FALSE)</f>
        <v>SPECTOR</v>
      </c>
      <c r="M19" s="6">
        <f t="shared" si="1"/>
        <v>2.5162037039990537E-2</v>
      </c>
      <c r="N19" s="7">
        <f t="shared" si="2"/>
        <v>36.233333337586373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03:19:34-0600',mode:absolute,to:'2016-10-25 06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4.4699999999999997E-2</v>
      </c>
      <c r="Z19" s="67">
        <f t="shared" si="9"/>
        <v>23.332699999999999</v>
      </c>
      <c r="AA19" s="67">
        <f t="shared" si="10"/>
        <v>23.288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0107-25</v>
      </c>
      <c r="AE19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9" s="88" t="str">
        <f t="shared" si="13"/>
        <v>"C:\Program Files (x86)\AstroGrep\AstroGrep.exe" /spath="%USERPROFILE%\AppData\Local\Temp\OnboardLogs" /stypes="app*4027*20161025*"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107-25 --locoid 4027 --swversion DE.1.0.7.0 --startMP 204:447 --initTime 2016-10-25T04:19:34 --startdatetime 2016-10-25T04:30:15 --delay 1 --endMP 204:233327 --enddatetime 2016-10-25T05:06:29 --enforcementcount 0 &gt;&gt;C:\Users\stu\Documents\GitHub\eaglep3-reporting\EC\2016-10-25-refined-times.txt</v>
      </c>
      <c r="AI1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{"issue":{"subject":"","project_id":79,"tracker_id":40,"status_id":1,"priority_id":2,"assigned_to_id":23,"start_date":"2016-10-25","description":"","custom_fields":[{"id":1,"name":"Subdivision","value":"EC"},{"id":4,"name":"Milepost","value":"23.3327"},{"id":17,"name":"Train ID","value":"107-25"},{"id":16,"name":"Locomotive ID","value":"4027"},{"id":130,"name":"Impact","value":""},{"id":150,"name":"Time of Event (Mountain Time)","value":"05:06:29"},{"id":151,"name":"Denver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464</v>
      </c>
      <c r="B20" s="7">
        <v>4028</v>
      </c>
      <c r="C20" s="22" t="s">
        <v>99</v>
      </c>
      <c r="D20" s="22" t="s">
        <v>643</v>
      </c>
      <c r="E20" s="13">
        <v>42668.222569444442</v>
      </c>
      <c r="F20" s="13">
        <v>42668.226585648146</v>
      </c>
      <c r="G20" s="7">
        <v>1</v>
      </c>
      <c r="H20" s="13" t="s">
        <v>222</v>
      </c>
      <c r="I20" s="13">
        <v>42668.252997685187</v>
      </c>
      <c r="J20" s="7">
        <v>0</v>
      </c>
      <c r="K20" s="112" t="str">
        <f t="shared" si="0"/>
        <v>4027/4028</v>
      </c>
      <c r="L20" s="22" t="str">
        <f>VLOOKUP(A20,'Trips&amp;Operators'!$C$1:$E$10000,3,FALSE)</f>
        <v>SPECTOR</v>
      </c>
      <c r="M20" s="6">
        <f t="shared" si="1"/>
        <v>2.641203704115469E-2</v>
      </c>
      <c r="N20" s="7">
        <f t="shared" si="2"/>
        <v>38.033333339262754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04:20:30-0600',mode:absolute,to:'2016-10-25 07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23.3019</v>
      </c>
      <c r="Z20" s="67">
        <f t="shared" si="9"/>
        <v>1.43E-2</v>
      </c>
      <c r="AA20" s="67">
        <f t="shared" si="10"/>
        <v>23.287600000000001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0108-25</v>
      </c>
      <c r="AE20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20" s="88" t="str">
        <f t="shared" si="13"/>
        <v>"C:\Program Files (x86)\AstroGrep\AstroGrep.exe" /spath="%USERPROFILE%\AppData\Local\Temp\OnboardLogs" /stypes="app*4028*20161025*"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108-25 --locoid 4028 --swversion DE.1.0.7.0 --startMP 204:233019 --initTime 2016-10-25T05:20:30 --startdatetime 2016-10-25T05:26:17 --delay 1 --endMP 204:143 --enddatetime 2016-10-25T06:04:19 --enforcementcount 0 &gt;&gt;C:\Users\stu\Documents\GitHub\eaglep3-reporting\EC\2016-10-25-refined-times.txt</v>
      </c>
      <c r="AI2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{"issue":{"subject":"","project_id":79,"tracker_id":40,"status_id":1,"priority_id":2,"assigned_to_id":23,"start_date":"2016-10-25","description":"","custom_fields":[{"id":1,"name":"Subdivision","value":"EC"},{"id":4,"name":"Milepost","value":"0.0143"},{"id":17,"name":"Train ID","value":"108-25"},{"id":16,"name":"Locomotive ID","value":"4028"},{"id":130,"name":"Impact","value":""},{"id":150,"name":"Time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458</v>
      </c>
      <c r="B21" s="7">
        <v>4002</v>
      </c>
      <c r="C21" s="22" t="s">
        <v>99</v>
      </c>
      <c r="D21" s="22" t="s">
        <v>288</v>
      </c>
      <c r="E21" s="13">
        <v>42668.196087962962</v>
      </c>
      <c r="F21" s="13">
        <v>42668.198101851849</v>
      </c>
      <c r="G21" s="7">
        <v>1</v>
      </c>
      <c r="H21" s="13" t="s">
        <v>373</v>
      </c>
      <c r="I21" s="13">
        <v>42668.22515046296</v>
      </c>
      <c r="J21" s="7">
        <v>0</v>
      </c>
      <c r="K21" s="112" t="str">
        <f t="shared" si="0"/>
        <v>4001/4002</v>
      </c>
      <c r="L21" s="22" t="str">
        <f>VLOOKUP(A21,'Trips&amp;Operators'!$C$1:$E$10000,3,FALSE)</f>
        <v>DAVIS</v>
      </c>
      <c r="M21" s="6">
        <f t="shared" si="1"/>
        <v>2.7048611111240461E-2</v>
      </c>
      <c r="N21" s="7">
        <f t="shared" si="2"/>
        <v>38.950000000186265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03:42:22-0600',mode:absolute,to:'2016-10-25 06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4.6199999999999998E-2</v>
      </c>
      <c r="Z21" s="67">
        <f t="shared" si="9"/>
        <v>23.331099999999999</v>
      </c>
      <c r="AA21" s="67">
        <f t="shared" si="10"/>
        <v>23.2849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0109-25</v>
      </c>
      <c r="AE21" s="91" t="str">
        <f t="shared" si="12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21" s="88" t="str">
        <f t="shared" si="13"/>
        <v>"C:\Program Files (x86)\AstroGrep\AstroGrep.exe" /spath="%USERPROFILE%\AppData\Local\Temp\OnboardLogs" /stypes="app*4002*20161025*"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109-25 --locoid 4002 --swversion DE.1.0.7.0 --startMP 204:462 --initTime 2016-10-25T04:42:22 --startdatetime 2016-10-25T04:45:16 --delay 1 --endMP 204:233311 --enddatetime 2016-10-25T05:24:13 --enforcementcount 0 &gt;&gt;C:\Users\stu\Documents\GitHub\eaglep3-reporting\EC\2016-10-25-refined-times.txt</v>
      </c>
      <c r="AI2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ID","value":"109-25"},{"id":16,"name":"Locomotive ID","value":"4002"},{"id":130,"name":"Impact","value":""},{"id":150,"name":"Time of Event (Mountain Time)","value":"05:24:13"},{"id":151,"name":"Denver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467</v>
      </c>
      <c r="B22" s="7">
        <v>4001</v>
      </c>
      <c r="C22" s="22" t="s">
        <v>99</v>
      </c>
      <c r="D22" s="22" t="s">
        <v>644</v>
      </c>
      <c r="E22" s="13">
        <v>42668.247037037036</v>
      </c>
      <c r="F22" s="13">
        <v>42668.247893518521</v>
      </c>
      <c r="G22" s="7">
        <v>1</v>
      </c>
      <c r="H22" s="13" t="s">
        <v>645</v>
      </c>
      <c r="I22" s="13">
        <v>42668.276458333334</v>
      </c>
      <c r="J22" s="7">
        <v>0</v>
      </c>
      <c r="K22" s="112" t="str">
        <f t="shared" si="0"/>
        <v>4001/4002</v>
      </c>
      <c r="L22" s="22" t="str">
        <f>VLOOKUP(A22,'Trips&amp;Operators'!$C$1:$E$10000,3,FALSE)</f>
        <v>DAVIS</v>
      </c>
      <c r="M22" s="6">
        <f t="shared" si="1"/>
        <v>2.8564814812853001E-2</v>
      </c>
      <c r="N22" s="7"/>
      <c r="O22" s="7"/>
      <c r="P22" s="7">
        <f t="shared" si="2"/>
        <v>41.133333330508322</v>
      </c>
      <c r="Q22" s="23"/>
      <c r="R22" s="23" t="s">
        <v>807</v>
      </c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04:55:44-0600',mode:absolute,to:'2016-10-25 07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" s="52" t="str">
        <f t="shared" si="6"/>
        <v>Y</v>
      </c>
      <c r="X22" s="171">
        <f t="shared" si="7"/>
        <v>1</v>
      </c>
      <c r="Y22" s="67">
        <f t="shared" si="8"/>
        <v>19.2575</v>
      </c>
      <c r="Z22" s="67">
        <f t="shared" si="9"/>
        <v>0.1171</v>
      </c>
      <c r="AA22" s="67">
        <f t="shared" si="10"/>
        <v>19.1404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0110-25</v>
      </c>
      <c r="AE22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22" s="88" t="str">
        <f t="shared" si="13"/>
        <v>"C:\Program Files (x86)\AstroGrep\AstroGrep.exe" /spath="%USERPROFILE%\AppData\Local\Temp\OnboardLogs" /stypes="app*4001*20161025*"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110-25 --locoid 4001 --swversion DE.1.0.7.0 --startMP 204:192575 --initTime 2016-10-25T05:55:44 --startdatetime 2016-10-25T05:56:58 --delay 1 --endMP 204:1171 --enddatetime 2016-10-25T06:38:06 --enforcementcount 0 &gt;&gt;C:\Users\stu\Documents\GitHub\eaglep3-reporting\EC\2016-10-25-refined-times.txt</v>
      </c>
      <c r="AI22" s="122" t="str">
        <f t="shared" si="18"/>
        <v>echo {"issue":{"subject":"CP PENA ELXS failure","project_id":79,"tracker_id":40,"status_id":1,"priority_id":2,"assigned_to_id":23,"start_date":"2016-10-25","description":"At 05:44:33, EC2044RH 210-2T 2S dropped to STOP &amp; PROCEED. Also, incidents logs say that around this time EC2044RH went out of correspondence. Any logs that say something similar?","custom_fields":[{"id":1,"name":"Subdivision","value":"EC"},{"id":4,"name":"Milepost","value":"0.1171"},{"id":17,"name":"Train ID","value":"110-25"},{"id":16,"name":"Locomotive ID","value":"4001"},{"id":130,"name":"Impact","value":"Unexpected Cut-Out or Disengaged"},{"id":150,"name":"Time of Event (Mountain Time)","value":"06:38:06"},{"id":151,"name":"Denver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2" s="53" t="s">
        <v>806</v>
      </c>
      <c r="AK22" s="53" t="s">
        <v>132</v>
      </c>
      <c r="AL22" s="53" t="s">
        <v>131</v>
      </c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467</v>
      </c>
      <c r="B23" s="7">
        <v>4001</v>
      </c>
      <c r="C23" s="22" t="s">
        <v>99</v>
      </c>
      <c r="D23" s="22" t="s">
        <v>287</v>
      </c>
      <c r="E23" s="13">
        <v>42668.234780092593</v>
      </c>
      <c r="F23" s="13">
        <v>42668.247893518521</v>
      </c>
      <c r="G23" s="7">
        <v>1</v>
      </c>
      <c r="H23" s="13" t="s">
        <v>646</v>
      </c>
      <c r="I23" s="13">
        <v>42668.276458333334</v>
      </c>
      <c r="J23" s="7">
        <v>0</v>
      </c>
      <c r="K23" s="112" t="str">
        <f t="shared" si="0"/>
        <v>4001/4002</v>
      </c>
      <c r="L23" s="22" t="str">
        <f>VLOOKUP(A23,'Trips&amp;Operators'!$C$1:$E$10000,3,FALSE)</f>
        <v>DAVIS</v>
      </c>
      <c r="M23" s="6">
        <f t="shared" si="1"/>
        <v>2.8564814812853001E-2</v>
      </c>
      <c r="N23" s="7"/>
      <c r="O23" s="7"/>
      <c r="P23" s="7"/>
      <c r="Q23" s="23"/>
      <c r="R23" s="23"/>
      <c r="S23" s="35">
        <f t="shared" si="3"/>
        <v>0</v>
      </c>
      <c r="T23" s="50" t="str">
        <f t="shared" si="4"/>
        <v>Southbound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04:38:05-0600',mode:absolute,to:'2016-10-25 07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3" s="52" t="str">
        <f t="shared" si="6"/>
        <v>Y</v>
      </c>
      <c r="X23" s="171">
        <f t="shared" si="7"/>
        <v>0</v>
      </c>
      <c r="Y23" s="67">
        <f t="shared" si="8"/>
        <v>23.298400000000001</v>
      </c>
      <c r="Z23" s="67">
        <f t="shared" si="9"/>
        <v>20.465599999999998</v>
      </c>
      <c r="AA23" s="67">
        <f t="shared" si="10"/>
        <v>2.8328000000000024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0110-25</v>
      </c>
      <c r="AE23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23" s="88" t="str">
        <f t="shared" si="13"/>
        <v>"C:\Program Files (x86)\AstroGrep\AstroGrep.exe" /spath="%USERPROFILE%\AppData\Local\Temp\OnboardLogs" /stypes="app*4001*20161025*"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110-25 --locoid 4001 --swversion DE.1.0.7.0 --startMP 204:232984 --initTime 2016-10-25T05:38:05 --startdatetime 2016-10-25T05:56:58 --delay 1 --endMP 204:204656 --enddatetime 2016-10-25T06:38:06 --enforcementcount 0 &gt;&gt;C:\Users\stu\Documents\GitHub\eaglep3-reporting\EC\2016-10-25-refined-times.txt</v>
      </c>
      <c r="AI2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{"issue":{"subject":"","project_id":79,"tracker_id":40,"status_id":1,"priority_id":2,"assigned_to_id":23,"start_date":"2016-10-25","description":"","custom_fields":[{"id":1,"name":"Subdivision","value":"EC"},{"id":4,"name":"Milepost","value":"20.4656"},{"id":17,"name":"Train ID","value":"110-25"},{"id":16,"name":"Locomotive ID","value":"4001"},{"id":130,"name":"Impact","value":""},{"id":150,"name":"Time of Event (Mountain Time)","value":"06:38:06"},{"id":151,"name":"Denver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461</v>
      </c>
      <c r="B24" s="7">
        <v>4006</v>
      </c>
      <c r="C24" s="22" t="s">
        <v>99</v>
      </c>
      <c r="D24" s="22" t="s">
        <v>647</v>
      </c>
      <c r="E24" s="13">
        <v>42668.20621527778</v>
      </c>
      <c r="F24" s="13">
        <v>42668.208541666667</v>
      </c>
      <c r="G24" s="7">
        <v>3</v>
      </c>
      <c r="H24" s="13" t="s">
        <v>383</v>
      </c>
      <c r="I24" s="13">
        <v>42668.233680555553</v>
      </c>
      <c r="J24" s="7">
        <v>0</v>
      </c>
      <c r="K24" s="112" t="str">
        <f t="shared" si="0"/>
        <v>4005/4006</v>
      </c>
      <c r="L24" s="22" t="str">
        <f>VLOOKUP(A24,'Trips&amp;Operators'!$C$1:$E$10000,3,FALSE)</f>
        <v>GEBRETEKLE</v>
      </c>
      <c r="M24" s="6">
        <f t="shared" si="1"/>
        <v>2.5138888886431232E-2</v>
      </c>
      <c r="N24" s="7">
        <f t="shared" si="2"/>
        <v>36.199999996460974</v>
      </c>
      <c r="O24" s="7"/>
      <c r="P24" s="7"/>
      <c r="Q24" s="23"/>
      <c r="R24" s="23"/>
      <c r="S24" s="35">
        <f t="shared" si="3"/>
        <v>1</v>
      </c>
      <c r="T24" s="50" t="str">
        <f t="shared" si="4"/>
        <v>NorthBound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03:56:57-0600',mode:absolute,to:'2016-10-25 06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7.6799999999999993E-2</v>
      </c>
      <c r="Z24" s="67">
        <f t="shared" si="9"/>
        <v>23.331700000000001</v>
      </c>
      <c r="AA24" s="67">
        <f t="shared" si="10"/>
        <v>23.254900000000003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0111-25</v>
      </c>
      <c r="AE24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24" s="88" t="str">
        <f t="shared" si="13"/>
        <v>"C:\Program Files (x86)\AstroGrep\AstroGrep.exe" /spath="%USERPROFILE%\AppData\Local\Temp\OnboardLogs" /stypes="app*4006*20161025*" /stext=" 11:.+((SYSTEM_STATE.+slice.+state.+changed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111-25 --locoid 4006 --swversion DE.1.0.7.0 --startMP 204:768 --initTime 2016-10-25T04:56:57 --startdatetime 2016-10-25T05:00:18 --delay 3 --endMP 204:233317 --enddatetime 2016-10-25T05:36:30 --enforcementcount 0 &gt;&gt;C:\Users\stu\Documents\GitHub\eaglep3-reporting\EC\2016-10-25-refined-times.txt</v>
      </c>
      <c r="AI2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{"issue":{"subject":"","project_id":79,"tracker_id":40,"status_id":1,"priority_id":2,"assigned_to_id":23,"start_date":"2016-10-25","description":"","custom_fields":[{"id":1,"name":"Subdivision","value":"EC"},{"id":4,"name":"Milepost","value":"23.3317"},{"id":17,"name":"Train ID","value":"111-25"},{"id":16,"name":"Locomotive ID","value":"4006"},{"id":130,"name":"Impact","value":""},{"id":150,"name":"Time of Event (Mountain Time)","value":"05:36:30"},{"id":151,"name":"Denver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416</v>
      </c>
      <c r="B25" s="7">
        <v>4005</v>
      </c>
      <c r="C25" s="22" t="s">
        <v>99</v>
      </c>
      <c r="D25" s="22" t="s">
        <v>341</v>
      </c>
      <c r="E25" s="13">
        <v>42668.239050925928</v>
      </c>
      <c r="F25" s="13">
        <v>42668.247453703705</v>
      </c>
      <c r="G25" s="7">
        <v>1</v>
      </c>
      <c r="H25" s="13" t="s">
        <v>377</v>
      </c>
      <c r="I25" s="13">
        <v>42668.278773148151</v>
      </c>
      <c r="J25" s="7">
        <v>0</v>
      </c>
      <c r="K25" s="112" t="str">
        <f t="shared" si="0"/>
        <v>4005/4006</v>
      </c>
      <c r="L25" s="22" t="str">
        <f>VLOOKUP(A25,'Trips&amp;Operators'!$C$1:$E$10000,3,FALSE)</f>
        <v>GEBRETEKLE</v>
      </c>
      <c r="M25" s="6">
        <f t="shared" si="1"/>
        <v>3.1319444446125999E-2</v>
      </c>
      <c r="N25" s="7">
        <f t="shared" si="2"/>
        <v>45.100000002421439</v>
      </c>
      <c r="O25" s="7"/>
      <c r="P25" s="7"/>
      <c r="Q25" s="23"/>
      <c r="R25" s="23"/>
      <c r="S25" s="35">
        <f t="shared" si="3"/>
        <v>1</v>
      </c>
      <c r="T25" s="50" t="str">
        <f t="shared" si="4"/>
        <v>Southbound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04:44:14-0600',mode:absolute,to:'2016-10-25 07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23.299600000000002</v>
      </c>
      <c r="Z25" s="67">
        <f t="shared" si="9"/>
        <v>1.6899999999999998E-2</v>
      </c>
      <c r="AA25" s="67">
        <f t="shared" si="10"/>
        <v>23.282700000000002</v>
      </c>
      <c r="AB25" s="64" t="str">
        <f>VLOOKUP(A25,Enforcements!$C$7:$K$21,8,0)</f>
        <v>Signal based authority (5)</v>
      </c>
      <c r="AC25" s="60" t="str">
        <f>VLOOKUP(A25,Enforcements!$C$7:$E$21,3,0)</f>
        <v>SIGNAL</v>
      </c>
      <c r="AD25" s="61" t="str">
        <f t="shared" si="11"/>
        <v>0112-25</v>
      </c>
      <c r="AE25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25" s="88" t="str">
        <f t="shared" si="13"/>
        <v>"C:\Program Files (x86)\AstroGrep\AstroGrep.exe" /spath="%USERPROFILE%\AppData\Local\Temp\OnboardLogs" /stypes="app*4005*20161025*"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112-25 --locoid 4005 --swversion DE.1.0.7.0 --startMP 204:232996 --initTime 2016-10-25T05:44:14 --startdatetime 2016-10-25T05:56:20 --delay 1 --endMP 204:169 --enddatetime 2016-10-25T06:41:26 --enforcementcount 0 &gt;&gt;C:\Users\stu\Documents\GitHub\eaglep3-reporting\EC\2016-10-25-refined-times.txt</v>
      </c>
      <c r="AI2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{"issue":{"subject":"","project_id":79,"tracker_id":40,"status_id":1,"priority_id":2,"assigned_to_id":23,"start_date":"2016-10-25","description":"","custom_fields":[{"id":1,"name":"Subdivision","value":"EC"},{"id":4,"name":"Milepost","value":"0.0169"},{"id":17,"name":"Train ID","value":"112-25"},{"id":16,"name":"Locomotive ID","value":"4005"},{"id":130,"name":"Impact","value":""},{"id":150,"name":"Time of Event (Mountain Time)","value":"06:41:26"},{"id":151,"name":"Denver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411</v>
      </c>
      <c r="B26" s="7">
        <v>4046</v>
      </c>
      <c r="C26" s="22" t="s">
        <v>99</v>
      </c>
      <c r="D26" s="22" t="s">
        <v>299</v>
      </c>
      <c r="E26" s="13">
        <v>42668.20590277778</v>
      </c>
      <c r="F26" s="13">
        <v>42668.218946759262</v>
      </c>
      <c r="G26" s="7">
        <v>1</v>
      </c>
      <c r="H26" s="13" t="s">
        <v>648</v>
      </c>
      <c r="I26" s="13">
        <v>42668.242847222224</v>
      </c>
      <c r="J26" s="7">
        <v>0</v>
      </c>
      <c r="K26" s="112" t="str">
        <f t="shared" si="0"/>
        <v>4045/4046</v>
      </c>
      <c r="L26" s="22" t="str">
        <f>VLOOKUP(A26,'Trips&amp;Operators'!$C$1:$E$10000,3,FALSE)</f>
        <v>KILLION</v>
      </c>
      <c r="M26" s="6">
        <f t="shared" si="1"/>
        <v>2.3900462962046731E-2</v>
      </c>
      <c r="N26" s="7"/>
      <c r="O26" s="7"/>
      <c r="P26" s="7">
        <f t="shared" si="2"/>
        <v>34.416666665347293</v>
      </c>
      <c r="Q26" s="23"/>
      <c r="R26" s="23" t="s">
        <v>809</v>
      </c>
      <c r="S26" s="35">
        <f t="shared" si="3"/>
        <v>1</v>
      </c>
      <c r="T26" s="50" t="str">
        <f t="shared" si="4"/>
        <v>NorthBound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03:56:30-0600',mode:absolute,to:'2016-10-25 06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6" s="52" t="str">
        <f t="shared" si="6"/>
        <v>Y</v>
      </c>
      <c r="X26" s="171">
        <f t="shared" si="7"/>
        <v>1</v>
      </c>
      <c r="Y26" s="67">
        <f t="shared" si="8"/>
        <v>4.6699999999999998E-2</v>
      </c>
      <c r="Z26" s="67">
        <f t="shared" si="9"/>
        <v>18.250900000000001</v>
      </c>
      <c r="AA26" s="67">
        <f t="shared" si="10"/>
        <v>18.2042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0113-25</v>
      </c>
      <c r="AE26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26" s="88" t="str">
        <f t="shared" si="13"/>
        <v>"C:\Program Files (x86)\AstroGrep\AstroGrep.exe" /spath="%USERPROFILE%\AppData\Local\Temp\OnboardLogs" /stypes="app*4046*20161025*" /stext=" 11:.+((SYSTEM_STATE.+slice.+state.+changed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113-25 --locoid 4046 --swversion DE.1.0.7.0 --startMP 204:467 --initTime 2016-10-25T04:56:30 --startdatetime 2016-10-25T05:15:17 --delay 1 --endMP 204:182509 --enddatetime 2016-10-25T05:49:42 --enforcementcount 0 &gt;&gt;C:\Users\stu\Documents\GitHub\eaglep3-reporting\EC\2016-10-25-refined-times.txt</v>
      </c>
      <c r="AI26" s="122" t="str">
        <f t="shared" si="18"/>
        <v>echo {"issue":{"subject":"CP PENA ELXS failure?","project_id":79,"tracker_id":40,"status_id":1,"priority_id":2,"assigned_to_id":23,"start_date":"2016-10-25","description":"At 05:44:33, EC1827RH 175-1T 1N dropped to STOP &amp; PROCEED. Also, incidents logs say that around this time CP PENA went out of correspondence. Any logs that say something similar?","custom_fields":[{"id":1,"name":"Subdivision","value":"EC"},{"id":4,"name":"Milepost","value":"18.2509"},{"id":17,"name":"Train ID","value":"113-25"},{"id":16,"name":"Locomotive ID","value":"4046"},{"id":130,"name":"Impact","value":"Unexpected Cut-Out or Disengaged"},{"id":150,"name":"Time of Event (Mountain Time)","value":"05:49:42"},{"id":151,"name":"Denver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6" s="53" t="s">
        <v>808</v>
      </c>
      <c r="AK26" s="53" t="s">
        <v>132</v>
      </c>
      <c r="AL26" s="53" t="s">
        <v>131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470</v>
      </c>
      <c r="B27" s="7">
        <v>4045</v>
      </c>
      <c r="C27" s="22" t="s">
        <v>99</v>
      </c>
      <c r="D27" s="22" t="s">
        <v>371</v>
      </c>
      <c r="E27" s="13">
        <v>42668.251597222225</v>
      </c>
      <c r="F27" s="13">
        <v>42668.258425925924</v>
      </c>
      <c r="G27" s="7">
        <v>1</v>
      </c>
      <c r="H27" s="13" t="s">
        <v>372</v>
      </c>
      <c r="I27" s="13">
        <v>42668.286851851852</v>
      </c>
      <c r="J27" s="7">
        <v>0</v>
      </c>
      <c r="K27" s="112" t="str">
        <f t="shared" si="0"/>
        <v>4045/4046</v>
      </c>
      <c r="L27" s="22" t="str">
        <f>VLOOKUP(A27,'Trips&amp;Operators'!$C$1:$E$10000,3,FALSE)</f>
        <v>KILLION</v>
      </c>
      <c r="M27" s="6">
        <f t="shared" si="1"/>
        <v>2.842592592787696E-2</v>
      </c>
      <c r="N27" s="7">
        <f t="shared" si="2"/>
        <v>40.933333336142823</v>
      </c>
      <c r="O27" s="7"/>
      <c r="P27" s="7"/>
      <c r="Q27" s="23"/>
      <c r="R27" s="23"/>
      <c r="S27" s="35">
        <f t="shared" si="3"/>
        <v>1</v>
      </c>
      <c r="T27" s="50" t="str">
        <f t="shared" si="4"/>
        <v>Southbound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05:02:18-0600',mode:absolute,to:'2016-10-25 07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23.297499999999999</v>
      </c>
      <c r="Z27" s="67">
        <f t="shared" si="9"/>
        <v>1.61E-2</v>
      </c>
      <c r="AA27" s="67">
        <f t="shared" si="10"/>
        <v>23.281399999999998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0114-25</v>
      </c>
      <c r="AE27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27" s="88" t="str">
        <f t="shared" si="13"/>
        <v>"C:\Program Files (x86)\AstroGrep\AstroGrep.exe" /spath="%USERPROFILE%\AppData\Local\Temp\OnboardLogs" /stypes="app*4045*20161025*"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114-25 --locoid 4045 --swversion DE.1.0.7.0 --startMP 204:232975 --initTime 2016-10-25T06:02:18 --startdatetime 2016-10-25T06:12:08 --delay 1 --endMP 204:161 --enddatetime 2016-10-25T06:53:04 --enforcementcount 0 &gt;&gt;C:\Users\stu\Documents\GitHub\eaglep3-reporting\EC\2016-10-25-refined-times.txt</v>
      </c>
      <c r="AI2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{"issue":{"subject":"","project_id":79,"tracker_id":40,"status_id":1,"priority_id":2,"assigned_to_id":23,"start_date":"2016-10-25","description":"","custom_fields":[{"id":1,"name":"Subdivision","value":"EC"},{"id":4,"name":"Milepost","value":"0.0161"},{"id":17,"name":"Train ID","value":"114-25"},{"id":16,"name":"Locomotive ID","value":"4045"},{"id":130,"name":"Impact","value":""},{"id":150,"name":"Time of Event (Mountain Time)","value":"06:53:04"},{"id":151,"name":"Denver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465</v>
      </c>
      <c r="B28" s="7">
        <v>4009</v>
      </c>
      <c r="C28" s="22" t="s">
        <v>99</v>
      </c>
      <c r="D28" s="22" t="s">
        <v>649</v>
      </c>
      <c r="E28" s="13">
        <v>42668.227395833332</v>
      </c>
      <c r="F28" s="13">
        <v>42668.229745370372</v>
      </c>
      <c r="G28" s="7">
        <v>1</v>
      </c>
      <c r="H28" s="13" t="s">
        <v>650</v>
      </c>
      <c r="I28" s="13">
        <v>42668.258391203701</v>
      </c>
      <c r="J28" s="7">
        <v>0</v>
      </c>
      <c r="K28" s="112" t="str">
        <f t="shared" si="0"/>
        <v>4009/4010</v>
      </c>
      <c r="L28" s="22" t="str">
        <f>VLOOKUP(A28,'Trips&amp;Operators'!$C$1:$E$10000,3,FALSE)</f>
        <v>ROCHA</v>
      </c>
      <c r="M28" s="6">
        <f t="shared" si="1"/>
        <v>2.8645833328482695E-2</v>
      </c>
      <c r="N28" s="7">
        <f t="shared" si="2"/>
        <v>41.249999993015081</v>
      </c>
      <c r="O28" s="7"/>
      <c r="P28" s="7"/>
      <c r="Q28" s="23"/>
      <c r="R28" s="23"/>
      <c r="S28" s="35">
        <f t="shared" si="3"/>
        <v>1</v>
      </c>
      <c r="T28" s="50" t="str">
        <f t="shared" si="4"/>
        <v>NorthBound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04:27:27-0600',mode:absolute,to:'2016-10-25 07:12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7.6499999999999999E-2</v>
      </c>
      <c r="Z28" s="67">
        <f t="shared" si="9"/>
        <v>23.328499999999998</v>
      </c>
      <c r="AA28" s="67">
        <f t="shared" si="10"/>
        <v>23.251999999999999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0115-25</v>
      </c>
      <c r="AE28" s="91" t="str">
        <f t="shared" si="12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28" s="88" t="str">
        <f t="shared" si="13"/>
        <v>"C:\Program Files (x86)\AstroGrep\AstroGrep.exe" /spath="%USERPROFILE%\AppData\Local\Temp\OnboardLogs" /stypes="app*4009*20161025*" /stext=" 12:.+((SYSTEM_STATE.+slice.+state.+changed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115-25 --locoid 4009 --swversion DE.1.0.7.0 --startMP 204:765 --initTime 2016-10-25T05:27:27 --startdatetime 2016-10-25T05:30:50 --delay 1 --endMP 204:233285 --enddatetime 2016-10-25T06:12:05 --enforcementcount 0 &gt;&gt;C:\Users\stu\Documents\GitHub\eaglep3-reporting\EC\2016-10-25-refined-times.txt</v>
      </c>
      <c r="AI2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{"issue":{"subject":"","project_id":79,"tracker_id":40,"status_id":1,"priority_id":2,"assigned_to_id":23,"start_date":"2016-10-25","description":"","custom_fields":[{"id":1,"name":"Subdivision","value":"EC"},{"id":4,"name":"Milepost","value":"23.3285"},{"id":17,"name":"Train ID","value":"115-25"},{"id":16,"name":"Locomotive ID","value":"4009"},{"id":130,"name":"Impact","value":""},{"id":150,"name":"Time of Event (Mountain Time)","value":"06:12:05"},{"id":151,"name":"Denver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474</v>
      </c>
      <c r="B29" s="7">
        <v>4010</v>
      </c>
      <c r="C29" s="22" t="s">
        <v>99</v>
      </c>
      <c r="D29" s="22" t="s">
        <v>367</v>
      </c>
      <c r="E29" s="13">
        <v>42668.266504629632</v>
      </c>
      <c r="F29" s="13">
        <v>42668.268865740742</v>
      </c>
      <c r="G29" s="7">
        <v>1</v>
      </c>
      <c r="H29" s="13" t="s">
        <v>233</v>
      </c>
      <c r="I29" s="13">
        <v>42668.299201388887</v>
      </c>
      <c r="J29" s="7">
        <v>0</v>
      </c>
      <c r="K29" s="112" t="str">
        <f t="shared" si="0"/>
        <v>4009/4010</v>
      </c>
      <c r="L29" s="22" t="str">
        <f>VLOOKUP(A29,'Trips&amp;Operators'!$C$1:$E$10000,3,FALSE)</f>
        <v>ROCHA</v>
      </c>
      <c r="M29" s="6">
        <f t="shared" si="1"/>
        <v>3.0335648145410232E-2</v>
      </c>
      <c r="N29" s="7">
        <f t="shared" si="2"/>
        <v>43.683333329390734</v>
      </c>
      <c r="O29" s="7"/>
      <c r="P29" s="7"/>
      <c r="Q29" s="23"/>
      <c r="R29" s="23"/>
      <c r="S29" s="35">
        <f t="shared" si="3"/>
        <v>1</v>
      </c>
      <c r="T29" s="50" t="str">
        <f t="shared" si="4"/>
        <v>Southbound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05:23:46-0600',mode:absolute,to:'2016-10-25 08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23.2974</v>
      </c>
      <c r="Z29" s="67">
        <f t="shared" si="9"/>
        <v>1.6E-2</v>
      </c>
      <c r="AA29" s="67">
        <f t="shared" si="10"/>
        <v>23.281400000000001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0116-25</v>
      </c>
      <c r="AE29" s="91" t="str">
        <f t="shared" si="12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29" s="88" t="str">
        <f t="shared" si="13"/>
        <v>"C:\Program Files (x86)\AstroGrep\AstroGrep.exe" /spath="%USERPROFILE%\AppData\Local\Temp\OnboardLogs" /stypes="app*4010*20161025*"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116-25 --locoid 4010 --swversion DE.1.0.7.0 --startMP 204:232974 --initTime 2016-10-25T06:23:46 --startdatetime 2016-10-25T06:27:10 --delay 1 --endMP 204:160 --enddatetime 2016-10-25T07:10:51 --enforcementcount 0 &gt;&gt;C:\Users\stu\Documents\GitHub\eaglep3-reporting\EC\2016-10-25-refined-times.txt</v>
      </c>
      <c r="AI2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ID","value":"116-25"},{"id":16,"name":"Locomotive ID","value":"4010"},{"id":130,"name":"Impact","value":""},{"id":150,"name":"Time of Event (Mountain Time)","value":"07:10:51"},{"id":151,"name":"Denver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415</v>
      </c>
      <c r="B30" s="7">
        <v>4007</v>
      </c>
      <c r="C30" s="22" t="s">
        <v>99</v>
      </c>
      <c r="D30" s="22" t="s">
        <v>335</v>
      </c>
      <c r="E30" s="13">
        <v>42668.230509259258</v>
      </c>
      <c r="F30" s="13">
        <v>42668.240104166667</v>
      </c>
      <c r="G30" s="7">
        <v>2</v>
      </c>
      <c r="H30" s="13" t="s">
        <v>651</v>
      </c>
      <c r="I30" s="13">
        <v>42668.266261574077</v>
      </c>
      <c r="J30" s="7">
        <v>0</v>
      </c>
      <c r="K30" s="112" t="str">
        <f t="shared" si="0"/>
        <v>4007/4008</v>
      </c>
      <c r="L30" s="22" t="str">
        <f>VLOOKUP(A30,'Trips&amp;Operators'!$C$1:$E$10000,3,FALSE)</f>
        <v>BADERTSCHER</v>
      </c>
      <c r="M30" s="6">
        <f t="shared" si="1"/>
        <v>2.6157407410209998E-2</v>
      </c>
      <c r="N30" s="7">
        <f t="shared" si="2"/>
        <v>37.666666670702398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04:31:56-0600',mode:absolute,to:'2016-10-25 07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4.3799999999999999E-2</v>
      </c>
      <c r="Z30" s="67">
        <f t="shared" si="9"/>
        <v>23.3218</v>
      </c>
      <c r="AA30" s="67">
        <f t="shared" si="10"/>
        <v>23.277999999999999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0117-25</v>
      </c>
      <c r="AE30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30" s="88" t="str">
        <f t="shared" si="13"/>
        <v>"C:\Program Files (x86)\AstroGrep\AstroGrep.exe" /spath="%USERPROFILE%\AppData\Local\Temp\OnboardLogs" /stypes="app*4007*20161025*" /stext=" 12:.+((SYSTEM_STATE.+slice.+state.+changed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117-25 --locoid 4007 --swversion DE.1.0.7.0 --startMP 204:438 --initTime 2016-10-25T05:31:56 --startdatetime 2016-10-25T05:45:45 --delay 2 --endMP 204:233218 --enddatetime 2016-10-25T06:23:25 --enforcementcount 0 &gt;&gt;C:\Users\stu\Documents\GitHub\eaglep3-reporting\EC\2016-10-25-refined-times.txt</v>
      </c>
      <c r="AI3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{"issue":{"subject":"","project_id":79,"tracker_id":40,"status_id":1,"priority_id":2,"assigned_to_id":23,"start_date":"2016-10-25","description":"","custom_fields":[{"id":1,"name":"Subdivision","value":"EC"},{"id":4,"name":"Milepost","value":"23.3218"},{"id":17,"name":"Train ID","value":"117-25"},{"id":16,"name":"Locomotive ID","value":"4007"},{"id":130,"name":"Impact","value":""},{"id":150,"name":"Time of Event (Mountain Time)","value":"06:23:25"},{"id":151,"name":"Denver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419</v>
      </c>
      <c r="B31" s="7">
        <v>4008</v>
      </c>
      <c r="C31" s="22" t="s">
        <v>99</v>
      </c>
      <c r="D31" s="22" t="s">
        <v>652</v>
      </c>
      <c r="E31" s="13">
        <v>42668.271979166668</v>
      </c>
      <c r="F31" s="13">
        <v>42668.280763888892</v>
      </c>
      <c r="G31" s="7">
        <v>2</v>
      </c>
      <c r="H31" s="13" t="s">
        <v>300</v>
      </c>
      <c r="I31" s="13">
        <v>42668.309895833336</v>
      </c>
      <c r="J31" s="7">
        <v>0</v>
      </c>
      <c r="K31" s="112" t="str">
        <f t="shared" si="0"/>
        <v>4007/4008</v>
      </c>
      <c r="L31" s="22" t="str">
        <f>VLOOKUP(A31,'Trips&amp;Operators'!$C$1:$E$10000,3,FALSE)</f>
        <v>BADERTSCHER</v>
      </c>
      <c r="M31" s="6">
        <f t="shared" si="1"/>
        <v>2.9131944444088731E-2</v>
      </c>
      <c r="N31" s="7">
        <f t="shared" si="2"/>
        <v>41.949999999487773</v>
      </c>
      <c r="O31" s="7"/>
      <c r="P31" s="7"/>
      <c r="Q31" s="23"/>
      <c r="R31" s="23"/>
      <c r="S31" s="35">
        <f t="shared" si="3"/>
        <v>1</v>
      </c>
      <c r="T31" s="50" t="str">
        <f t="shared" si="4"/>
        <v>Southbound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05:31:39-0600',mode:absolute,to:'2016-10-25 08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23.2879</v>
      </c>
      <c r="Z31" s="67">
        <f t="shared" si="9"/>
        <v>1.6299999999999999E-2</v>
      </c>
      <c r="AA31" s="67">
        <f t="shared" si="10"/>
        <v>23.271599999999999</v>
      </c>
      <c r="AB31" s="64" t="str">
        <f>VLOOKUP(A31,Enforcements!$C$7:$K$21,8,0)</f>
        <v>Bulletin (2)</v>
      </c>
      <c r="AC31" s="60" t="str">
        <f>VLOOKUP(A31,Enforcements!$C$7:$E$21,3,0)</f>
        <v>GRADE CROSSING</v>
      </c>
      <c r="AD31" s="61" t="str">
        <f t="shared" si="11"/>
        <v>0118-25</v>
      </c>
      <c r="AE31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31" s="88" t="str">
        <f t="shared" si="13"/>
        <v>"C:\Program Files (x86)\AstroGrep\AstroGrep.exe" /spath="%USERPROFILE%\AppData\Local\Temp\OnboardLogs" /stypes="app*4008*20161025*"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118-25 --locoid 4008 --swversion DE.1.0.7.0 --startMP 204:232879 --initTime 2016-10-25T06:31:39 --startdatetime 2016-10-25T06:44:18 --delay 2 --endMP 204:163 --enddatetime 2016-10-25T07:26:15 --enforcementcount 0 &gt;&gt;C:\Users\stu\Documents\GitHub\eaglep3-reporting\EC\2016-10-25-refined-times.txt</v>
      </c>
      <c r="AI3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ID","value":"118-25"},{"id":16,"name":"Locomotive ID","value":"4008"},{"id":130,"name":"Impact","value":""},{"id":150,"name":"Time of Event (Mountain Time)","value":"07:26:15"},{"id":151,"name":"Denver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417</v>
      </c>
      <c r="B32" s="7">
        <v>4042</v>
      </c>
      <c r="C32" s="22" t="s">
        <v>99</v>
      </c>
      <c r="D32" s="22" t="s">
        <v>653</v>
      </c>
      <c r="E32" s="13">
        <v>42668.249826388892</v>
      </c>
      <c r="F32" s="13">
        <v>42668.251817129632</v>
      </c>
      <c r="G32" s="7">
        <v>1</v>
      </c>
      <c r="H32" s="13" t="s">
        <v>368</v>
      </c>
      <c r="I32" s="13">
        <v>42668.280740740738</v>
      </c>
      <c r="J32" s="7">
        <v>0</v>
      </c>
      <c r="K32" s="112" t="str">
        <f t="shared" si="0"/>
        <v>4041/4042</v>
      </c>
      <c r="L32" s="22" t="str">
        <f>VLOOKUP(A32,'Trips&amp;Operators'!$C$1:$E$10000,3,FALSE)</f>
        <v>NELSON</v>
      </c>
      <c r="M32" s="6">
        <f t="shared" si="1"/>
        <v>2.8923611105710734E-2</v>
      </c>
      <c r="N32" s="7">
        <f t="shared" si="2"/>
        <v>41.649999992223457</v>
      </c>
      <c r="O32" s="7"/>
      <c r="P32" s="7"/>
      <c r="Q32" s="23"/>
      <c r="R32" s="23"/>
      <c r="S32" s="35">
        <f t="shared" si="3"/>
        <v>1</v>
      </c>
      <c r="T32" s="50" t="str">
        <f t="shared" si="4"/>
        <v>NorthBound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04:59:45-0600',mode:absolute,to:'2016-10-25 07:44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7.5899999999999995E-2</v>
      </c>
      <c r="Z32" s="67">
        <f t="shared" si="9"/>
        <v>23.324000000000002</v>
      </c>
      <c r="AA32" s="67">
        <f t="shared" si="10"/>
        <v>23.248100000000001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0119-25</v>
      </c>
      <c r="AE32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32" s="88" t="str">
        <f t="shared" si="13"/>
        <v>"C:\Program Files (x86)\AstroGrep\AstroGrep.exe" /spath="%USERPROFILE%\AppData\Local\Temp\OnboardLogs" /stypes="app*4042*20161025*" /stext=" 12:.+((SYSTEM_STATE.+slice.+state.+changed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119-25 --locoid 4042 --swversion DE.1.0.7.0 --startMP 204:759 --initTime 2016-10-25T05:59:45 --startdatetime 2016-10-25T06:02:37 --delay 1 --endMP 204:233240 --enddatetime 2016-10-25T06:44:16 --enforcementcount 0 &gt;&gt;C:\Users\stu\Documents\GitHub\eaglep3-reporting\EC\2016-10-25-refined-times.txt</v>
      </c>
      <c r="AI3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{"issue":{"subject":"","project_id":79,"tracker_id":40,"status_id":1,"priority_id":2,"assigned_to_id":23,"start_date":"2016-10-25","description":"","custom_fields":[{"id":1,"name":"Subdivision","value":"EC"},{"id":4,"name":"Milepost","value":"23.324"},{"id":17,"name":"Train ID","value":"119-25"},{"id":16,"name":"Locomotive ID","value":"4042"},{"id":130,"name":"Impact","value":""},{"id":150,"name":"Time of Event (Mountain Time)","value":"06:44:16"},{"id":151,"name":"Denver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420</v>
      </c>
      <c r="B33" s="7">
        <v>4041</v>
      </c>
      <c r="C33" s="22" t="s">
        <v>99</v>
      </c>
      <c r="D33" s="22" t="s">
        <v>654</v>
      </c>
      <c r="E33" s="13">
        <v>42668.282847222225</v>
      </c>
      <c r="F33" s="13">
        <v>42668.289513888885</v>
      </c>
      <c r="G33" s="7">
        <v>2</v>
      </c>
      <c r="H33" s="13" t="s">
        <v>268</v>
      </c>
      <c r="I33" s="13">
        <v>42668.31759259259</v>
      </c>
      <c r="J33" s="7">
        <v>0</v>
      </c>
      <c r="K33" s="112" t="str">
        <f t="shared" si="0"/>
        <v>4041/4042</v>
      </c>
      <c r="L33" s="22" t="str">
        <f>VLOOKUP(A33,'Trips&amp;Operators'!$C$1:$E$10000,3,FALSE)</f>
        <v>NELSON</v>
      </c>
      <c r="M33" s="6">
        <f t="shared" si="1"/>
        <v>2.8078703704522923E-2</v>
      </c>
      <c r="N33" s="7">
        <f t="shared" si="2"/>
        <v>40.433333334513009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05:47:18-0600',mode:absolute,to:'2016-10-25 08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23.291499999999999</v>
      </c>
      <c r="Z33" s="67">
        <f t="shared" si="9"/>
        <v>1.38E-2</v>
      </c>
      <c r="AA33" s="67">
        <f t="shared" si="10"/>
        <v>23.277699999999999</v>
      </c>
      <c r="AB33" s="64" t="str">
        <f>VLOOKUP(A33,Enforcements!$C$7:$K$21,8,0)</f>
        <v>Speed (6)</v>
      </c>
      <c r="AC33" s="60" t="str">
        <f>VLOOKUP(A33,Enforcements!$C$7:$E$21,3,0)</f>
        <v>PERMANENT SPEED RESTRICTION</v>
      </c>
      <c r="AD33" s="61" t="str">
        <f t="shared" si="11"/>
        <v>0120-25</v>
      </c>
      <c r="AE33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33" s="88" t="str">
        <f t="shared" si="13"/>
        <v>"C:\Program Files (x86)\AstroGrep\AstroGrep.exe" /spath="%USERPROFILE%\AppData\Local\Temp\OnboardLogs" /stypes="app*4041*20161025*"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120-25 --locoid 4041 --swversion DE.1.0.7.0 --startMP 204:232915 --initTime 2016-10-25T06:47:18 --startdatetime 2016-10-25T06:56:54 --delay 2 --endMP 204:138 --enddatetime 2016-10-25T07:37:20 --enforcementcount 0 &gt;&gt;C:\Users\stu\Documents\GitHub\eaglep3-reporting\EC\2016-10-25-refined-times.txt</v>
      </c>
      <c r="AI3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{"issue":{"subject":"","project_id":79,"tracker_id":40,"status_id":1,"priority_id":2,"assigned_to_id":23,"start_date":"2016-10-25","description":"","custom_fields":[{"id":1,"name":"Subdivision","value":"EC"},{"id":4,"name":"Milepost","value":"0.0138"},{"id":17,"name":"Train ID","value":"120-25"},{"id":16,"name":"Locomotive ID","value":"4041"},{"id":130,"name":"Impact","value":""},{"id":150,"name":"Time of Event (Mountain Time)","value":"07:37:20"},{"id":151,"name":"Denver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472</v>
      </c>
      <c r="B34" s="7">
        <v>4027</v>
      </c>
      <c r="C34" s="22" t="s">
        <v>99</v>
      </c>
      <c r="D34" s="22" t="s">
        <v>314</v>
      </c>
      <c r="E34" s="13">
        <v>42668.257511574076</v>
      </c>
      <c r="F34" s="13">
        <v>42668.26059027778</v>
      </c>
      <c r="G34" s="7">
        <v>1</v>
      </c>
      <c r="H34" s="13" t="s">
        <v>373</v>
      </c>
      <c r="I34" s="13">
        <v>42668.285590277781</v>
      </c>
      <c r="J34" s="7">
        <v>0</v>
      </c>
      <c r="K34" s="112" t="str">
        <f t="shared" si="0"/>
        <v>4027/4028</v>
      </c>
      <c r="L34" s="22" t="str">
        <f>VLOOKUP(A34,'Trips&amp;Operators'!$C$1:$E$10000,3,FALSE)</f>
        <v>SPECTOR</v>
      </c>
      <c r="M34" s="6">
        <f t="shared" si="1"/>
        <v>2.5000000001455192E-2</v>
      </c>
      <c r="N34" s="7">
        <f t="shared" si="2"/>
        <v>36.000000002095476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05:10:49-0600',mode:absolute,to:'2016-10-25 07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4.4200000000000003E-2</v>
      </c>
      <c r="Z34" s="67">
        <f t="shared" si="9"/>
        <v>23.331099999999999</v>
      </c>
      <c r="AA34" s="67">
        <f t="shared" si="10"/>
        <v>23.286899999999999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0121-25</v>
      </c>
      <c r="AE34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34" s="88" t="str">
        <f t="shared" si="13"/>
        <v>"C:\Program Files (x86)\AstroGrep\AstroGrep.exe" /spath="%USERPROFILE%\AppData\Local\Temp\OnboardLogs" /stypes="app*4027*20161025*" /stext=" 12:.+((SYSTEM_STATE.+slice.+state.+changed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121-25 --locoid 4027 --swversion DE.1.0.7.0 --startMP 204:442 --initTime 2016-10-25T06:10:49 --startdatetime 2016-10-25T06:15:15 --delay 1 --endMP 204:233311 --enddatetime 2016-10-25T06:51:15 --enforcementcount 0 &gt;&gt;C:\Users\stu\Documents\GitHub\eaglep3-reporting\EC\2016-10-25-refined-times.txt</v>
      </c>
      <c r="AI3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ID","value":"121-25"},{"id":16,"name":"Locomotive ID","value":"4027"},{"id":130,"name":"Impact","value":""},{"id":150,"name":"Time of Event (Mountain Time)","value":"06:51:15"},{"id":151,"name":"Denver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480</v>
      </c>
      <c r="B35" s="7">
        <v>4028</v>
      </c>
      <c r="C35" s="22" t="s">
        <v>99</v>
      </c>
      <c r="D35" s="22" t="s">
        <v>252</v>
      </c>
      <c r="E35" s="13">
        <v>42668.292685185188</v>
      </c>
      <c r="F35" s="13">
        <v>42668.299618055556</v>
      </c>
      <c r="G35" s="7">
        <v>1</v>
      </c>
      <c r="H35" s="13" t="s">
        <v>375</v>
      </c>
      <c r="I35" s="13">
        <v>42668.326342592591</v>
      </c>
      <c r="J35" s="7">
        <v>0</v>
      </c>
      <c r="K35" s="112" t="str">
        <f t="shared" si="0"/>
        <v>4027/4028</v>
      </c>
      <c r="L35" s="22" t="str">
        <f>VLOOKUP(A35,'Trips&amp;Operators'!$C$1:$E$10000,3,FALSE)</f>
        <v>SPECTOR</v>
      </c>
      <c r="M35" s="6">
        <f t="shared" si="1"/>
        <v>2.6724537034169771E-2</v>
      </c>
      <c r="N35" s="7">
        <f t="shared" si="2"/>
        <v>38.48333332920447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06:01:28-0600',mode:absolute,to:'2016-10-25 08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23.299399999999999</v>
      </c>
      <c r="Z35" s="67">
        <f t="shared" si="9"/>
        <v>1.29E-2</v>
      </c>
      <c r="AA35" s="67">
        <f t="shared" si="10"/>
        <v>23.2865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0122-25</v>
      </c>
      <c r="AE35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35" s="88" t="str">
        <f t="shared" si="13"/>
        <v>"C:\Program Files (x86)\AstroGrep\AstroGrep.exe" /spath="%USERPROFILE%\AppData\Local\Temp\OnboardLogs" /stypes="app*4028*20161025*"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122-25 --locoid 4028 --swversion DE.1.0.7.0 --startMP 204:232994 --initTime 2016-10-25T07:01:28 --startdatetime 2016-10-25T07:11:27 --delay 1 --endMP 204:129 --enddatetime 2016-10-25T07:49:56 --enforcementcount 0 &gt;&gt;C:\Users\stu\Documents\GitHub\eaglep3-reporting\EC\2016-10-25-refined-times.txt</v>
      </c>
      <c r="AI3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{"issue":{"subject":"","project_id":79,"tracker_id":40,"status_id":1,"priority_id":2,"assigned_to_id":23,"start_date":"2016-10-25","description":"","custom_fields":[{"id":1,"name":"Subdivision","value":"EC"},{"id":4,"name":"Milepost","value":"0.0129"},{"id":17,"name":"Train ID","value":"122-25"},{"id":16,"name":"Locomotive ID","value":"4028"},{"id":130,"name":"Impact","value":""},{"id":150,"name":"Time of Event (Mountain Time)","value":"07:49:56"},{"id":151,"name":"Denver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475</v>
      </c>
      <c r="B36" s="7">
        <v>4031</v>
      </c>
      <c r="C36" s="22" t="s">
        <v>99</v>
      </c>
      <c r="D36" s="22" t="s">
        <v>343</v>
      </c>
      <c r="E36" s="13">
        <v>42668.269641203704</v>
      </c>
      <c r="F36" s="13">
        <v>42668.271134259259</v>
      </c>
      <c r="G36" s="7">
        <v>1</v>
      </c>
      <c r="H36" s="13" t="s">
        <v>655</v>
      </c>
      <c r="I36" s="13">
        <v>42668.296354166669</v>
      </c>
      <c r="J36" s="7">
        <v>0</v>
      </c>
      <c r="K36" s="112" t="str">
        <f t="shared" si="0"/>
        <v>4031/4032</v>
      </c>
      <c r="L36" s="22" t="str">
        <f>VLOOKUP(A36,'Trips&amp;Operators'!$C$1:$E$10000,3,FALSE)</f>
        <v>GRASTON</v>
      </c>
      <c r="M36" s="6">
        <f t="shared" si="1"/>
        <v>2.5219907409336884E-2</v>
      </c>
      <c r="N36" s="7">
        <f t="shared" si="2"/>
        <v>36.316666669445112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05:28:17-0600',mode:absolute,to:'2016-10-25 08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4.7500000000000001E-2</v>
      </c>
      <c r="Z36" s="67">
        <f t="shared" si="9"/>
        <v>23.3308</v>
      </c>
      <c r="AA36" s="67">
        <f t="shared" si="10"/>
        <v>23.283300000000001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0123-25</v>
      </c>
      <c r="AE36" s="91" t="str">
        <f t="shared" si="12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36" s="88" t="str">
        <f t="shared" si="13"/>
        <v>"C:\Program Files (x86)\AstroGrep\AstroGrep.exe" /spath="%USERPROFILE%\AppData\Local\Temp\OnboardLogs" /stypes="app*4031*20161025*" /stext=" 13:.+((SYSTEM_STATE.+slice.+state.+changed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123-25 --locoid 4031 --swversion DE.1.0.7.0 --startMP 204:475 --initTime 2016-10-25T06:28:17 --startdatetime 2016-10-25T06:30:26 --delay 1 --endMP 204:233308 --enddatetime 2016-10-25T07:06:45 --enforcementcount 0 &gt;&gt;C:\Users\stu\Documents\GitHub\eaglep3-reporting\EC\2016-10-25-refined-times.txt</v>
      </c>
      <c r="AI3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{"issue":{"subject":"","project_id":79,"tracker_id":40,"status_id":1,"priority_id":2,"assigned_to_id":23,"start_date":"2016-10-25","description":"","custom_fields":[{"id":1,"name":"Subdivision","value":"EC"},{"id":4,"name":"Milepost","value":"23.3308"},{"id":17,"name":"Train ID","value":"123-25"},{"id":16,"name":"Locomotive ID","value":"4031"},{"id":130,"name":"Impact","value":""},{"id":150,"name":"Time of Event (Mountain Time)","value":"07:06:45"},{"id":151,"name":"Denver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482</v>
      </c>
      <c r="B37" s="7">
        <v>4032</v>
      </c>
      <c r="C37" s="22" t="s">
        <v>99</v>
      </c>
      <c r="D37" s="22" t="s">
        <v>656</v>
      </c>
      <c r="E37" s="13">
        <v>42668.299780092595</v>
      </c>
      <c r="F37" s="13">
        <v>42668.309953703705</v>
      </c>
      <c r="G37" s="7">
        <v>1</v>
      </c>
      <c r="H37" s="13" t="s">
        <v>177</v>
      </c>
      <c r="I37" s="13">
        <v>42668.338599537034</v>
      </c>
      <c r="J37" s="7">
        <v>0</v>
      </c>
      <c r="K37" s="112" t="str">
        <f t="shared" si="0"/>
        <v>4031/4032</v>
      </c>
      <c r="L37" s="22" t="str">
        <f>VLOOKUP(A37,'Trips&amp;Operators'!$C$1:$E$10000,3,FALSE)</f>
        <v>GRASTON</v>
      </c>
      <c r="M37" s="6">
        <f t="shared" si="1"/>
        <v>2.8645833328482695E-2</v>
      </c>
      <c r="N37" s="7">
        <f t="shared" si="2"/>
        <v>41.249999993015081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06:11:41-0600',mode:absolute,to:'2016-10-25 09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23.3</v>
      </c>
      <c r="Z37" s="67">
        <f t="shared" si="9"/>
        <v>1.52E-2</v>
      </c>
      <c r="AA37" s="67">
        <f t="shared" si="10"/>
        <v>23.284800000000001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0124-25</v>
      </c>
      <c r="AE37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37" s="88" t="str">
        <f t="shared" si="13"/>
        <v>"C:\Program Files (x86)\AstroGrep\AstroGrep.exe" /spath="%USERPROFILE%\AppData\Local\Temp\OnboardLogs" /stypes="app*4032*20161025*"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124-25 --locoid 4032 --swversion DE.1.0.7.0 --startMP 204:233000 --initTime 2016-10-25T07:11:41 --startdatetime 2016-10-25T07:26:20 --delay 1 --endMP 204:152 --enddatetime 2016-10-25T08:07:35 --enforcementcount 0 &gt;&gt;C:\Users\stu\Documents\GitHub\eaglep3-reporting\EC\2016-10-25-refined-times.txt</v>
      </c>
      <c r="AI3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ID","value":"124-25"},{"id":16,"name":"Locomotive ID","value":"4032"},{"id":130,"name":"Impact","value":""},{"id":150,"name":"Time of Event (Mountain Time)","value":"08:07:35"},{"id":151,"name":"Denver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477</v>
      </c>
      <c r="B38" s="7">
        <v>4006</v>
      </c>
      <c r="C38" s="22" t="s">
        <v>99</v>
      </c>
      <c r="D38" s="22" t="s">
        <v>657</v>
      </c>
      <c r="E38" s="13">
        <v>42668.281053240738</v>
      </c>
      <c r="F38" s="13">
        <v>42668.282627314817</v>
      </c>
      <c r="G38" s="7">
        <v>1</v>
      </c>
      <c r="H38" s="13" t="s">
        <v>658</v>
      </c>
      <c r="I38" s="13">
        <v>42668.306828703702</v>
      </c>
      <c r="J38" s="7">
        <v>0</v>
      </c>
      <c r="K38" s="112" t="str">
        <f t="shared" si="0"/>
        <v>4005/4006</v>
      </c>
      <c r="L38" s="22" t="str">
        <f>VLOOKUP(A38,'Trips&amp;Operators'!$C$1:$E$10000,3,FALSE)</f>
        <v>GEBRETEKLE</v>
      </c>
      <c r="M38" s="6">
        <f t="shared" si="1"/>
        <v>2.4201388885558117E-2</v>
      </c>
      <c r="N38" s="7">
        <f t="shared" si="2"/>
        <v>34.849999995203689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05:44:43-0600',mode:absolute,to:'2016-10-25 08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4.6399999999999997E-2</v>
      </c>
      <c r="Z38" s="67">
        <f t="shared" si="9"/>
        <v>23.330100000000002</v>
      </c>
      <c r="AA38" s="67">
        <f t="shared" si="10"/>
        <v>23.283700000000003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0125-25</v>
      </c>
      <c r="AE38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38" s="88" t="str">
        <f t="shared" si="13"/>
        <v>"C:\Program Files (x86)\AstroGrep\AstroGrep.exe" /spath="%USERPROFILE%\AppData\Local\Temp\OnboardLogs" /stypes="app*4006*20161025*" /stext=" 13:.+((SYSTEM_STATE.+slice.+state.+changed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125-25 --locoid 4006 --swversion DE.1.0.7.0 --startMP 204:464 --initTime 2016-10-25T06:44:43 --startdatetime 2016-10-25T06:46:59 --delay 1 --endMP 204:233301 --enddatetime 2016-10-25T07:21:50 --enforcementcount 0 &gt;&gt;C:\Users\stu\Documents\GitHub\eaglep3-reporting\EC\2016-10-25-refined-times.txt</v>
      </c>
      <c r="AI3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ID","value":"125-25"},{"id":16,"name":"Locomotive ID","value":"4006"},{"id":130,"name":"Impact","value":""},{"id":150,"name":"Time of Event (Mountain Time)","value":"07:21:50"},{"id":151,"name":"Denver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484</v>
      </c>
      <c r="B39" s="7">
        <v>4005</v>
      </c>
      <c r="C39" s="22" t="s">
        <v>99</v>
      </c>
      <c r="D39" s="22" t="s">
        <v>251</v>
      </c>
      <c r="E39" s="13">
        <v>42668.308321759258</v>
      </c>
      <c r="F39" s="13">
        <v>42668.320324074077</v>
      </c>
      <c r="G39" s="7">
        <v>1</v>
      </c>
      <c r="H39" s="13" t="s">
        <v>257</v>
      </c>
      <c r="I39" s="13">
        <v>42668.348668981482</v>
      </c>
      <c r="J39" s="7">
        <v>0</v>
      </c>
      <c r="K39" s="112" t="str">
        <f t="shared" si="0"/>
        <v>4005/4006</v>
      </c>
      <c r="L39" s="22" t="str">
        <f>VLOOKUP(A39,'Trips&amp;Operators'!$C$1:$E$10000,3,FALSE)</f>
        <v>GEBRETEKLE</v>
      </c>
      <c r="M39" s="6">
        <f t="shared" si="1"/>
        <v>2.8344907404971309E-2</v>
      </c>
      <c r="N39" s="7">
        <f t="shared" si="2"/>
        <v>40.816666663158685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06:23:59-0600',mode:absolute,to:'2016-10-25 09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23.297699999999999</v>
      </c>
      <c r="Z39" s="67">
        <f t="shared" si="9"/>
        <v>1.5599999999999999E-2</v>
      </c>
      <c r="AA39" s="67">
        <f t="shared" si="10"/>
        <v>23.2821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0126-25</v>
      </c>
      <c r="AE39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39" s="88" t="str">
        <f t="shared" si="13"/>
        <v>"C:\Program Files (x86)\AstroGrep\AstroGrep.exe" /spath="%USERPROFILE%\AppData\Local\Temp\OnboardLogs" /stypes="app*4005*20161025*"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126-25 --locoid 4005 --swversion DE.1.0.7.0 --startMP 204:232977 --initTime 2016-10-25T07:23:59 --startdatetime 2016-10-25T07:41:16 --delay 1 --endMP 204:156 --enddatetime 2016-10-25T08:22:05 --enforcementcount 0 &gt;&gt;C:\Users\stu\Documents\GitHub\eaglep3-reporting\EC\2016-10-25-refined-times.txt</v>
      </c>
      <c r="AI3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{"issue":{"subject":"","project_id":79,"tracker_id":40,"status_id":1,"priority_id":2,"assigned_to_id":23,"start_date":"2016-10-25","description":"","custom_fields":[{"id":1,"name":"Subdivision","value":"EC"},{"id":4,"name":"Milepost","value":"0.0156"},{"id":17,"name":"Train ID","value":"126-25"},{"id":16,"name":"Locomotive ID","value":"4005"},{"id":130,"name":"Impact","value":""},{"id":150,"name":"Time of Event (Mountain Time)","value":"08:22:05"},{"id":151,"name":"Denver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479</v>
      </c>
      <c r="B40" s="7">
        <v>4046</v>
      </c>
      <c r="C40" s="22" t="s">
        <v>99</v>
      </c>
      <c r="D40" s="22" t="s">
        <v>227</v>
      </c>
      <c r="E40" s="13">
        <v>42668.288078703707</v>
      </c>
      <c r="F40" s="13">
        <v>42668.291886574072</v>
      </c>
      <c r="G40" s="7">
        <v>1</v>
      </c>
      <c r="H40" s="13" t="s">
        <v>659</v>
      </c>
      <c r="I40" s="13">
        <v>42668.318657407406</v>
      </c>
      <c r="J40" s="7">
        <v>0</v>
      </c>
      <c r="K40" s="112" t="str">
        <f t="shared" si="0"/>
        <v>4045/4046</v>
      </c>
      <c r="L40" s="22" t="str">
        <f>VLOOKUP(A40,'Trips&amp;Operators'!$C$1:$E$10000,3,FALSE)</f>
        <v>KILLION</v>
      </c>
      <c r="M40" s="6">
        <f t="shared" si="1"/>
        <v>2.6770833334012423E-2</v>
      </c>
      <c r="N40" s="7">
        <f t="shared" si="2"/>
        <v>38.550000000977889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05:54:50-0600',mode:absolute,to:'2016-10-25 08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4.5499999999999999E-2</v>
      </c>
      <c r="Z40" s="67">
        <f t="shared" si="9"/>
        <v>23.328299999999999</v>
      </c>
      <c r="AA40" s="67">
        <f t="shared" si="10"/>
        <v>23.282799999999998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0127-25</v>
      </c>
      <c r="AE40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40" s="88" t="str">
        <f t="shared" si="13"/>
        <v>"C:\Program Files (x86)\AstroGrep\AstroGrep.exe" /spath="%USERPROFILE%\AppData\Local\Temp\OnboardLogs" /stypes="app*4046*20161025*" /stext=" 13:.+((SYSTEM_STATE.+slice.+state.+changed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127-25 --locoid 4046 --swversion DE.1.0.7.0 --startMP 204:455 --initTime 2016-10-25T06:54:50 --startdatetime 2016-10-25T07:00:19 --delay 1 --endMP 204:233283 --enddatetime 2016-10-25T07:38:52 --enforcementcount 0 &gt;&gt;C:\Users\stu\Documents\GitHub\eaglep3-reporting\EC\2016-10-25-refined-times.txt</v>
      </c>
      <c r="AI4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{"issue":{"subject":"","project_id":79,"tracker_id":40,"status_id":1,"priority_id":2,"assigned_to_id":23,"start_date":"2016-10-25","description":"","custom_fields":[{"id":1,"name":"Subdivision","value":"EC"},{"id":4,"name":"Milepost","value":"23.3283"},{"id":17,"name":"Train ID","value":"127-25"},{"id":16,"name":"Locomotive ID","value":"4046"},{"id":130,"name":"Impact","value":""},{"id":150,"name":"Time of Event (Mountain Time)","value":"07:38:52"},{"id":151,"name":"Denver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489</v>
      </c>
      <c r="B41" s="7">
        <v>4045</v>
      </c>
      <c r="C41" s="22" t="s">
        <v>99</v>
      </c>
      <c r="D41" s="22" t="s">
        <v>378</v>
      </c>
      <c r="E41" s="13">
        <v>42668.32366898148</v>
      </c>
      <c r="F41" s="13">
        <v>42668.330879629626</v>
      </c>
      <c r="G41" s="7">
        <v>1</v>
      </c>
      <c r="H41" s="13" t="s">
        <v>233</v>
      </c>
      <c r="I41" s="13">
        <v>42668.367025462961</v>
      </c>
      <c r="J41" s="7">
        <v>0</v>
      </c>
      <c r="K41" s="112" t="str">
        <f t="shared" si="0"/>
        <v>4045/4046</v>
      </c>
      <c r="L41" s="22" t="str">
        <f>VLOOKUP(A41,'Trips&amp;Operators'!$C$1:$E$10000,3,FALSE)</f>
        <v>KILLION</v>
      </c>
      <c r="M41" s="6">
        <f t="shared" si="1"/>
        <v>3.6145833335467614E-2</v>
      </c>
      <c r="N41" s="7">
        <f t="shared" si="2"/>
        <v>52.050000003073364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06:46:05-0600',mode:absolute,to:'2016-10-25 09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23.2972</v>
      </c>
      <c r="Z41" s="67">
        <f t="shared" si="9"/>
        <v>1.6E-2</v>
      </c>
      <c r="AA41" s="67">
        <f t="shared" si="10"/>
        <v>23.281200000000002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0128-25</v>
      </c>
      <c r="AE41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41" s="88" t="str">
        <f t="shared" si="13"/>
        <v>"C:\Program Files (x86)\AstroGrep\AstroGrep.exe" /spath="%USERPROFILE%\AppData\Local\Temp\OnboardLogs" /stypes="app*4045*20161025*"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128-25 --locoid 4045 --swversion DE.1.0.7.0 --startMP 204:232972 --initTime 2016-10-25T07:46:05 --startdatetime 2016-10-25T07:56:28 --delay 1 --endMP 204:160 --enddatetime 2016-10-25T08:48:31 --enforcementcount 0 &gt;&gt;C:\Users\stu\Documents\GitHub\eaglep3-reporting\EC\2016-10-25-refined-times.txt</v>
      </c>
      <c r="AI4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ID","value":"128-25"},{"id":16,"name":"Locomotive ID","value":"4045"},{"id":130,"name":"Impact","value":""},{"id":150,"name":"Time of Event (Mountain Time)","value":"08:48:31"},{"id":151,"name":"Denver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485</v>
      </c>
      <c r="B42" s="7">
        <v>4009</v>
      </c>
      <c r="C42" s="22" t="s">
        <v>99</v>
      </c>
      <c r="D42" s="22" t="s">
        <v>660</v>
      </c>
      <c r="E42" s="13">
        <v>42668.310787037037</v>
      </c>
      <c r="F42" s="13">
        <v>42668.31212962963</v>
      </c>
      <c r="G42" s="7">
        <v>1</v>
      </c>
      <c r="H42" s="13" t="s">
        <v>312</v>
      </c>
      <c r="I42" s="13">
        <v>42668.329594907409</v>
      </c>
      <c r="J42" s="7">
        <v>0</v>
      </c>
      <c r="K42" s="112" t="str">
        <f t="shared" si="0"/>
        <v>4009/4010</v>
      </c>
      <c r="L42" s="22" t="str">
        <f>VLOOKUP(A42,'Trips&amp;Operators'!$C$1:$E$10000,3,FALSE)</f>
        <v>MACDONALD</v>
      </c>
      <c r="M42" s="6">
        <f t="shared" si="1"/>
        <v>1.746527777868323E-2</v>
      </c>
      <c r="N42" s="7"/>
      <c r="O42" s="7"/>
      <c r="P42" s="7">
        <f t="shared" si="2"/>
        <v>25.150000001303852</v>
      </c>
      <c r="Q42" s="23"/>
      <c r="R42" s="23" t="s">
        <v>810</v>
      </c>
      <c r="S42" s="35">
        <f t="shared" si="3"/>
        <v>0.75</v>
      </c>
      <c r="T42" s="50" t="str">
        <f t="shared" si="4"/>
        <v>NorthBound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9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06:27:32-0600',mode:absolute,to:'2016-10-25 08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2" s="52" t="str">
        <f t="shared" si="6"/>
        <v>Y</v>
      </c>
      <c r="X42" s="171">
        <f t="shared" si="7"/>
        <v>1</v>
      </c>
      <c r="Y42" s="67">
        <f t="shared" si="8"/>
        <v>3.7185999999999999</v>
      </c>
      <c r="Z42" s="67">
        <f t="shared" si="9"/>
        <v>23.328900000000001</v>
      </c>
      <c r="AA42" s="67">
        <f t="shared" si="10"/>
        <v>19.610300000000002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0129-25</v>
      </c>
      <c r="AE42" s="91" t="str">
        <f t="shared" si="12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42" s="88" t="str">
        <f t="shared" si="13"/>
        <v>"C:\Program Files (x86)\AstroGrep\AstroGrep.exe" /spath="%USERPROFILE%\AppData\Local\Temp\OnboardLogs" /stypes="app*4009*20161025*" /stext=" 13:.+((SYSTEM_STATE.+slice.+state.+changed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129-25 --locoid 4009 --swversion DE.1.0.7.0 --startMP 204:37186 --initTime 2016-10-25T07:27:32 --startdatetime 2016-10-25T07:29:28 --delay 1 --endMP 204:233289 --enddatetime 2016-10-25T07:54:37 --enforcementcount 0 &gt;&gt;C:\Users\stu\Documents\GitHub\eaglep3-reporting\EC\2016-10-25-refined-times.txt</v>
      </c>
      <c r="AI42" s="122" t="str">
        <f t="shared" si="18"/>
        <v>echo {"issue":{"subject":"CCROC/crew/equipment not associated in TMDS (dispatcher error)","project_id":79,"tracker_id":40,"status_id":1,"priority_id":2,"assigned_to_id":23,"start_date":"2016-10-25","description":"Multiple init attempts in the 07:00-07:30 timeframe. A few unsuccesful due to empty 1001s, which almost always indicate CCROC/equipment/crew not being associated correctly","custom_fields":[{"id":1,"name":"Subdivision","value":"EC"},{"id":4,"name":"Milepost","value":"23.3289"},{"id":17,"name":"Train ID","value":"129-25"},{"id":16,"name":"Locomotive ID","value":"4009"},{"id":130,"name":"Impact","value":"Initialization Problem"},{"id":150,"name":"Time of Event (Mountain Time)","value":"07:54:37"},{"id":151,"name":"Denver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42" s="53" t="s">
        <v>811</v>
      </c>
      <c r="AK42" s="53" t="s">
        <v>134</v>
      </c>
      <c r="AL42" s="53" t="s">
        <v>144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491</v>
      </c>
      <c r="B43" s="7">
        <v>4010</v>
      </c>
      <c r="C43" s="22" t="s">
        <v>99</v>
      </c>
      <c r="D43" s="22" t="s">
        <v>661</v>
      </c>
      <c r="E43" s="13">
        <v>42668.342048611114</v>
      </c>
      <c r="F43" s="13">
        <v>42668.344027777777</v>
      </c>
      <c r="G43" s="7">
        <v>1</v>
      </c>
      <c r="H43" s="13" t="s">
        <v>662</v>
      </c>
      <c r="I43" s="13">
        <v>42668.377615740741</v>
      </c>
      <c r="J43" s="7">
        <v>0</v>
      </c>
      <c r="K43" s="112" t="str">
        <f t="shared" si="0"/>
        <v>4009/4010</v>
      </c>
      <c r="L43" s="22" t="str">
        <f>VLOOKUP(A43,'Trips&amp;Operators'!$C$1:$E$10000,3,FALSE)</f>
        <v>MACDONALD</v>
      </c>
      <c r="M43" s="6">
        <f t="shared" si="1"/>
        <v>3.3587962963792961E-2</v>
      </c>
      <c r="N43" s="7">
        <f t="shared" si="2"/>
        <v>48.366666667861864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07:12:33-0600',mode:absolute,to:'2016-10-25 10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23.296900000000001</v>
      </c>
      <c r="Z43" s="67">
        <f t="shared" si="9"/>
        <v>0.1173</v>
      </c>
      <c r="AA43" s="67">
        <f t="shared" si="10"/>
        <v>23.179600000000001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0130-25</v>
      </c>
      <c r="AE43" s="91" t="str">
        <f t="shared" si="12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43" s="88" t="str">
        <f t="shared" si="13"/>
        <v>"C:\Program Files (x86)\AstroGrep\AstroGrep.exe" /spath="%USERPROFILE%\AppData\Local\Temp\OnboardLogs" /stypes="app*4010*20161025*"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130-25 --locoid 4010 --swversion DE.1.0.7.0 --startMP 204:232969 --initTime 2016-10-25T08:12:33 --startdatetime 2016-10-25T08:15:24 --delay 1 --endMP 204:1173 --enddatetime 2016-10-25T09:03:46 --enforcementcount 0 &gt;&gt;C:\Users\stu\Documents\GitHub\eaglep3-reporting\EC\2016-10-25-refined-times.txt</v>
      </c>
      <c r="AI4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{"issue":{"subject":"","project_id":79,"tracker_id":40,"status_id":1,"priority_id":2,"assigned_to_id":23,"start_date":"2016-10-25","description":"","custom_fields":[{"id":1,"name":"Subdivision","value":"EC"},{"id":4,"name":"Milepost","value":"0.1173"},{"id":17,"name":"Train ID","value":"130-25"},{"id":16,"name":"Locomotive ID","value":"4010"},{"id":130,"name":"Impact","value":""},{"id":150,"name":"Time of Event (Mountain Time)","value":"09:03:46"},{"id":151,"name":"Denver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487</v>
      </c>
      <c r="B44" s="7">
        <v>4007</v>
      </c>
      <c r="C44" s="22" t="s">
        <v>99</v>
      </c>
      <c r="D44" s="22" t="s">
        <v>663</v>
      </c>
      <c r="E44" s="13">
        <v>42668.310995370368</v>
      </c>
      <c r="F44" s="13">
        <v>42668.312685185185</v>
      </c>
      <c r="G44" s="7">
        <v>1</v>
      </c>
      <c r="H44" s="13" t="s">
        <v>293</v>
      </c>
      <c r="I44" s="13">
        <v>42668.338275462964</v>
      </c>
      <c r="J44" s="7">
        <v>0</v>
      </c>
      <c r="K44" s="112" t="str">
        <f t="shared" si="0"/>
        <v>4007/4008</v>
      </c>
      <c r="L44" s="22" t="str">
        <f>VLOOKUP(A44,'Trips&amp;Operators'!$C$1:$E$10000,3,FALSE)</f>
        <v>BADERTSCHER</v>
      </c>
      <c r="M44" s="6">
        <f t="shared" si="1"/>
        <v>2.5590277778974269E-2</v>
      </c>
      <c r="N44" s="7">
        <f t="shared" si="2"/>
        <v>36.850000001722947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06:27:50-0600',mode:absolute,to:'2016-10-25 09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4" s="52" t="str">
        <f t="shared" si="6"/>
        <v>N</v>
      </c>
      <c r="X44" s="171">
        <f t="shared" si="7"/>
        <v>1</v>
      </c>
      <c r="Y44" s="67">
        <f t="shared" si="8"/>
        <v>4.82E-2</v>
      </c>
      <c r="Z44" s="67">
        <f t="shared" si="9"/>
        <v>23.331</v>
      </c>
      <c r="AA44" s="67">
        <f t="shared" si="10"/>
        <v>23.282799999999998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0131-25</v>
      </c>
      <c r="AE44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44" s="88" t="str">
        <f t="shared" si="13"/>
        <v>"C:\Program Files (x86)\AstroGrep\AstroGrep.exe" /spath="%USERPROFILE%\AppData\Local\Temp\OnboardLogs" /stypes="app*4007*20161025*"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131-25 --locoid 4007 --swversion DE.1.0.7.0 --startMP 204:482 --initTime 2016-10-25T07:27:50 --startdatetime 2016-10-25T07:30:16 --delay 1 --endMP 204:233310 --enddatetime 2016-10-25T08:07:07 --enforcementcount 0 &gt;&gt;C:\Users\stu\Documents\GitHub\eaglep3-reporting\EC\2016-10-25-refined-times.txt</v>
      </c>
      <c r="AI4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{"issue":{"subject":"","project_id":79,"tracker_id":40,"status_id":1,"priority_id":2,"assigned_to_id":23,"start_date":"2016-10-25","description":"","custom_fields":[{"id":1,"name":"Subdivision","value":"EC"},{"id":4,"name":"Milepost","value":"23.331"},{"id":17,"name":"Train ID","value":"131-25"},{"id":16,"name":"Locomotive ID","value":"4007"},{"id":130,"name":"Impact","value":""},{"id":150,"name":"Time of Event (Mountain Time)","value":"08:07:07"},{"id":151,"name":"Denver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493</v>
      </c>
      <c r="B45" s="7">
        <v>4008</v>
      </c>
      <c r="C45" s="22" t="s">
        <v>99</v>
      </c>
      <c r="D45" s="22" t="s">
        <v>341</v>
      </c>
      <c r="E45" s="13">
        <v>42668.346805555557</v>
      </c>
      <c r="F45" s="13">
        <v>42668.386736111112</v>
      </c>
      <c r="G45" s="7">
        <v>1</v>
      </c>
      <c r="H45" s="13" t="s">
        <v>177</v>
      </c>
      <c r="I45" s="13">
        <v>42668.412129629629</v>
      </c>
      <c r="J45" s="7">
        <v>0</v>
      </c>
      <c r="K45" s="112" t="str">
        <f t="shared" si="0"/>
        <v>4007/4008</v>
      </c>
      <c r="L45" s="22" t="str">
        <f>VLOOKUP(A45,'Trips&amp;Operators'!$C$1:$E$10000,3,FALSE)</f>
        <v>ACKERMAN</v>
      </c>
      <c r="M45" s="6">
        <f t="shared" si="1"/>
        <v>2.5393518517375924E-2</v>
      </c>
      <c r="N45" s="7">
        <f t="shared" si="2"/>
        <v>36.56666666502133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07:19:24-0600',mode:absolute,to:'2016-10-25 10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5" s="52" t="str">
        <f t="shared" si="6"/>
        <v>N</v>
      </c>
      <c r="X45" s="171">
        <f t="shared" si="7"/>
        <v>1</v>
      </c>
      <c r="Y45" s="67">
        <f t="shared" si="8"/>
        <v>23.299600000000002</v>
      </c>
      <c r="Z45" s="67">
        <f t="shared" si="9"/>
        <v>1.52E-2</v>
      </c>
      <c r="AA45" s="67">
        <f t="shared" si="10"/>
        <v>23.284400000000002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0132-25</v>
      </c>
      <c r="AE45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45" s="88" t="str">
        <f t="shared" si="13"/>
        <v>"C:\Program Files (x86)\AstroGrep\AstroGrep.exe" /spath="%USERPROFILE%\AppData\Local\Temp\OnboardLogs" /stypes="app*4008*20161025*"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132-25 --locoid 4008 --swversion DE.1.0.7.0 --startMP 204:232996 --initTime 2016-10-25T08:19:24 --startdatetime 2016-10-25T09:16:54 --delay 1 --endMP 204:152 --enddatetime 2016-10-25T09:53:28 --enforcementcount 0 &gt;&gt;C:\Users\stu\Documents\GitHub\eaglep3-reporting\EC\2016-10-25-refined-times.txt</v>
      </c>
      <c r="AI4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ID","value":"132-25"},{"id":16,"name":"Locomotive ID","value":"4008"},{"id":130,"name":"Impact","value":""},{"id":150,"name":"Time of Event (Mountain Time)","value":"09:53:28"},{"id":151,"name":"Denver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423</v>
      </c>
      <c r="B46" s="7">
        <v>4042</v>
      </c>
      <c r="C46" s="22" t="s">
        <v>99</v>
      </c>
      <c r="D46" s="22" t="s">
        <v>664</v>
      </c>
      <c r="E46" s="13">
        <v>42668.31925925926</v>
      </c>
      <c r="F46" s="13">
        <v>42668.323981481481</v>
      </c>
      <c r="G46" s="7">
        <v>1</v>
      </c>
      <c r="H46" s="13" t="s">
        <v>665</v>
      </c>
      <c r="I46" s="13">
        <v>42668.357824074075</v>
      </c>
      <c r="J46" s="7">
        <v>0</v>
      </c>
      <c r="K46" s="112" t="str">
        <f t="shared" si="0"/>
        <v>4041/4042</v>
      </c>
      <c r="L46" s="22" t="str">
        <f>VLOOKUP(A46,'Trips&amp;Operators'!$C$1:$E$10000,3,FALSE)</f>
        <v>NELSON</v>
      </c>
      <c r="M46" s="6">
        <f t="shared" si="1"/>
        <v>3.3842592594737653E-2</v>
      </c>
      <c r="N46" s="7">
        <f t="shared" si="2"/>
        <v>48.73333333642222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06:39:44-0600',mode:absolute,to:'2016-10-25 09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4.24E-2</v>
      </c>
      <c r="Z46" s="67">
        <f t="shared" si="9"/>
        <v>23.334499999999998</v>
      </c>
      <c r="AA46" s="67">
        <f t="shared" si="10"/>
        <v>23.292099999999998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11"/>
        <v>0133-25</v>
      </c>
      <c r="AE46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46" s="88" t="str">
        <f t="shared" si="13"/>
        <v>"C:\Program Files (x86)\AstroGrep\AstroGrep.exe" /spath="%USERPROFILE%\AppData\Local\Temp\OnboardLogs" /stypes="app*4042*20161025*"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133-25 --locoid 4042 --swversion DE.1.0.7.0 --startMP 204:424 --initTime 2016-10-25T07:39:44 --startdatetime 2016-10-25T07:46:32 --delay 1 --endMP 204:233345 --enddatetime 2016-10-25T08:35:16 --enforcementcount 0 &gt;&gt;C:\Users\stu\Documents\GitHub\eaglep3-reporting\EC\2016-10-25-refined-times.txt</v>
      </c>
      <c r="AI4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{"issue":{"subject":"","project_id":79,"tracker_id":40,"status_id":1,"priority_id":2,"assigned_to_id":23,"start_date":"2016-10-25","description":"","custom_fields":[{"id":1,"name":"Subdivision","value":"EC"},{"id":4,"name":"Milepost","value":"23.3345"},{"id":17,"name":"Train ID","value":"133-25"},{"id":16,"name":"Locomotive ID","value":"4042"},{"id":130,"name":"Impact","value":""},{"id":150,"name":"Time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496</v>
      </c>
      <c r="B47" s="7">
        <v>4041</v>
      </c>
      <c r="C47" s="22" t="s">
        <v>99</v>
      </c>
      <c r="D47" s="22" t="s">
        <v>379</v>
      </c>
      <c r="E47" s="13">
        <v>42668.358923611115</v>
      </c>
      <c r="F47" s="13">
        <v>42668.362013888887</v>
      </c>
      <c r="G47" s="7">
        <v>1</v>
      </c>
      <c r="H47" s="13" t="s">
        <v>666</v>
      </c>
      <c r="I47" s="13">
        <v>42668.391701388886</v>
      </c>
      <c r="J47" s="7">
        <v>0</v>
      </c>
      <c r="K47" s="112" t="str">
        <f t="shared" si="0"/>
        <v>4041/4042</v>
      </c>
      <c r="L47" s="22" t="str">
        <f>VLOOKUP(A47,'Trips&amp;Operators'!$C$1:$E$10000,3,FALSE)</f>
        <v>NELSON</v>
      </c>
      <c r="M47" s="6">
        <f t="shared" si="1"/>
        <v>2.9687499998544808E-2</v>
      </c>
      <c r="N47" s="7">
        <f t="shared" si="2"/>
        <v>42.749999997904524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07:36:51-0600',mode:absolute,to:'2016-10-25 10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23.3003</v>
      </c>
      <c r="Z47" s="67">
        <f t="shared" si="9"/>
        <v>3.8399999999999997E-2</v>
      </c>
      <c r="AA47" s="67">
        <f t="shared" si="10"/>
        <v>23.261900000000001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0134-25</v>
      </c>
      <c r="AE47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47" s="88" t="str">
        <f t="shared" si="13"/>
        <v>"C:\Program Files (x86)\AstroGrep\AstroGrep.exe" /spath="%USERPROFILE%\AppData\Local\Temp\OnboardLogs" /stypes="app*4041*20161025*"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134-25 --locoid 4041 --swversion DE.1.0.7.0 --startMP 204:233003 --initTime 2016-10-25T08:36:51 --startdatetime 2016-10-25T08:41:18 --delay 1 --endMP 204:384 --enddatetime 2016-10-25T09:24:03 --enforcementcount 0 &gt;&gt;C:\Users\stu\Documents\GitHub\eaglep3-reporting\EC\2016-10-25-refined-times.txt</v>
      </c>
      <c r="AI4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{"issue":{"subject":"","project_id":79,"tracker_id":40,"status_id":1,"priority_id":2,"assigned_to_id":23,"start_date":"2016-10-25","description":"","custom_fields":[{"id":1,"name":"Subdivision","value":"EC"},{"id":4,"name":"Milepost","value":"0.0384"},{"id":17,"name":"Train ID","value":"134-25"},{"id":16,"name":"Locomotive ID","value":"4041"},{"id":130,"name":"Impact","value":""},{"id":150,"name":"Time of Event (Mountain Time)","value":"09:24:03"},{"id":151,"name":"Denver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421</v>
      </c>
      <c r="B48" s="7">
        <v>4027</v>
      </c>
      <c r="C48" s="22" t="s">
        <v>99</v>
      </c>
      <c r="D48" s="22" t="s">
        <v>667</v>
      </c>
      <c r="E48" s="13">
        <v>42668.343981481485</v>
      </c>
      <c r="F48" s="13">
        <v>42668.344837962963</v>
      </c>
      <c r="G48" s="7">
        <v>1</v>
      </c>
      <c r="H48" s="13" t="s">
        <v>668</v>
      </c>
      <c r="I48" s="13">
        <v>42668.365891203706</v>
      </c>
      <c r="J48" s="7">
        <v>0</v>
      </c>
      <c r="K48" s="112" t="str">
        <f t="shared" si="0"/>
        <v>4027/4028</v>
      </c>
      <c r="L48" s="22" t="str">
        <f>VLOOKUP(A48,'Trips&amp;Operators'!$C$1:$E$10000,3,FALSE)</f>
        <v>SPECTOR</v>
      </c>
      <c r="M48" s="6">
        <f t="shared" si="1"/>
        <v>2.1053240743640345E-2</v>
      </c>
      <c r="N48" s="7"/>
      <c r="O48" s="7"/>
      <c r="P48" s="7">
        <f>24*60*SUM($M48:$M49)</f>
        <v>37.550000008195639</v>
      </c>
      <c r="Q48" s="23"/>
      <c r="R48" s="23" t="s">
        <v>812</v>
      </c>
      <c r="S48" s="35">
        <f t="shared" si="3"/>
        <v>0.75</v>
      </c>
      <c r="T48" s="50" t="str">
        <f t="shared" si="4"/>
        <v>NorthBound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9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07:15:20-0600',mode:absolute,to:'2016-10-25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8" s="52" t="str">
        <f t="shared" si="6"/>
        <v>Y</v>
      </c>
      <c r="X48" s="171">
        <f t="shared" si="7"/>
        <v>1</v>
      </c>
      <c r="Y48" s="67">
        <f t="shared" si="8"/>
        <v>3.7199</v>
      </c>
      <c r="Z48" s="67">
        <f t="shared" si="9"/>
        <v>23.332899999999999</v>
      </c>
      <c r="AA48" s="67">
        <f t="shared" si="10"/>
        <v>19.613</v>
      </c>
      <c r="AB48" s="64" t="str">
        <f>VLOOKUP(A48,Enforcements!$C$7:$K$21,8,0)</f>
        <v>Signal based authority (5)</v>
      </c>
      <c r="AC48" s="60" t="str">
        <f>VLOOKUP(A48,Enforcements!$C$7:$E$21,3,0)</f>
        <v>SIGNAL</v>
      </c>
      <c r="AD48" s="61" t="str">
        <f t="shared" si="11"/>
        <v>0135-25</v>
      </c>
      <c r="AE48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48" s="88" t="str">
        <f t="shared" si="13"/>
        <v>"C:\Program Files (x86)\AstroGrep\AstroGrep.exe" /spath="%USERPROFILE%\AppData\Local\Temp\OnboardLogs" /stypes="app*4027*20161025*"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135-25 --locoid 4027 --swversion DE.1.0.7.0 --startMP 204:37199 --initTime 2016-10-25T08:15:20 --startdatetime 2016-10-25T08:16:34 --delay 1 --endMP 204:233329 --enddatetime 2016-10-25T08:46:53 --enforcementcount 0 &gt;&gt;C:\Users\stu\Documents\GitHub\eaglep3-reporting\EC\2016-10-25-refined-times.txt</v>
      </c>
      <c r="AI48" s="122" t="str">
        <f t="shared" si="18"/>
        <v>echo {"issue":{"subject":"DUS 2N stuck at STOP because 20N was also STOP","project_id":79,"tracker_id":40,"status_id":1,"priority_id":2,"assigned_to_id":23,"start_date":"2016-10-25","description":"See title","custom_fields":[{"id":1,"name":"Subdivision","value":"EC"},{"id":4,"name":"Milepost","value":"23.3329"},{"id":17,"name":"Train ID","value":"135-25"},{"id":16,"name":"Locomotive ID","value":"4027"},{"id":130,"name":"Impact","value":"Unexpected Cut-Out or Disengaged"},{"id":150,"name":"Time of Event (Mountain Time)","value":"08:46:53"},{"id":151,"name":"Denver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48" s="53" t="s">
        <v>813</v>
      </c>
      <c r="AK48" s="53" t="s">
        <v>132</v>
      </c>
      <c r="AL48" s="53" t="s">
        <v>144</v>
      </c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421</v>
      </c>
      <c r="B49" s="7">
        <v>4027</v>
      </c>
      <c r="C49" s="22" t="s">
        <v>99</v>
      </c>
      <c r="D49" s="22" t="s">
        <v>669</v>
      </c>
      <c r="E49" s="13">
        <v>42668.329027777778</v>
      </c>
      <c r="F49" s="13">
        <v>42668.330416666664</v>
      </c>
      <c r="G49" s="7">
        <v>1</v>
      </c>
      <c r="H49" s="13" t="s">
        <v>670</v>
      </c>
      <c r="I49" s="13">
        <v>42668.335439814815</v>
      </c>
      <c r="J49" s="7">
        <v>0</v>
      </c>
      <c r="K49" s="112" t="str">
        <f t="shared" si="0"/>
        <v>4027/4028</v>
      </c>
      <c r="L49" s="22" t="str">
        <f>VLOOKUP(A49,'Trips&amp;Operators'!$C$1:$E$10000,3,FALSE)</f>
        <v>SPECTOR</v>
      </c>
      <c r="M49" s="6">
        <f t="shared" si="1"/>
        <v>5.02314815093996E-3</v>
      </c>
      <c r="N49" s="7"/>
      <c r="O49" s="7"/>
      <c r="P49" s="7"/>
      <c r="Q49" s="23"/>
      <c r="R49" s="23"/>
      <c r="S49" s="35"/>
      <c r="T49" s="50" t="str">
        <f t="shared" si="4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06:53:48-0600',mode:absolute,to:'2016-10-25 09:03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9" s="52" t="str">
        <f t="shared" si="6"/>
        <v>Y</v>
      </c>
      <c r="X49" s="171">
        <f t="shared" si="7"/>
        <v>0</v>
      </c>
      <c r="Y49" s="67">
        <f t="shared" si="8"/>
        <v>4.2200000000000001E-2</v>
      </c>
      <c r="Z49" s="67">
        <f t="shared" si="9"/>
        <v>0.10539999999999999</v>
      </c>
      <c r="AA49" s="67">
        <f t="shared" si="10"/>
        <v>6.3199999999999992E-2</v>
      </c>
      <c r="AB49" s="64" t="str">
        <f>VLOOKUP(A49,Enforcements!$C$7:$K$21,8,0)</f>
        <v>Signal based authority (5)</v>
      </c>
      <c r="AC49" s="60" t="str">
        <f>VLOOKUP(A49,Enforcements!$C$7:$E$21,3,0)</f>
        <v>SIGNAL</v>
      </c>
      <c r="AD49" s="61" t="str">
        <f t="shared" si="11"/>
        <v>0135-25</v>
      </c>
      <c r="AE49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49" s="88" t="str">
        <f t="shared" si="13"/>
        <v>"C:\Program Files (x86)\AstroGrep\AstroGrep.exe" /spath="%USERPROFILE%\AppData\Local\Temp\OnboardLogs" /stypes="app*4027*20161025*"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135-25 --locoid 4027 --swversion DE.1.0.7.0 --startMP 204:422 --initTime 2016-10-25T07:53:48 --startdatetime 2016-10-25T07:55:48 --delay 1 --endMP 204:1054 --enddatetime 2016-10-25T08:03:02 --enforcementcount 0 &gt;&gt;C:\Users\stu\Documents\GitHub\eaglep3-reporting\EC\2016-10-25-refined-times.txt</v>
      </c>
      <c r="AI4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{"issue":{"subject":"","project_id":79,"tracker_id":40,"status_id":1,"priority_id":2,"assigned_to_id":23,"start_date":"2016-10-25","description":"","custom_fields":[{"id":1,"name":"Subdivision","value":"EC"},{"id":4,"name":"Milepost","value":"0.1054"},{"id":17,"name":"Train ID","value":"135-25"},{"id":16,"name":"Locomotive ID","value":"4027"},{"id":130,"name":"Impact","value":""},{"id":150,"name":"Time of Event (Mountain Time)","value":"08:03:02"},{"id":151,"name":"Denver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498</v>
      </c>
      <c r="B50" s="7">
        <v>4028</v>
      </c>
      <c r="C50" s="22" t="s">
        <v>99</v>
      </c>
      <c r="D50" s="22" t="s">
        <v>253</v>
      </c>
      <c r="E50" s="13">
        <v>42668.369826388887</v>
      </c>
      <c r="F50" s="13">
        <v>42668.372557870367</v>
      </c>
      <c r="G50" s="7">
        <v>1</v>
      </c>
      <c r="H50" s="13" t="s">
        <v>219</v>
      </c>
      <c r="I50" s="13">
        <v>42668.407025462962</v>
      </c>
      <c r="J50" s="7">
        <v>0</v>
      </c>
      <c r="K50" s="112" t="str">
        <f t="shared" si="0"/>
        <v>4027/4028</v>
      </c>
      <c r="L50" s="22" t="str">
        <f>VLOOKUP(A50,'Trips&amp;Operators'!$C$1:$E$10000,3,FALSE)</f>
        <v>SPECTOR</v>
      </c>
      <c r="M50" s="6">
        <f t="shared" si="1"/>
        <v>3.4467592595319729E-2</v>
      </c>
      <c r="N50" s="7">
        <f t="shared" si="2"/>
        <v>49.63333333726041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07:52:33-0600',mode:absolute,to:'2016-10-25 10:46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0" s="52" t="str">
        <f t="shared" si="6"/>
        <v>N</v>
      </c>
      <c r="X50" s="171">
        <f t="shared" si="7"/>
        <v>1</v>
      </c>
      <c r="Y50" s="67">
        <f t="shared" si="8"/>
        <v>23.299099999999999</v>
      </c>
      <c r="Z50" s="67">
        <f t="shared" si="9"/>
        <v>1.4500000000000001E-2</v>
      </c>
      <c r="AA50" s="67">
        <f t="shared" si="10"/>
        <v>23.284599999999998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0136-25</v>
      </c>
      <c r="AE50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50" s="88" t="str">
        <f t="shared" si="13"/>
        <v>"C:\Program Files (x86)\AstroGrep\AstroGrep.exe" /spath="%USERPROFILE%\AppData\Local\Temp\OnboardLogs" /stypes="app*4028*20161025*"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136-25 --locoid 4028 --swversion DE.1.0.7.0 --startMP 204:232991 --initTime 2016-10-25T08:52:33 --startdatetime 2016-10-25T08:56:29 --delay 1 --endMP 204:145 --enddatetime 2016-10-25T09:46:07 --enforcementcount 0 &gt;&gt;C:\Users\stu\Documents\GitHub\eaglep3-reporting\EC\2016-10-25-refined-times.txt</v>
      </c>
      <c r="AI5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ID","value":"136-25"},{"id":16,"name":"Locomotive ID","value":"4028"},{"id":130,"name":"Impact","value":""},{"id":150,"name":"Time of Event (Mountain Time)","value":"09:46:07"},{"id":151,"name":"Denver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490</v>
      </c>
      <c r="B51" s="7">
        <v>4031</v>
      </c>
      <c r="C51" s="22" t="s">
        <v>99</v>
      </c>
      <c r="D51" s="22" t="s">
        <v>229</v>
      </c>
      <c r="E51" s="13">
        <v>42668.340497685182</v>
      </c>
      <c r="F51" s="13">
        <v>42668.343912037039</v>
      </c>
      <c r="G51" s="7">
        <v>1</v>
      </c>
      <c r="H51" s="13" t="s">
        <v>232</v>
      </c>
      <c r="I51" s="13">
        <v>42668.372581018521</v>
      </c>
      <c r="J51" s="7">
        <v>0</v>
      </c>
      <c r="K51" s="112" t="str">
        <f t="shared" si="0"/>
        <v>4031/4032</v>
      </c>
      <c r="L51" s="22" t="str">
        <f>VLOOKUP(A51,'Trips&amp;Operators'!$C$1:$E$10000,3,FALSE)</f>
        <v>DAVIS</v>
      </c>
      <c r="M51" s="6">
        <f t="shared" si="1"/>
        <v>2.8668981482042E-2</v>
      </c>
      <c r="N51" s="7">
        <f t="shared" si="2"/>
        <v>41.28333333414048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07:10:19-0600',mode:absolute,to:'2016-10-25 09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4.6600000000000003E-2</v>
      </c>
      <c r="Z51" s="67">
        <f t="shared" si="9"/>
        <v>23.329899999999999</v>
      </c>
      <c r="AA51" s="67">
        <f t="shared" si="10"/>
        <v>23.283299999999997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0137-25</v>
      </c>
      <c r="AE51" s="91" t="str">
        <f t="shared" si="12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51" s="88" t="str">
        <f t="shared" si="13"/>
        <v>"C:\Program Files (x86)\AstroGrep\AstroGrep.exe" /spath="%USERPROFILE%\AppData\Local\Temp\OnboardLogs" /stypes="app*4031*20161025*" /stext=" 14:.+((SYSTEM_STATE.+slice.+state.+changed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137-25 --locoid 4031 --swversion DE.1.0.7.0 --startMP 204:466 --initTime 2016-10-25T08:10:19 --startdatetime 2016-10-25T08:15:14 --delay 1 --endMP 204:233299 --enddatetime 2016-10-25T08:56:31 --enforcementcount 0 &gt;&gt;C:\Users\stu\Documents\GitHub\eaglep3-reporting\EC\2016-10-25-refined-times.txt</v>
      </c>
      <c r="AI5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{"issue":{"subject":"","project_id":79,"tracker_id":40,"status_id":1,"priority_id":2,"assigned_to_id":23,"start_date":"2016-10-25","description":"","custom_fields":[{"id":1,"name":"Subdivision","value":"EC"},{"id":4,"name":"Milepost","value":"23.3299"},{"id":17,"name":"Train ID","value":"137-25"},{"id":16,"name":"Locomotive ID","value":"4031"},{"id":130,"name":"Impact","value":""},{"id":150,"name":"Time of Event (Mountain Time)","value":"08:56:31"},{"id":151,"name":"Denver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501</v>
      </c>
      <c r="B52" s="7">
        <v>4032</v>
      </c>
      <c r="C52" s="22" t="s">
        <v>99</v>
      </c>
      <c r="D52" s="22" t="s">
        <v>371</v>
      </c>
      <c r="E52" s="13">
        <v>42668.378518518519</v>
      </c>
      <c r="F52" s="13">
        <v>42668.382789351854</v>
      </c>
      <c r="G52" s="7">
        <v>1</v>
      </c>
      <c r="H52" s="13" t="s">
        <v>182</v>
      </c>
      <c r="I52" s="13">
        <v>42668.413043981483</v>
      </c>
      <c r="J52" s="7">
        <v>0</v>
      </c>
      <c r="K52" s="112" t="str">
        <f t="shared" si="0"/>
        <v>4031/4032</v>
      </c>
      <c r="L52" s="22" t="str">
        <f>VLOOKUP(A52,'Trips&amp;Operators'!$C$1:$E$10000,3,FALSE)</f>
        <v>DAVIS</v>
      </c>
      <c r="M52" s="6">
        <f t="shared" si="1"/>
        <v>3.0254629629780538E-2</v>
      </c>
      <c r="N52" s="7">
        <f t="shared" si="2"/>
        <v>43.566666666883975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08:05:04-0600',mode:absolute,to:'2016-10-25 10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23.297499999999999</v>
      </c>
      <c r="Z52" s="67">
        <f t="shared" si="9"/>
        <v>1.41E-2</v>
      </c>
      <c r="AA52" s="67">
        <f t="shared" si="10"/>
        <v>23.2834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0138-25</v>
      </c>
      <c r="AE52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52" s="88" t="str">
        <f t="shared" si="13"/>
        <v>"C:\Program Files (x86)\AstroGrep\AstroGrep.exe" /spath="%USERPROFILE%\AppData\Local\Temp\OnboardLogs" /stypes="app*4032*20161025*"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138-25 --locoid 4032 --swversion DE.1.0.7.0 --startMP 204:232975 --initTime 2016-10-25T09:05:04 --startdatetime 2016-10-25T09:11:13 --delay 1 --endMP 204:141 --enddatetime 2016-10-25T09:54:47 --enforcementcount 0 &gt;&gt;C:\Users\stu\Documents\GitHub\eaglep3-reporting\EC\2016-10-25-refined-times.txt</v>
      </c>
      <c r="AI5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{"issue":{"subject":"","project_id":79,"tracker_id":40,"status_id":1,"priority_id":2,"assigned_to_id":23,"start_date":"2016-10-25","description":"","custom_fields":[{"id":1,"name":"Subdivision","value":"EC"},{"id":4,"name":"Milepost","value":"0.0141"},{"id":17,"name":"Train ID","value":"138-25"},{"id":16,"name":"Locomotive ID","value":"4032"},{"id":130,"name":"Impact","value":""},{"id":150,"name":"Time of Event (Mountain Time)","value":"09:54:47"},{"id":151,"name":"Denver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494</v>
      </c>
      <c r="B53" s="7">
        <v>4006</v>
      </c>
      <c r="C53" s="22" t="s">
        <v>99</v>
      </c>
      <c r="D53" s="22" t="s">
        <v>380</v>
      </c>
      <c r="E53" s="13">
        <v>42668.349652777775</v>
      </c>
      <c r="F53" s="13">
        <v>42668.354548611111</v>
      </c>
      <c r="G53" s="7">
        <v>1</v>
      </c>
      <c r="H53" s="13" t="s">
        <v>659</v>
      </c>
      <c r="I53" s="13">
        <v>42668.381030092591</v>
      </c>
      <c r="J53" s="7">
        <v>0</v>
      </c>
      <c r="K53" s="112" t="str">
        <f t="shared" si="0"/>
        <v>4005/4006</v>
      </c>
      <c r="L53" s="22" t="str">
        <f>VLOOKUP(A53,'Trips&amp;Operators'!$C$1:$E$10000,3,FALSE)</f>
        <v>GEBRETEKLE</v>
      </c>
      <c r="M53" s="6">
        <f t="shared" si="1"/>
        <v>2.6481481480004732E-2</v>
      </c>
      <c r="N53" s="7">
        <f t="shared" si="2"/>
        <v>38.133333331206813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07:23:30-0600',mode:absolute,to:'2016-10-25 10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4.7300000000000002E-2</v>
      </c>
      <c r="Z53" s="67">
        <f t="shared" si="9"/>
        <v>23.328299999999999</v>
      </c>
      <c r="AA53" s="67">
        <f t="shared" si="10"/>
        <v>23.280999999999999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0139-25</v>
      </c>
      <c r="AE53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53" s="88" t="str">
        <f t="shared" si="13"/>
        <v>"C:\Program Files (x86)\AstroGrep\AstroGrep.exe" /spath="%USERPROFILE%\AppData\Local\Temp\OnboardLogs" /stypes="app*4006*20161025*"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139-25 --locoid 4006 --swversion DE.1.0.7.0 --startMP 204:473 --initTime 2016-10-25T08:23:30 --startdatetime 2016-10-25T08:30:33 --delay 1 --endMP 204:233283 --enddatetime 2016-10-25T09:08:41 --enforcementcount 0 &gt;&gt;C:\Users\stu\Documents\GitHub\eaglep3-reporting\EC\2016-10-25-refined-times.txt</v>
      </c>
      <c r="AI5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{"issue":{"subject":"","project_id":79,"tracker_id":40,"status_id":1,"priority_id":2,"assigned_to_id":23,"start_date":"2016-10-25","description":"","custom_fields":[{"id":1,"name":"Subdivision","value":"EC"},{"id":4,"name":"Milepost","value":"23.3283"},{"id":17,"name":"Train ID","value":"139-25"},{"id":16,"name":"Locomotive ID","value":"4006"},{"id":130,"name":"Impact","value":""},{"id":150,"name":"Time of Event (Mountain Time)","value":"09:08:41"},{"id":151,"name":"Denver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425</v>
      </c>
      <c r="B54" s="7">
        <v>4005</v>
      </c>
      <c r="C54" s="22" t="s">
        <v>99</v>
      </c>
      <c r="D54" s="22" t="s">
        <v>671</v>
      </c>
      <c r="E54" s="13">
        <v>42668.383414351854</v>
      </c>
      <c r="F54" s="13">
        <v>42668.393252314818</v>
      </c>
      <c r="G54" s="7">
        <v>1</v>
      </c>
      <c r="H54" s="13" t="s">
        <v>222</v>
      </c>
      <c r="I54" s="13">
        <v>42668.42083333333</v>
      </c>
      <c r="J54" s="7">
        <v>0</v>
      </c>
      <c r="K54" s="112" t="str">
        <f t="shared" si="0"/>
        <v>4005/4006</v>
      </c>
      <c r="L54" s="22" t="str">
        <f>VLOOKUP(A54,'Trips&amp;Operators'!$C$1:$E$10000,3,FALSE)</f>
        <v>GEBRETEKLE</v>
      </c>
      <c r="M54" s="6">
        <f t="shared" si="1"/>
        <v>2.7581018512137234E-2</v>
      </c>
      <c r="N54" s="7">
        <f t="shared" si="2"/>
        <v>39.716666657477617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08:12:07-0600',mode:absolute,to:'2016-10-25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23.298100000000002</v>
      </c>
      <c r="Z54" s="67">
        <f t="shared" si="9"/>
        <v>1.43E-2</v>
      </c>
      <c r="AA54" s="67">
        <f t="shared" si="10"/>
        <v>23.283800000000003</v>
      </c>
      <c r="AB54" s="64" t="str">
        <f>VLOOKUP(A54,Enforcements!$C$7:$K$21,8,0)</f>
        <v>Speed (6)</v>
      </c>
      <c r="AC54" s="60" t="str">
        <f>VLOOKUP(A54,Enforcements!$C$7:$E$21,3,0)</f>
        <v>PERMANENT SPEED RESTRICTION</v>
      </c>
      <c r="AD54" s="61" t="str">
        <f t="shared" si="11"/>
        <v>0140-25</v>
      </c>
      <c r="AE54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54" s="88" t="str">
        <f t="shared" si="13"/>
        <v>"C:\Program Files (x86)\AstroGrep\AstroGrep.exe" /spath="%USERPROFILE%\AppData\Local\Temp\OnboardLogs" /stypes="app*4005*20161025*"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140-25 --locoid 4005 --swversion DE.1.0.7.0 --startMP 204:232981 --initTime 2016-10-25T09:12:07 --startdatetime 2016-10-25T09:26:17 --delay 1 --endMP 204:143 --enddatetime 2016-10-25T10:06:00 --enforcementcount 0 &gt;&gt;C:\Users\stu\Documents\GitHub\eaglep3-reporting\EC\2016-10-25-refined-times.txt</v>
      </c>
      <c r="AI5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{"issue":{"subject":"","project_id":79,"tracker_id":40,"status_id":1,"priority_id":2,"assigned_to_id":23,"start_date":"2016-10-25","description":"","custom_fields":[{"id":1,"name":"Subdivision","value":"EC"},{"id":4,"name":"Milepost","value":"0.0143"},{"id":17,"name":"Train ID","value":"140-25"},{"id":16,"name":"Locomotive ID","value":"4005"},{"id":130,"name":"Impact","value":""},{"id":150,"name":"Time of Event (Mountain Time)","value":"10:06:00"},{"id":151,"name":"Denver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497</v>
      </c>
      <c r="B55" s="7">
        <v>4046</v>
      </c>
      <c r="C55" s="22" t="s">
        <v>99</v>
      </c>
      <c r="D55" s="22" t="s">
        <v>235</v>
      </c>
      <c r="E55" s="13">
        <v>42668.368946759256</v>
      </c>
      <c r="F55" s="13">
        <v>42668.370972222219</v>
      </c>
      <c r="G55" s="7">
        <v>1</v>
      </c>
      <c r="H55" s="13" t="s">
        <v>221</v>
      </c>
      <c r="I55" s="13">
        <v>42668.397789351853</v>
      </c>
      <c r="J55" s="7">
        <v>0</v>
      </c>
      <c r="K55" s="112" t="str">
        <f t="shared" si="0"/>
        <v>4045/4046</v>
      </c>
      <c r="L55" s="22" t="str">
        <f>VLOOKUP(A55,'Trips&amp;Operators'!$C$1:$E$10000,3,FALSE)</f>
        <v>KILLION</v>
      </c>
      <c r="M55" s="6">
        <f t="shared" si="1"/>
        <v>2.6817129633855075E-2</v>
      </c>
      <c r="N55" s="7">
        <f t="shared" si="2"/>
        <v>38.616666672751307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07:51:17-0600',mode:absolute,to:'2016-10-25 10:32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4.6899999999999997E-2</v>
      </c>
      <c r="Z55" s="67">
        <f t="shared" si="9"/>
        <v>23.3293</v>
      </c>
      <c r="AA55" s="67">
        <f t="shared" si="10"/>
        <v>23.282399999999999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0141-25</v>
      </c>
      <c r="AE55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55" s="88" t="str">
        <f t="shared" si="13"/>
        <v>"C:\Program Files (x86)\AstroGrep\AstroGrep.exe" /spath="%USERPROFILE%\AppData\Local\Temp\OnboardLogs" /stypes="app*4046*20161025*"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141-25 --locoid 4046 --swversion DE.1.0.7.0 --startMP 204:469 --initTime 2016-10-25T08:51:17 --startdatetime 2016-10-25T08:54:12 --delay 1 --endMP 204:233293 --enddatetime 2016-10-25T09:32:49 --enforcementcount 0 &gt;&gt;C:\Users\stu\Documents\GitHub\eaglep3-reporting\EC\2016-10-25-refined-times.txt</v>
      </c>
      <c r="AI5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{"issue":{"subject":"","project_id":79,"tracker_id":40,"status_id":1,"priority_id":2,"assigned_to_id":23,"start_date":"2016-10-25","description":"","custom_fields":[{"id":1,"name":"Subdivision","value":"EC"},{"id":4,"name":"Milepost","value":"23.3293"},{"id":17,"name":"Train ID","value":"141-25"},{"id":16,"name":"Locomotive ID","value":"4046"},{"id":130,"name":"Impact","value":""},{"id":150,"name":"Time of Event (Mountain Time)","value":"09:32:49"},{"id":151,"name":"Denver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505</v>
      </c>
      <c r="B56" s="7">
        <v>4045</v>
      </c>
      <c r="C56" s="22" t="s">
        <v>99</v>
      </c>
      <c r="D56" s="22" t="s">
        <v>376</v>
      </c>
      <c r="E56" s="13">
        <v>42668.39943287037</v>
      </c>
      <c r="F56" s="13">
        <v>42668.403715277775</v>
      </c>
      <c r="G56" s="7">
        <v>1</v>
      </c>
      <c r="H56" s="13" t="s">
        <v>218</v>
      </c>
      <c r="I56" s="13">
        <v>42668.432916666665</v>
      </c>
      <c r="J56" s="7">
        <v>0</v>
      </c>
      <c r="K56" s="112" t="str">
        <f t="shared" si="0"/>
        <v>4045/4046</v>
      </c>
      <c r="L56" s="22" t="str">
        <f>VLOOKUP(A56,'Trips&amp;Operators'!$C$1:$E$10000,3,FALSE)</f>
        <v>KILLION</v>
      </c>
      <c r="M56" s="6">
        <f t="shared" si="1"/>
        <v>2.920138889021473E-2</v>
      </c>
      <c r="N56" s="7">
        <f t="shared" si="2"/>
        <v>42.050000001909211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08:35:11-0600',mode:absolute,to:'2016-10-25 11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23.297999999999998</v>
      </c>
      <c r="Z56" s="67">
        <f t="shared" si="9"/>
        <v>1.54E-2</v>
      </c>
      <c r="AA56" s="67">
        <f t="shared" si="10"/>
        <v>23.282599999999999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0142-25</v>
      </c>
      <c r="AE56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56" s="88" t="str">
        <f t="shared" si="13"/>
        <v>"C:\Program Files (x86)\AstroGrep\AstroGrep.exe" /spath="%USERPROFILE%\AppData\Local\Temp\OnboardLogs" /stypes="app*4045*20161025*"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142-25 --locoid 4045 --swversion DE.1.0.7.0 --startMP 204:232980 --initTime 2016-10-25T09:35:11 --startdatetime 2016-10-25T09:41:21 --delay 1 --endMP 204:154 --enddatetime 2016-10-25T10:23:24 --enforcementcount 0 &gt;&gt;C:\Users\stu\Documents\GitHub\eaglep3-reporting\EC\2016-10-25-refined-times.txt</v>
      </c>
      <c r="AI5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{"issue":{"subject":"","project_id":79,"tracker_id":40,"status_id":1,"priority_id":2,"assigned_to_id":23,"start_date":"2016-10-25","description":"","custom_fields":[{"id":1,"name":"Subdivision","value":"EC"},{"id":4,"name":"Milepost","value":"0.0154"},{"id":17,"name":"Train ID","value":"142-25"},{"id":16,"name":"Locomotive ID","value":"4045"},{"id":130,"name":"Impact","value":""},{"id":150,"name":"Time of Event (Mountain Time)","value":"10:23:24"},{"id":151,"name":"Denver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499</v>
      </c>
      <c r="B57" s="7">
        <v>4002</v>
      </c>
      <c r="C57" s="22" t="s">
        <v>99</v>
      </c>
      <c r="D57" s="22" t="s">
        <v>314</v>
      </c>
      <c r="E57" s="13">
        <v>42668.375810185185</v>
      </c>
      <c r="F57" s="13">
        <v>42668.377222222225</v>
      </c>
      <c r="G57" s="7">
        <v>1</v>
      </c>
      <c r="H57" s="13" t="s">
        <v>655</v>
      </c>
      <c r="I57" s="13">
        <v>42668.407152777778</v>
      </c>
      <c r="J57" s="7">
        <v>0</v>
      </c>
      <c r="K57" s="112" t="str">
        <f t="shared" si="0"/>
        <v>4001/4002</v>
      </c>
      <c r="L57" s="22" t="str">
        <f>VLOOKUP(A57,'Trips&amp;Operators'!$C$1:$E$10000,3,FALSE)</f>
        <v>SANTIZO</v>
      </c>
      <c r="M57" s="6">
        <f t="shared" si="1"/>
        <v>2.9930555552709848E-2</v>
      </c>
      <c r="N57" s="7">
        <f t="shared" si="2"/>
        <v>43.099999995902181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08:01:10-0600',mode:absolute,to:'2016-10-25 10:46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4.4200000000000003E-2</v>
      </c>
      <c r="Z57" s="67">
        <f t="shared" si="9"/>
        <v>23.3308</v>
      </c>
      <c r="AA57" s="67">
        <f t="shared" si="10"/>
        <v>23.2866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0143-25</v>
      </c>
      <c r="AE57" s="91" t="str">
        <f t="shared" si="12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57" s="88" t="str">
        <f t="shared" si="13"/>
        <v>"C:\Program Files (x86)\AstroGrep\AstroGrep.exe" /spath="%USERPROFILE%\AppData\Local\Temp\OnboardLogs" /stypes="app*4002*20161025*"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143-25 --locoid 4002 --swversion DE.1.0.7.0 --startMP 204:442 --initTime 2016-10-25T09:01:10 --startdatetime 2016-10-25T09:03:12 --delay 1 --endMP 204:233308 --enddatetime 2016-10-25T09:46:18 --enforcementcount 0 &gt;&gt;C:\Users\stu\Documents\GitHub\eaglep3-reporting\EC\2016-10-25-refined-times.txt</v>
      </c>
      <c r="AI5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{"issue":{"subject":"","project_id":79,"tracker_id":40,"status_id":1,"priority_id":2,"assigned_to_id":23,"start_date":"2016-10-25","description":"","custom_fields":[{"id":1,"name":"Subdivision","value":"EC"},{"id":4,"name":"Milepost","value":"23.3308"},{"id":17,"name":"Train ID","value":"143-25"},{"id":16,"name":"Locomotive ID","value":"4002"},{"id":130,"name":"Impact","value":""},{"id":150,"name":"Time of Event (Mountain Time)","value":"09:46:18"},{"id":151,"name":"Denver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508</v>
      </c>
      <c r="B58" s="7">
        <v>4001</v>
      </c>
      <c r="C58" s="22" t="s">
        <v>99</v>
      </c>
      <c r="D58" s="22" t="s">
        <v>252</v>
      </c>
      <c r="E58" s="13">
        <v>42668.41133101852</v>
      </c>
      <c r="F58" s="13">
        <v>42668.414166666669</v>
      </c>
      <c r="G58" s="7">
        <v>1</v>
      </c>
      <c r="H58" s="13" t="s">
        <v>219</v>
      </c>
      <c r="I58" s="13">
        <v>42668.440439814818</v>
      </c>
      <c r="J58" s="7">
        <v>0</v>
      </c>
      <c r="K58" s="112" t="str">
        <f t="shared" si="0"/>
        <v>4001/4002</v>
      </c>
      <c r="L58" s="22" t="str">
        <f>VLOOKUP(A58,'Trips&amp;Operators'!$C$1:$E$10000,3,FALSE)</f>
        <v>SANTIZO</v>
      </c>
      <c r="M58" s="6">
        <f t="shared" si="1"/>
        <v>2.6273148148902692E-2</v>
      </c>
      <c r="N58" s="7">
        <f t="shared" si="2"/>
        <v>37.833333334419876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08:52:19-0600',mode:absolute,to:'2016-10-25 11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23.299399999999999</v>
      </c>
      <c r="Z58" s="67">
        <f t="shared" si="9"/>
        <v>1.4500000000000001E-2</v>
      </c>
      <c r="AA58" s="67">
        <f t="shared" si="10"/>
        <v>23.284899999999997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0144-25</v>
      </c>
      <c r="AE58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58" s="88" t="str">
        <f t="shared" si="13"/>
        <v>"C:\Program Files (x86)\AstroGrep\AstroGrep.exe" /spath="%USERPROFILE%\AppData\Local\Temp\OnboardLogs" /stypes="app*4001*20161025*"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144-25 --locoid 4001 --swversion DE.1.0.7.0 --startMP 204:232994 --initTime 2016-10-25T09:52:19 --startdatetime 2016-10-25T09:56:24 --delay 1 --endMP 204:145 --enddatetime 2016-10-25T10:34:14 --enforcementcount 0 &gt;&gt;C:\Users\stu\Documents\GitHub\eaglep3-reporting\EC\2016-10-25-refined-times.txt</v>
      </c>
      <c r="AI5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ID","value":"144-25"},{"id":16,"name":"Locomotive ID","value":"4001"},{"id":130,"name":"Impact","value":""},{"id":150,"name":"Time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502</v>
      </c>
      <c r="B59" s="7">
        <v>4007</v>
      </c>
      <c r="C59" s="22" t="s">
        <v>99</v>
      </c>
      <c r="D59" s="22" t="s">
        <v>322</v>
      </c>
      <c r="E59" s="13">
        <v>42668.385011574072</v>
      </c>
      <c r="F59" s="13">
        <v>42668.386736111112</v>
      </c>
      <c r="G59" s="7">
        <v>1</v>
      </c>
      <c r="H59" s="13" t="s">
        <v>658</v>
      </c>
      <c r="I59" s="13">
        <v>42668.412129629629</v>
      </c>
      <c r="J59" s="7">
        <v>0</v>
      </c>
      <c r="K59" s="112" t="str">
        <f t="shared" si="0"/>
        <v>4007/4008</v>
      </c>
      <c r="L59" s="22" t="str">
        <f>VLOOKUP(A59,'Trips&amp;Operators'!$C$1:$E$10000,3,FALSE)</f>
        <v>BADERTSCHER</v>
      </c>
      <c r="M59" s="6">
        <f t="shared" si="1"/>
        <v>2.5393518517375924E-2</v>
      </c>
      <c r="N59" s="7">
        <f t="shared" si="2"/>
        <v>36.56666666502133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08:14:25-0600',mode:absolute,to:'2016-10-25 10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9" s="52" t="str">
        <f t="shared" si="6"/>
        <v>N</v>
      </c>
      <c r="X59" s="171">
        <f t="shared" si="7"/>
        <v>1</v>
      </c>
      <c r="Y59" s="67">
        <f t="shared" si="8"/>
        <v>4.5699999999999998E-2</v>
      </c>
      <c r="Z59" s="67">
        <f t="shared" si="9"/>
        <v>23.330100000000002</v>
      </c>
      <c r="AA59" s="67">
        <f t="shared" si="10"/>
        <v>23.284400000000002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0145-25</v>
      </c>
      <c r="AE59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59" s="88" t="str">
        <f t="shared" si="13"/>
        <v>"C:\Program Files (x86)\AstroGrep\AstroGrep.exe" /spath="%USERPROFILE%\AppData\Local\Temp\OnboardLogs" /stypes="app*4007*20161025*" /stext=" 15:.+((SYSTEM_STATE.+slice.+state.+changed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145-25 --locoid 4007 --swversion DE.1.0.7.0 --startMP 204:457 --initTime 2016-10-25T09:14:25 --startdatetime 2016-10-25T09:16:54 --delay 1 --endMP 204:233301 --enddatetime 2016-10-25T09:53:28 --enforcementcount 0 &gt;&gt;C:\Users\stu\Documents\GitHub\eaglep3-reporting\EC\2016-10-25-refined-times.txt</v>
      </c>
      <c r="AI5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ID","value":"145-25"},{"id":16,"name":"Locomotive ID","value":"4007"},{"id":130,"name":"Impact","value":""},{"id":150,"name":"Time of Event (Mountain Time)","value":"09:53:28"},{"id":151,"name":"Denver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510</v>
      </c>
      <c r="B60" s="7">
        <v>4008</v>
      </c>
      <c r="C60" s="22" t="s">
        <v>99</v>
      </c>
      <c r="D60" s="22" t="s">
        <v>251</v>
      </c>
      <c r="E60" s="13">
        <v>42668.416979166665</v>
      </c>
      <c r="F60" s="13">
        <v>42668.42460648148</v>
      </c>
      <c r="G60" s="7">
        <v>2</v>
      </c>
      <c r="H60" s="13" t="s">
        <v>257</v>
      </c>
      <c r="I60" s="13">
        <v>42668.451666666668</v>
      </c>
      <c r="J60" s="7">
        <v>0</v>
      </c>
      <c r="K60" s="112" t="str">
        <f t="shared" si="0"/>
        <v>4007/4008</v>
      </c>
      <c r="L60" s="22" t="str">
        <f>VLOOKUP(A60,'Trips&amp;Operators'!$C$1:$E$10000,3,FALSE)</f>
        <v>BADERTSCHER</v>
      </c>
      <c r="M60" s="6">
        <f t="shared" si="1"/>
        <v>2.7060185188020114E-2</v>
      </c>
      <c r="N60" s="7">
        <f t="shared" si="2"/>
        <v>38.966666670748964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09:00:27-0600',mode:absolute,to:'2016-10-25 11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0" s="52" t="str">
        <f t="shared" si="6"/>
        <v>N</v>
      </c>
      <c r="X60" s="171">
        <f t="shared" si="7"/>
        <v>1</v>
      </c>
      <c r="Y60" s="67">
        <f t="shared" si="8"/>
        <v>23.297699999999999</v>
      </c>
      <c r="Z60" s="67">
        <f t="shared" si="9"/>
        <v>1.5599999999999999E-2</v>
      </c>
      <c r="AA60" s="67">
        <f t="shared" si="10"/>
        <v>23.2821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0146-25</v>
      </c>
      <c r="AE60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60" s="88" t="str">
        <f t="shared" si="13"/>
        <v>"C:\Program Files (x86)\AstroGrep\AstroGrep.exe" /spath="%USERPROFILE%\AppData\Local\Temp\OnboardLogs" /stypes="app*4008*20161025*"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146-25 --locoid 4008 --swversion DE.1.0.7.0 --startMP 204:232977 --initTime 2016-10-25T10:00:27 --startdatetime 2016-10-25T10:11:26 --delay 2 --endMP 204:156 --enddatetime 2016-10-25T10:50:24 --enforcementcount 0 &gt;&gt;C:\Users\stu\Documents\GitHub\eaglep3-reporting\EC\2016-10-25-refined-times.txt</v>
      </c>
      <c r="AI6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{"issue":{"subject":"","project_id":79,"tracker_id":40,"status_id":1,"priority_id":2,"assigned_to_id":23,"start_date":"2016-10-25","description":"","custom_fields":[{"id":1,"name":"Subdivision","value":"EC"},{"id":4,"name":"Milepost","value":"0.0156"},{"id":17,"name":"Train ID","value":"146-25"},{"id":16,"name":"Locomotive ID","value":"4008"},{"id":130,"name":"Impact","value":""},{"id":150,"name":"Time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504</v>
      </c>
      <c r="B61" s="7">
        <v>4042</v>
      </c>
      <c r="C61" s="22" t="s">
        <v>99</v>
      </c>
      <c r="D61" s="22" t="s">
        <v>231</v>
      </c>
      <c r="E61" s="13">
        <v>42668.394594907404</v>
      </c>
      <c r="F61" s="13">
        <v>42668.396608796298</v>
      </c>
      <c r="G61" s="7">
        <v>1</v>
      </c>
      <c r="H61" s="13" t="s">
        <v>336</v>
      </c>
      <c r="I61" s="13">
        <v>42668.427997685183</v>
      </c>
      <c r="J61" s="7">
        <v>0</v>
      </c>
      <c r="K61" s="112" t="str">
        <f t="shared" si="0"/>
        <v>4041/4042</v>
      </c>
      <c r="L61" s="22" t="str">
        <f>VLOOKUP(A61,'Trips&amp;Operators'!$C$1:$E$10000,3,FALSE)</f>
        <v>NELSON</v>
      </c>
      <c r="M61" s="6">
        <f t="shared" si="1"/>
        <v>3.1388888884976041E-2</v>
      </c>
      <c r="N61" s="7">
        <f t="shared" si="2"/>
        <v>45.199999994365498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08:28:13-0600',mode:absolute,to:'2016-10-25 11:16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4.4600000000000001E-2</v>
      </c>
      <c r="Z61" s="67">
        <f t="shared" si="9"/>
        <v>23.331499999999998</v>
      </c>
      <c r="AA61" s="67">
        <f t="shared" si="10"/>
        <v>23.286899999999999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0147-25</v>
      </c>
      <c r="AE61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61" s="88" t="str">
        <f t="shared" si="13"/>
        <v>"C:\Program Files (x86)\AstroGrep\AstroGrep.exe" /spath="%USERPROFILE%\AppData\Local\Temp\OnboardLogs" /stypes="app*4042*20161025*"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147-25 --locoid 4042 --swversion DE.1.0.7.0 --startMP 204:446 --initTime 2016-10-25T09:28:13 --startdatetime 2016-10-25T09:31:07 --delay 1 --endMP 204:233315 --enddatetime 2016-10-25T10:16:19 --enforcementcount 0 &gt;&gt;C:\Users\stu\Documents\GitHub\eaglep3-reporting\EC\2016-10-25-refined-times.txt</v>
      </c>
      <c r="AI6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{"issue":{"subject":"","project_id":79,"tracker_id":40,"status_id":1,"priority_id":2,"assigned_to_id":23,"start_date":"2016-10-25","description":"","custom_fields":[{"id":1,"name":"Subdivision","value":"EC"},{"id":4,"name":"Milepost","value":"23.3315"},{"id":17,"name":"Train ID","value":"147-25"},{"id":16,"name":"Locomotive ID","value":"4042"},{"id":130,"name":"Impact","value":""},{"id":150,"name":"Time of Event (Mountain Time)","value":"10:16:19"},{"id":151,"name":"Denver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511</v>
      </c>
      <c r="B62" s="7">
        <v>4041</v>
      </c>
      <c r="C62" s="22" t="s">
        <v>99</v>
      </c>
      <c r="D62" s="22" t="s">
        <v>311</v>
      </c>
      <c r="E62" s="13">
        <v>42668.433796296296</v>
      </c>
      <c r="F62" s="13">
        <v>42668.43550925926</v>
      </c>
      <c r="G62" s="7">
        <v>2</v>
      </c>
      <c r="H62" s="13" t="s">
        <v>344</v>
      </c>
      <c r="I62" s="13">
        <v>42668.464317129627</v>
      </c>
      <c r="J62" s="7">
        <v>0</v>
      </c>
      <c r="K62" s="112" t="str">
        <f t="shared" si="0"/>
        <v>4041/4042</v>
      </c>
      <c r="L62" s="22" t="str">
        <f>VLOOKUP(A62,'Trips&amp;Operators'!$C$1:$E$10000,3,FALSE)</f>
        <v>NELSON</v>
      </c>
      <c r="M62" s="6">
        <f t="shared" si="1"/>
        <v>2.880787036701804E-2</v>
      </c>
      <c r="N62" s="7">
        <f t="shared" si="2"/>
        <v>41.483333328505978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09:24:40-0600',mode:absolute,to:'2016-10-25 12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23.298500000000001</v>
      </c>
      <c r="Z62" s="67">
        <f t="shared" si="9"/>
        <v>1.14E-2</v>
      </c>
      <c r="AA62" s="67">
        <f t="shared" si="10"/>
        <v>23.287100000000002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0148-25</v>
      </c>
      <c r="AE62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62" s="88" t="str">
        <f t="shared" si="13"/>
        <v>"C:\Program Files (x86)\AstroGrep\AstroGrep.exe" /spath="%USERPROFILE%\AppData\Local\Temp\OnboardLogs" /stypes="app*4041*20161025*"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148-25 --locoid 4041 --swversion DE.1.0.7.0 --startMP 204:232985 --initTime 2016-10-25T10:24:40 --startdatetime 2016-10-25T10:27:08 --delay 2 --endMP 204:114 --enddatetime 2016-10-25T11:08:37 --enforcementcount 0 &gt;&gt;C:\Users\stu\Documents\GitHub\eaglep3-reporting\EC\2016-10-25-refined-times.txt</v>
      </c>
      <c r="AI6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{"issue":{"subject":"","project_id":79,"tracker_id":40,"status_id":1,"priority_id":2,"assigned_to_id":23,"start_date":"2016-10-25","description":"","custom_fields":[{"id":1,"name":"Subdivision","value":"EC"},{"id":4,"name":"Milepost","value":"0.0114"},{"id":17,"name":"Train ID","value":"148-25"},{"id":16,"name":"Locomotive ID","value":"4041"},{"id":130,"name":"Impact","value":""},{"id":150,"name":"Time of Event (Mountain Time)","value":"11:08:37"},{"id":151,"name":"Denver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507</v>
      </c>
      <c r="B63" s="7">
        <v>4027</v>
      </c>
      <c r="C63" s="22" t="s">
        <v>99</v>
      </c>
      <c r="D63" s="22" t="s">
        <v>322</v>
      </c>
      <c r="E63" s="13">
        <v>42668.40960648148</v>
      </c>
      <c r="F63" s="13">
        <v>42668.41128472222</v>
      </c>
      <c r="G63" s="7">
        <v>1</v>
      </c>
      <c r="H63" s="13" t="s">
        <v>658</v>
      </c>
      <c r="I63" s="13">
        <v>42668.437824074077</v>
      </c>
      <c r="J63" s="7">
        <v>0</v>
      </c>
      <c r="K63" s="112" t="str">
        <f t="shared" si="0"/>
        <v>4027/4028</v>
      </c>
      <c r="L63" s="22" t="str">
        <f>VLOOKUP(A63,'Trips&amp;Operators'!$C$1:$E$10000,3,FALSE)</f>
        <v>SPECTOR</v>
      </c>
      <c r="M63" s="6">
        <f t="shared" si="1"/>
        <v>2.6539351856627036E-2</v>
      </c>
      <c r="N63" s="7">
        <f t="shared" si="2"/>
        <v>38.216666673542932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08:49:50-0600',mode:absolute,to:'2016-10-25 11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4.5699999999999998E-2</v>
      </c>
      <c r="Z63" s="67">
        <f t="shared" si="9"/>
        <v>23.330100000000002</v>
      </c>
      <c r="AA63" s="67">
        <f t="shared" si="10"/>
        <v>23.284400000000002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0149-25</v>
      </c>
      <c r="AE63" s="91" t="str">
        <f t="shared" si="12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63" s="88" t="str">
        <f t="shared" si="13"/>
        <v>"C:\Program Files (x86)\AstroGrep\AstroGrep.exe" /spath="%USERPROFILE%\AppData\Local\Temp\OnboardLogs" /stypes="app*4027*20161025*"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149-25 --locoid 4027 --swversion DE.1.0.7.0 --startMP 204:457 --initTime 2016-10-25T09:49:50 --startdatetime 2016-10-25T09:52:15 --delay 1 --endMP 204:233301 --enddatetime 2016-10-25T10:30:28 --enforcementcount 0 &gt;&gt;C:\Users\stu\Documents\GitHub\eaglep3-reporting\EC\2016-10-25-refined-times.txt</v>
      </c>
      <c r="AI6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ID","value":"149-25"},{"id":16,"name":"Locomotive ID","value":"4027"},{"id":130,"name":"Impact","value":""},{"id":150,"name":"Time of Event (Mountain Time)","value":"10:30:28"},{"id":151,"name":"Denver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514</v>
      </c>
      <c r="B64" s="7">
        <v>4028</v>
      </c>
      <c r="C64" s="22" t="s">
        <v>99</v>
      </c>
      <c r="D64" s="22" t="s">
        <v>371</v>
      </c>
      <c r="E64" s="13">
        <v>42668.443356481483</v>
      </c>
      <c r="F64" s="13">
        <v>42668.445509259262</v>
      </c>
      <c r="G64" s="7">
        <v>1</v>
      </c>
      <c r="H64" s="13" t="s">
        <v>177</v>
      </c>
      <c r="I64" s="13">
        <v>42668.471747685187</v>
      </c>
      <c r="J64" s="7">
        <v>0</v>
      </c>
      <c r="K64" s="112" t="str">
        <f t="shared" si="0"/>
        <v>4027/4028</v>
      </c>
      <c r="L64" s="22" t="str">
        <f>VLOOKUP(A64,'Trips&amp;Operators'!$C$1:$E$10000,3,FALSE)</f>
        <v>SPECTOR</v>
      </c>
      <c r="M64" s="6">
        <f t="shared" si="1"/>
        <v>2.6238425925839692E-2</v>
      </c>
      <c r="N64" s="7">
        <f t="shared" si="2"/>
        <v>37.783333333209157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09:38:26-0600',mode:absolute,to:'2016-10-25 12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23.297499999999999</v>
      </c>
      <c r="Z64" s="67">
        <f t="shared" si="9"/>
        <v>1.52E-2</v>
      </c>
      <c r="AA64" s="67">
        <f t="shared" si="10"/>
        <v>23.282299999999999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0150-25</v>
      </c>
      <c r="AE64" s="91" t="str">
        <f t="shared" si="12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64" s="88" t="str">
        <f t="shared" si="13"/>
        <v>"C:\Program Files (x86)\AstroGrep\AstroGrep.exe" /spath="%USERPROFILE%\AppData\Local\Temp\OnboardLogs" /stypes="app*4028*20161025*"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150-25 --locoid 4028 --swversion DE.1.0.7.0 --startMP 204:232975 --initTime 2016-10-25T10:38:26 --startdatetime 2016-10-25T10:41:32 --delay 1 --endMP 204:152 --enddatetime 2016-10-25T11:19:19 --enforcementcount 0 &gt;&gt;C:\Users\stu\Documents\GitHub\eaglep3-reporting\EC\2016-10-25-refined-times.txt</v>
      </c>
      <c r="AI6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{"issue":{"subject":"","project_id":79,"tracker_id":40,"status_id":1,"priority_id":2,"assigned_to_id":23,"start_date":"2016-10-25","description":"","custom_fields":[{"id":1,"name":"Subdivision","value":"EC"},{"id":4,"name":"Milepost","value":"0.0152"},{"id":17,"name":"Train ID","value":"150-25"},{"id":16,"name":"Locomotive ID","value":"4028"},{"id":130,"name":"Impact","value":""},{"id":150,"name":"Time of Event (Mountain Time)","value":"11:19:19"},{"id":151,"name":"Denver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509</v>
      </c>
      <c r="B65" s="7">
        <v>4031</v>
      </c>
      <c r="C65" s="22" t="s">
        <v>99</v>
      </c>
      <c r="D65" s="22" t="s">
        <v>657</v>
      </c>
      <c r="E65" s="13">
        <v>42668.414641203701</v>
      </c>
      <c r="F65" s="13">
        <v>42668.416828703703</v>
      </c>
      <c r="G65" s="7">
        <v>1</v>
      </c>
      <c r="H65" s="13" t="s">
        <v>383</v>
      </c>
      <c r="I65" s="13">
        <v>42668.443692129629</v>
      </c>
      <c r="J65" s="7">
        <v>0</v>
      </c>
      <c r="K65" s="112" t="str">
        <f t="shared" si="0"/>
        <v>4031/4032</v>
      </c>
      <c r="L65" s="22" t="str">
        <f>VLOOKUP(A65,'Trips&amp;Operators'!$C$1:$E$10000,3,FALSE)</f>
        <v>DAVIS</v>
      </c>
      <c r="M65" s="6">
        <f t="shared" si="1"/>
        <v>2.6863425926421769E-2</v>
      </c>
      <c r="N65" s="7">
        <f t="shared" si="2"/>
        <v>38.683333334047347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08:57:05-0600',mode:absolute,to:'2016-10-25 11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4.6399999999999997E-2</v>
      </c>
      <c r="Z65" s="67">
        <f t="shared" si="9"/>
        <v>23.331700000000001</v>
      </c>
      <c r="AA65" s="67">
        <f t="shared" si="10"/>
        <v>23.285300000000003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0151-25</v>
      </c>
      <c r="AE65" s="91" t="str">
        <f t="shared" si="12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65" s="88" t="str">
        <f t="shared" si="13"/>
        <v>"C:\Program Files (x86)\AstroGrep\AstroGrep.exe" /spath="%USERPROFILE%\AppData\Local\Temp\OnboardLogs" /stypes="app*4031*20161025*"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151-25 --locoid 4031 --swversion DE.1.0.7.0 --startMP 204:464 --initTime 2016-10-25T09:57:05 --startdatetime 2016-10-25T10:00:14 --delay 1 --endMP 204:233317 --enddatetime 2016-10-25T10:38:55 --enforcementcount 0 &gt;&gt;C:\Users\stu\Documents\GitHub\eaglep3-reporting\EC\2016-10-25-refined-times.txt</v>
      </c>
      <c r="AI6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{"issue":{"subject":"","project_id":79,"tracker_id":40,"status_id":1,"priority_id":2,"assigned_to_id":23,"start_date":"2016-10-25","description":"","custom_fields":[{"id":1,"name":"Subdivision","value":"EC"},{"id":4,"name":"Milepost","value":"23.3317"},{"id":17,"name":"Train ID","value":"151-25"},{"id":16,"name":"Locomotive ID","value":"4031"},{"id":130,"name":"Impact","value":""},{"id":150,"name":"Time of Event (Mountain Time)","value":"10:38:55"},{"id":151,"name":"Denver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430</v>
      </c>
      <c r="B66" s="7">
        <v>4032</v>
      </c>
      <c r="C66" s="22" t="s">
        <v>99</v>
      </c>
      <c r="D66" s="22" t="s">
        <v>672</v>
      </c>
      <c r="E66" s="13">
        <v>42668.452789351853</v>
      </c>
      <c r="F66" s="13">
        <v>42668.45579861111</v>
      </c>
      <c r="G66" s="7">
        <v>1</v>
      </c>
      <c r="H66" s="13" t="s">
        <v>268</v>
      </c>
      <c r="I66" s="13">
        <v>42668.485949074071</v>
      </c>
      <c r="J66" s="7">
        <v>0</v>
      </c>
      <c r="K66" s="112" t="str">
        <f t="shared" si="0"/>
        <v>4031/4032</v>
      </c>
      <c r="L66" s="22" t="str">
        <f>VLOOKUP(A66,'Trips&amp;Operators'!$C$1:$E$10000,3,FALSE)</f>
        <v>DAVIS</v>
      </c>
      <c r="M66" s="6">
        <f t="shared" si="1"/>
        <v>3.015046296059154E-2</v>
      </c>
      <c r="N66" s="7">
        <f t="shared" si="2"/>
        <v>43.416666663251817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09:52:01-0600',mode:absolute,to:'2016-10-25 12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23.3004</v>
      </c>
      <c r="Z66" s="67">
        <f t="shared" si="9"/>
        <v>1.38E-2</v>
      </c>
      <c r="AA66" s="67">
        <f t="shared" si="10"/>
        <v>23.2866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0152-25</v>
      </c>
      <c r="AE66" s="91" t="str">
        <f t="shared" si="12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66" s="88" t="str">
        <f t="shared" si="13"/>
        <v>"C:\Program Files (x86)\AstroGrep\AstroGrep.exe" /spath="%USERPROFILE%\AppData\Local\Temp\OnboardLogs" /stypes="app*4032*20161025*"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152-25 --locoid 4032 --swversion DE.1.0.7.0 --startMP 204:233004 --initTime 2016-10-25T10:52:01 --startdatetime 2016-10-25T10:56:21 --delay 1 --endMP 204:138 --enddatetime 2016-10-25T11:39:46 --enforcementcount 0 &gt;&gt;C:\Users\stu\Documents\GitHub\eaglep3-reporting\EC\2016-10-25-refined-times.txt</v>
      </c>
      <c r="AI6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{"issue":{"subject":"","project_id":79,"tracker_id":40,"status_id":1,"priority_id":2,"assigned_to_id":23,"start_date":"2016-10-25","description":"","custom_fields":[{"id":1,"name":"Subdivision","value":"EC"},{"id":4,"name":"Milepost","value":"0.0138"},{"id":17,"name":"Train ID","value":"152-25"},{"id":16,"name":"Locomotive ID","value":"4032"},{"id":130,"name":"Impact","value":""},{"id":150,"name":"Time of Event (Mountain Time)","value":"11:39:46"},{"id":151,"name":"Denver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427</v>
      </c>
      <c r="B67" s="7">
        <v>4006</v>
      </c>
      <c r="C67" s="22" t="s">
        <v>99</v>
      </c>
      <c r="D67" s="22" t="s">
        <v>256</v>
      </c>
      <c r="E67" s="13">
        <v>42668.422453703701</v>
      </c>
      <c r="F67" s="13">
        <v>42668.42728009259</v>
      </c>
      <c r="G67" s="7">
        <v>1</v>
      </c>
      <c r="H67" s="13" t="s">
        <v>309</v>
      </c>
      <c r="I67" s="13">
        <v>42668.452557870369</v>
      </c>
      <c r="J67" s="7">
        <v>0</v>
      </c>
      <c r="K67" s="112" t="str">
        <f t="shared" si="0"/>
        <v>4005/4006</v>
      </c>
      <c r="L67" s="22" t="str">
        <f>VLOOKUP(A67,'Trips&amp;Operators'!$C$1:$E$10000,3,FALSE)</f>
        <v>GEBRETEKLE</v>
      </c>
      <c r="M67" s="6">
        <f t="shared" si="1"/>
        <v>2.527777777868323E-2</v>
      </c>
      <c r="N67" s="7">
        <f t="shared" si="2"/>
        <v>36.400000001303852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09:08:20-0600',mode:absolute,to:'2016-10-25 11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4.4400000000000002E-2</v>
      </c>
      <c r="Z67" s="67">
        <f t="shared" si="9"/>
        <v>23.3291</v>
      </c>
      <c r="AA67" s="67">
        <f t="shared" si="10"/>
        <v>23.284700000000001</v>
      </c>
      <c r="AB67" s="64" t="str">
        <f>VLOOKUP(A67,Enforcements!$C$7:$K$21,8,0)</f>
        <v>Speed (6)</v>
      </c>
      <c r="AC67" s="60" t="str">
        <f>VLOOKUP(A67,Enforcements!$C$7:$E$21,3,0)</f>
        <v>EQUIPMENT RESTRICTION</v>
      </c>
      <c r="AD67" s="61" t="str">
        <f t="shared" si="11"/>
        <v>0153-25</v>
      </c>
      <c r="AE67" s="91" t="str">
        <f t="shared" si="12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67" s="88" t="str">
        <f t="shared" si="13"/>
        <v>"C:\Program Files (x86)\AstroGrep\AstroGrep.exe" /spath="%USERPROFILE%\AppData\Local\Temp\OnboardLogs" /stypes="app*4006*20161025*" /stext=" 16:.+((SYSTEM_STATE.+slice.+state.+changed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153-25 --locoid 4006 --swversion DE.1.0.7.0 --startMP 204:444 --initTime 2016-10-25T10:08:20 --startdatetime 2016-10-25T10:15:17 --delay 1 --endMP 204:233291 --enddatetime 2016-10-25T10:51:41 --enforcementcount 0 &gt;&gt;C:\Users\stu\Documents\GitHub\eaglep3-reporting\EC\2016-10-25-refined-times.txt</v>
      </c>
      <c r="AI6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ID","value":"153-25"},{"id":16,"name":"Locomotive ID","value":"4006"},{"id":130,"name":"Impact","value":""},{"id":150,"name":"Time of Event (Mountain Time)","value":"10:51:41"},{"id":151,"name":"Denver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517</v>
      </c>
      <c r="B68" s="7">
        <v>4005</v>
      </c>
      <c r="C68" s="22" t="s">
        <v>99</v>
      </c>
      <c r="D68" s="22" t="s">
        <v>364</v>
      </c>
      <c r="E68" s="13">
        <v>42668.456493055557</v>
      </c>
      <c r="F68" s="13">
        <v>42668.466238425928</v>
      </c>
      <c r="G68" s="7">
        <v>1</v>
      </c>
      <c r="H68" s="13" t="s">
        <v>219</v>
      </c>
      <c r="I68" s="13">
        <v>42668.494756944441</v>
      </c>
      <c r="J68" s="7">
        <v>0</v>
      </c>
      <c r="K68" s="112" t="str">
        <f t="shared" si="0"/>
        <v>4005/4006</v>
      </c>
      <c r="L68" s="22" t="str">
        <f>VLOOKUP(A68,'Trips&amp;Operators'!$C$1:$E$10000,3,FALSE)</f>
        <v>GEBRETEKLE</v>
      </c>
      <c r="M68" s="6">
        <f t="shared" si="1"/>
        <v>2.8518518513010349E-2</v>
      </c>
      <c r="N68" s="7">
        <f t="shared" si="2"/>
        <v>41.066666658734903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09:57:21-0600',mode:absolute,to:'2016-10-25 12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23.296700000000001</v>
      </c>
      <c r="Z68" s="67">
        <f t="shared" si="9"/>
        <v>1.4500000000000001E-2</v>
      </c>
      <c r="AA68" s="67">
        <f t="shared" si="10"/>
        <v>23.2822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0154-25</v>
      </c>
      <c r="AE68" s="91" t="str">
        <f t="shared" si="12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68" s="88" t="str">
        <f t="shared" si="13"/>
        <v>"C:\Program Files (x86)\AstroGrep\AstroGrep.exe" /spath="%USERPROFILE%\AppData\Local\Temp\OnboardLogs" /stypes="app*4005*20161025*"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154-25 --locoid 4005 --swversion DE.1.0.7.0 --startMP 204:232967 --initTime 2016-10-25T10:57:21 --startdatetime 2016-10-25T11:11:23 --delay 1 --endMP 204:145 --enddatetime 2016-10-25T11:52:27 --enforcementcount 0 &gt;&gt;C:\Users\stu\Documents\GitHub\eaglep3-reporting\EC\2016-10-25-refined-times.txt</v>
      </c>
      <c r="AI68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ID","value":"154-25"},{"id":16,"name":"Locomotive ID","value":"4005"},{"id":130,"name":"Impact","value":""},{"id":150,"name":"Time of Event (Mountain Time)","value":"11:52:27"},{"id":151,"name":"Denver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512</v>
      </c>
      <c r="B69" s="7">
        <v>4046</v>
      </c>
      <c r="C69" s="22" t="s">
        <v>99</v>
      </c>
      <c r="D69" s="22" t="s">
        <v>316</v>
      </c>
      <c r="E69" s="13">
        <v>42668.434745370374</v>
      </c>
      <c r="F69" s="13">
        <v>42668.437754629631</v>
      </c>
      <c r="G69" s="7">
        <v>1</v>
      </c>
      <c r="H69" s="13" t="s">
        <v>230</v>
      </c>
      <c r="I69" s="13">
        <v>42668.463229166664</v>
      </c>
      <c r="J69" s="7">
        <v>0</v>
      </c>
      <c r="K69" s="112" t="str">
        <f t="shared" si="0"/>
        <v>4045/4046</v>
      </c>
      <c r="L69" s="22" t="str">
        <f>VLOOKUP(A69,'Trips&amp;Operators'!$C$1:$E$10000,3,FALSE)</f>
        <v>STARKS</v>
      </c>
      <c r="M69" s="6">
        <f t="shared" si="1"/>
        <v>2.5474537033005618E-2</v>
      </c>
      <c r="N69" s="7">
        <f t="shared" si="2"/>
        <v>36.683333327528089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09:26:02-0600',mode:absolute,to:'2016-10-25 12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4.7800000000000002E-2</v>
      </c>
      <c r="Z69" s="67">
        <f t="shared" si="9"/>
        <v>23.329499999999999</v>
      </c>
      <c r="AA69" s="67">
        <f t="shared" si="10"/>
        <v>23.281700000000001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0155-25</v>
      </c>
      <c r="AE69" s="91" t="str">
        <f t="shared" si="12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69" s="88" t="str">
        <f t="shared" si="13"/>
        <v>"C:\Program Files (x86)\AstroGrep\AstroGrep.exe" /spath="%USERPROFILE%\AppData\Local\Temp\OnboardLogs" /stypes="app*4046*20161025*"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155-25 --locoid 4046 --swversion DE.1.0.7.0 --startMP 204:478 --initTime 2016-10-25T10:26:02 --startdatetime 2016-10-25T10:30:22 --delay 1 --endMP 204:233295 --enddatetime 2016-10-25T11:07:03 --enforcementcount 0 &gt;&gt;C:\Users\stu\Documents\GitHub\eaglep3-reporting\EC\2016-10-25-refined-times.txt</v>
      </c>
      <c r="AI69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{"issue":{"subject":"","project_id":79,"tracker_id":40,"status_id":1,"priority_id":2,"assigned_to_id":23,"start_date":"2016-10-25","description":"","custom_fields":[{"id":1,"name":"Subdivision","value":"EC"},{"id":4,"name":"Milepost","value":"23.3295"},{"id":17,"name":"Train ID","value":"155-25"},{"id":16,"name":"Locomotive ID","value":"4046"},{"id":130,"name":"Impact","value":""},{"id":150,"name":"Time of Event (Mountain Time)","value":"11:07:03"},{"id":151,"name":"Denver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431</v>
      </c>
      <c r="B70" s="7">
        <v>4045</v>
      </c>
      <c r="C70" s="22" t="s">
        <v>99</v>
      </c>
      <c r="D70" s="22" t="s">
        <v>333</v>
      </c>
      <c r="E70" s="13">
        <v>42668.46837962963</v>
      </c>
      <c r="F70" s="13">
        <v>42668.47797453704</v>
      </c>
      <c r="G70" s="7">
        <v>1</v>
      </c>
      <c r="H70" s="13" t="s">
        <v>223</v>
      </c>
      <c r="I70" s="13">
        <v>42668.50582175926</v>
      </c>
      <c r="J70" s="7">
        <v>0</v>
      </c>
      <c r="K70" s="112" t="str">
        <f t="shared" si="0"/>
        <v>4045/4046</v>
      </c>
      <c r="L70" s="22" t="str">
        <f>VLOOKUP(A70,'Trips&amp;Operators'!$C$1:$E$10000,3,FALSE)</f>
        <v>STARKS</v>
      </c>
      <c r="M70" s="6">
        <f t="shared" si="1"/>
        <v>2.7847222219861578E-2</v>
      </c>
      <c r="N70" s="7">
        <f t="shared" si="2"/>
        <v>40.099999996600673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10:14:28-0600',mode:absolute,to:'2016-10-25 13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23.296800000000001</v>
      </c>
      <c r="Z70" s="67">
        <f t="shared" si="9"/>
        <v>1.4999999999999999E-2</v>
      </c>
      <c r="AA70" s="67">
        <f t="shared" si="10"/>
        <v>23.2818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0156-25</v>
      </c>
      <c r="AE70" s="91" t="str">
        <f t="shared" si="12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70" s="88" t="str">
        <f t="shared" si="13"/>
        <v>"C:\Program Files (x86)\AstroGrep\AstroGrep.exe" /spath="%USERPROFILE%\AppData\Local\Temp\OnboardLogs" /stypes="app*4045*20161025*"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156-25 --locoid 4045 --swversion DE.1.0.7.0 --startMP 204:232968 --initTime 2016-10-25T11:14:28 --startdatetime 2016-10-25T11:28:17 --delay 1 --endMP 204:150 --enddatetime 2016-10-25T12:08:23 --enforcementcount 0 &gt;&gt;C:\Users\stu\Documents\GitHub\eaglep3-reporting\EC\2016-10-25-refined-times.txt</v>
      </c>
      <c r="AI70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{"issue":{"subject":"","project_id":79,"tracker_id":40,"status_id":1,"priority_id":2,"assigned_to_id":23,"start_date":"2016-10-25","description":"","custom_fields":[{"id":1,"name":"Subdivision","value":"EC"},{"id":4,"name":"Milepost","value":"0.015"},{"id":17,"name":"Train ID","value":"156-25"},{"id":16,"name":"Locomotive ID","value":"4045"},{"id":130,"name":"Impact","value":""},{"id":150,"name":"Time of Event (Mountain Time)","value":"12:08:23"},{"id":151,"name":"Denver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515</v>
      </c>
      <c r="B71" s="7">
        <v>4002</v>
      </c>
      <c r="C71" s="22" t="s">
        <v>99</v>
      </c>
      <c r="D71" s="22" t="s">
        <v>236</v>
      </c>
      <c r="E71" s="13">
        <v>42668.443159722221</v>
      </c>
      <c r="F71" s="13">
        <v>42668.448229166665</v>
      </c>
      <c r="G71" s="7">
        <v>2</v>
      </c>
      <c r="H71" s="13" t="s">
        <v>309</v>
      </c>
      <c r="I71" s="13">
        <v>42668.475995370369</v>
      </c>
      <c r="J71" s="7">
        <v>0</v>
      </c>
      <c r="K71" s="112" t="str">
        <f t="shared" si="0"/>
        <v>4001/4002</v>
      </c>
      <c r="L71" s="22" t="str">
        <f>VLOOKUP(A71,'Trips&amp;Operators'!$C$1:$E$10000,3,FALSE)</f>
        <v>MACDONALD</v>
      </c>
      <c r="M71" s="6">
        <f t="shared" si="1"/>
        <v>2.7766203704231884E-2</v>
      </c>
      <c r="N71" s="7">
        <f t="shared" si="2"/>
        <v>39.983333334093913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09:38:09-0600',mode:absolute,to:'2016-10-25 12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4.5100000000000001E-2</v>
      </c>
      <c r="Z71" s="67">
        <f t="shared" si="9"/>
        <v>23.3291</v>
      </c>
      <c r="AA71" s="67">
        <f t="shared" si="10"/>
        <v>23.283999999999999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0157-25</v>
      </c>
      <c r="AE71" s="91" t="str">
        <f t="shared" si="12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71" s="88" t="str">
        <f t="shared" si="13"/>
        <v>"C:\Program Files (x86)\AstroGrep\AstroGrep.exe" /spath="%USERPROFILE%\AppData\Local\Temp\OnboardLogs" /stypes="app*4002*20161025*"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157-25 --locoid 4002 --swversion DE.1.0.7.0 --startMP 204:451 --initTime 2016-10-25T10:38:09 --startdatetime 2016-10-25T10:45:27 --delay 2 --endMP 204:233291 --enddatetime 2016-10-25T11:25:26 --enforcementcount 0 &gt;&gt;C:\Users\stu\Documents\GitHub\eaglep3-reporting\EC\2016-10-25-refined-times.txt</v>
      </c>
      <c r="AI71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ID","value":"157-25"},{"id":16,"name":"Locomotive ID","value":"4002"},{"id":130,"name":"Impact","value":""},{"id":150,"name":"Time of Event (Mountain Time)","value":"11:25:26"},{"id":151,"name":"Denver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524</v>
      </c>
      <c r="B72" s="7">
        <v>4001</v>
      </c>
      <c r="C72" s="22" t="s">
        <v>99</v>
      </c>
      <c r="D72" s="22" t="s">
        <v>673</v>
      </c>
      <c r="E72" s="13">
        <v>42668.486342592594</v>
      </c>
      <c r="F72" s="13">
        <v>42668.487939814811</v>
      </c>
      <c r="G72" s="7">
        <v>1</v>
      </c>
      <c r="H72" s="13" t="s">
        <v>182</v>
      </c>
      <c r="I72" s="13">
        <v>42668.516898148147</v>
      </c>
      <c r="J72" s="7">
        <v>0</v>
      </c>
      <c r="K72" s="112" t="str">
        <f t="shared" si="0"/>
        <v>4001/4002</v>
      </c>
      <c r="L72" s="22" t="str">
        <f>VLOOKUP(A72,'Trips&amp;Operators'!$C$1:$E$10000,3,FALSE)</f>
        <v>MACDONALD</v>
      </c>
      <c r="M72" s="6">
        <f t="shared" si="1"/>
        <v>2.8958333336049691E-2</v>
      </c>
      <c r="N72" s="7">
        <f t="shared" si="2"/>
        <v>41.700000003911555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10:40:20-0600',mode:absolute,to:'2016-10-25 13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23.297799999999999</v>
      </c>
      <c r="Z72" s="67">
        <f t="shared" si="9"/>
        <v>1.41E-2</v>
      </c>
      <c r="AA72" s="67">
        <f t="shared" si="10"/>
        <v>23.2837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0158-25</v>
      </c>
      <c r="AE72" s="91" t="str">
        <f t="shared" si="12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72" s="88" t="str">
        <f t="shared" si="13"/>
        <v>"C:\Program Files (x86)\AstroGrep\AstroGrep.exe" /spath="%USERPROFILE%\AppData\Local\Temp\OnboardLogs" /stypes="app*4001*20161025*"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158-25 --locoid 4001 --swversion DE.1.0.7.0 --startMP 204:232978 --initTime 2016-10-25T11:40:20 --startdatetime 2016-10-25T11:42:38 --delay 1 --endMP 204:141 --enddatetime 2016-10-25T12:24:20 --enforcementcount 0 &gt;&gt;C:\Users\stu\Documents\GitHub\eaglep3-reporting\EC\2016-10-25-refined-times.txt</v>
      </c>
      <c r="AI72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{"issue":{"subject":"","project_id":79,"tracker_id":40,"status_id":1,"priority_id":2,"assigned_to_id":23,"start_date":"2016-10-25","description":"","custom_fields":[{"id":1,"name":"Subdivision","value":"EC"},{"id":4,"name":"Milepost","value":"0.0141"},{"id":17,"name":"Train ID","value":"158-25"},{"id":16,"name":"Locomotive ID","value":"4001"},{"id":130,"name":"Impact","value":""},{"id":150,"name":"Time of Event (Mountain Time)","value":"12:24:20"},{"id":151,"name":"Denver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516</v>
      </c>
      <c r="B73" s="7">
        <v>4007</v>
      </c>
      <c r="C73" s="22" t="s">
        <v>99</v>
      </c>
      <c r="D73" s="22" t="s">
        <v>299</v>
      </c>
      <c r="E73" s="13">
        <v>42668.45385416667</v>
      </c>
      <c r="F73" s="13">
        <v>42668.458587962959</v>
      </c>
      <c r="G73" s="7">
        <v>1</v>
      </c>
      <c r="H73" s="13" t="s">
        <v>674</v>
      </c>
      <c r="I73" s="13">
        <v>42668.486458333333</v>
      </c>
      <c r="J73" s="7">
        <v>0</v>
      </c>
      <c r="K73" s="112" t="str">
        <f t="shared" si="0"/>
        <v>4007/4008</v>
      </c>
      <c r="L73" s="22" t="str">
        <f>VLOOKUP(A73,'Trips&amp;Operators'!$C$1:$E$10000,3,FALSE)</f>
        <v>BARTLETT</v>
      </c>
      <c r="M73" s="6">
        <f t="shared" si="1"/>
        <v>2.7870370373420883E-2</v>
      </c>
      <c r="N73" s="7">
        <f t="shared" si="2"/>
        <v>40.133333337726071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09:53:33-0600',mode:absolute,to:'2016-10-25 12:40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4.6699999999999998E-2</v>
      </c>
      <c r="Z73" s="67">
        <f t="shared" si="9"/>
        <v>23.339300000000001</v>
      </c>
      <c r="AA73" s="67">
        <f t="shared" si="10"/>
        <v>23.2926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0159-25</v>
      </c>
      <c r="AE73" s="91" t="str">
        <f t="shared" si="12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73" s="88" t="str">
        <f t="shared" si="13"/>
        <v>"C:\Program Files (x86)\AstroGrep\AstroGrep.exe" /spath="%USERPROFILE%\AppData\Local\Temp\OnboardLogs" /stypes="app*4007*20161025*"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159-25 --locoid 4007 --swversion DE.1.0.7.0 --startMP 204:467 --initTime 2016-10-25T10:53:33 --startdatetime 2016-10-25T11:00:22 --delay 1 --endMP 204:233393 --enddatetime 2016-10-25T11:40:30 --enforcementcount 0 &gt;&gt;C:\Users\stu\Documents\GitHub\eaglep3-reporting\EC\2016-10-25-refined-times.txt</v>
      </c>
      <c r="AI73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{"issue":{"subject":"","project_id":79,"tracker_id":40,"status_id":1,"priority_id":2,"assigned_to_id":23,"start_date":"2016-10-25","description":"","custom_fields":[{"id":1,"name":"Subdivision","value":"EC"},{"id":4,"name":"Milepost","value":"23.3393"},{"id":17,"name":"Train ID","value":"159-25"},{"id":16,"name":"Locomotive ID","value":"4007"},{"id":130,"name":"Impact","value":""},{"id":150,"name":"Time of Event (Mountain Time)","value":"11:40:30"},{"id":151,"name":"Denver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525</v>
      </c>
      <c r="B74" s="7">
        <v>4008</v>
      </c>
      <c r="C74" s="22" t="s">
        <v>99</v>
      </c>
      <c r="D74" s="22" t="s">
        <v>675</v>
      </c>
      <c r="E74" s="13">
        <v>42668.488495370373</v>
      </c>
      <c r="F74" s="13">
        <v>42668.497476851851</v>
      </c>
      <c r="G74" s="7">
        <v>1</v>
      </c>
      <c r="H74" s="13" t="s">
        <v>300</v>
      </c>
      <c r="I74" s="13">
        <v>42668.525451388887</v>
      </c>
      <c r="J74" s="7">
        <v>0</v>
      </c>
      <c r="K74" s="112" t="str">
        <f t="shared" si="0"/>
        <v>4007/4008</v>
      </c>
      <c r="L74" s="22" t="str">
        <f>VLOOKUP(A74,'Trips&amp;Operators'!$C$1:$E$10000,3,FALSE)</f>
        <v>BARTLETT</v>
      </c>
      <c r="M74" s="6">
        <f t="shared" si="1"/>
        <v>2.7974537035333924E-2</v>
      </c>
      <c r="N74" s="7">
        <f t="shared" si="2"/>
        <v>40.283333330880851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10:43:26-0600',mode:absolute,to:'2016-10-25 13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4" s="52" t="str">
        <f t="shared" si="6"/>
        <v>N</v>
      </c>
      <c r="X74" s="171">
        <f t="shared" si="7"/>
        <v>1</v>
      </c>
      <c r="Y74" s="67">
        <f t="shared" si="8"/>
        <v>23.3079</v>
      </c>
      <c r="Z74" s="67">
        <f t="shared" si="9"/>
        <v>1.6299999999999999E-2</v>
      </c>
      <c r="AA74" s="67">
        <f t="shared" si="10"/>
        <v>23.291599999999999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0160-25</v>
      </c>
      <c r="AE74" s="91" t="str">
        <f t="shared" si="12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74" s="88" t="str">
        <f t="shared" si="13"/>
        <v>"C:\Program Files (x86)\AstroGrep\AstroGrep.exe" /spath="%USERPROFILE%\AppData\Local\Temp\OnboardLogs" /stypes="app*4008*20161025*"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160-25 --locoid 4008 --swversion DE.1.0.7.0 --startMP 204:233079 --initTime 2016-10-25T11:43:26 --startdatetime 2016-10-25T11:56:22 --delay 1 --endMP 204:163 --enddatetime 2016-10-25T12:36:39 --enforcementcount 0 &gt;&gt;C:\Users\stu\Documents\GitHub\eaglep3-reporting\EC\2016-10-25-refined-times.txt</v>
      </c>
      <c r="AI74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ID","value":"160-25"},{"id":16,"name":"Locomotive ID","value":"4008"},{"id":130,"name":"Impact","value":""},{"id":150,"name":"Time of Event (Mountain Time)","value":"12:36:39"},{"id":151,"name":"Denver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519</v>
      </c>
      <c r="B75" s="7">
        <v>4042</v>
      </c>
      <c r="C75" s="22" t="s">
        <v>99</v>
      </c>
      <c r="D75" s="22" t="s">
        <v>256</v>
      </c>
      <c r="E75" s="13">
        <v>42668.467465277776</v>
      </c>
      <c r="F75" s="13">
        <v>42668.470069444447</v>
      </c>
      <c r="G75" s="7">
        <v>1</v>
      </c>
      <c r="H75" s="13" t="s">
        <v>676</v>
      </c>
      <c r="I75" s="13">
        <v>42668.497650462959</v>
      </c>
      <c r="J75" s="7">
        <v>0</v>
      </c>
      <c r="K75" s="112" t="str">
        <f t="shared" si="0"/>
        <v>4041/4042</v>
      </c>
      <c r="L75" s="22" t="str">
        <f>VLOOKUP(A75,'Trips&amp;Operators'!$C$1:$E$10000,3,FALSE)</f>
        <v>HOLCOMB</v>
      </c>
      <c r="M75" s="6">
        <f t="shared" si="1"/>
        <v>2.7581018512137234E-2</v>
      </c>
      <c r="N75" s="7">
        <f t="shared" si="2"/>
        <v>39.716666657477617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10:13:09-0600',mode:absolute,to:'2016-10-25 12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4.4400000000000002E-2</v>
      </c>
      <c r="Z75" s="67">
        <f t="shared" si="9"/>
        <v>23.330500000000001</v>
      </c>
      <c r="AA75" s="67">
        <f t="shared" si="10"/>
        <v>23.286100000000001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0161-25</v>
      </c>
      <c r="AE75" s="91" t="str">
        <f t="shared" si="12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75" s="88" t="str">
        <f t="shared" si="13"/>
        <v>"C:\Program Files (x86)\AstroGrep\AstroGrep.exe" /spath="%USERPROFILE%\AppData\Local\Temp\OnboardLogs" /stypes="app*4042*20161025*" /stext=" 17:.+((SYSTEM_STATE.+slice.+state.+changed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161-25 --locoid 4042 --swversion DE.1.0.7.0 --startMP 204:444 --initTime 2016-10-25T11:13:09 --startdatetime 2016-10-25T11:16:54 --delay 1 --endMP 204:233305 --enddatetime 2016-10-25T11:56:37 --enforcementcount 0 &gt;&gt;C:\Users\stu\Documents\GitHub\eaglep3-reporting\EC\2016-10-25-refined-times.txt</v>
      </c>
      <c r="AI75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{"issue":{"subject":"","project_id":79,"tracker_id":40,"status_id":1,"priority_id":2,"assigned_to_id":23,"start_date":"2016-10-25","description":"","custom_fields":[{"id":1,"name":"Subdivision","value":"EC"},{"id":4,"name":"Milepost","value":"23.3305"},{"id":17,"name":"Train ID","value":"161-25"},{"id":16,"name":"Locomotive ID","value":"4042"},{"id":130,"name":"Impact","value":""},{"id":150,"name":"Time of Event (Mountain Time)","value":"11:56:37"},{"id":151,"name":"Denver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529</v>
      </c>
      <c r="B76" s="7">
        <v>4041</v>
      </c>
      <c r="C76" s="22" t="s">
        <v>99</v>
      </c>
      <c r="D76" s="22" t="s">
        <v>677</v>
      </c>
      <c r="E76" s="13">
        <v>42668.504826388889</v>
      </c>
      <c r="F76" s="13">
        <v>42668.507881944446</v>
      </c>
      <c r="G76" s="7">
        <v>1</v>
      </c>
      <c r="H76" s="13" t="s">
        <v>678</v>
      </c>
      <c r="I76" s="13">
        <v>42668.53806712963</v>
      </c>
      <c r="J76" s="7">
        <v>0</v>
      </c>
      <c r="K76" s="112" t="str">
        <f t="shared" si="0"/>
        <v>4041/4042</v>
      </c>
      <c r="L76" s="22" t="str">
        <f>VLOOKUP(A76,'Trips&amp;Operators'!$C$1:$E$10000,3,FALSE)</f>
        <v>HOLCOMB</v>
      </c>
      <c r="M76" s="6">
        <f t="shared" si="1"/>
        <v>3.0185185183654539E-2</v>
      </c>
      <c r="N76" s="7">
        <f t="shared" si="2"/>
        <v>43.466666664462537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https://search-rtdc-monitor-bjffxe2xuh6vdkpspy63sjmuny.us-east-1.es.amazonaws.com/_plugin/kibana/#/discover/Steve-Slow-Train-Analysis-(2080s-and-2083s)?_g=(refreshInterval:(display:Off,section:0,value:0),time:(from:'2016-10-25 11:06:57-0600',mode:absolute,to:'2016-10-25 13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si="6"/>
        <v>N</v>
      </c>
      <c r="X76" s="171">
        <f t="shared" si="7"/>
        <v>1</v>
      </c>
      <c r="Y76" s="67">
        <f t="shared" si="8"/>
        <v>23.2988</v>
      </c>
      <c r="Z76" s="67">
        <f t="shared" si="9"/>
        <v>1.2999999999999999E-2</v>
      </c>
      <c r="AA76" s="67">
        <f t="shared" si="10"/>
        <v>23.285799999999998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0162-25</v>
      </c>
      <c r="AE76" s="91" t="str">
        <f t="shared" si="12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76" s="88" t="str">
        <f t="shared" si="13"/>
        <v>"C:\Program Files (x86)\AstroGrep\AstroGrep.exe" /spath="%USERPROFILE%\AppData\Local\Temp\OnboardLogs" /stypes="app*4041*20161025*"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162-25 --locoid 4041 --swversion DE.1.0.7.0 --startMP 204:232988 --initTime 2016-10-25T12:06:57 --startdatetime 2016-10-25T12:11:21 --delay 1 --endMP 204:130 --enddatetime 2016-10-25T12:54:49 --enforcementcount 0 &gt;&gt;C:\Users\stu\Documents\GitHub\eaglep3-reporting\EC\2016-10-25-refined-times.txt</v>
      </c>
      <c r="AI76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{"issue":{"subject":"","project_id":79,"tracker_id":40,"status_id":1,"priority_id":2,"assigned_to_id":23,"start_date":"2016-10-25","description":"","custom_fields":[{"id":1,"name":"Subdivision","value":"EC"},{"id":4,"name":"Milepost","value":"0.013"},{"id":17,"name":"Train ID","value":"162-25"},{"id":16,"name":"Locomotive ID","value":"4041"},{"id":130,"name":"Impact","value":""},{"id":150,"name":"Time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433</v>
      </c>
      <c r="B77" s="7">
        <v>4027</v>
      </c>
      <c r="C77" s="22" t="s">
        <v>99</v>
      </c>
      <c r="D77" s="22" t="s">
        <v>343</v>
      </c>
      <c r="E77" s="13">
        <v>42668.478564814817</v>
      </c>
      <c r="F77" s="13">
        <v>42668.480162037034</v>
      </c>
      <c r="G77" s="7">
        <v>1</v>
      </c>
      <c r="H77" s="13" t="s">
        <v>294</v>
      </c>
      <c r="I77" s="13">
        <v>42668.506365740737</v>
      </c>
      <c r="J77" s="7">
        <v>0</v>
      </c>
      <c r="K77" s="112" t="str">
        <f t="shared" ref="K77:K140" si="19">IF(ISEVEN(B77),(B77-1)&amp;"/"&amp;B77,B77&amp;"/"&amp;(B77+1))</f>
        <v>4027/4028</v>
      </c>
      <c r="L77" s="22" t="str">
        <f>VLOOKUP(A77,'Trips&amp;Operators'!$C$1:$E$10000,3,FALSE)</f>
        <v>JACKSON</v>
      </c>
      <c r="M77" s="6">
        <f t="shared" ref="M77:M140" si="20">I77-F77</f>
        <v>2.6203703702776693E-2</v>
      </c>
      <c r="N77" s="7">
        <f t="shared" ref="N77:N140" si="21">24*60*SUM($M77:$M77)</f>
        <v>37.733333331998438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https://search-rtdc-monitor-bjffxe2xuh6vdkpspy63sjmuny.us-east-1.es.amazonaws.com/_plugin/kibana/#/discover/Steve-Slow-Train-Analysis-(2080s-and-2083s)?_g=(refreshInterval:(display:Off,section:0,value:0),time:(from:'2016-10-25 10:29:08-0600',mode:absolute,to:'2016-10-25 13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7" s="52" t="str">
        <f t="shared" ref="W77:W140" si="25">IF(AA77&lt;IF(AG77="EC",23,5.65),"Y","N")</f>
        <v>N</v>
      </c>
      <c r="X77" s="171">
        <f t="shared" ref="X77:X140" si="26">VALUE(LEFT(AD77,4))-VALUE(LEFT(AD76,4))</f>
        <v>1</v>
      </c>
      <c r="Y77" s="67">
        <f t="shared" ref="Y77:Y140" si="27">RIGHT(D77,LEN(D77)-4)/10000</f>
        <v>4.7500000000000001E-2</v>
      </c>
      <c r="Z77" s="67">
        <f t="shared" ref="Z77:Z140" si="28">RIGHT(H77,LEN(H77)-4)/10000</f>
        <v>23.330200000000001</v>
      </c>
      <c r="AA77" s="67">
        <f t="shared" ref="AA77:AA140" si="29">ABS(Z77-Y77)</f>
        <v>23.282700000000002</v>
      </c>
      <c r="AB77" s="64" t="str">
        <f>VLOOKUP(A77,Enforcements!$C$7:$K$21,8,0)</f>
        <v>Speed (6)</v>
      </c>
      <c r="AC77" s="60" t="str">
        <f>VLOOKUP(A77,Enforcements!$C$7:$E$21,3,0)</f>
        <v>PERMANENT SPEED RESTRICTION</v>
      </c>
      <c r="AD77" s="61" t="str">
        <f t="shared" ref="AD77:AD140" si="30">IF(LEN(A77)=6,"0"&amp;A77,A77)</f>
        <v>0163-25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/stypes="app*4027*20161025*" /stext=" 18:.+((SYSTEM_STATE.+slice.+state.+changed )|(ment ac)|(system.+state.+changed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163-25 --locoid 4027 --swversion DE.1.0.7.0 --startMP 204:475 --initTime 2016-10-25T11:29:08 --startdatetime 2016-10-25T11:31:26 --delay 1 --endMP 204:233302 --enddatetime 2016-10-25T12:09:10 --enforcementcount 0 &gt;&gt;C:\Users\stu\Documents\GitHub\eaglep3-reporting\EC\2016-10-25-refined-times.txt</v>
      </c>
      <c r="AI77" s="122" t="str">
        <f t="shared" si="18"/>
        <v>echo {"issue":{"subject":"","project_id":79,"tracker_id":40,"status_id":1,"priority_id":2,"assigned_to_id":23,"start_date":"2016-10-25","description":"","custom_fields":[{"id":1,"name":"Subdivision","value":"EC"},{"id":4,"name":"Milepost","value":"23.3302"},{"id":17,"name":"Train ID","value":"163-25"},{"id":16,"name":"Locomotive ID","value":"4027"},{"id":130,"name":"Impact","value":""},{"id":150,"name":"Time of Event (Mountain Time)","value":"12:09:10"},{"id":151,"name":"Denver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533</v>
      </c>
      <c r="B78" s="7">
        <v>4028</v>
      </c>
      <c r="C78" s="22" t="s">
        <v>99</v>
      </c>
      <c r="D78" s="22" t="s">
        <v>253</v>
      </c>
      <c r="E78" s="13">
        <v>42668.515717592592</v>
      </c>
      <c r="F78" s="13">
        <v>42668.518287037034</v>
      </c>
      <c r="G78" s="7">
        <v>1</v>
      </c>
      <c r="H78" s="13" t="s">
        <v>679</v>
      </c>
      <c r="I78" s="13">
        <v>42668.548032407409</v>
      </c>
      <c r="J78" s="7">
        <v>0</v>
      </c>
      <c r="K78" s="112" t="str">
        <f t="shared" si="19"/>
        <v>4027/4028</v>
      </c>
      <c r="L78" s="22" t="str">
        <f>VLOOKUP(A78,'Trips&amp;Operators'!$C$1:$E$10000,3,FALSE)</f>
        <v>JACKSON</v>
      </c>
      <c r="M78" s="6">
        <f t="shared" si="20"/>
        <v>2.9745370375167113E-2</v>
      </c>
      <c r="N78" s="7">
        <f t="shared" si="21"/>
        <v>42.833333340240642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11:22:38-0600',mode:absolute,to:'2016-10-25 14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8" s="52" t="str">
        <f t="shared" si="25"/>
        <v>N</v>
      </c>
      <c r="X78" s="171">
        <f t="shared" si="26"/>
        <v>1</v>
      </c>
      <c r="Y78" s="67">
        <f t="shared" si="27"/>
        <v>23.299099999999999</v>
      </c>
      <c r="Z78" s="67">
        <f t="shared" si="28"/>
        <v>1.72E-2</v>
      </c>
      <c r="AA78" s="67">
        <f t="shared" si="29"/>
        <v>23.2819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0164-25</v>
      </c>
      <c r="AE78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78" s="88" t="str">
        <f t="shared" si="32"/>
        <v>"C:\Program Files (x86)\AstroGrep\AstroGrep.exe" /spath="%USERPROFILE%\AppData\Local\Temp\OnboardLogs" /stypes="app*4028*20161025*"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164-25 --locoid 4028 --swversion DE.1.0.7.0 --startMP 204:232991 --initTime 2016-10-25T12:22:38 --startdatetime 2016-10-25T12:26:20 --delay 1 --endMP 204:172 --enddatetime 2016-10-25T13:09:10 --enforcementcount 0 &gt;&gt;C:\Users\stu\Documents\GitHub\eaglep3-reporting\EC\2016-10-25-refined-times.txt</v>
      </c>
      <c r="AI78" s="122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{"issue":{"subject":"","project_id":79,"tracker_id":40,"status_id":1,"priority_id":2,"assigned_to_id":23,"start_date":"2016-10-25","description":"","custom_fields":[{"id":1,"name":"Subdivision","value":"EC"},{"id":4,"name":"Milepost","value":"0.0172"},{"id":17,"name":"Train ID","value":"164-25"},{"id":16,"name":"Locomotive ID","value":"4028"},{"id":130,"name":"Impact","value":""},{"id":150,"name":"Time of Event (Mountain Time)","value":"13:09:10"},{"id":151,"name":"Denver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526</v>
      </c>
      <c r="B79" s="7">
        <v>4031</v>
      </c>
      <c r="C79" s="22" t="s">
        <v>99</v>
      </c>
      <c r="D79" s="22" t="s">
        <v>314</v>
      </c>
      <c r="E79" s="13">
        <v>42668.492129629631</v>
      </c>
      <c r="F79" s="13">
        <v>42668.493495370371</v>
      </c>
      <c r="G79" s="7">
        <v>1</v>
      </c>
      <c r="H79" s="13" t="s">
        <v>373</v>
      </c>
      <c r="I79" s="13">
        <v>42668.517754629633</v>
      </c>
      <c r="J79" s="7">
        <v>0</v>
      </c>
      <c r="K79" s="112" t="str">
        <f t="shared" si="19"/>
        <v>4031/4032</v>
      </c>
      <c r="L79" s="22" t="str">
        <f>VLOOKUP(A79,'Trips&amp;Operators'!$C$1:$E$10000,3,FALSE)</f>
        <v>BONDS</v>
      </c>
      <c r="M79" s="6">
        <f t="shared" si="20"/>
        <v>2.4259259262180422E-2</v>
      </c>
      <c r="N79" s="7">
        <f t="shared" si="21"/>
        <v>34.933333337539807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10:48:40-0600',mode:absolute,to:'2016-10-25 13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9" s="52" t="str">
        <f t="shared" si="25"/>
        <v>N</v>
      </c>
      <c r="X79" s="171">
        <f t="shared" si="26"/>
        <v>1</v>
      </c>
      <c r="Y79" s="67">
        <f t="shared" si="27"/>
        <v>4.4200000000000003E-2</v>
      </c>
      <c r="Z79" s="67">
        <f t="shared" si="28"/>
        <v>23.331099999999999</v>
      </c>
      <c r="AA79" s="67">
        <f t="shared" si="29"/>
        <v>23.286899999999999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0165-25</v>
      </c>
      <c r="AE79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79" s="88" t="str">
        <f t="shared" si="32"/>
        <v>"C:\Program Files (x86)\AstroGrep\AstroGrep.exe" /spath="%USERPROFILE%\AppData\Local\Temp\OnboardLogs" /stypes="app*4031*20161025*"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165-25 --locoid 4031 --swversion DE.1.0.7.0 --startMP 204:442 --initTime 2016-10-25T11:48:40 --startdatetime 2016-10-25T11:50:38 --delay 1 --endMP 204:233311 --enddatetime 2016-10-25T12:25:34 --enforcementcount 0 &gt;&gt;C:\Users\stu\Documents\GitHub\eaglep3-reporting\EC\2016-10-25-refined-times.txt</v>
      </c>
      <c r="AI7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ID","value":"165-25"},{"id":16,"name":"Locomotive ID","value":"4031"},{"id":130,"name":"Impact","value":""},{"id":150,"name":"Time of Event (Mountain Time)","value":"12:25:34"},{"id":151,"name":"Denver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536</v>
      </c>
      <c r="B80" s="7">
        <v>4032</v>
      </c>
      <c r="C80" s="22" t="s">
        <v>99</v>
      </c>
      <c r="D80" s="22" t="s">
        <v>269</v>
      </c>
      <c r="E80" s="13">
        <v>42668.522847222222</v>
      </c>
      <c r="F80" s="13">
        <v>42668.52921296296</v>
      </c>
      <c r="G80" s="7">
        <v>1</v>
      </c>
      <c r="H80" s="13" t="s">
        <v>372</v>
      </c>
      <c r="I80" s="13">
        <v>42668.556527777779</v>
      </c>
      <c r="J80" s="7">
        <v>0</v>
      </c>
      <c r="K80" s="112" t="str">
        <f t="shared" si="19"/>
        <v>4031/4032</v>
      </c>
      <c r="L80" s="22" t="str">
        <f>VLOOKUP(A80,'Trips&amp;Operators'!$C$1:$E$10000,3,FALSE)</f>
        <v>BONDS</v>
      </c>
      <c r="M80" s="6">
        <f t="shared" si="20"/>
        <v>2.7314814818964805E-2</v>
      </c>
      <c r="N80" s="7">
        <f t="shared" si="21"/>
        <v>39.33333333930932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11:32:54-0600',mode:absolute,to:'2016-10-25 14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0" s="52" t="str">
        <f t="shared" si="25"/>
        <v>N</v>
      </c>
      <c r="X80" s="171">
        <f t="shared" si="26"/>
        <v>1</v>
      </c>
      <c r="Y80" s="67">
        <f t="shared" si="27"/>
        <v>23.298999999999999</v>
      </c>
      <c r="Z80" s="67">
        <f t="shared" si="28"/>
        <v>1.61E-2</v>
      </c>
      <c r="AA80" s="67">
        <f t="shared" si="29"/>
        <v>23.282899999999998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0166-25</v>
      </c>
      <c r="AE80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80" s="88" t="str">
        <f t="shared" si="32"/>
        <v>"C:\Program Files (x86)\AstroGrep\AstroGrep.exe" /spath="%USERPROFILE%\AppData\Local\Temp\OnboardLogs" /stypes="app*4032*20161025*"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166-25 --locoid 4032 --swversion DE.1.0.7.0 --startMP 204:232990 --initTime 2016-10-25T12:32:54 --startdatetime 2016-10-25T12:42:04 --delay 1 --endMP 204:161 --enddatetime 2016-10-25T13:21:24 --enforcementcount 0 &gt;&gt;C:\Users\stu\Documents\GitHub\eaglep3-reporting\EC\2016-10-25-refined-times.txt</v>
      </c>
      <c r="AI8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{"issue":{"subject":"","project_id":79,"tracker_id":40,"status_id":1,"priority_id":2,"assigned_to_id":23,"start_date":"2016-10-25","description":"","custom_fields":[{"id":1,"name":"Subdivision","value":"EC"},{"id":4,"name":"Milepost","value":"0.0161"},{"id":17,"name":"Train ID","value":"166-25"},{"id":16,"name":"Locomotive ID","value":"4032"},{"id":130,"name":"Impact","value":""},{"id":150,"name":"Time of Event (Mountain Time)","value":"13:21:24"},{"id":151,"name":"Denver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528</v>
      </c>
      <c r="B81" s="7">
        <v>4006</v>
      </c>
      <c r="C81" s="22" t="s">
        <v>99</v>
      </c>
      <c r="D81" s="22" t="s">
        <v>288</v>
      </c>
      <c r="E81" s="13">
        <v>42668.498078703706</v>
      </c>
      <c r="F81" s="13">
        <v>42668.500706018516</v>
      </c>
      <c r="G81" s="7">
        <v>1</v>
      </c>
      <c r="H81" s="13" t="s">
        <v>313</v>
      </c>
      <c r="I81" s="13">
        <v>42668.529374999998</v>
      </c>
      <c r="J81" s="7">
        <v>0</v>
      </c>
      <c r="K81" s="112" t="str">
        <f t="shared" si="19"/>
        <v>4005/4006</v>
      </c>
      <c r="L81" s="22" t="str">
        <f>VLOOKUP(A81,'Trips&amp;Operators'!$C$1:$E$10000,3,FALSE)</f>
        <v>YOUNG</v>
      </c>
      <c r="M81" s="6">
        <f t="shared" si="20"/>
        <v>2.8668981482042E-2</v>
      </c>
      <c r="N81" s="7">
        <f t="shared" si="21"/>
        <v>41.28333333414048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10:57:14-0600',mode:absolute,to:'2016-10-25 13:42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81" s="52" t="str">
        <f t="shared" si="25"/>
        <v>N</v>
      </c>
      <c r="X81" s="171">
        <f t="shared" si="26"/>
        <v>1</v>
      </c>
      <c r="Y81" s="67">
        <f t="shared" si="27"/>
        <v>4.6199999999999998E-2</v>
      </c>
      <c r="Z81" s="67">
        <f t="shared" si="28"/>
        <v>23.329799999999999</v>
      </c>
      <c r="AA81" s="67">
        <f t="shared" si="29"/>
        <v>23.2836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0167-25</v>
      </c>
      <c r="AE81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81" s="88" t="str">
        <f t="shared" si="32"/>
        <v>"C:\Program Files (x86)\AstroGrep\AstroGrep.exe" /spath="%USERPROFILE%\AppData\Local\Temp\OnboardLogs" /stypes="app*4006*20161025*"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167-25 --locoid 4006 --swversion DE.1.0.7.0 --startMP 204:462 --initTime 2016-10-25T11:57:14 --startdatetime 2016-10-25T12:01:01 --delay 1 --endMP 204:233298 --enddatetime 2016-10-25T12:42:18 --enforcementcount 0 &gt;&gt;C:\Users\stu\Documents\GitHub\eaglep3-reporting\EC\2016-10-25-refined-times.txt</v>
      </c>
      <c r="AI8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{"issue":{"subject":"","project_id":79,"tracker_id":40,"status_id":1,"priority_id":2,"assigned_to_id":23,"start_date":"2016-10-25","description":"","custom_fields":[{"id":1,"name":"Subdivision","value":"EC"},{"id":4,"name":"Milepost","value":"23.3298"},{"id":17,"name":"Train ID","value":"167-25"},{"id":16,"name":"Locomotive ID","value":"4006"},{"id":130,"name":"Impact","value":""},{"id":150,"name":"Time of Event (Mountain Time)","value":"12:42:18"},{"id":151,"name":"Denver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539</v>
      </c>
      <c r="B82" s="7">
        <v>4005</v>
      </c>
      <c r="C82" s="22" t="s">
        <v>99</v>
      </c>
      <c r="D82" s="22" t="s">
        <v>292</v>
      </c>
      <c r="E82" s="13">
        <v>42668.531041666669</v>
      </c>
      <c r="F82" s="13">
        <v>42668.539074074077</v>
      </c>
      <c r="G82" s="7">
        <v>1</v>
      </c>
      <c r="H82" s="13" t="s">
        <v>680</v>
      </c>
      <c r="I82" s="13">
        <v>42668.567789351851</v>
      </c>
      <c r="J82" s="7">
        <v>0</v>
      </c>
      <c r="K82" s="112" t="str">
        <f t="shared" si="19"/>
        <v>4005/4006</v>
      </c>
      <c r="L82" s="22" t="str">
        <f>VLOOKUP(A82,'Trips&amp;Operators'!$C$1:$E$10000,3,FALSE)</f>
        <v>YOUNG</v>
      </c>
      <c r="M82" s="6">
        <f t="shared" si="20"/>
        <v>2.8715277774608694E-2</v>
      </c>
      <c r="N82" s="7">
        <f t="shared" si="21"/>
        <v>41.349999995436519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11:44:42-0600',mode:absolute,to:'2016-10-25 14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2" s="52" t="str">
        <f t="shared" si="25"/>
        <v>N</v>
      </c>
      <c r="X82" s="171">
        <f t="shared" si="26"/>
        <v>1</v>
      </c>
      <c r="Y82" s="67">
        <f t="shared" si="27"/>
        <v>23.299299999999999</v>
      </c>
      <c r="Z82" s="67">
        <f t="shared" si="28"/>
        <v>1.7399999999999999E-2</v>
      </c>
      <c r="AA82" s="67">
        <f t="shared" si="29"/>
        <v>23.2819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0168-25</v>
      </c>
      <c r="AE82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82" s="88" t="str">
        <f t="shared" si="32"/>
        <v>"C:\Program Files (x86)\AstroGrep\AstroGrep.exe" /spath="%USERPROFILE%\AppData\Local\Temp\OnboardLogs" /stypes="app*4005*20161025*"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168-25 --locoid 4005 --swversion DE.1.0.7.0 --startMP 204:232993 --initTime 2016-10-25T12:44:42 --startdatetime 2016-10-25T12:56:16 --delay 1 --endMP 204:174 --enddatetime 2016-10-25T13:37:37 --enforcementcount 0 &gt;&gt;C:\Users\stu\Documents\GitHub\eaglep3-reporting\EC\2016-10-25-refined-times.txt</v>
      </c>
      <c r="AI8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{"issue":{"subject":"","project_id":79,"tracker_id":40,"status_id":1,"priority_id":2,"assigned_to_id":23,"start_date":"2016-10-25","description":"","custom_fields":[{"id":1,"name":"Subdivision","value":"EC"},{"id":4,"name":"Milepost","value":"0.0174"},{"id":17,"name":"Train ID","value":"168-25"},{"id":16,"name":"Locomotive ID","value":"4005"},{"id":130,"name":"Impact","value":""},{"id":150,"name":"Time of Event (Mountain Time)","value":"13:37:37"},{"id":151,"name":"Denver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530</v>
      </c>
      <c r="B83" s="7">
        <v>4046</v>
      </c>
      <c r="C83" s="22" t="s">
        <v>99</v>
      </c>
      <c r="D83" s="22" t="s">
        <v>224</v>
      </c>
      <c r="E83" s="13">
        <v>42668.508009259262</v>
      </c>
      <c r="F83" s="13">
        <v>42668.51059027778</v>
      </c>
      <c r="G83" s="7">
        <v>1</v>
      </c>
      <c r="H83" s="13" t="s">
        <v>658</v>
      </c>
      <c r="I83" s="13">
        <v>42668.537870370368</v>
      </c>
      <c r="J83" s="7">
        <v>0</v>
      </c>
      <c r="K83" s="112" t="str">
        <f t="shared" si="19"/>
        <v>4045/4046</v>
      </c>
      <c r="L83" s="22" t="str">
        <f>VLOOKUP(A83,'Trips&amp;Operators'!$C$1:$E$10000,3,FALSE)</f>
        <v>CLARK</v>
      </c>
      <c r="M83" s="6">
        <f t="shared" si="20"/>
        <v>2.7280092588625848E-2</v>
      </c>
      <c r="N83" s="7">
        <f t="shared" si="21"/>
        <v>39.283333327621222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11:11:32-0600',mode:absolute,to:'2016-10-25 13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3" s="52" t="str">
        <f t="shared" si="25"/>
        <v>N</v>
      </c>
      <c r="X83" s="171">
        <f t="shared" si="26"/>
        <v>1</v>
      </c>
      <c r="Y83" s="67">
        <f t="shared" si="27"/>
        <v>4.4699999999999997E-2</v>
      </c>
      <c r="Z83" s="67">
        <f t="shared" si="28"/>
        <v>23.330100000000002</v>
      </c>
      <c r="AA83" s="67">
        <f t="shared" si="29"/>
        <v>23.285400000000003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0169-25</v>
      </c>
      <c r="AE83" s="91" t="str">
        <f t="shared" si="31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83" s="88" t="str">
        <f t="shared" si="32"/>
        <v>"C:\Program Files (x86)\AstroGrep\AstroGrep.exe" /spath="%USERPROFILE%\AppData\Local\Temp\OnboardLogs" /stypes="app*4046*20161025*" /stext=" 18:.+((SYSTEM_STATE.+slice.+state.+changed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169-25 --locoid 4046 --swversion DE.1.0.7.0 --startMP 204:447 --initTime 2016-10-25T12:11:32 --startdatetime 2016-10-25T12:15:15 --delay 1 --endMP 204:233301 --enddatetime 2016-10-25T12:54:32 --enforcementcount 0 &gt;&gt;C:\Users\stu\Documents\GitHub\eaglep3-reporting\EC\2016-10-25-refined-times.txt</v>
      </c>
      <c r="AI8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{"issue":{"subject":"","project_id":79,"tracker_id":40,"status_id":1,"priority_id":2,"assigned_to_id":23,"start_date":"2016-10-25","description":"","custom_fields":[{"id":1,"name":"Subdivision","value":"EC"},{"id":4,"name":"Milepost","value":"23.3301"},{"id":17,"name":"Train ID","value":"169-25"},{"id":16,"name":"Locomotive ID","value":"4046"},{"id":130,"name":"Impact","value":""},{"id":150,"name":"Time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437</v>
      </c>
      <c r="B84" s="7">
        <v>4045</v>
      </c>
      <c r="C84" s="22" t="s">
        <v>99</v>
      </c>
      <c r="D84" s="22" t="s">
        <v>267</v>
      </c>
      <c r="E84" s="13">
        <v>42668.545393518521</v>
      </c>
      <c r="F84" s="13">
        <v>42668.549479166664</v>
      </c>
      <c r="G84" s="7">
        <v>1</v>
      </c>
      <c r="H84" s="13" t="s">
        <v>681</v>
      </c>
      <c r="I84" s="13">
        <v>42668.580717592595</v>
      </c>
      <c r="J84" s="7">
        <v>0</v>
      </c>
      <c r="K84" s="112" t="str">
        <f t="shared" si="19"/>
        <v>4045/4046</v>
      </c>
      <c r="L84" s="22" t="str">
        <f>VLOOKUP(A84,'Trips&amp;Operators'!$C$1:$E$10000,3,FALSE)</f>
        <v>CLARK</v>
      </c>
      <c r="M84" s="6">
        <f t="shared" si="20"/>
        <v>3.1238425930496305E-2</v>
      </c>
      <c r="N84" s="7">
        <f t="shared" si="21"/>
        <v>44.98333333991468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12:05:22-0600',mode:absolute,to:'2016-10-25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4" s="52" t="str">
        <f t="shared" si="25"/>
        <v>N</v>
      </c>
      <c r="X84" s="171">
        <f t="shared" si="26"/>
        <v>1</v>
      </c>
      <c r="Y84" s="67">
        <f t="shared" si="27"/>
        <v>23.2986</v>
      </c>
      <c r="Z84" s="67">
        <f t="shared" si="28"/>
        <v>1.78E-2</v>
      </c>
      <c r="AA84" s="67">
        <f t="shared" si="29"/>
        <v>23.280799999999999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0170-25</v>
      </c>
      <c r="AE84" s="91" t="str">
        <f t="shared" si="31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84" s="88" t="str">
        <f t="shared" si="32"/>
        <v>"C:\Program Files (x86)\AstroGrep\AstroGrep.exe" /spath="%USERPROFILE%\AppData\Local\Temp\OnboardLogs" /stypes="app*4045*20161025*" /stext=" 19:.+((SYSTEM_STATE.+slice.+state.+changed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170-25 --locoid 4045 --swversion DE.1.0.7.0 --startMP 204:232986 --initTime 2016-10-25T13:05:22 --startdatetime 2016-10-25T13:11:15 --delay 1 --endMP 204:178 --enddatetime 2016-10-25T13:56:14 --enforcementcount 0 &gt;&gt;C:\Users\stu\Documents\GitHub\eaglep3-reporting\EC\2016-10-25-refined-times.txt</v>
      </c>
      <c r="AI8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{"issue":{"subject":"","project_id":79,"tracker_id":40,"status_id":1,"priority_id":2,"assigned_to_id":23,"start_date":"2016-10-25","description":"","custom_fields":[{"id":1,"name":"Subdivision","value":"EC"},{"id":4,"name":"Milepost","value":"0.0178"},{"id":17,"name":"Train ID","value":"170-25"},{"id":16,"name":"Locomotive ID","value":"4045"},{"id":130,"name":"Impact","value":""},{"id":150,"name":"Time of Event (Mountain Time)","value":"13:56:14"},{"id":151,"name":"Denver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534</v>
      </c>
      <c r="B85" s="7">
        <v>4002</v>
      </c>
      <c r="C85" s="22" t="s">
        <v>99</v>
      </c>
      <c r="D85" s="22" t="s">
        <v>234</v>
      </c>
      <c r="E85" s="13">
        <v>42668.521585648145</v>
      </c>
      <c r="F85" s="13">
        <v>42668.523020833331</v>
      </c>
      <c r="G85" s="7">
        <v>1</v>
      </c>
      <c r="H85" s="13" t="s">
        <v>312</v>
      </c>
      <c r="I85" s="13">
        <v>42668.552731481483</v>
      </c>
      <c r="J85" s="7">
        <v>0</v>
      </c>
      <c r="K85" s="112" t="str">
        <f t="shared" si="19"/>
        <v>4001/4002</v>
      </c>
      <c r="L85" s="22" t="str">
        <f>VLOOKUP(A85,'Trips&amp;Operators'!$C$1:$E$10000,3,FALSE)</f>
        <v>ROMERO</v>
      </c>
      <c r="M85" s="6">
        <f t="shared" si="20"/>
        <v>2.9710648152104113E-2</v>
      </c>
      <c r="N85" s="7">
        <f t="shared" si="21"/>
        <v>42.783333339029923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11:31:05-0600',mode:absolute,to:'2016-10-25 14:15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5" s="52" t="str">
        <f t="shared" si="25"/>
        <v>N</v>
      </c>
      <c r="X85" s="171">
        <f t="shared" si="26"/>
        <v>1</v>
      </c>
      <c r="Y85" s="67">
        <f t="shared" si="27"/>
        <v>4.5999999999999999E-2</v>
      </c>
      <c r="Z85" s="67">
        <f t="shared" si="28"/>
        <v>23.328900000000001</v>
      </c>
      <c r="AA85" s="67">
        <f t="shared" si="29"/>
        <v>23.282900000000001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0"/>
        <v>0171-25</v>
      </c>
      <c r="AE85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85" s="88" t="str">
        <f t="shared" si="32"/>
        <v>"C:\Program Files (x86)\AstroGrep\AstroGrep.exe" /spath="%USERPROFILE%\AppData\Local\Temp\OnboardLogs" /stypes="app*4002*20161025*"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171-25 --locoid 4002 --swversion DE.1.0.7.0 --startMP 204:460 --initTime 2016-10-25T12:31:05 --startdatetime 2016-10-25T12:33:09 --delay 1 --endMP 204:233289 --enddatetime 2016-10-25T13:15:56 --enforcementcount 0 &gt;&gt;C:\Users\stu\Documents\GitHub\eaglep3-reporting\EC\2016-10-25-refined-times.txt</v>
      </c>
      <c r="AI8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{"issue":{"subject":"","project_id":79,"tracker_id":40,"status_id":1,"priority_id":2,"assigned_to_id":23,"start_date":"2016-10-25","description":"","custom_fields":[{"id":1,"name":"Subdivision","value":"EC"},{"id":4,"name":"Milepost","value":"23.3289"},{"id":17,"name":"Train ID","value":"171-25"},{"id":16,"name":"Locomotive ID","value":"4002"},{"id":130,"name":"Impact","value":""},{"id":150,"name":"Time of Event (Mountain Time)","value":"13:15:56"},{"id":151,"name":"Denver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434</v>
      </c>
      <c r="B86" s="7">
        <v>4001</v>
      </c>
      <c r="C86" s="22" t="s">
        <v>99</v>
      </c>
      <c r="D86" s="22" t="s">
        <v>673</v>
      </c>
      <c r="E86" s="13">
        <v>42668.554965277777</v>
      </c>
      <c r="F86" s="13">
        <v>42668.559930555559</v>
      </c>
      <c r="G86" s="7">
        <v>1</v>
      </c>
      <c r="H86" s="13" t="s">
        <v>176</v>
      </c>
      <c r="I86" s="13">
        <v>42668.588784722226</v>
      </c>
      <c r="J86" s="7">
        <v>0</v>
      </c>
      <c r="K86" s="112" t="str">
        <f t="shared" si="19"/>
        <v>4001/4002</v>
      </c>
      <c r="L86" s="22" t="str">
        <f>VLOOKUP(A86,'Trips&amp;Operators'!$C$1:$E$10000,3,FALSE)</f>
        <v>ROMERO</v>
      </c>
      <c r="M86" s="6">
        <f t="shared" si="20"/>
        <v>2.8854166666860692E-2</v>
      </c>
      <c r="N86" s="7">
        <f t="shared" si="21"/>
        <v>41.550000000279397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12:19:09-0600',mode:absolute,to:'2016-10-25 15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6" s="52" t="str">
        <f t="shared" si="25"/>
        <v>N</v>
      </c>
      <c r="X86" s="171">
        <f t="shared" si="26"/>
        <v>1</v>
      </c>
      <c r="Y86" s="67">
        <f t="shared" si="27"/>
        <v>23.297799999999999</v>
      </c>
      <c r="Z86" s="67">
        <f t="shared" si="28"/>
        <v>1.47E-2</v>
      </c>
      <c r="AA86" s="67">
        <f t="shared" si="29"/>
        <v>23.283099999999997</v>
      </c>
      <c r="AB86" s="64" t="str">
        <f>VLOOKUP(A86,Enforcements!$C$7:$K$21,8,0)</f>
        <v>Speed (6)</v>
      </c>
      <c r="AC86" s="60" t="str">
        <f>VLOOKUP(A86,Enforcements!$C$7:$E$21,3,0)</f>
        <v>PERMANENT SPEED RESTRICTION</v>
      </c>
      <c r="AD86" s="61" t="str">
        <f t="shared" si="30"/>
        <v>0172-25</v>
      </c>
      <c r="AE86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86" s="88" t="str">
        <f t="shared" si="32"/>
        <v>"C:\Program Files (x86)\AstroGrep\AstroGrep.exe" /spath="%USERPROFILE%\AppData\Local\Temp\OnboardLogs" /stypes="app*4001*20161025*"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172-25 --locoid 4001 --swversion DE.1.0.7.0 --startMP 204:232978 --initTime 2016-10-25T13:19:09 --startdatetime 2016-10-25T13:26:18 --delay 1 --endMP 204:147 --enddatetime 2016-10-25T14:07:51 --enforcementcount 0 &gt;&gt;C:\Users\stu\Documents\GitHub\eaglep3-reporting\EC\2016-10-25-refined-times.txt</v>
      </c>
      <c r="AI8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{"issue":{"subject":"","project_id":79,"tracker_id":40,"status_id":1,"priority_id":2,"assigned_to_id":23,"start_date":"2016-10-25","description":"","custom_fields":[{"id":1,"name":"Subdivision","value":"EC"},{"id":4,"name":"Milepost","value":"0.0147"},{"id":17,"name":"Train ID","value":"172-25"},{"id":16,"name":"Locomotive ID","value":"4001"},{"id":130,"name":"Impact","value":""},{"id":150,"name":"Time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538</v>
      </c>
      <c r="B87" s="7">
        <v>4007</v>
      </c>
      <c r="C87" s="22" t="s">
        <v>99</v>
      </c>
      <c r="D87" s="22" t="s">
        <v>322</v>
      </c>
      <c r="E87" s="13">
        <v>42668.526909722219</v>
      </c>
      <c r="F87" s="13">
        <v>42668.531469907408</v>
      </c>
      <c r="G87" s="7">
        <v>1</v>
      </c>
      <c r="H87" s="13" t="s">
        <v>682</v>
      </c>
      <c r="I87" s="13">
        <v>42668.556967592594</v>
      </c>
      <c r="J87" s="7">
        <v>0</v>
      </c>
      <c r="K87" s="112" t="str">
        <f t="shared" si="19"/>
        <v>4007/4008</v>
      </c>
      <c r="L87" s="22" t="str">
        <f>VLOOKUP(A87,'Trips&amp;Operators'!$C$1:$E$10000,3,FALSE)</f>
        <v>BARTLETT</v>
      </c>
      <c r="M87" s="6">
        <f t="shared" si="20"/>
        <v>2.5497685186564922E-2</v>
      </c>
      <c r="N87" s="7">
        <f t="shared" si="21"/>
        <v>36.716666668653488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11:38:45-0600',mode:absolute,to:'2016-10-25 14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7" s="52" t="str">
        <f t="shared" si="25"/>
        <v>N</v>
      </c>
      <c r="X87" s="171">
        <f t="shared" si="26"/>
        <v>1</v>
      </c>
      <c r="Y87" s="67">
        <f t="shared" si="27"/>
        <v>4.5699999999999998E-2</v>
      </c>
      <c r="Z87" s="67">
        <f t="shared" si="28"/>
        <v>23.3398</v>
      </c>
      <c r="AA87" s="67">
        <f t="shared" si="29"/>
        <v>23.2941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0173-25</v>
      </c>
      <c r="AE87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87" s="88" t="str">
        <f t="shared" si="32"/>
        <v>"C:\Program Files (x86)\AstroGrep\AstroGrep.exe" /spath="%USERPROFILE%\AppData\Local\Temp\OnboardLogs" /stypes="app*4007*20161025*" /stext=" 19:.+((SYSTEM_STATE.+slice.+state.+changed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173-25 --locoid 4007 --swversion DE.1.0.7.0 --startMP 204:457 --initTime 2016-10-25T12:38:45 --startdatetime 2016-10-25T12:45:19 --delay 1 --endMP 204:233398 --enddatetime 2016-10-25T13:22:02 --enforcementcount 0 &gt;&gt;C:\Users\stu\Documents\GitHub\eaglep3-reporting\EC\2016-10-25-refined-times.txt</v>
      </c>
      <c r="AI8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{"issue":{"subject":"","project_id":79,"tracker_id":40,"status_id":1,"priority_id":2,"assigned_to_id":23,"start_date":"2016-10-25","description":"","custom_fields":[{"id":1,"name":"Subdivision","value":"EC"},{"id":4,"name":"Milepost","value":"23.3398"},{"id":17,"name":"Train ID","value":"173-25"},{"id":16,"name":"Locomotive ID","value":"4007"},{"id":130,"name":"Impact","value":""},{"id":150,"name":"Time of Event (Mountain Time)","value":"13:22:02"},{"id":151,"name":"Denver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544</v>
      </c>
      <c r="B88" s="7">
        <v>4008</v>
      </c>
      <c r="C88" s="22" t="s">
        <v>99</v>
      </c>
      <c r="D88" s="22" t="s">
        <v>683</v>
      </c>
      <c r="E88" s="13">
        <v>42668.559803240743</v>
      </c>
      <c r="F88" s="13">
        <v>42668.570532407408</v>
      </c>
      <c r="G88" s="7">
        <v>1</v>
      </c>
      <c r="H88" s="13" t="s">
        <v>300</v>
      </c>
      <c r="I88" s="13">
        <v>42668.598344907405</v>
      </c>
      <c r="J88" s="7">
        <v>0</v>
      </c>
      <c r="K88" s="112" t="str">
        <f t="shared" si="19"/>
        <v>4007/4008</v>
      </c>
      <c r="L88" s="22" t="str">
        <f>VLOOKUP(A88,'Trips&amp;Operators'!$C$1:$E$10000,3,FALSE)</f>
        <v>BARTLETT</v>
      </c>
      <c r="M88" s="6">
        <f t="shared" si="20"/>
        <v>2.7812499996798579E-2</v>
      </c>
      <c r="N88" s="7">
        <f t="shared" si="21"/>
        <v>40.049999995389953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12:26:07-0600',mode:absolute,to:'2016-10-25 15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8" s="52" t="str">
        <f t="shared" si="25"/>
        <v>N</v>
      </c>
      <c r="X88" s="171">
        <f t="shared" si="26"/>
        <v>1</v>
      </c>
      <c r="Y88" s="67">
        <f t="shared" si="27"/>
        <v>23.306799999999999</v>
      </c>
      <c r="Z88" s="67">
        <f t="shared" si="28"/>
        <v>1.6299999999999999E-2</v>
      </c>
      <c r="AA88" s="67">
        <f t="shared" si="29"/>
        <v>23.290499999999998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0174-25</v>
      </c>
      <c r="AE88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88" s="88" t="str">
        <f t="shared" si="32"/>
        <v>"C:\Program Files (x86)\AstroGrep\AstroGrep.exe" /spath="%USERPROFILE%\AppData\Local\Temp\OnboardLogs" /stypes="app*4008*20161025*"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174-25 --locoid 4008 --swversion DE.1.0.7.0 --startMP 204:233068 --initTime 2016-10-25T13:26:07 --startdatetime 2016-10-25T13:41:34 --delay 1 --endMP 204:163 --enddatetime 2016-10-25T14:21:37 --enforcementcount 0 &gt;&gt;C:\Users\stu\Documents\GitHub\eaglep3-reporting\EC\2016-10-25-refined-times.txt</v>
      </c>
      <c r="AI8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ID","value":"174-25"},{"id":16,"name":"Locomotive ID","value":"4008"},{"id":130,"name":"Impact","value":""},{"id":150,"name":"Time of Event (Mountain Time)","value":"14:21:37"},{"id":151,"name":"Denver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540</v>
      </c>
      <c r="B89" s="7">
        <v>4042</v>
      </c>
      <c r="C89" s="22" t="s">
        <v>99</v>
      </c>
      <c r="D89" s="22" t="s">
        <v>684</v>
      </c>
      <c r="E89" s="13">
        <v>42668.539988425924</v>
      </c>
      <c r="F89" s="13">
        <v>42668.542037037034</v>
      </c>
      <c r="G89" s="7">
        <v>1</v>
      </c>
      <c r="H89" s="13" t="s">
        <v>230</v>
      </c>
      <c r="I89" s="13">
        <v>42668.57372685185</v>
      </c>
      <c r="J89" s="7">
        <v>0</v>
      </c>
      <c r="K89" s="112" t="str">
        <f t="shared" si="19"/>
        <v>4041/4042</v>
      </c>
      <c r="L89" s="22" t="str">
        <f>VLOOKUP(A89,'Trips&amp;Operators'!$C$1:$E$10000,3,FALSE)</f>
        <v>HOLCOMB</v>
      </c>
      <c r="M89" s="6">
        <f t="shared" si="20"/>
        <v>3.1689814815763384E-2</v>
      </c>
      <c r="N89" s="7">
        <f t="shared" si="21"/>
        <v>45.633333334699273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11:57:35-0600',mode:absolute,to:'2016-10-25 14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25"/>
        <v>N</v>
      </c>
      <c r="X89" s="171">
        <f t="shared" si="26"/>
        <v>1</v>
      </c>
      <c r="Y89" s="67">
        <f t="shared" si="27"/>
        <v>4.1500000000000002E-2</v>
      </c>
      <c r="Z89" s="67">
        <f t="shared" si="28"/>
        <v>23.329499999999999</v>
      </c>
      <c r="AA89" s="67">
        <f t="shared" si="29"/>
        <v>23.288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0175-25</v>
      </c>
      <c r="AE89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89" s="88" t="str">
        <f t="shared" si="32"/>
        <v>"C:\Program Files (x86)\AstroGrep\AstroGrep.exe" /spath="%USERPROFILE%\AppData\Local\Temp\OnboardLogs" /stypes="app*4042*20161025*"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175-25 --locoid 4042 --swversion DE.1.0.7.0 --startMP 204:415 --initTime 2016-10-25T12:57:35 --startdatetime 2016-10-25T13:00:32 --delay 1 --endMP 204:233295 --enddatetime 2016-10-25T13:46:10 --enforcementcount 0 &gt;&gt;C:\Users\stu\Documents\GitHub\eaglep3-reporting\EC\2016-10-25-refined-times.txt</v>
      </c>
      <c r="AI8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{"issue":{"subject":"","project_id":79,"tracker_id":40,"status_id":1,"priority_id":2,"assigned_to_id":23,"start_date":"2016-10-25","description":"","custom_fields":[{"id":1,"name":"Subdivision","value":"EC"},{"id":4,"name":"Milepost","value":"23.3295"},{"id":17,"name":"Train ID","value":"175-25"},{"id":16,"name":"Locomotive ID","value":"4042"},{"id":130,"name":"Impact","value":""},{"id":150,"name":"Time of Event (Mountain Time)","value":"13:46:10"},{"id":151,"name":"Denver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438</v>
      </c>
      <c r="B90" s="7">
        <v>4041</v>
      </c>
      <c r="C90" s="22" t="s">
        <v>99</v>
      </c>
      <c r="D90" s="22" t="s">
        <v>287</v>
      </c>
      <c r="E90" s="13">
        <v>42668.575231481482</v>
      </c>
      <c r="F90" s="13">
        <v>42668.581006944441</v>
      </c>
      <c r="G90" s="7">
        <v>1</v>
      </c>
      <c r="H90" s="13" t="s">
        <v>366</v>
      </c>
      <c r="I90" s="13">
        <v>42668.612407407411</v>
      </c>
      <c r="J90" s="7">
        <v>0</v>
      </c>
      <c r="K90" s="112" t="str">
        <f t="shared" si="19"/>
        <v>4041/4042</v>
      </c>
      <c r="L90" s="22" t="str">
        <f>VLOOKUP(A90,'Trips&amp;Operators'!$C$1:$E$10000,3,FALSE)</f>
        <v>HOLCOMB</v>
      </c>
      <c r="M90" s="6">
        <f t="shared" si="20"/>
        <v>3.1400462969031651E-2</v>
      </c>
      <c r="N90" s="7">
        <f t="shared" si="21"/>
        <v>45.216666675405577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12:48:20-0600',mode:absolute,to:'2016-10-25 15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25"/>
        <v>N</v>
      </c>
      <c r="X90" s="171">
        <f t="shared" si="26"/>
        <v>1</v>
      </c>
      <c r="Y90" s="67">
        <f t="shared" si="27"/>
        <v>23.298400000000001</v>
      </c>
      <c r="Z90" s="67">
        <f t="shared" si="28"/>
        <v>1.5800000000000002E-2</v>
      </c>
      <c r="AA90" s="67">
        <f t="shared" si="29"/>
        <v>23.282600000000002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0176-25</v>
      </c>
      <c r="AE90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90" s="88" t="str">
        <f t="shared" si="32"/>
        <v>"C:\Program Files (x86)\AstroGrep\AstroGrep.exe" /spath="%USERPROFILE%\AppData\Local\Temp\OnboardLogs" /stypes="app*4041*20161025*"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176-25 --locoid 4041 --swversion DE.1.0.7.0 --startMP 204:232984 --initTime 2016-10-25T13:48:20 --startdatetime 2016-10-25T13:56:39 --delay 1 --endMP 204:158 --enddatetime 2016-10-25T14:41:52 --enforcementcount 0 &gt;&gt;C:\Users\stu\Documents\GitHub\eaglep3-reporting\EC\2016-10-25-refined-times.txt</v>
      </c>
      <c r="AI9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{"issue":{"subject":"","project_id":79,"tracker_id":40,"status_id":1,"priority_id":2,"assigned_to_id":23,"start_date":"2016-10-25","description":"","custom_fields":[{"id":1,"name":"Subdivision","value":"EC"},{"id":4,"name":"Milepost","value":"0.0158"},{"id":17,"name":"Train ID","value":"176-25"},{"id":16,"name":"Locomotive ID","value":"4041"},{"id":130,"name":"Impact","value":""},{"id":150,"name":"Time of Event (Mountain Time)","value":"14:41:52"},{"id":151,"name":"Denver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543</v>
      </c>
      <c r="B91" s="7">
        <v>4027</v>
      </c>
      <c r="C91" s="22" t="s">
        <v>99</v>
      </c>
      <c r="D91" s="22" t="s">
        <v>322</v>
      </c>
      <c r="E91" s="13">
        <v>42668.549537037034</v>
      </c>
      <c r="F91" s="13">
        <v>42668.552511574075</v>
      </c>
      <c r="G91" s="7">
        <v>1</v>
      </c>
      <c r="H91" s="13" t="s">
        <v>309</v>
      </c>
      <c r="I91" s="13">
        <v>42668.578865740739</v>
      </c>
      <c r="J91" s="7">
        <v>0</v>
      </c>
      <c r="K91" s="112" t="str">
        <f t="shared" si="19"/>
        <v>4027/4028</v>
      </c>
      <c r="L91" s="22" t="str">
        <f>VLOOKUP(A91,'Trips&amp;Operators'!$C$1:$E$10000,3,FALSE)</f>
        <v>JACKSON</v>
      </c>
      <c r="M91" s="6">
        <f t="shared" si="20"/>
        <v>2.6354166664532386E-2</v>
      </c>
      <c r="N91" s="7">
        <f t="shared" si="21"/>
        <v>37.949999996926636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12:11:20-0600',mode:absolute,to:'2016-10-25 14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1" s="52" t="str">
        <f t="shared" si="25"/>
        <v>N</v>
      </c>
      <c r="X91" s="171">
        <f t="shared" si="26"/>
        <v>1</v>
      </c>
      <c r="Y91" s="67">
        <f t="shared" si="27"/>
        <v>4.5699999999999998E-2</v>
      </c>
      <c r="Z91" s="67">
        <f t="shared" si="28"/>
        <v>23.3291</v>
      </c>
      <c r="AA91" s="67">
        <f t="shared" si="29"/>
        <v>23.2834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0177-25</v>
      </c>
      <c r="AE91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91" s="88" t="str">
        <f t="shared" si="32"/>
        <v>"C:\Program Files (x86)\AstroGrep\AstroGrep.exe" /spath="%USERPROFILE%\AppData\Local\Temp\OnboardLogs" /stypes="app*4027*20161025*" /stext=" 19:.+((SYSTEM_STATE.+slice.+state.+changed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177-25 --locoid 4027 --swversion DE.1.0.7.0 --startMP 204:457 --initTime 2016-10-25T13:11:20 --startdatetime 2016-10-25T13:15:37 --delay 1 --endMP 204:233291 --enddatetime 2016-10-25T13:53:34 --enforcementcount 0 &gt;&gt;C:\Users\stu\Documents\GitHub\eaglep3-reporting\EC\2016-10-25-refined-times.txt</v>
      </c>
      <c r="AI9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ID","value":"177-25"},{"id":16,"name":"Locomotive ID","value":"4027"},{"id":130,"name":"Impact","value":""},{"id":150,"name":"Time of Event (Mountain Time)","value":"13:53:34"},{"id":151,"name":"Denver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547</v>
      </c>
      <c r="B92" s="7">
        <v>4028</v>
      </c>
      <c r="C92" s="22" t="s">
        <v>99</v>
      </c>
      <c r="D92" s="22" t="s">
        <v>378</v>
      </c>
      <c r="E92" s="13">
        <v>42668.580752314818</v>
      </c>
      <c r="F92" s="13">
        <v>42668.591226851851</v>
      </c>
      <c r="G92" s="7">
        <v>1</v>
      </c>
      <c r="H92" s="13" t="s">
        <v>685</v>
      </c>
      <c r="I92" s="13">
        <v>42668.619872685187</v>
      </c>
      <c r="J92" s="7">
        <v>0</v>
      </c>
      <c r="K92" s="112" t="str">
        <f t="shared" si="19"/>
        <v>4027/4028</v>
      </c>
      <c r="L92" s="22" t="str">
        <f>VLOOKUP(A92,'Trips&amp;Operators'!$C$1:$E$10000,3,FALSE)</f>
        <v>JACKSON</v>
      </c>
      <c r="M92" s="6">
        <f t="shared" si="20"/>
        <v>2.8645833335758653E-2</v>
      </c>
      <c r="N92" s="7">
        <f t="shared" si="21"/>
        <v>41.25000000349246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12:56:17-0600',mode:absolute,to:'2016-10-25 15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2" s="52" t="str">
        <f t="shared" si="25"/>
        <v>N</v>
      </c>
      <c r="X92" s="171">
        <f t="shared" si="26"/>
        <v>1</v>
      </c>
      <c r="Y92" s="67">
        <f t="shared" si="27"/>
        <v>23.2972</v>
      </c>
      <c r="Z92" s="67">
        <f t="shared" si="28"/>
        <v>1.6500000000000001E-2</v>
      </c>
      <c r="AA92" s="67">
        <f t="shared" si="29"/>
        <v>23.2807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0178-25</v>
      </c>
      <c r="AE92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92" s="88" t="str">
        <f t="shared" si="32"/>
        <v>"C:\Program Files (x86)\AstroGrep\AstroGrep.exe" /spath="%USERPROFILE%\AppData\Local\Temp\OnboardLogs" /stypes="app*4028*20161025*" /stext=" 20:.+((SYSTEM_STATE.+slice.+state.+changed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178-25 --locoid 4028 --swversion DE.1.0.7.0 --startMP 204:232972 --initTime 2016-10-25T13:56:17 --startdatetime 2016-10-25T14:11:22 --delay 1 --endMP 204:165 --enddatetime 2016-10-25T14:52:37 --enforcementcount 0 &gt;&gt;C:\Users\stu\Documents\GitHub\eaglep3-reporting\EC\2016-10-25-refined-times.txt</v>
      </c>
      <c r="AI9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{"issue":{"subject":"","project_id":79,"tracker_id":40,"status_id":1,"priority_id":2,"assigned_to_id":23,"start_date":"2016-10-25","description":"","custom_fields":[{"id":1,"name":"Subdivision","value":"EC"},{"id":4,"name":"Milepost","value":"0.0165"},{"id":17,"name":"Train ID","value":"178-25"},{"id":16,"name":"Locomotive ID","value":"4028"},{"id":130,"name":"Impact","value":""},{"id":150,"name":"Time of Event (Mountain Time)","value":"14:52:37"},{"id":151,"name":"Denver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436</v>
      </c>
      <c r="B93" s="7">
        <v>4031</v>
      </c>
      <c r="C93" s="22" t="s">
        <v>99</v>
      </c>
      <c r="D93" s="22" t="s">
        <v>686</v>
      </c>
      <c r="E93" s="13">
        <v>42668.558136574073</v>
      </c>
      <c r="F93" s="13">
        <v>42668.563171296293</v>
      </c>
      <c r="G93" s="7">
        <v>6</v>
      </c>
      <c r="H93" s="13" t="s">
        <v>687</v>
      </c>
      <c r="I93" s="13">
        <v>42668.590694444443</v>
      </c>
      <c r="J93" s="7">
        <v>0</v>
      </c>
      <c r="K93" s="112" t="str">
        <f t="shared" si="19"/>
        <v>4031/4032</v>
      </c>
      <c r="L93" s="22" t="str">
        <f>VLOOKUP(A93,'Trips&amp;Operators'!$C$1:$E$10000,3,FALSE)</f>
        <v>BONDS</v>
      </c>
      <c r="M93" s="6">
        <f t="shared" si="20"/>
        <v>2.7523148150066845E-2</v>
      </c>
      <c r="N93" s="7">
        <f t="shared" si="21"/>
        <v>39.633333336096257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12:23:43-0600',mode:absolute,to:'2016-10-25 15:10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3" s="52" t="str">
        <f t="shared" si="25"/>
        <v>N</v>
      </c>
      <c r="X93" s="171">
        <f t="shared" si="26"/>
        <v>1</v>
      </c>
      <c r="Y93" s="67">
        <f t="shared" si="27"/>
        <v>4.8399999999999999E-2</v>
      </c>
      <c r="Z93" s="67">
        <f t="shared" si="28"/>
        <v>23.3355</v>
      </c>
      <c r="AA93" s="67">
        <f t="shared" si="29"/>
        <v>23.287099999999999</v>
      </c>
      <c r="AB93" s="64" t="str">
        <f>VLOOKUP(A93,Enforcements!$C$7:$K$21,8,0)</f>
        <v>Bulletin (2)</v>
      </c>
      <c r="AC93" s="60" t="str">
        <f>VLOOKUP(A93,Enforcements!$C$7:$E$21,3,0)</f>
        <v>GRADE CROSSING</v>
      </c>
      <c r="AD93" s="61" t="str">
        <f t="shared" si="30"/>
        <v>0179-25</v>
      </c>
      <c r="AE93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93" s="88" t="str">
        <f t="shared" si="32"/>
        <v>"C:\Program Files (x86)\AstroGrep\AstroGrep.exe" /spath="%USERPROFILE%\AppData\Local\Temp\OnboardLogs" /stypes="app*4031*20161025*"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179-25 --locoid 4031 --swversion DE.1.0.7.0 --startMP 204:484 --initTime 2016-10-25T13:23:43 --startdatetime 2016-10-25T13:30:58 --delay 6 --endMP 204:233355 --enddatetime 2016-10-25T14:10:36 --enforcementcount 0 &gt;&gt;C:\Users\stu\Documents\GitHub\eaglep3-reporting\EC\2016-10-25-refined-times.txt</v>
      </c>
      <c r="AI9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{"issue":{"subject":"","project_id":79,"tracker_id":40,"status_id":1,"priority_id":2,"assigned_to_id":23,"start_date":"2016-10-25","description":"","custom_fields":[{"id":1,"name":"Subdivision","value":"EC"},{"id":4,"name":"Milepost","value":"23.3355"},{"id":17,"name":"Train ID","value":"179-25"},{"id":16,"name":"Locomotive ID","value":"4031"},{"id":130,"name":"Impact","value":""},{"id":150,"name":"Time of Event (Mountain Time)","value":"14:10:36"},{"id":151,"name":"Denver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439</v>
      </c>
      <c r="B94" s="7">
        <v>4032</v>
      </c>
      <c r="C94" s="22" t="s">
        <v>99</v>
      </c>
      <c r="D94" s="22" t="s">
        <v>688</v>
      </c>
      <c r="E94" s="13">
        <v>42668.593506944446</v>
      </c>
      <c r="F94" s="13">
        <v>42668.601875</v>
      </c>
      <c r="G94" s="7">
        <v>1</v>
      </c>
      <c r="H94" s="13" t="s">
        <v>223</v>
      </c>
      <c r="I94" s="13">
        <v>42668.629583333335</v>
      </c>
      <c r="J94" s="7">
        <v>0</v>
      </c>
      <c r="K94" s="112" t="str">
        <f t="shared" si="19"/>
        <v>4031/4032</v>
      </c>
      <c r="L94" s="22" t="str">
        <f>VLOOKUP(A94,'Trips&amp;Operators'!$C$1:$E$10000,3,FALSE)</f>
        <v>BONDS</v>
      </c>
      <c r="M94" s="6">
        <f t="shared" si="20"/>
        <v>2.7708333334885538E-2</v>
      </c>
      <c r="N94" s="7">
        <f t="shared" si="21"/>
        <v>39.900000002235174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13:14:39-0600',mode:absolute,to:'2016-10-25 16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4" s="52" t="str">
        <f t="shared" si="25"/>
        <v>N</v>
      </c>
      <c r="X94" s="171">
        <f t="shared" si="26"/>
        <v>1</v>
      </c>
      <c r="Y94" s="67">
        <f t="shared" si="27"/>
        <v>23.302499999999998</v>
      </c>
      <c r="Z94" s="67">
        <f t="shared" si="28"/>
        <v>1.4999999999999999E-2</v>
      </c>
      <c r="AA94" s="67">
        <f t="shared" si="29"/>
        <v>23.287499999999998</v>
      </c>
      <c r="AB94" s="64" t="str">
        <f>VLOOKUP(A94,Enforcements!$C$7:$K$21,8,0)</f>
        <v>Speed (6)</v>
      </c>
      <c r="AC94" s="60" t="str">
        <f>VLOOKUP(A94,Enforcements!$C$7:$E$21,3,0)</f>
        <v>PERMANENT SPEED RESTRICTION</v>
      </c>
      <c r="AD94" s="61" t="str">
        <f t="shared" si="30"/>
        <v>0180-25</v>
      </c>
      <c r="AE94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94" s="88" t="str">
        <f t="shared" si="32"/>
        <v>"C:\Program Files (x86)\AstroGrep\AstroGrep.exe" /spath="%USERPROFILE%\AppData\Local\Temp\OnboardLogs" /stypes="app*4032*20161025*"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180-25 --locoid 4032 --swversion DE.1.0.7.0 --startMP 204:233025 --initTime 2016-10-25T14:14:39 --startdatetime 2016-10-25T14:26:42 --delay 1 --endMP 204:150 --enddatetime 2016-10-25T15:06:36 --enforcementcount 0 &gt;&gt;C:\Users\stu\Documents\GitHub\eaglep3-reporting\EC\2016-10-25-refined-times.txt</v>
      </c>
      <c r="AI9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{"issue":{"subject":"","project_id":79,"tracker_id":40,"status_id":1,"priority_id":2,"assigned_to_id":23,"start_date":"2016-10-25","description":"","custom_fields":[{"id":1,"name":"Subdivision","value":"EC"},{"id":4,"name":"Milepost","value":"0.015"},{"id":17,"name":"Train ID","value":"180-25"},{"id":16,"name":"Locomotive ID","value":"4032"},{"id":130,"name":"Impact","value":""},{"id":150,"name":"Time of Event (Mountain Time)","value":"15:06:36"},{"id":151,"name":"Denver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546</v>
      </c>
      <c r="B95" s="7">
        <v>4006</v>
      </c>
      <c r="C95" s="22" t="s">
        <v>99</v>
      </c>
      <c r="D95" s="22" t="s">
        <v>225</v>
      </c>
      <c r="E95" s="13">
        <v>42668.569432870368</v>
      </c>
      <c r="F95" s="13">
        <v>42668.573217592595</v>
      </c>
      <c r="G95" s="7">
        <v>1</v>
      </c>
      <c r="H95" s="13" t="s">
        <v>689</v>
      </c>
      <c r="I95" s="13">
        <v>42668.600115740737</v>
      </c>
      <c r="J95" s="7">
        <v>0</v>
      </c>
      <c r="K95" s="112" t="str">
        <f t="shared" si="19"/>
        <v>4005/4006</v>
      </c>
      <c r="L95" s="22" t="str">
        <f>VLOOKUP(A95,'Trips&amp;Operators'!$C$1:$E$10000,3,FALSE)</f>
        <v>YOUNG</v>
      </c>
      <c r="M95" s="6">
        <f t="shared" si="20"/>
        <v>2.6898148142208811E-2</v>
      </c>
      <c r="N95" s="7">
        <f t="shared" si="21"/>
        <v>38.733333324780688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12:39:59-0600',mode:absolute,to:'2016-10-25 15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95" s="52" t="str">
        <f t="shared" si="25"/>
        <v>N</v>
      </c>
      <c r="X95" s="171">
        <f t="shared" si="26"/>
        <v>1</v>
      </c>
      <c r="Y95" s="67">
        <f t="shared" si="27"/>
        <v>4.53E-2</v>
      </c>
      <c r="Z95" s="67">
        <f t="shared" si="28"/>
        <v>23.3325</v>
      </c>
      <c r="AA95" s="67">
        <f t="shared" si="29"/>
        <v>23.287199999999999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0181-25</v>
      </c>
      <c r="AE95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95" s="88" t="str">
        <f t="shared" si="32"/>
        <v>"C:\Program Files (x86)\AstroGrep\AstroGrep.exe" /spath="%USERPROFILE%\AppData\Local\Temp\OnboardLogs" /stypes="app*4006*20161025*"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181-25 --locoid 4006 --swversion DE.1.0.7.0 --startMP 204:453 --initTime 2016-10-25T13:39:59 --startdatetime 2016-10-25T13:45:26 --delay 1 --endMP 204:233325 --enddatetime 2016-10-25T14:24:10 --enforcementcount 0 &gt;&gt;C:\Users\stu\Documents\GitHub\eaglep3-reporting\EC\2016-10-25-refined-times.txt</v>
      </c>
      <c r="AI9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{"issue":{"subject":"","project_id":79,"tracker_id":40,"status_id":1,"priority_id":2,"assigned_to_id":23,"start_date":"2016-10-25","description":"","custom_fields":[{"id":1,"name":"Subdivision","value":"EC"},{"id":4,"name":"Milepost","value":"23.3325"},{"id":17,"name":"Train ID","value":"181-25"},{"id":16,"name":"Locomotive ID","value":"4006"},{"id":130,"name":"Impact","value":""},{"id":150,"name":"Time of Event (Mountain Time)","value":"14:24:10"},{"id":151,"name":"Denver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550</v>
      </c>
      <c r="B96" s="7">
        <v>4005</v>
      </c>
      <c r="C96" s="22" t="s">
        <v>99</v>
      </c>
      <c r="D96" s="22" t="s">
        <v>690</v>
      </c>
      <c r="E96" s="13">
        <v>42668.604351851849</v>
      </c>
      <c r="F96" s="13">
        <v>42668.612384259257</v>
      </c>
      <c r="G96" s="7">
        <v>6</v>
      </c>
      <c r="H96" s="13" t="s">
        <v>233</v>
      </c>
      <c r="I96" s="13">
        <v>42668.641643518517</v>
      </c>
      <c r="J96" s="7">
        <v>0</v>
      </c>
      <c r="K96" s="112" t="str">
        <f t="shared" si="19"/>
        <v>4005/4006</v>
      </c>
      <c r="L96" s="22" t="str">
        <f>VLOOKUP(A96,'Trips&amp;Operators'!$C$1:$E$10000,3,FALSE)</f>
        <v>YOUNG</v>
      </c>
      <c r="M96" s="6">
        <f t="shared" si="20"/>
        <v>2.9259259259561077E-2</v>
      </c>
      <c r="N96" s="7">
        <f t="shared" si="21"/>
        <v>42.133333333767951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13:30:16-0600',mode:absolute,to:'2016-10-25 16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96" s="52" t="str">
        <f t="shared" si="25"/>
        <v>N</v>
      </c>
      <c r="X96" s="171">
        <f t="shared" si="26"/>
        <v>1</v>
      </c>
      <c r="Y96" s="67">
        <f t="shared" si="27"/>
        <v>23.301500000000001</v>
      </c>
      <c r="Z96" s="67">
        <f t="shared" si="28"/>
        <v>1.6E-2</v>
      </c>
      <c r="AA96" s="67">
        <f t="shared" si="29"/>
        <v>23.285500000000003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0182-25</v>
      </c>
      <c r="AE96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96" s="88" t="str">
        <f t="shared" si="32"/>
        <v>"C:\Program Files (x86)\AstroGrep\AstroGrep.exe" /spath="%USERPROFILE%\AppData\Local\Temp\OnboardLogs" /stypes="app*4005*20161025*" /stext=" 21:.+((SYSTEM_STATE.+slice.+state.+changed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182-25 --locoid 4005 --swversion DE.1.0.7.0 --startMP 204:233015 --initTime 2016-10-25T14:30:16 --startdatetime 2016-10-25T14:41:50 --delay 6 --endMP 204:160 --enddatetime 2016-10-25T15:23:58 --enforcementcount 0 &gt;&gt;C:\Users\stu\Documents\GitHub\eaglep3-reporting\EC\2016-10-25-refined-times.txt</v>
      </c>
      <c r="AI9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ID","value":"182-25"},{"id":16,"name":"Locomotive ID","value":"4005"},{"id":130,"name":"Impact","value":""},{"id":150,"name":"Time of Event (Mountain Time)","value":"15:23:58"},{"id":151,"name":"Denver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548</v>
      </c>
      <c r="B97" s="7">
        <v>4046</v>
      </c>
      <c r="C97" s="22" t="s">
        <v>99</v>
      </c>
      <c r="D97" s="22" t="s">
        <v>691</v>
      </c>
      <c r="E97" s="13">
        <v>42668.581770833334</v>
      </c>
      <c r="F97" s="13">
        <v>42668.583599537036</v>
      </c>
      <c r="G97" s="7">
        <v>1</v>
      </c>
      <c r="H97" s="13" t="s">
        <v>692</v>
      </c>
      <c r="I97" s="13">
        <v>42668.608483796299</v>
      </c>
      <c r="J97" s="7">
        <v>0</v>
      </c>
      <c r="K97" s="112" t="str">
        <f t="shared" si="19"/>
        <v>4045/4046</v>
      </c>
      <c r="L97" s="22" t="str">
        <f>VLOOKUP(A97,'Trips&amp;Operators'!$C$1:$E$10000,3,FALSE)</f>
        <v>CLARK</v>
      </c>
      <c r="M97" s="6">
        <f t="shared" si="20"/>
        <v>2.4884259262762498E-2</v>
      </c>
      <c r="N97" s="7">
        <f t="shared" si="21"/>
        <v>35.833333338377997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12:57:45-0600',mode:absolute,to:'2016-10-25 15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7" s="52" t="str">
        <f t="shared" si="25"/>
        <v>N</v>
      </c>
      <c r="X97" s="171">
        <f t="shared" si="26"/>
        <v>1</v>
      </c>
      <c r="Y97" s="67">
        <f t="shared" si="27"/>
        <v>4.8800000000000003E-2</v>
      </c>
      <c r="Z97" s="67">
        <f t="shared" si="28"/>
        <v>23.328399999999998</v>
      </c>
      <c r="AA97" s="67">
        <f t="shared" si="29"/>
        <v>23.279599999999999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0183-25</v>
      </c>
      <c r="AE97" s="91" t="str">
        <f t="shared" si="31"/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AF97" s="88" t="str">
        <f t="shared" si="32"/>
        <v>"C:\Program Files (x86)\AstroGrep\AstroGrep.exe" /spath="%USERPROFILE%\AppData\Local\Temp\OnboardLogs" /stypes="app*4046*20161025*" /stext=" 20:.+((SYSTEM_STATE.+slice.+state.+changed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183-25 --locoid 4046 --swversion DE.1.0.7.0 --startMP 204:488 --initTime 2016-10-25T13:57:45 --startdatetime 2016-10-25T14:00:23 --delay 1 --endMP 204:233284 --enddatetime 2016-10-25T14:36:13 --enforcementcount 0 &gt;&gt;C:\Users\stu\Documents\GitHub\eaglep3-reporting\EC\2016-10-25-refined-times.txt</v>
      </c>
      <c r="AI9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{"issue":{"subject":"","project_id":79,"tracker_id":40,"status_id":1,"priority_id":2,"assigned_to_id":23,"start_date":"2016-10-25","description":"","custom_fields":[{"id":1,"name":"Subdivision","value":"EC"},{"id":4,"name":"Milepost","value":"23.3284"},{"id":17,"name":"Train ID","value":"183-25"},{"id":16,"name":"Locomotive ID","value":"4046"},{"id":130,"name":"Impact","value":""},{"id":150,"name":"Time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553</v>
      </c>
      <c r="B98" s="7">
        <v>4045</v>
      </c>
      <c r="C98" s="22" t="s">
        <v>99</v>
      </c>
      <c r="D98" s="22" t="s">
        <v>693</v>
      </c>
      <c r="E98" s="13">
        <v>42668.621145833335</v>
      </c>
      <c r="F98" s="13">
        <v>42668.622731481482</v>
      </c>
      <c r="G98" s="7">
        <v>1</v>
      </c>
      <c r="H98" s="13" t="s">
        <v>345</v>
      </c>
      <c r="I98" s="13">
        <v>42668.653749999998</v>
      </c>
      <c r="J98" s="7">
        <v>0</v>
      </c>
      <c r="K98" s="112" t="str">
        <f t="shared" si="19"/>
        <v>4045/4046</v>
      </c>
      <c r="L98" s="22" t="str">
        <f>VLOOKUP(A98,'Trips&amp;Operators'!$C$1:$E$10000,3,FALSE)</f>
        <v>CLARK</v>
      </c>
      <c r="M98" s="6">
        <f t="shared" si="20"/>
        <v>3.1018518515338656E-2</v>
      </c>
      <c r="N98" s="7">
        <f t="shared" si="21"/>
        <v>44.666666662087664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13:54:27-0600',mode:absolute,to:'2016-10-25 16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8" s="52" t="str">
        <f t="shared" si="25"/>
        <v>N</v>
      </c>
      <c r="X98" s="171">
        <f t="shared" si="26"/>
        <v>1</v>
      </c>
      <c r="Y98" s="67">
        <f t="shared" si="27"/>
        <v>23.296299999999999</v>
      </c>
      <c r="Z98" s="67">
        <f t="shared" si="28"/>
        <v>0.11749999999999999</v>
      </c>
      <c r="AA98" s="67">
        <f t="shared" si="29"/>
        <v>23.178799999999999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0184-25</v>
      </c>
      <c r="AE98" s="91" t="str">
        <f t="shared" si="31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98" s="88" t="str">
        <f t="shared" si="32"/>
        <v>"C:\Program Files (x86)\AstroGrep\AstroGrep.exe" /spath="%USERPROFILE%\AppData\Local\Temp\OnboardLogs" /stypes="app*4045*20161025*"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184-25 --locoid 4045 --swversion DE.1.0.7.0 --startMP 204:232963 --initTime 2016-10-25T14:54:27 --startdatetime 2016-10-25T14:56:44 --delay 1 --endMP 204:1175 --enddatetime 2016-10-25T15:41:24 --enforcementcount 0 &gt;&gt;C:\Users\stu\Documents\GitHub\eaglep3-reporting\EC\2016-10-25-refined-times.txt</v>
      </c>
      <c r="AI9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{"issue":{"subject":"","project_id":79,"tracker_id":40,"status_id":1,"priority_id":2,"assigned_to_id":23,"start_date":"2016-10-25","description":"","custom_fields":[{"id":1,"name":"Subdivision","value":"EC"},{"id":4,"name":"Milepost","value":"0.1175"},{"id":17,"name":"Train ID","value":"184-25"},{"id":16,"name":"Locomotive ID","value":"4045"},{"id":130,"name":"Impact","value":""},{"id":150,"name":"Time of Event (Mountain Time)","value":"15:41:24"},{"id":151,"name":"Denver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549</v>
      </c>
      <c r="B99" s="7">
        <v>4002</v>
      </c>
      <c r="C99" s="22" t="s">
        <v>99</v>
      </c>
      <c r="D99" s="22" t="s">
        <v>657</v>
      </c>
      <c r="E99" s="13">
        <v>42668.590358796297</v>
      </c>
      <c r="F99" s="13">
        <v>42668.593946759262</v>
      </c>
      <c r="G99" s="7">
        <v>1</v>
      </c>
      <c r="H99" s="13" t="s">
        <v>221</v>
      </c>
      <c r="I99" s="13">
        <v>42668.618530092594</v>
      </c>
      <c r="J99" s="7">
        <v>0</v>
      </c>
      <c r="K99" s="112" t="str">
        <f t="shared" si="19"/>
        <v>4001/4002</v>
      </c>
      <c r="L99" s="22" t="str">
        <f>VLOOKUP(A99,'Trips&amp;Operators'!$C$1:$E$10000,3,FALSE)</f>
        <v>ROMERO</v>
      </c>
      <c r="M99" s="6">
        <f t="shared" si="20"/>
        <v>2.4583333331975155E-2</v>
      </c>
      <c r="N99" s="7">
        <f t="shared" si="21"/>
        <v>35.399999998044223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13:10:07-0600',mode:absolute,to:'2016-10-25 15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9" s="52" t="str">
        <f t="shared" si="25"/>
        <v>N</v>
      </c>
      <c r="X99" s="171">
        <f t="shared" si="26"/>
        <v>1</v>
      </c>
      <c r="Y99" s="67">
        <f t="shared" si="27"/>
        <v>4.6399999999999997E-2</v>
      </c>
      <c r="Z99" s="67">
        <f t="shared" si="28"/>
        <v>23.3293</v>
      </c>
      <c r="AA99" s="67">
        <f t="shared" si="29"/>
        <v>23.282900000000001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0185-25</v>
      </c>
      <c r="AE99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99" s="88" t="str">
        <f t="shared" si="32"/>
        <v>"C:\Program Files (x86)\AstroGrep\AstroGrep.exe" /spath="%USERPROFILE%\AppData\Local\Temp\OnboardLogs" /stypes="app*4002*20161025*" /stext=" 20:.+((SYSTEM_STATE.+slice.+state.+changed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185-25 --locoid 4002 --swversion DE.1.0.7.0 --startMP 204:464 --initTime 2016-10-25T14:10:07 --startdatetime 2016-10-25T14:15:17 --delay 1 --endMP 204:233293 --enddatetime 2016-10-25T14:50:41 --enforcementcount 0 &gt;&gt;C:\Users\stu\Documents\GitHub\eaglep3-reporting\EC\2016-10-25-refined-times.txt</v>
      </c>
      <c r="AI9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{"issue":{"subject":"","project_id":79,"tracker_id":40,"status_id":1,"priority_id":2,"assigned_to_id":23,"start_date":"2016-10-25","description":"","custom_fields":[{"id":1,"name":"Subdivision","value":"EC"},{"id":4,"name":"Milepost","value":"23.3293"},{"id":17,"name":"Train ID","value":"185-25"},{"id":16,"name":"Locomotive ID","value":"4002"},{"id":130,"name":"Impact","value":""},{"id":150,"name":"Time of Event (Mountain Time)","value":"14:50:41"},{"id":151,"name":"Denver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555</v>
      </c>
      <c r="B100" s="7">
        <v>4001</v>
      </c>
      <c r="C100" s="22" t="s">
        <v>99</v>
      </c>
      <c r="D100" s="22" t="s">
        <v>694</v>
      </c>
      <c r="E100" s="13">
        <v>42668.628981481481</v>
      </c>
      <c r="F100" s="13">
        <v>42668.632824074077</v>
      </c>
      <c r="G100" s="7">
        <v>5</v>
      </c>
      <c r="H100" s="13" t="s">
        <v>223</v>
      </c>
      <c r="I100" s="13">
        <v>42668.663506944446</v>
      </c>
      <c r="J100" s="7">
        <v>0</v>
      </c>
      <c r="K100" s="112" t="str">
        <f t="shared" si="19"/>
        <v>4001/4002</v>
      </c>
      <c r="L100" s="22" t="str">
        <f>VLOOKUP(A100,'Trips&amp;Operators'!$C$1:$E$10000,3,FALSE)</f>
        <v>ROMERO</v>
      </c>
      <c r="M100" s="6">
        <f t="shared" si="20"/>
        <v>3.068287036876427E-2</v>
      </c>
      <c r="N100" s="7">
        <f t="shared" si="21"/>
        <v>44.183333331020549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14:05:44-0600',mode:absolute,to:'2016-10-25 16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0" s="52" t="str">
        <f t="shared" si="25"/>
        <v>N</v>
      </c>
      <c r="X100" s="171">
        <f t="shared" si="26"/>
        <v>1</v>
      </c>
      <c r="Y100" s="67">
        <f t="shared" si="27"/>
        <v>23.297599999999999</v>
      </c>
      <c r="Z100" s="67">
        <f t="shared" si="28"/>
        <v>1.4999999999999999E-2</v>
      </c>
      <c r="AA100" s="67">
        <f t="shared" si="29"/>
        <v>23.282599999999999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0186-25</v>
      </c>
      <c r="AE100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00" s="88" t="str">
        <f t="shared" si="32"/>
        <v>"C:\Program Files (x86)\AstroGrep\AstroGrep.exe" /spath="%USERPROFILE%\AppData\Local\Temp\OnboardLogs" /stypes="app*4001*20161025*" /stext=" 21:.+((SYSTEM_STATE.+slice.+state.+changed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186-25 --locoid 4001 --swversion DE.1.0.7.0 --startMP 204:232976 --initTime 2016-10-25T15:05:44 --startdatetime 2016-10-25T15:11:16 --delay 5 --endMP 204:150 --enddatetime 2016-10-25T15:55:27 --enforcementcount 0 &gt;&gt;C:\Users\stu\Documents\GitHub\eaglep3-reporting\EC\2016-10-25-refined-times.txt</v>
      </c>
      <c r="AI10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{"issue":{"subject":"","project_id":79,"tracker_id":40,"status_id":1,"priority_id":2,"assigned_to_id":23,"start_date":"2016-10-25","description":"","custom_fields":[{"id":1,"name":"Subdivision","value":"EC"},{"id":4,"name":"Milepost","value":"0.015"},{"id":17,"name":"Train ID","value":"186-25"},{"id":16,"name":"Locomotive ID","value":"4001"},{"id":130,"name":"Impact","value":""},{"id":150,"name":"Time of Event (Mountain Time)","value":"15:55:27"},{"id":151,"name":"Denver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441</v>
      </c>
      <c r="B101" s="7">
        <v>4007</v>
      </c>
      <c r="C101" s="22" t="s">
        <v>99</v>
      </c>
      <c r="D101" s="22" t="s">
        <v>691</v>
      </c>
      <c r="E101" s="13">
        <v>42668.601030092592</v>
      </c>
      <c r="F101" s="13">
        <v>42668.604432870372</v>
      </c>
      <c r="G101" s="7">
        <v>1</v>
      </c>
      <c r="H101" s="13" t="s">
        <v>695</v>
      </c>
      <c r="I101" s="13">
        <v>42668.630023148151</v>
      </c>
      <c r="J101" s="7">
        <v>0</v>
      </c>
      <c r="K101" s="112" t="str">
        <f t="shared" si="19"/>
        <v>4007/4008</v>
      </c>
      <c r="L101" s="22" t="str">
        <f>VLOOKUP(A101,'Trips&amp;Operators'!$C$1:$E$10000,3,FALSE)</f>
        <v>BARTLETT</v>
      </c>
      <c r="M101" s="6">
        <f t="shared" si="20"/>
        <v>2.5590277778974269E-2</v>
      </c>
      <c r="N101" s="7">
        <f t="shared" si="21"/>
        <v>36.850000001722947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13:25:29-0600',mode:absolute,to:'2016-10-25 16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52" t="str">
        <f t="shared" si="25"/>
        <v>N</v>
      </c>
      <c r="X101" s="171">
        <f t="shared" si="26"/>
        <v>1</v>
      </c>
      <c r="Y101" s="67">
        <f t="shared" si="27"/>
        <v>4.8800000000000003E-2</v>
      </c>
      <c r="Z101" s="67">
        <f t="shared" si="28"/>
        <v>23.331600000000002</v>
      </c>
      <c r="AA101" s="67">
        <f t="shared" si="29"/>
        <v>23.282800000000002</v>
      </c>
      <c r="AB101" s="64" t="str">
        <f>VLOOKUP(A101,Enforcements!$C$7:$K$21,8,0)</f>
        <v>Bulletin (2)</v>
      </c>
      <c r="AC101" s="60" t="str">
        <f>VLOOKUP(A101,Enforcements!$C$7:$E$21,3,0)</f>
        <v>GRADE CROSSING</v>
      </c>
      <c r="AD101" s="61" t="str">
        <f t="shared" si="30"/>
        <v>0187-25</v>
      </c>
      <c r="AE101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101" s="88" t="str">
        <f t="shared" si="32"/>
        <v>"C:\Program Files (x86)\AstroGrep\AstroGrep.exe" /spath="%USERPROFILE%\AppData\Local\Temp\OnboardLogs" /stypes="app*4007*20161025*" /stext=" 21:.+((SYSTEM_STATE.+slice.+state.+changed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187-25 --locoid 4007 --swversion DE.1.0.7.0 --startMP 204:488 --initTime 2016-10-25T14:25:29 --startdatetime 2016-10-25T14:30:23 --delay 1 --endMP 204:233316 --enddatetime 2016-10-25T15:07:14 --enforcementcount 0 &gt;&gt;C:\Users\stu\Documents\GitHub\eaglep3-reporting\EC\2016-10-25-refined-times.txt</v>
      </c>
      <c r="AI10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{"issue":{"subject":"","project_id":79,"tracker_id":40,"status_id":1,"priority_id":2,"assigned_to_id":23,"start_date":"2016-10-25","description":"","custom_fields":[{"id":1,"name":"Subdivision","value":"EC"},{"id":4,"name":"Milepost","value":"23.3316"},{"id":17,"name":"Train ID","value":"187-25"},{"id":16,"name":"Locomotive ID","value":"4007"},{"id":130,"name":"Impact","value":""},{"id":150,"name":"Time of Event (Mountain Time)","value":"15:07:14"},{"id":151,"name":"Denver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557</v>
      </c>
      <c r="B102" s="7">
        <v>4008</v>
      </c>
      <c r="C102" s="22" t="s">
        <v>99</v>
      </c>
      <c r="D102" s="22" t="s">
        <v>369</v>
      </c>
      <c r="E102" s="13">
        <v>42668.632384259261</v>
      </c>
      <c r="F102" s="13">
        <v>42668.64366898148</v>
      </c>
      <c r="G102" s="7">
        <v>2</v>
      </c>
      <c r="H102" s="13" t="s">
        <v>222</v>
      </c>
      <c r="I102" s="13">
        <v>42668.670451388891</v>
      </c>
      <c r="J102" s="7">
        <v>0</v>
      </c>
      <c r="K102" s="112" t="str">
        <f t="shared" si="19"/>
        <v>4007/4008</v>
      </c>
      <c r="L102" s="22" t="str">
        <f>VLOOKUP(A102,'Trips&amp;Operators'!$C$1:$E$10000,3,FALSE)</f>
        <v>BARTLETT</v>
      </c>
      <c r="M102" s="6">
        <f t="shared" si="20"/>
        <v>2.6782407410792075E-2</v>
      </c>
      <c r="N102" s="7">
        <f t="shared" si="21"/>
        <v>38.566666671540588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14:10:38-0600',mode:absolute,to:'2016-10-25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52" t="str">
        <f t="shared" si="25"/>
        <v>N</v>
      </c>
      <c r="X102" s="171">
        <f t="shared" si="26"/>
        <v>1</v>
      </c>
      <c r="Y102" s="67">
        <f t="shared" si="27"/>
        <v>23.3001</v>
      </c>
      <c r="Z102" s="67">
        <f t="shared" si="28"/>
        <v>1.43E-2</v>
      </c>
      <c r="AA102" s="67">
        <f t="shared" si="29"/>
        <v>23.285800000000002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0188-25</v>
      </c>
      <c r="AE102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02" s="88" t="str">
        <f t="shared" si="32"/>
        <v>"C:\Program Files (x86)\AstroGrep\AstroGrep.exe" /spath="%USERPROFILE%\AppData\Local\Temp\OnboardLogs" /stypes="app*4008*20161025*"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188-25 --locoid 4008 --swversion DE.1.0.7.0 --startMP 204:233001 --initTime 2016-10-25T15:10:38 --startdatetime 2016-10-25T15:26:53 --delay 2 --endMP 204:143 --enddatetime 2016-10-25T16:05:27 --enforcementcount 0 &gt;&gt;C:\Users\stu\Documents\GitHub\eaglep3-reporting\EC\2016-10-25-refined-times.txt</v>
      </c>
      <c r="AI10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{"issue":{"subject":"","project_id":79,"tracker_id":40,"status_id":1,"priority_id":2,"assigned_to_id":23,"start_date":"2016-10-25","description":"","custom_fields":[{"id":1,"name":"Subdivision","value":"EC"},{"id":4,"name":"Milepost","value":"0.0143"},{"id":17,"name":"Train ID","value":"188-25"},{"id":16,"name":"Locomotive ID","value":"4008"},{"id":130,"name":"Impact","value":""},{"id":150,"name":"Time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552</v>
      </c>
      <c r="B103" s="7">
        <v>4042</v>
      </c>
      <c r="C103" s="22" t="s">
        <v>99</v>
      </c>
      <c r="D103" s="22" t="s">
        <v>227</v>
      </c>
      <c r="E103" s="13">
        <v>42668.61519675926</v>
      </c>
      <c r="F103" s="13">
        <v>42668.617152777777</v>
      </c>
      <c r="G103" s="7">
        <v>1</v>
      </c>
      <c r="H103" s="13" t="s">
        <v>668</v>
      </c>
      <c r="I103" s="13">
        <v>42668.644097222219</v>
      </c>
      <c r="J103" s="7">
        <v>0</v>
      </c>
      <c r="K103" s="112" t="str">
        <f t="shared" si="19"/>
        <v>4041/4042</v>
      </c>
      <c r="L103" s="22" t="str">
        <f>VLOOKUP(A103,'Trips&amp;Operators'!$C$1:$E$10000,3,FALSE)</f>
        <v>HOLCOMB</v>
      </c>
      <c r="M103" s="6">
        <f t="shared" si="20"/>
        <v>2.6944444442051463E-2</v>
      </c>
      <c r="N103" s="7">
        <f t="shared" si="21"/>
        <v>38.799999996554106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13:45:53-0600',mode:absolute,to:'2016-10-25 16:27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3" s="52" t="str">
        <f t="shared" si="25"/>
        <v>N</v>
      </c>
      <c r="X103" s="171">
        <f t="shared" si="26"/>
        <v>1</v>
      </c>
      <c r="Y103" s="67">
        <f t="shared" si="27"/>
        <v>4.5499999999999999E-2</v>
      </c>
      <c r="Z103" s="67">
        <f t="shared" si="28"/>
        <v>23.332899999999999</v>
      </c>
      <c r="AA103" s="67">
        <f t="shared" si="29"/>
        <v>23.287399999999998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0189-25</v>
      </c>
      <c r="AE103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03" s="88" t="str">
        <f t="shared" si="32"/>
        <v>"C:\Program Files (x86)\AstroGrep\AstroGrep.exe" /spath="%USERPROFILE%\AppData\Local\Temp\OnboardLogs" /stypes="app*4042*20161025*"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189-25 --locoid 4042 --swversion DE.1.0.7.0 --startMP 204:455 --initTime 2016-10-25T14:45:53 --startdatetime 2016-10-25T14:48:42 --delay 1 --endMP 204:233329 --enddatetime 2016-10-25T15:27:30 --enforcementcount 0 &gt;&gt;C:\Users\stu\Documents\GitHub\eaglep3-reporting\EC\2016-10-25-refined-times.txt</v>
      </c>
      <c r="AI10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{"issue":{"subject":"","project_id":79,"tracker_id":40,"status_id":1,"priority_id":2,"assigned_to_id":23,"start_date":"2016-10-25","description":"","custom_fields":[{"id":1,"name":"Subdivision","value":"EC"},{"id":4,"name":"Milepost","value":"23.3329"},{"id":17,"name":"Train ID","value":"189-25"},{"id":16,"name":"Locomotive ID","value":"4042"},{"id":130,"name":"Impact","value":""},{"id":150,"name":"Time of Event (Mountain Time)","value":"15:27:30"},{"id":151,"name":"Denver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559</v>
      </c>
      <c r="B104" s="7">
        <v>4041</v>
      </c>
      <c r="C104" s="22" t="s">
        <v>99</v>
      </c>
      <c r="D104" s="22" t="s">
        <v>311</v>
      </c>
      <c r="E104" s="13">
        <v>42668.648773148147</v>
      </c>
      <c r="F104" s="13">
        <v>42668.654236111113</v>
      </c>
      <c r="G104" s="7">
        <v>1</v>
      </c>
      <c r="H104" s="13" t="s">
        <v>220</v>
      </c>
      <c r="I104" s="13">
        <v>42668.683611111112</v>
      </c>
      <c r="J104" s="7">
        <v>0</v>
      </c>
      <c r="K104" s="112" t="str">
        <f t="shared" si="19"/>
        <v>4041/4042</v>
      </c>
      <c r="L104" s="22" t="str">
        <f>VLOOKUP(A104,'Trips&amp;Operators'!$C$1:$E$10000,3,FALSE)</f>
        <v>HOLCOMB</v>
      </c>
      <c r="M104" s="6">
        <f t="shared" si="20"/>
        <v>2.937499999825377E-2</v>
      </c>
      <c r="N104" s="7">
        <f t="shared" si="21"/>
        <v>42.299999997485429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14:34:14-0600',mode:absolute,to:'2016-10-25 17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4" s="52" t="str">
        <f t="shared" si="25"/>
        <v>N</v>
      </c>
      <c r="X104" s="171">
        <f t="shared" si="26"/>
        <v>1</v>
      </c>
      <c r="Y104" s="67">
        <f t="shared" si="27"/>
        <v>23.298500000000001</v>
      </c>
      <c r="Z104" s="67">
        <f t="shared" si="28"/>
        <v>1.49E-2</v>
      </c>
      <c r="AA104" s="67">
        <f t="shared" si="29"/>
        <v>23.2836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0190-25</v>
      </c>
      <c r="AE104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04" s="88" t="str">
        <f t="shared" si="32"/>
        <v>"C:\Program Files (x86)\AstroGrep\AstroGrep.exe" /spath="%USERPROFILE%\AppData\Local\Temp\OnboardLogs" /stypes="app*4041*20161025*"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190-25 --locoid 4041 --swversion DE.1.0.7.0 --startMP 204:232985 --initTime 2016-10-25T15:34:14 --startdatetime 2016-10-25T15:42:06 --delay 1 --endMP 204:149 --enddatetime 2016-10-25T16:24:24 --enforcementcount 0 &gt;&gt;C:\Users\stu\Documents\GitHub\eaglep3-reporting\EC\2016-10-25-refined-times.txt</v>
      </c>
      <c r="AI10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ID","value":"190-25"},{"id":16,"name":"Locomotive ID","value":"4041"},{"id":130,"name":"Impact","value":""},{"id":150,"name":"Time of Event (Mountain Time)","value":"16:24:24"},{"id":151,"name":"Denver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442</v>
      </c>
      <c r="B105" s="7">
        <v>4027</v>
      </c>
      <c r="C105" s="22" t="s">
        <v>99</v>
      </c>
      <c r="D105" s="22" t="s">
        <v>343</v>
      </c>
      <c r="E105" s="13">
        <v>42668.62122685185</v>
      </c>
      <c r="F105" s="13">
        <v>42668.625254629631</v>
      </c>
      <c r="G105" s="7">
        <v>2</v>
      </c>
      <c r="H105" s="13" t="s">
        <v>309</v>
      </c>
      <c r="I105" s="13">
        <v>42668.65084490741</v>
      </c>
      <c r="J105" s="7">
        <v>0</v>
      </c>
      <c r="K105" s="112" t="str">
        <f t="shared" si="19"/>
        <v>4027/4028</v>
      </c>
      <c r="L105" s="22" t="str">
        <f>VLOOKUP(A105,'Trips&amp;Operators'!$C$1:$E$10000,3,FALSE)</f>
        <v>JACKSON</v>
      </c>
      <c r="M105" s="6">
        <f t="shared" si="20"/>
        <v>2.5590277778974269E-2</v>
      </c>
      <c r="N105" s="7">
        <f t="shared" si="21"/>
        <v>36.850000001722947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13:54:34-0600',mode:absolute,to:'2016-10-25 16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5" s="52" t="str">
        <f t="shared" si="25"/>
        <v>N</v>
      </c>
      <c r="X105" s="171">
        <f t="shared" si="26"/>
        <v>1</v>
      </c>
      <c r="Y105" s="67">
        <f t="shared" si="27"/>
        <v>4.7500000000000001E-2</v>
      </c>
      <c r="Z105" s="67">
        <f t="shared" si="28"/>
        <v>23.3291</v>
      </c>
      <c r="AA105" s="67">
        <f t="shared" si="29"/>
        <v>23.281600000000001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0191-25</v>
      </c>
      <c r="AE105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05" s="88" t="str">
        <f t="shared" si="32"/>
        <v>"C:\Program Files (x86)\AstroGrep\AstroGrep.exe" /spath="%USERPROFILE%\AppData\Local\Temp\OnboardLogs" /stypes="app*4027*20161025*" /stext=" 21:.+((SYSTEM_STATE.+slice.+state.+changed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191-25 --locoid 4027 --swversion DE.1.0.7.0 --startMP 204:475 --initTime 2016-10-25T14:54:34 --startdatetime 2016-10-25T15:00:22 --delay 2 --endMP 204:233291 --enddatetime 2016-10-25T15:37:13 --enforcementcount 0 &gt;&gt;C:\Users\stu\Documents\GitHub\eaglep3-reporting\EC\2016-10-25-refined-times.txt</v>
      </c>
      <c r="AI10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ID","value":"191-25"},{"id":16,"name":"Locomotive ID","value":"4027"},{"id":130,"name":"Impact","value":""},{"id":150,"name":"Time of Event (Mountain Time)","value":"15:37:13"},{"id":151,"name":"Denver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562</v>
      </c>
      <c r="B106" s="7">
        <v>4028</v>
      </c>
      <c r="C106" s="22" t="s">
        <v>99</v>
      </c>
      <c r="D106" s="22" t="s">
        <v>673</v>
      </c>
      <c r="E106" s="13">
        <v>42668.652951388889</v>
      </c>
      <c r="F106" s="13">
        <v>42668.6641087963</v>
      </c>
      <c r="G106" s="7">
        <v>2</v>
      </c>
      <c r="H106" s="13" t="s">
        <v>176</v>
      </c>
      <c r="I106" s="13">
        <v>42668.694432870368</v>
      </c>
      <c r="J106" s="7">
        <v>0</v>
      </c>
      <c r="K106" s="112" t="str">
        <f t="shared" si="19"/>
        <v>4027/4028</v>
      </c>
      <c r="L106" s="22" t="str">
        <f>VLOOKUP(A106,'Trips&amp;Operators'!$C$1:$E$10000,3,FALSE)</f>
        <v>JACKSON</v>
      </c>
      <c r="M106" s="6">
        <f t="shared" si="20"/>
        <v>3.032407406863058E-2</v>
      </c>
      <c r="N106" s="7">
        <f t="shared" si="21"/>
        <v>43.666666658828035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14:40:15-0600',mode:absolute,to:'2016-10-25 17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6" s="52" t="str">
        <f t="shared" si="25"/>
        <v>N</v>
      </c>
      <c r="X106" s="171">
        <f t="shared" si="26"/>
        <v>1</v>
      </c>
      <c r="Y106" s="67">
        <f t="shared" si="27"/>
        <v>23.297799999999999</v>
      </c>
      <c r="Z106" s="67">
        <f t="shared" si="28"/>
        <v>1.47E-2</v>
      </c>
      <c r="AA106" s="67">
        <f t="shared" si="29"/>
        <v>23.283099999999997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0192-25</v>
      </c>
      <c r="AE106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06" s="88" t="str">
        <f t="shared" si="32"/>
        <v>"C:\Program Files (x86)\AstroGrep\AstroGrep.exe" /spath="%USERPROFILE%\AppData\Local\Temp\OnboardLogs" /stypes="app*4028*20161025*"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192-25 --locoid 4028 --swversion DE.1.0.7.0 --startMP 204:232978 --initTime 2016-10-25T15:40:15 --startdatetime 2016-10-25T15:56:19 --delay 2 --endMP 204:147 --enddatetime 2016-10-25T16:39:59 --enforcementcount 0 &gt;&gt;C:\Users\stu\Documents\GitHub\eaglep3-reporting\EC\2016-10-25-refined-times.txt</v>
      </c>
      <c r="AI10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{"issue":{"subject":"","project_id":79,"tracker_id":40,"status_id":1,"priority_id":2,"assigned_to_id":23,"start_date":"2016-10-25","description":"","custom_fields":[{"id":1,"name":"Subdivision","value":"EC"},{"id":4,"name":"Milepost","value":"0.0147"},{"id":17,"name":"Train ID","value":"192-25"},{"id":16,"name":"Locomotive ID","value":"4028"},{"id":130,"name":"Impact","value":""},{"id":150,"name":"Time of Event (Mountain Time)","value":"16:39:59"},{"id":151,"name":"Denver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556</v>
      </c>
      <c r="B107" s="7">
        <v>4031</v>
      </c>
      <c r="C107" s="22" t="s">
        <v>99</v>
      </c>
      <c r="D107" s="22" t="s">
        <v>254</v>
      </c>
      <c r="E107" s="13">
        <v>42668.631516203706</v>
      </c>
      <c r="F107" s="13">
        <v>42668.635706018518</v>
      </c>
      <c r="G107" s="7">
        <v>5</v>
      </c>
      <c r="H107" s="13" t="s">
        <v>383</v>
      </c>
      <c r="I107" s="13">
        <v>42668.661539351851</v>
      </c>
      <c r="J107" s="7">
        <v>0</v>
      </c>
      <c r="K107" s="112" t="str">
        <f t="shared" si="19"/>
        <v>4031/4032</v>
      </c>
      <c r="L107" s="22" t="str">
        <f>VLOOKUP(A107,'Trips&amp;Operators'!$C$1:$E$10000,3,FALSE)</f>
        <v>BONDS</v>
      </c>
      <c r="M107" s="6">
        <f t="shared" si="20"/>
        <v>2.5833333333139308E-2</v>
      </c>
      <c r="N107" s="7">
        <f t="shared" si="21"/>
        <v>37.199999999720603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14:09:23-0600',mode:absolute,to:'2016-10-25 16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7" s="52" t="str">
        <f t="shared" si="25"/>
        <v>N</v>
      </c>
      <c r="X107" s="171">
        <f t="shared" si="26"/>
        <v>1</v>
      </c>
      <c r="Y107" s="67">
        <f t="shared" si="27"/>
        <v>4.7100000000000003E-2</v>
      </c>
      <c r="Z107" s="67">
        <f t="shared" si="28"/>
        <v>23.331700000000001</v>
      </c>
      <c r="AA107" s="67">
        <f t="shared" si="29"/>
        <v>23.284600000000001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0193-25</v>
      </c>
      <c r="AE107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107" s="88" t="str">
        <f t="shared" si="32"/>
        <v>"C:\Program Files (x86)\AstroGrep\AstroGrep.exe" /spath="%USERPROFILE%\AppData\Local\Temp\OnboardLogs" /stypes="app*4031*20161025*" /stext=" 21:.+((SYSTEM_STATE.+slice.+state.+changed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193-25 --locoid 4031 --swversion DE.1.0.7.0 --startMP 204:471 --initTime 2016-10-25T15:09:23 --startdatetime 2016-10-25T15:15:25 --delay 5 --endMP 204:233317 --enddatetime 2016-10-25T15:52:37 --enforcementcount 0 &gt;&gt;C:\Users\stu\Documents\GitHub\eaglep3-reporting\EC\2016-10-25-refined-times.txt</v>
      </c>
      <c r="AI10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{"issue":{"subject":"","project_id":79,"tracker_id":40,"status_id":1,"priority_id":2,"assigned_to_id":23,"start_date":"2016-10-25","description":"","custom_fields":[{"id":1,"name":"Subdivision","value":"EC"},{"id":4,"name":"Milepost","value":"23.3317"},{"id":17,"name":"Train ID","value":"193-25"},{"id":16,"name":"Locomotive ID","value":"4031"},{"id":130,"name":"Impact","value":""},{"id":150,"name":"Time of Event (Mountain Time)","value":"15:52:37"},{"id":151,"name":"Denver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567</v>
      </c>
      <c r="B108" s="7">
        <v>4032</v>
      </c>
      <c r="C108" s="22" t="s">
        <v>99</v>
      </c>
      <c r="D108" s="22" t="s">
        <v>656</v>
      </c>
      <c r="E108" s="13">
        <v>42668.670381944445</v>
      </c>
      <c r="F108" s="13">
        <v>42668.67459490741</v>
      </c>
      <c r="G108" s="7">
        <v>1</v>
      </c>
      <c r="H108" s="13" t="s">
        <v>219</v>
      </c>
      <c r="I108" s="13">
        <v>42668.706319444442</v>
      </c>
      <c r="J108" s="7">
        <v>0</v>
      </c>
      <c r="K108" s="112" t="str">
        <f t="shared" si="19"/>
        <v>4031/4032</v>
      </c>
      <c r="L108" s="22" t="str">
        <f>VLOOKUP(A108,'Trips&amp;Operators'!$C$1:$E$10000,3,FALSE)</f>
        <v>BONDS</v>
      </c>
      <c r="M108" s="6">
        <f t="shared" si="20"/>
        <v>3.1724537031550426E-2</v>
      </c>
      <c r="N108" s="7">
        <f t="shared" si="21"/>
        <v>45.683333325432613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15:05:21-0600',mode:absolute,to:'2016-10-25 17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8" s="52" t="str">
        <f t="shared" si="25"/>
        <v>N</v>
      </c>
      <c r="X108" s="171">
        <f t="shared" si="26"/>
        <v>1</v>
      </c>
      <c r="Y108" s="67">
        <f t="shared" si="27"/>
        <v>23.3</v>
      </c>
      <c r="Z108" s="67">
        <f t="shared" si="28"/>
        <v>1.4500000000000001E-2</v>
      </c>
      <c r="AA108" s="67">
        <f t="shared" si="29"/>
        <v>23.285499999999999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0194-25</v>
      </c>
      <c r="AE108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108" s="88" t="str">
        <f t="shared" si="32"/>
        <v>"C:\Program Files (x86)\AstroGrep\AstroGrep.exe" /spath="%USERPROFILE%\AppData\Local\Temp\OnboardLogs" /stypes="app*4032*20161025*" /stext=" 22:.+((SYSTEM_STATE.+slice.+state.+changed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194-25 --locoid 4032 --swversion DE.1.0.7.0 --startMP 204:233000 --initTime 2016-10-25T16:05:21 --startdatetime 2016-10-25T16:11:25 --delay 1 --endMP 204:145 --enddatetime 2016-10-25T16:57:06 --enforcementcount 0 &gt;&gt;C:\Users\stu\Documents\GitHub\eaglep3-reporting\EC\2016-10-25-refined-times.txt</v>
      </c>
      <c r="AI10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ID","value":"194-25"},{"id":16,"name":"Locomotive ID","value":"4032"},{"id":130,"name":"Impact","value":""},{"id":150,"name":"Time of Event (Mountain Time)","value":"16:57:06"},{"id":151,"name":"Denver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558</v>
      </c>
      <c r="B109" s="7">
        <v>4009</v>
      </c>
      <c r="C109" s="22" t="s">
        <v>99</v>
      </c>
      <c r="D109" s="22" t="s">
        <v>227</v>
      </c>
      <c r="E109" s="13">
        <v>42668.646087962959</v>
      </c>
      <c r="F109" s="13">
        <v>42668.647928240738</v>
      </c>
      <c r="G109" s="7">
        <v>1</v>
      </c>
      <c r="H109" s="13" t="s">
        <v>183</v>
      </c>
      <c r="I109" s="13">
        <v>42668.674756944441</v>
      </c>
      <c r="J109" s="7">
        <v>0</v>
      </c>
      <c r="K109" s="112" t="str">
        <f t="shared" si="19"/>
        <v>4009/4010</v>
      </c>
      <c r="L109" s="22" t="str">
        <f>VLOOKUP(A109,'Trips&amp;Operators'!$C$1:$E$10000,3,FALSE)</f>
        <v>YOUNG</v>
      </c>
      <c r="M109" s="6">
        <f t="shared" si="20"/>
        <v>2.6828703703358769E-2</v>
      </c>
      <c r="N109" s="7">
        <f t="shared" si="21"/>
        <v>38.633333332836628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14:30:22-0600',mode:absolute,to:'2016-10-25 17:11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52" t="str">
        <f t="shared" si="25"/>
        <v>N</v>
      </c>
      <c r="X109" s="171">
        <f t="shared" si="26"/>
        <v>1</v>
      </c>
      <c r="Y109" s="67">
        <f t="shared" si="27"/>
        <v>4.5499999999999999E-2</v>
      </c>
      <c r="Z109" s="67">
        <f t="shared" si="28"/>
        <v>23.331199999999999</v>
      </c>
      <c r="AA109" s="67">
        <f t="shared" si="29"/>
        <v>23.285699999999999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0195-25</v>
      </c>
      <c r="AE109" s="91" t="str">
        <f t="shared" si="31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09" s="88" t="str">
        <f t="shared" si="32"/>
        <v>"C:\Program Files (x86)\AstroGrep\AstroGrep.exe" /spath="%USERPROFILE%\AppData\Local\Temp\OnboardLogs" /stypes="app*4009*20161025*"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195-25 --locoid 4009 --swversion DE.1.0.7.0 --startMP 204:455 --initTime 2016-10-25T15:30:22 --startdatetime 2016-10-25T15:33:01 --delay 1 --endMP 204:233312 --enddatetime 2016-10-25T16:11:39 --enforcementcount 0 &gt;&gt;C:\Users\stu\Documents\GitHub\eaglep3-reporting\EC\2016-10-25-refined-times.txt</v>
      </c>
      <c r="AI10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{"issue":{"subject":"","project_id":79,"tracker_id":40,"status_id":1,"priority_id":2,"assigned_to_id":23,"start_date":"2016-10-25","description":"","custom_fields":[{"id":1,"name":"Subdivision","value":"EC"},{"id":4,"name":"Milepost","value":"23.3312"},{"id":17,"name":"Train ID","value":"195-25"},{"id":16,"name":"Locomotive ID","value":"4009"},{"id":130,"name":"Impact","value":""},{"id":150,"name":"Time of Event (Mountain Time)","value":"16:11:39"},{"id":151,"name":"Denver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443</v>
      </c>
      <c r="B110" s="7">
        <v>4010</v>
      </c>
      <c r="C110" s="22" t="s">
        <v>99</v>
      </c>
      <c r="D110" s="22" t="s">
        <v>252</v>
      </c>
      <c r="E110" s="13">
        <v>42668.676979166667</v>
      </c>
      <c r="F110" s="13">
        <v>42668.686412037037</v>
      </c>
      <c r="G110" s="7">
        <v>1</v>
      </c>
      <c r="H110" s="13" t="s">
        <v>220</v>
      </c>
      <c r="I110" s="13">
        <v>42668.71707175926</v>
      </c>
      <c r="J110" s="7">
        <v>0</v>
      </c>
      <c r="K110" s="112" t="str">
        <f t="shared" si="19"/>
        <v>4009/4010</v>
      </c>
      <c r="L110" s="22" t="str">
        <f>VLOOKUP(A110,'Trips&amp;Operators'!$C$1:$E$10000,3,FALSE)</f>
        <v>YOUNG</v>
      </c>
      <c r="M110" s="6">
        <f t="shared" si="20"/>
        <v>3.0659722222480923E-2</v>
      </c>
      <c r="N110" s="7">
        <f t="shared" si="21"/>
        <v>44.150000000372529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15:14:51-0600',mode:absolute,to:'2016-10-25 18:12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52" t="str">
        <f t="shared" si="25"/>
        <v>N</v>
      </c>
      <c r="X110" s="171">
        <f t="shared" si="26"/>
        <v>1</v>
      </c>
      <c r="Y110" s="67">
        <f t="shared" si="27"/>
        <v>23.299399999999999</v>
      </c>
      <c r="Z110" s="67">
        <f t="shared" si="28"/>
        <v>1.49E-2</v>
      </c>
      <c r="AA110" s="67">
        <f t="shared" si="29"/>
        <v>23.284499999999998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0196-25</v>
      </c>
      <c r="AE110" s="91" t="str">
        <f t="shared" si="31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10" s="88" t="str">
        <f t="shared" si="32"/>
        <v>"C:\Program Files (x86)\AstroGrep\AstroGrep.exe" /spath="%USERPROFILE%\AppData\Local\Temp\OnboardLogs" /stypes="app*4010*20161025*"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196-25 --locoid 4010 --swversion DE.1.0.7.0 --startMP 204:232994 --initTime 2016-10-25T16:14:51 --startdatetime 2016-10-25T16:28:26 --delay 1 --endMP 204:149 --enddatetime 2016-10-25T17:12:35 --enforcementcount 0 &gt;&gt;C:\Users\stu\Documents\GitHub\eaglep3-reporting\EC\2016-10-25-refined-times.txt</v>
      </c>
      <c r="AI11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ID","value":"196-25"},{"id":16,"name":"Locomotive ID","value":"4010"},{"id":130,"name":"Impact","value":""},{"id":150,"name":"Time of Event (Mountain Time)","value":"17:12:35"},{"id":151,"name":"Denver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563</v>
      </c>
      <c r="B111" s="7">
        <v>4006</v>
      </c>
      <c r="C111" s="22" t="s">
        <v>99</v>
      </c>
      <c r="D111" s="22" t="s">
        <v>254</v>
      </c>
      <c r="E111" s="13">
        <v>42668.657523148147</v>
      </c>
      <c r="F111" s="13">
        <v>42668.659849537034</v>
      </c>
      <c r="G111" s="7">
        <v>1</v>
      </c>
      <c r="H111" s="13" t="s">
        <v>261</v>
      </c>
      <c r="I111" s="13">
        <v>42668.686412037037</v>
      </c>
      <c r="J111" s="7">
        <v>0</v>
      </c>
      <c r="K111" s="112" t="str">
        <f t="shared" si="19"/>
        <v>4005/4006</v>
      </c>
      <c r="L111" s="22" t="str">
        <f>VLOOKUP(A111,'Trips&amp;Operators'!$C$1:$E$10000,3,FALSE)</f>
        <v>CLARK</v>
      </c>
      <c r="M111" s="6">
        <f t="shared" si="20"/>
        <v>2.6562500002910383E-2</v>
      </c>
      <c r="N111" s="7">
        <f t="shared" si="21"/>
        <v>38.250000004190952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14:46:50-0600',mode:absolute,to:'2016-10-25 17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11" s="52" t="str">
        <f t="shared" si="25"/>
        <v>N</v>
      </c>
      <c r="X111" s="171">
        <f t="shared" si="26"/>
        <v>1</v>
      </c>
      <c r="Y111" s="67">
        <f t="shared" si="27"/>
        <v>4.7100000000000003E-2</v>
      </c>
      <c r="Z111" s="67">
        <f t="shared" si="28"/>
        <v>23.330400000000001</v>
      </c>
      <c r="AA111" s="67">
        <f t="shared" si="29"/>
        <v>23.283300000000001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0197-25</v>
      </c>
      <c r="AE111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111" s="88" t="str">
        <f t="shared" si="32"/>
        <v>"C:\Program Files (x86)\AstroGrep\AstroGrep.exe" /spath="%USERPROFILE%\AppData\Local\Temp\OnboardLogs" /stypes="app*4006*20161025*"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197-25 --locoid 4006 --swversion DE.1.0.7.0 --startMP 204:471 --initTime 2016-10-25T15:46:50 --startdatetime 2016-10-25T15:50:11 --delay 1 --endMP 204:233304 --enddatetime 2016-10-25T16:28:26 --enforcementcount 0 &gt;&gt;C:\Users\stu\Documents\GitHub\eaglep3-reporting\EC\2016-10-25-refined-times.txt</v>
      </c>
      <c r="AI11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{"issue":{"subject":"","project_id":79,"tracker_id":40,"status_id":1,"priority_id":2,"assigned_to_id":23,"start_date":"2016-10-25","description":"","custom_fields":[{"id":1,"name":"Subdivision","value":"EC"},{"id":4,"name":"Milepost","value":"23.3304"},{"id":17,"name":"Train ID","value":"197-25"},{"id":16,"name":"Locomotive ID","value":"4006"},{"id":130,"name":"Impact","value":""},{"id":150,"name":"Time of Event (Mountain Time)","value":"16:28:26"},{"id":151,"name":"Denver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571</v>
      </c>
      <c r="B112" s="7">
        <v>4005</v>
      </c>
      <c r="C112" s="22" t="s">
        <v>99</v>
      </c>
      <c r="D112" s="22" t="s">
        <v>341</v>
      </c>
      <c r="E112" s="13">
        <v>42668.690833333334</v>
      </c>
      <c r="F112" s="13">
        <v>42668.6953125</v>
      </c>
      <c r="G112" s="7">
        <v>1</v>
      </c>
      <c r="H112" s="13" t="s">
        <v>696</v>
      </c>
      <c r="I112" s="13">
        <v>42668.726203703707</v>
      </c>
      <c r="J112" s="7">
        <v>0</v>
      </c>
      <c r="K112" s="112" t="str">
        <f t="shared" si="19"/>
        <v>4005/4006</v>
      </c>
      <c r="L112" s="22" t="str">
        <f>VLOOKUP(A112,'Trips&amp;Operators'!$C$1:$E$10000,3,FALSE)</f>
        <v>CLARK</v>
      </c>
      <c r="M112" s="6">
        <f t="shared" si="20"/>
        <v>3.0891203707142267E-2</v>
      </c>
      <c r="N112" s="7">
        <f t="shared" si="21"/>
        <v>44.483333338284865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15:34:48-0600',mode:absolute,to:'2016-10-25 18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12" s="52" t="str">
        <f t="shared" si="25"/>
        <v>N</v>
      </c>
      <c r="X112" s="171">
        <f t="shared" si="26"/>
        <v>1</v>
      </c>
      <c r="Y112" s="67">
        <f t="shared" si="27"/>
        <v>23.299600000000002</v>
      </c>
      <c r="Z112" s="67">
        <f t="shared" si="28"/>
        <v>1.3599999999999999E-2</v>
      </c>
      <c r="AA112" s="67">
        <f t="shared" si="29"/>
        <v>23.286000000000001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0198-25</v>
      </c>
      <c r="AE112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112" s="88" t="str">
        <f t="shared" si="32"/>
        <v>"C:\Program Files (x86)\AstroGrep\AstroGrep.exe" /spath="%USERPROFILE%\AppData\Local\Temp\OnboardLogs" /stypes="app*4005*20161025*"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198-25 --locoid 4005 --swversion DE.1.0.7.0 --startMP 204:232996 --initTime 2016-10-25T16:34:48 --startdatetime 2016-10-25T16:41:15 --delay 1 --endMP 204:136 --enddatetime 2016-10-25T17:25:44 --enforcementcount 0 &gt;&gt;C:\Users\stu\Documents\GitHub\eaglep3-reporting\EC\2016-10-25-refined-times.txt</v>
      </c>
      <c r="AI11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{"issue":{"subject":"","project_id":79,"tracker_id":40,"status_id":1,"priority_id":2,"assigned_to_id":23,"start_date":"2016-10-25","description":"","custom_fields":[{"id":1,"name":"Subdivision","value":"EC"},{"id":4,"name":"Milepost","value":"0.0136"},{"id":17,"name":"Train ID","value":"198-25"},{"id":16,"name":"Locomotive ID","value":"4005"},{"id":130,"name":"Impact","value":""},{"id":150,"name":"Time of Event (Mountain Time)","value":"17:25:44"},{"id":151,"name":"Denver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564</v>
      </c>
      <c r="B113" s="7">
        <v>4002</v>
      </c>
      <c r="C113" s="22" t="s">
        <v>99</v>
      </c>
      <c r="D113" s="22" t="s">
        <v>224</v>
      </c>
      <c r="E113" s="13">
        <v>42668.664803240739</v>
      </c>
      <c r="F113" s="13">
        <v>42668.666921296295</v>
      </c>
      <c r="G113" s="7">
        <v>1</v>
      </c>
      <c r="H113" s="13" t="s">
        <v>195</v>
      </c>
      <c r="I113" s="13">
        <v>42668.69190972222</v>
      </c>
      <c r="J113" s="7">
        <v>0</v>
      </c>
      <c r="K113" s="112" t="str">
        <f t="shared" si="19"/>
        <v>4001/4002</v>
      </c>
      <c r="L113" s="22" t="str">
        <f>VLOOKUP(A113,'Trips&amp;Operators'!$C$1:$E$10000,3,FALSE)</f>
        <v>ROMERO</v>
      </c>
      <c r="M113" s="6">
        <f t="shared" si="20"/>
        <v>2.4988425924675539E-2</v>
      </c>
      <c r="N113" s="7">
        <f t="shared" si="21"/>
        <v>35.983333331532776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14:57:19-0600',mode:absolute,to:'2016-10-25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3" s="52" t="str">
        <f t="shared" si="25"/>
        <v>N</v>
      </c>
      <c r="X113" s="171">
        <f t="shared" si="26"/>
        <v>1</v>
      </c>
      <c r="Y113" s="67">
        <f t="shared" si="27"/>
        <v>4.4699999999999997E-2</v>
      </c>
      <c r="Z113" s="67">
        <f t="shared" si="28"/>
        <v>23.329699999999999</v>
      </c>
      <c r="AA113" s="67">
        <f t="shared" si="29"/>
        <v>23.285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0199-25</v>
      </c>
      <c r="AE113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13" s="88" t="str">
        <f t="shared" si="32"/>
        <v>"C:\Program Files (x86)\AstroGrep\AstroGrep.exe" /spath="%USERPROFILE%\AppData\Local\Temp\OnboardLogs" /stypes="app*4002*20161025*" /stext=" 22:.+((SYSTEM_STATE.+slice.+state.+changed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199-25 --locoid 4002 --swversion DE.1.0.7.0 --startMP 204:447 --initTime 2016-10-25T15:57:19 --startdatetime 2016-10-25T16:00:22 --delay 1 --endMP 204:233297 --enddatetime 2016-10-25T16:36:21 --enforcementcount 0 &gt;&gt;C:\Users\stu\Documents\GitHub\eaglep3-reporting\EC\2016-10-25-refined-times.txt</v>
      </c>
      <c r="AI11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{"issue":{"subject":"","project_id":79,"tracker_id":40,"status_id":1,"priority_id":2,"assigned_to_id":23,"start_date":"2016-10-25","description":"","custom_fields":[{"id":1,"name":"Subdivision","value":"EC"},{"id":4,"name":"Milepost","value":"23.3297"},{"id":17,"name":"Train ID","value":"199-25"},{"id":16,"name":"Locomotive ID","value":"4002"},{"id":130,"name":"Impact","value":""},{"id":150,"name":"Time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444</v>
      </c>
      <c r="B114" s="7">
        <v>4001</v>
      </c>
      <c r="C114" s="22" t="s">
        <v>99</v>
      </c>
      <c r="D114" s="22" t="s">
        <v>251</v>
      </c>
      <c r="E114" s="13">
        <v>42668.697812500002</v>
      </c>
      <c r="F114" s="13">
        <v>42668.70585648148</v>
      </c>
      <c r="G114" s="7">
        <v>1</v>
      </c>
      <c r="H114" s="13" t="s">
        <v>697</v>
      </c>
      <c r="I114" s="13">
        <v>42668.732754629629</v>
      </c>
      <c r="J114" s="7">
        <v>0</v>
      </c>
      <c r="K114" s="112" t="str">
        <f t="shared" si="19"/>
        <v>4001/4002</v>
      </c>
      <c r="L114" s="22" t="str">
        <f>VLOOKUP(A114,'Trips&amp;Operators'!$C$1:$E$10000,3,FALSE)</f>
        <v>ROMERO</v>
      </c>
      <c r="M114" s="6">
        <f t="shared" si="20"/>
        <v>2.6898148149484769E-2</v>
      </c>
      <c r="N114" s="7">
        <f t="shared" si="21"/>
        <v>38.733333335258067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15:44:51-0600',mode:absolute,to:'2016-10-25 18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4" s="52" t="str">
        <f t="shared" si="25"/>
        <v>N</v>
      </c>
      <c r="X114" s="171">
        <f t="shared" si="26"/>
        <v>1</v>
      </c>
      <c r="Y114" s="67">
        <f t="shared" si="27"/>
        <v>23.297699999999999</v>
      </c>
      <c r="Z114" s="67">
        <f t="shared" si="28"/>
        <v>2.7799999999999998E-2</v>
      </c>
      <c r="AA114" s="67">
        <f t="shared" si="29"/>
        <v>23.2699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0200-25</v>
      </c>
      <c r="AE114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14" s="88" t="str">
        <f t="shared" si="32"/>
        <v>"C:\Program Files (x86)\AstroGrep\AstroGrep.exe" /spath="%USERPROFILE%\AppData\Local\Temp\OnboardLogs" /stypes="app*4001*20161025*" /stext=" 23:.+((SYSTEM_STATE.+slice.+state.+changed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200-25 --locoid 4001 --swversion DE.1.0.7.0 --startMP 204:232977 --initTime 2016-10-25T16:44:51 --startdatetime 2016-10-25T16:56:26 --delay 1 --endMP 204:278 --enddatetime 2016-10-25T17:35:10 --enforcementcount 0 &gt;&gt;C:\Users\stu\Documents\GitHub\eaglep3-reporting\EC\2016-10-25-refined-times.txt</v>
      </c>
      <c r="AI11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{"issue":{"subject":"","project_id":79,"tracker_id":40,"status_id":1,"priority_id":2,"assigned_to_id":23,"start_date":"2016-10-25","description":"","custom_fields":[{"id":1,"name":"Subdivision","value":"EC"},{"id":4,"name":"Milepost","value":"0.0278"},{"id":17,"name":"Train ID","value":"200-25"},{"id":16,"name":"Locomotive ID","value":"4001"},{"id":130,"name":"Impact","value":""},{"id":150,"name":"Time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568</v>
      </c>
      <c r="B115" s="7">
        <v>4007</v>
      </c>
      <c r="C115" s="22" t="s">
        <v>99</v>
      </c>
      <c r="D115" s="22" t="s">
        <v>225</v>
      </c>
      <c r="E115" s="13">
        <v>42668.672384259262</v>
      </c>
      <c r="F115" s="13">
        <v>42668.677534722221</v>
      </c>
      <c r="G115" s="7">
        <v>1</v>
      </c>
      <c r="H115" s="13" t="s">
        <v>698</v>
      </c>
      <c r="I115" s="13">
        <v>42668.704004629632</v>
      </c>
      <c r="J115" s="7">
        <v>0</v>
      </c>
      <c r="K115" s="112" t="str">
        <f t="shared" si="19"/>
        <v>4007/4008</v>
      </c>
      <c r="L115" s="22" t="str">
        <f>VLOOKUP(A115,'Trips&amp;Operators'!$C$1:$E$10000,3,FALSE)</f>
        <v>BARTLETT</v>
      </c>
      <c r="M115" s="6">
        <f t="shared" si="20"/>
        <v>2.6469907410501037E-2</v>
      </c>
      <c r="N115" s="7">
        <f t="shared" si="21"/>
        <v>38.116666671121493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15:08:14-0600',mode:absolute,to:'2016-10-25 17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52" t="str">
        <f t="shared" si="25"/>
        <v>N</v>
      </c>
      <c r="X115" s="171">
        <f t="shared" si="26"/>
        <v>1</v>
      </c>
      <c r="Y115" s="67">
        <f t="shared" si="27"/>
        <v>4.53E-2</v>
      </c>
      <c r="Z115" s="67">
        <f t="shared" si="28"/>
        <v>23.337399999999999</v>
      </c>
      <c r="AA115" s="67">
        <f t="shared" si="29"/>
        <v>23.292099999999998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0201-25</v>
      </c>
      <c r="AE115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115" s="88" t="str">
        <f t="shared" si="32"/>
        <v>"C:\Program Files (x86)\AstroGrep\AstroGrep.exe" /spath="%USERPROFILE%\AppData\Local\Temp\OnboardLogs" /stypes="app*4007*20161025*" /stext=" 22:.+((SYSTEM_STATE.+slice.+state.+changed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201-25 --locoid 4007 --swversion DE.1.0.7.0 --startMP 204:453 --initTime 2016-10-25T16:08:14 --startdatetime 2016-10-25T16:15:39 --delay 1 --endMP 204:233374 --enddatetime 2016-10-25T16:53:46 --enforcementcount 0 &gt;&gt;C:\Users\stu\Documents\GitHub\eaglep3-reporting\EC\2016-10-25-refined-times.txt</v>
      </c>
      <c r="AI11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{"issue":{"subject":"","project_id":79,"tracker_id":40,"status_id":1,"priority_id":2,"assigned_to_id":23,"start_date":"2016-10-25","description":"","custom_fields":[{"id":1,"name":"Subdivision","value":"EC"},{"id":4,"name":"Milepost","value":"23.3374"},{"id":17,"name":"Train ID","value":"201-25"},{"id":16,"name":"Locomotive ID","value":"4007"},{"id":130,"name":"Impact","value":""},{"id":150,"name":"Time of Event (Mountain Time)","value":"16:53:46"},{"id":151,"name":"Denver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575</v>
      </c>
      <c r="B116" s="7">
        <v>4008</v>
      </c>
      <c r="C116" s="22" t="s">
        <v>99</v>
      </c>
      <c r="D116" s="22" t="s">
        <v>699</v>
      </c>
      <c r="E116" s="13">
        <v>42668.706030092595</v>
      </c>
      <c r="F116" s="13">
        <v>42668.716319444444</v>
      </c>
      <c r="G116" s="7">
        <v>1</v>
      </c>
      <c r="H116" s="13" t="s">
        <v>218</v>
      </c>
      <c r="I116" s="13">
        <v>42668.744745370372</v>
      </c>
      <c r="J116" s="7">
        <v>0</v>
      </c>
      <c r="K116" s="112" t="str">
        <f t="shared" si="19"/>
        <v>4007/4008</v>
      </c>
      <c r="L116" s="22" t="str">
        <f>VLOOKUP(A116,'Trips&amp;Operators'!$C$1:$E$10000,3,FALSE)</f>
        <v>BARTLETT</v>
      </c>
      <c r="M116" s="6">
        <f t="shared" si="20"/>
        <v>2.842592592787696E-2</v>
      </c>
      <c r="N116" s="7">
        <f t="shared" si="21"/>
        <v>40.933333336142823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15:56:41-0600',mode:absolute,to:'2016-10-25 18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52" t="str">
        <f t="shared" si="25"/>
        <v>N</v>
      </c>
      <c r="X116" s="171">
        <f t="shared" si="26"/>
        <v>1</v>
      </c>
      <c r="Y116" s="67">
        <f t="shared" si="27"/>
        <v>23.308700000000002</v>
      </c>
      <c r="Z116" s="67">
        <f t="shared" si="28"/>
        <v>1.54E-2</v>
      </c>
      <c r="AA116" s="67">
        <f t="shared" si="29"/>
        <v>23.293300000000002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0202-25</v>
      </c>
      <c r="AE116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16" s="88" t="str">
        <f t="shared" si="32"/>
        <v>"C:\Program Files (x86)\AstroGrep\AstroGrep.exe" /spath="%USERPROFILE%\AppData\Local\Temp\OnboardLogs" /stypes="app*4008*20161025*" /stext=" 23:.+((SYSTEM_STATE.+slice.+state.+changed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202-25 --locoid 4008 --swversion DE.1.0.7.0 --startMP 204:233087 --initTime 2016-10-25T16:56:41 --startdatetime 2016-10-25T17:11:30 --delay 1 --endMP 204:154 --enddatetime 2016-10-25T17:52:26 --enforcementcount 0 &gt;&gt;C:\Users\stu\Documents\GitHub\eaglep3-reporting\EC\2016-10-25-refined-times.txt</v>
      </c>
      <c r="AI11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{"issue":{"subject":"","project_id":79,"tracker_id":40,"status_id":1,"priority_id":2,"assigned_to_id":23,"start_date":"2016-10-25","description":"","custom_fields":[{"id":1,"name":"Subdivision","value":"EC"},{"id":4,"name":"Milepost","value":"0.0154"},{"id":17,"name":"Train ID","value":"202-25"},{"id":16,"name":"Locomotive ID","value":"4008"},{"id":130,"name":"Impact","value":""},{"id":150,"name":"Time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570</v>
      </c>
      <c r="B117" s="7">
        <v>4042</v>
      </c>
      <c r="C117" s="22" t="s">
        <v>99</v>
      </c>
      <c r="D117" s="22" t="s">
        <v>225</v>
      </c>
      <c r="E117" s="13">
        <v>42668.684884259259</v>
      </c>
      <c r="F117" s="13">
        <v>42668.687708333331</v>
      </c>
      <c r="G117" s="7">
        <v>1</v>
      </c>
      <c r="H117" s="13" t="s">
        <v>301</v>
      </c>
      <c r="I117" s="13">
        <v>42668.713240740741</v>
      </c>
      <c r="J117" s="7">
        <v>0</v>
      </c>
      <c r="K117" s="112" t="str">
        <f t="shared" si="19"/>
        <v>4041/4042</v>
      </c>
      <c r="L117" s="22" t="str">
        <f>VLOOKUP(A117,'Trips&amp;Operators'!$C$1:$E$10000,3,FALSE)</f>
        <v>HOLCOMB</v>
      </c>
      <c r="M117" s="6">
        <f t="shared" si="20"/>
        <v>2.5532407409627922E-2</v>
      </c>
      <c r="N117" s="7">
        <f t="shared" si="21"/>
        <v>36.766666669864208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15:26:14-0600',mode:absolute,to:'2016-10-25 18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7" s="52" t="str">
        <f t="shared" si="25"/>
        <v>N</v>
      </c>
      <c r="X117" s="171">
        <f t="shared" si="26"/>
        <v>1</v>
      </c>
      <c r="Y117" s="67">
        <f t="shared" si="27"/>
        <v>4.53E-2</v>
      </c>
      <c r="Z117" s="67">
        <f t="shared" si="28"/>
        <v>23.332000000000001</v>
      </c>
      <c r="AA117" s="67">
        <f t="shared" si="29"/>
        <v>23.2867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0203-25</v>
      </c>
      <c r="AE117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17" s="88" t="str">
        <f t="shared" si="32"/>
        <v>"C:\Program Files (x86)\AstroGrep\AstroGrep.exe" /spath="%USERPROFILE%\AppData\Local\Temp\OnboardLogs" /stypes="app*4042*20161025*"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203-25 --locoid 4042 --swversion DE.1.0.7.0 --startMP 204:453 --initTime 2016-10-25T16:26:14 --startdatetime 2016-10-25T16:30:18 --delay 1 --endMP 204:233320 --enddatetime 2016-10-25T17:07:04 --enforcementcount 0 &gt;&gt;C:\Users\stu\Documents\GitHub\eaglep3-reporting\EC\2016-10-25-refined-times.txt</v>
      </c>
      <c r="AI11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{"issue":{"subject":"","project_id":79,"tracker_id":40,"status_id":1,"priority_id":2,"assigned_to_id":23,"start_date":"2016-10-25","description":"","custom_fields":[{"id":1,"name":"Subdivision","value":"EC"},{"id":4,"name":"Milepost","value":"23.332"},{"id":17,"name":"Train ID","value":"203-25"},{"id":16,"name":"Locomotive ID","value":"4042"},{"id":130,"name":"Impact","value":""},{"id":150,"name":"Time of Event (Mountain Time)","value":"17:07:04"},{"id":151,"name":"Denver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580</v>
      </c>
      <c r="B118" s="7">
        <v>4041</v>
      </c>
      <c r="C118" s="22" t="s">
        <v>99</v>
      </c>
      <c r="D118" s="22" t="s">
        <v>251</v>
      </c>
      <c r="E118" s="13">
        <v>42668.721342592595</v>
      </c>
      <c r="F118" s="13">
        <v>42668.7266087963</v>
      </c>
      <c r="G118" s="7">
        <v>1</v>
      </c>
      <c r="H118" s="13" t="s">
        <v>300</v>
      </c>
      <c r="I118" s="13">
        <v>42668.754675925928</v>
      </c>
      <c r="J118" s="7">
        <v>0</v>
      </c>
      <c r="K118" s="112" t="str">
        <f t="shared" si="19"/>
        <v>4041/4042</v>
      </c>
      <c r="L118" s="22" t="str">
        <f>VLOOKUP(A118,'Trips&amp;Operators'!$C$1:$E$10000,3,FALSE)</f>
        <v>HOLCOMB</v>
      </c>
      <c r="M118" s="6">
        <f t="shared" si="20"/>
        <v>2.806712962774327E-2</v>
      </c>
      <c r="N118" s="7">
        <f t="shared" si="21"/>
        <v>40.416666663950309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16:18:44-0600',mode:absolute,to:'2016-10-25 19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8" s="52" t="str">
        <f t="shared" si="25"/>
        <v>N</v>
      </c>
      <c r="X118" s="171">
        <f t="shared" si="26"/>
        <v>1</v>
      </c>
      <c r="Y118" s="67">
        <f t="shared" si="27"/>
        <v>23.297699999999999</v>
      </c>
      <c r="Z118" s="67">
        <f t="shared" si="28"/>
        <v>1.6299999999999999E-2</v>
      </c>
      <c r="AA118" s="67">
        <f t="shared" si="29"/>
        <v>23.281399999999998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0204-25</v>
      </c>
      <c r="AE118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18" s="88" t="str">
        <f t="shared" si="32"/>
        <v>"C:\Program Files (x86)\AstroGrep\AstroGrep.exe" /spath="%USERPROFILE%\AppData\Local\Temp\OnboardLogs" /stypes="app*4041*20161026*"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204-25 --locoid 4041 --swversion DE.1.0.7.0 --startMP 204:232977 --initTime 2016-10-25T17:18:44 --startdatetime 2016-10-25T17:26:19 --delay 1 --endMP 204:163 --enddatetime 2016-10-25T18:06:44 --enforcementcount 0 &gt;&gt;C:\Users\stu\Documents\GitHub\eaglep3-reporting\EC\2016-10-25-refined-times.txt</v>
      </c>
      <c r="AI11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{"issue":{"subject":"","project_id":79,"tracker_id":40,"status_id":1,"priority_id":2,"assigned_to_id":23,"start_date":"2016-10-25","description":"","custom_fields":[{"id":1,"name":"Subdivision","value":"EC"},{"id":4,"name":"Milepost","value":"0.0163"},{"id":17,"name":"Train ID","value":"204-25"},{"id":16,"name":"Locomotive ID","value":"4041"},{"id":130,"name":"Impact","value":""},{"id":150,"name":"Time of Event (Mountain Time)","value":"18:06:44"},{"id":151,"name":"Denver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574</v>
      </c>
      <c r="B119" s="7">
        <v>4027</v>
      </c>
      <c r="C119" s="22" t="s">
        <v>99</v>
      </c>
      <c r="D119" s="22" t="s">
        <v>229</v>
      </c>
      <c r="E119" s="13">
        <v>42668.697731481479</v>
      </c>
      <c r="F119" s="13">
        <v>42668.699652777781</v>
      </c>
      <c r="G119" s="7">
        <v>1</v>
      </c>
      <c r="H119" s="13" t="s">
        <v>700</v>
      </c>
      <c r="I119" s="13">
        <v>42668.725682870368</v>
      </c>
      <c r="J119" s="7">
        <v>0</v>
      </c>
      <c r="K119" s="112" t="str">
        <f t="shared" si="19"/>
        <v>4027/4028</v>
      </c>
      <c r="L119" s="22" t="str">
        <f>VLOOKUP(A119,'Trips&amp;Operators'!$C$1:$E$10000,3,FALSE)</f>
        <v>JACKSON</v>
      </c>
      <c r="M119" s="6">
        <f t="shared" si="20"/>
        <v>2.6030092587461695E-2</v>
      </c>
      <c r="N119" s="7">
        <f t="shared" si="21"/>
        <v>37.483333325944841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15:44:44-0600',mode:absolute,to:'2016-10-25 18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 t="shared" si="25"/>
        <v>N</v>
      </c>
      <c r="X119" s="171">
        <f t="shared" si="26"/>
        <v>1</v>
      </c>
      <c r="Y119" s="67">
        <f t="shared" si="27"/>
        <v>4.6600000000000003E-2</v>
      </c>
      <c r="Z119" s="67">
        <f t="shared" si="28"/>
        <v>23.327400000000001</v>
      </c>
      <c r="AA119" s="67">
        <f t="shared" si="29"/>
        <v>23.280799999999999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0205-25</v>
      </c>
      <c r="AE119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19" s="88" t="str">
        <f t="shared" si="32"/>
        <v>"C:\Program Files (x86)\AstroGrep\AstroGrep.exe" /spath="%USERPROFILE%\AppData\Local\Temp\OnboardLogs" /stypes="app*4027*20161025*"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205-25 --locoid 4027 --swversion DE.1.0.7.0 --startMP 204:466 --initTime 2016-10-25T16:44:44 --startdatetime 2016-10-25T16:47:30 --delay 1 --endMP 204:233274 --enddatetime 2016-10-25T17:24:59 --enforcementcount 0 &gt;&gt;C:\Users\stu\Documents\GitHub\eaglep3-reporting\EC\2016-10-25-refined-times.txt</v>
      </c>
      <c r="AI11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{"issue":{"subject":"","project_id":79,"tracker_id":40,"status_id":1,"priority_id":2,"assigned_to_id":23,"start_date":"2016-10-25","description":"","custom_fields":[{"id":1,"name":"Subdivision","value":"EC"},{"id":4,"name":"Milepost","value":"23.3274"},{"id":17,"name":"Train ID","value":"205-25"},{"id":16,"name":"Locomotive ID","value":"4027"},{"id":130,"name":"Impact","value":""},{"id":150,"name":"Time of Event (Mountain Time)","value":"17:24:59"},{"id":151,"name":"Denver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582</v>
      </c>
      <c r="B120" s="7">
        <v>4028</v>
      </c>
      <c r="C120" s="22" t="s">
        <v>99</v>
      </c>
      <c r="D120" s="22" t="s">
        <v>334</v>
      </c>
      <c r="E120" s="13">
        <v>42668.73101851852</v>
      </c>
      <c r="F120" s="13">
        <v>42668.737013888887</v>
      </c>
      <c r="G120" s="7">
        <v>1</v>
      </c>
      <c r="H120" s="13" t="s">
        <v>685</v>
      </c>
      <c r="I120" s="13">
        <v>42668.766863425924</v>
      </c>
      <c r="J120" s="7">
        <v>0</v>
      </c>
      <c r="K120" s="112" t="str">
        <f t="shared" si="19"/>
        <v>4027/4028</v>
      </c>
      <c r="L120" s="22" t="str">
        <f>VLOOKUP(A120,'Trips&amp;Operators'!$C$1:$E$10000,3,FALSE)</f>
        <v>JACKSON</v>
      </c>
      <c r="M120" s="6">
        <f t="shared" si="20"/>
        <v>2.9849537037080154E-2</v>
      </c>
      <c r="N120" s="7">
        <f t="shared" si="21"/>
        <v>42.983333333395422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16:32:40-0600',mode:absolute,to:'2016-10-25 19:24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 t="shared" si="25"/>
        <v>N</v>
      </c>
      <c r="X120" s="171">
        <f t="shared" si="26"/>
        <v>1</v>
      </c>
      <c r="Y120" s="67">
        <f t="shared" si="27"/>
        <v>23.299800000000001</v>
      </c>
      <c r="Z120" s="67">
        <f t="shared" si="28"/>
        <v>1.6500000000000001E-2</v>
      </c>
      <c r="AA120" s="67">
        <f t="shared" si="29"/>
        <v>23.283300000000001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0206-25</v>
      </c>
      <c r="AE120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20" s="88" t="str">
        <f t="shared" si="32"/>
        <v>"C:\Program Files (x86)\AstroGrep\AstroGrep.exe" /spath="%USERPROFILE%\AppData\Local\Temp\OnboardLogs" /stypes="app*4028*20161026*"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206-25 --locoid 4028 --swversion DE.1.0.7.0 --startMP 204:232998 --initTime 2016-10-25T17:32:40 --startdatetime 2016-10-25T17:41:18 --delay 1 --endMP 204:165 --enddatetime 2016-10-25T18:24:17 --enforcementcount 0 &gt;&gt;C:\Users\stu\Documents\GitHub\eaglep3-reporting\EC\2016-10-25-refined-times.txt</v>
      </c>
      <c r="AI12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{"issue":{"subject":"","project_id":79,"tracker_id":40,"status_id":1,"priority_id":2,"assigned_to_id":23,"start_date":"2016-10-25","description":"","custom_fields":[{"id":1,"name":"Subdivision","value":"EC"},{"id":4,"name":"Milepost","value":"0.0165"},{"id":17,"name":"Train ID","value":"206-25"},{"id":16,"name":"Locomotive ID","value":"4028"},{"id":130,"name":"Impact","value":""},{"id":150,"name":"Time of Event (Mountain Time)","value":"18:24:17"},{"id":151,"name":"Denver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566</v>
      </c>
      <c r="B121" s="7">
        <v>4031</v>
      </c>
      <c r="C121" s="22" t="s">
        <v>99</v>
      </c>
      <c r="D121" s="22" t="s">
        <v>314</v>
      </c>
      <c r="E121" s="13">
        <v>42668.707337962966</v>
      </c>
      <c r="F121" s="13">
        <v>42668.708518518521</v>
      </c>
      <c r="G121" s="7">
        <v>1</v>
      </c>
      <c r="H121" s="13" t="s">
        <v>701</v>
      </c>
      <c r="I121" s="13">
        <v>42668.733530092592</v>
      </c>
      <c r="J121" s="7">
        <v>0</v>
      </c>
      <c r="K121" s="112" t="str">
        <f t="shared" si="19"/>
        <v>4031/4032</v>
      </c>
      <c r="L121" s="22" t="str">
        <f>VLOOKUP(A121,'Trips&amp;Operators'!$C$1:$E$10000,3,FALSE)</f>
        <v>BONDS</v>
      </c>
      <c r="M121" s="6">
        <f t="shared" si="20"/>
        <v>2.5011574070958886E-2</v>
      </c>
      <c r="N121" s="7">
        <f t="shared" si="21"/>
        <v>36.016666662180796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15:58:34-0600',mode:absolute,to:'2016-10-25 18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1" s="52" t="str">
        <f t="shared" si="25"/>
        <v>N</v>
      </c>
      <c r="X121" s="171">
        <f t="shared" si="26"/>
        <v>1</v>
      </c>
      <c r="Y121" s="67">
        <f t="shared" si="27"/>
        <v>4.4200000000000003E-2</v>
      </c>
      <c r="Z121" s="67">
        <f t="shared" si="28"/>
        <v>23.331399999999999</v>
      </c>
      <c r="AA121" s="67">
        <f t="shared" si="29"/>
        <v>23.287199999999999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0207-25</v>
      </c>
      <c r="AE121" s="91" t="str">
        <f t="shared" si="31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121" s="88" t="str">
        <f t="shared" si="32"/>
        <v>"C:\Program Files (x86)\AstroGrep\AstroGrep.exe" /spath="%USERPROFILE%\AppData\Local\Temp\OnboardLogs" /stypes="app*4031*20161025*" /stext=" 23:.+((SYSTEM_STATE.+slice.+state.+changed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207-25 --locoid 4031 --swversion DE.1.0.7.0 --startMP 204:442 --initTime 2016-10-25T16:58:34 --startdatetime 2016-10-25T17:00:16 --delay 1 --endMP 204:233314 --enddatetime 2016-10-25T17:36:17 --enforcementcount 0 &gt;&gt;C:\Users\stu\Documents\GitHub\eaglep3-reporting\EC\2016-10-25-refined-times.txt</v>
      </c>
      <c r="AI12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{"issue":{"subject":"","project_id":79,"tracker_id":40,"status_id":1,"priority_id":2,"assigned_to_id":23,"start_date":"2016-10-25","description":"","custom_fields":[{"id":1,"name":"Subdivision","value":"EC"},{"id":4,"name":"Milepost","value":"23.3314"},{"id":17,"name":"Train ID","value":"207-25"},{"id":16,"name":"Locomotive ID","value":"4031"},{"id":130,"name":"Impact","value":""},{"id":150,"name":"Time of Event (Mountain Time)","value":"17:36:17"},{"id":151,"name":"Denver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585</v>
      </c>
      <c r="B122" s="7">
        <v>4032</v>
      </c>
      <c r="C122" s="22" t="s">
        <v>99</v>
      </c>
      <c r="D122" s="22" t="s">
        <v>267</v>
      </c>
      <c r="E122" s="13">
        <v>42668.73741898148</v>
      </c>
      <c r="F122" s="13">
        <v>42668.747488425928</v>
      </c>
      <c r="G122" s="7">
        <v>1</v>
      </c>
      <c r="H122" s="13" t="s">
        <v>325</v>
      </c>
      <c r="I122" s="13">
        <v>42668.776469907411</v>
      </c>
      <c r="J122" s="7">
        <v>0</v>
      </c>
      <c r="K122" s="112" t="str">
        <f t="shared" si="19"/>
        <v>4031/4032</v>
      </c>
      <c r="L122" s="22" t="str">
        <f>VLOOKUP(A122,'Trips&amp;Operators'!$C$1:$E$10000,3,FALSE)</f>
        <v>BONDS</v>
      </c>
      <c r="M122" s="6">
        <f t="shared" si="20"/>
        <v>2.8981481482333038E-2</v>
      </c>
      <c r="N122" s="7">
        <f t="shared" si="21"/>
        <v>41.733333334559575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16:41:53-0600',mode:absolute,to:'2016-10-25 19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2" s="52" t="str">
        <f t="shared" si="25"/>
        <v>N</v>
      </c>
      <c r="X122" s="171">
        <f t="shared" si="26"/>
        <v>1</v>
      </c>
      <c r="Y122" s="67">
        <f t="shared" si="27"/>
        <v>23.2986</v>
      </c>
      <c r="Z122" s="67">
        <f t="shared" si="28"/>
        <v>1.67E-2</v>
      </c>
      <c r="AA122" s="67">
        <f t="shared" si="29"/>
        <v>23.2819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0208-25</v>
      </c>
      <c r="AE122" s="91" t="str">
        <f t="shared" si="31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122" s="88" t="str">
        <f t="shared" si="32"/>
        <v>"C:\Program Files (x86)\AstroGrep\AstroGrep.exe" /spath="%USERPROFILE%\AppData\Local\Temp\OnboardLogs" /stypes="app*4032*20161026*"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208-25 --locoid 4032 --swversion DE.1.0.7.0 --startMP 204:232986 --initTime 2016-10-25T17:41:53 --startdatetime 2016-10-25T17:56:23 --delay 1 --endMP 204:167 --enddatetime 2016-10-25T18:38:07 --enforcementcount 0 &gt;&gt;C:\Users\stu\Documents\GitHub\eaglep3-reporting\EC\2016-10-25-refined-times.txt</v>
      </c>
      <c r="AI12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{"issue":{"subject":"","project_id":79,"tracker_id":40,"status_id":1,"priority_id":2,"assigned_to_id":23,"start_date":"2016-10-25","description":"","custom_fields":[{"id":1,"name":"Subdivision","value":"EC"},{"id":4,"name":"Milepost","value":"0.0167"},{"id":17,"name":"Train ID","value":"208-25"},{"id":16,"name":"Locomotive ID","value":"4032"},{"id":130,"name":"Impact","value":""},{"id":150,"name":"Time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578</v>
      </c>
      <c r="B123" s="7">
        <v>4009</v>
      </c>
      <c r="C123" s="22" t="s">
        <v>99</v>
      </c>
      <c r="D123" s="22" t="s">
        <v>657</v>
      </c>
      <c r="E123" s="13">
        <v>42668.71875</v>
      </c>
      <c r="F123" s="13">
        <v>42668.720914351848</v>
      </c>
      <c r="G123" s="7">
        <v>2</v>
      </c>
      <c r="H123" s="13" t="s">
        <v>293</v>
      </c>
      <c r="I123" s="13">
        <v>42668.746689814812</v>
      </c>
      <c r="J123" s="7">
        <v>0</v>
      </c>
      <c r="K123" s="112" t="str">
        <f t="shared" si="19"/>
        <v>4009/4010</v>
      </c>
      <c r="L123" s="22" t="str">
        <f>VLOOKUP(A123,'Trips&amp;Operators'!$C$1:$E$10000,3,FALSE)</f>
        <v>LEVERE</v>
      </c>
      <c r="M123" s="6">
        <f t="shared" si="20"/>
        <v>2.5775462963792961E-2</v>
      </c>
      <c r="N123" s="7">
        <f t="shared" si="21"/>
        <v>37.116666667861864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16:15:00-0600',mode:absolute,to:'2016-10-25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25"/>
        <v>N</v>
      </c>
      <c r="X123" s="171">
        <f t="shared" si="26"/>
        <v>1</v>
      </c>
      <c r="Y123" s="67">
        <f t="shared" si="27"/>
        <v>4.6399999999999997E-2</v>
      </c>
      <c r="Z123" s="67">
        <f t="shared" si="28"/>
        <v>23.331</v>
      </c>
      <c r="AA123" s="67">
        <f t="shared" si="29"/>
        <v>23.284600000000001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0209-25</v>
      </c>
      <c r="AE123" s="91" t="str">
        <f t="shared" si="31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23" s="88" t="str">
        <f t="shared" si="32"/>
        <v>"C:\Program Files (x86)\AstroGrep\AstroGrep.exe" /spath="%USERPROFILE%\AppData\Local\Temp\OnboardLogs" /stypes="app*4009*20161025*" /stext=" 23:.+((SYSTEM_STATE.+slice.+state.+changed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209-25 --locoid 4009 --swversion DE.1.0.7.0 --startMP 204:464 --initTime 2016-10-25T17:15:00 --startdatetime 2016-10-25T17:18:07 --delay 2 --endMP 204:233310 --enddatetime 2016-10-25T17:55:14 --enforcementcount 0 &gt;&gt;C:\Users\stu\Documents\GitHub\eaglep3-reporting\EC\2016-10-25-refined-times.txt</v>
      </c>
      <c r="AI12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{"issue":{"subject":"","project_id":79,"tracker_id":40,"status_id":1,"priority_id":2,"assigned_to_id":23,"start_date":"2016-10-25","description":"","custom_fields":[{"id":1,"name":"Subdivision","value":"EC"},{"id":4,"name":"Milepost","value":"23.331"},{"id":17,"name":"Train ID","value":"209-25"},{"id":16,"name":"Locomotive ID","value":"4009"},{"id":130,"name":"Impact","value":""},{"id":150,"name":"Time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589</v>
      </c>
      <c r="B124" s="7">
        <v>4010</v>
      </c>
      <c r="C124" s="22" t="s">
        <v>99</v>
      </c>
      <c r="D124" s="22" t="s">
        <v>323</v>
      </c>
      <c r="E124" s="13">
        <v>42668.75309027778</v>
      </c>
      <c r="F124" s="13">
        <v>42668.757928240739</v>
      </c>
      <c r="G124" s="7">
        <v>2</v>
      </c>
      <c r="H124" s="13" t="s">
        <v>220</v>
      </c>
      <c r="I124" s="13">
        <v>42668.786030092589</v>
      </c>
      <c r="J124" s="7">
        <v>0</v>
      </c>
      <c r="K124" s="112" t="str">
        <f t="shared" si="19"/>
        <v>4009/4010</v>
      </c>
      <c r="L124" s="22" t="str">
        <f>VLOOKUP(A124,'Trips&amp;Operators'!$C$1:$E$10000,3,FALSE)</f>
        <v>LEVERE</v>
      </c>
      <c r="M124" s="6">
        <f t="shared" si="20"/>
        <v>2.810185185080627E-2</v>
      </c>
      <c r="N124" s="7">
        <f t="shared" si="21"/>
        <v>40.466666665161029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17:04:27-0600',mode:absolute,to:'2016-10-25 19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25"/>
        <v>N</v>
      </c>
      <c r="X124" s="171">
        <f t="shared" si="26"/>
        <v>1</v>
      </c>
      <c r="Y124" s="67">
        <f t="shared" si="27"/>
        <v>23.2987</v>
      </c>
      <c r="Z124" s="67">
        <f t="shared" si="28"/>
        <v>1.49E-2</v>
      </c>
      <c r="AA124" s="67">
        <f t="shared" si="29"/>
        <v>23.283799999999999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0210-25</v>
      </c>
      <c r="AE124" s="91" t="str">
        <f t="shared" si="31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24" s="88" t="str">
        <f t="shared" si="32"/>
        <v>"C:\Program Files (x86)\AstroGrep\AstroGrep.exe" /spath="%USERPROFILE%\AppData\Local\Temp\OnboardLogs" /stypes="app*4010*20161026*" /stext=" 00:.+((SYSTEM_STATE.+slice.+state.+changed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210-25 --locoid 4010 --swversion DE.1.0.7.0 --startMP 204:232987 --initTime 2016-10-25T18:04:27 --startdatetime 2016-10-25T18:11:25 --delay 2 --endMP 204:149 --enddatetime 2016-10-25T18:51:53 --enforcementcount 0 &gt;&gt;C:\Users\stu\Documents\GitHub\eaglep3-reporting\EC\2016-10-25-refined-times.txt</v>
      </c>
      <c r="AI12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ID","value":"210-25"},{"id":16,"name":"Locomotive ID","value":"4010"},{"id":130,"name":"Impact","value":""},{"id":150,"name":"Time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581</v>
      </c>
      <c r="B125" s="7">
        <v>4006</v>
      </c>
      <c r="C125" s="22" t="s">
        <v>99</v>
      </c>
      <c r="D125" s="22" t="s">
        <v>702</v>
      </c>
      <c r="E125" s="13">
        <v>42668.728252314817</v>
      </c>
      <c r="F125" s="13">
        <v>42668.730127314811</v>
      </c>
      <c r="G125" s="7">
        <v>2</v>
      </c>
      <c r="H125" s="13" t="s">
        <v>183</v>
      </c>
      <c r="I125" s="13">
        <v>42668.757002314815</v>
      </c>
      <c r="J125" s="7">
        <v>0</v>
      </c>
      <c r="K125" s="112" t="str">
        <f t="shared" si="19"/>
        <v>4005/4006</v>
      </c>
      <c r="L125" s="22" t="str">
        <f>VLOOKUP(A125,'Trips&amp;Operators'!$C$1:$E$10000,3,FALSE)</f>
        <v>YOUNG</v>
      </c>
      <c r="M125" s="6">
        <f t="shared" si="20"/>
        <v>2.6875000003201421E-2</v>
      </c>
      <c r="N125" s="7">
        <f t="shared" si="21"/>
        <v>38.700000004610047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16:28:41-0600',mode:absolute,to:'2016-10-25 19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25" s="52" t="str">
        <f t="shared" si="25"/>
        <v>N</v>
      </c>
      <c r="X125" s="171">
        <f t="shared" si="26"/>
        <v>1</v>
      </c>
      <c r="Y125" s="67">
        <f t="shared" si="27"/>
        <v>4.3099999999999999E-2</v>
      </c>
      <c r="Z125" s="67">
        <f t="shared" si="28"/>
        <v>23.331199999999999</v>
      </c>
      <c r="AA125" s="67">
        <f t="shared" si="29"/>
        <v>23.2881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0211-25</v>
      </c>
      <c r="AE125" s="91" t="str">
        <f t="shared" si="31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125" s="88" t="str">
        <f t="shared" si="32"/>
        <v>"C:\Program Files (x86)\AstroGrep\AstroGrep.exe" /spath="%USERPROFILE%\AppData\Local\Temp\OnboardLogs" /stypes="app*4006*20161026*"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211-25 --locoid 4006 --swversion DE.1.0.7.0 --startMP 204:431 --initTime 2016-10-25T17:28:41 --startdatetime 2016-10-25T17:31:23 --delay 2 --endMP 204:233312 --enddatetime 2016-10-25T18:10:05 --enforcementcount 0 &gt;&gt;C:\Users\stu\Documents\GitHub\eaglep3-reporting\EC\2016-10-25-refined-times.txt</v>
      </c>
      <c r="AI12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{"issue":{"subject":"","project_id":79,"tracker_id":40,"status_id":1,"priority_id":2,"assigned_to_id":23,"start_date":"2016-10-25","description":"","custom_fields":[{"id":1,"name":"Subdivision","value":"EC"},{"id":4,"name":"Milepost","value":"23.3312"},{"id":17,"name":"Train ID","value":"211-25"},{"id":16,"name":"Locomotive ID","value":"4006"},{"id":130,"name":"Impact","value":""},{"id":150,"name":"Time of Event (Mountain Time)","value":"18:10:05"},{"id":151,"name":"Denver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592</v>
      </c>
      <c r="B126" s="7">
        <v>4005</v>
      </c>
      <c r="C126" s="22" t="s">
        <v>99</v>
      </c>
      <c r="D126" s="22" t="s">
        <v>376</v>
      </c>
      <c r="E126" s="13">
        <v>42668.762280092589</v>
      </c>
      <c r="F126" s="13">
        <v>42668.768252314818</v>
      </c>
      <c r="G126" s="7">
        <v>1</v>
      </c>
      <c r="H126" s="13" t="s">
        <v>366</v>
      </c>
      <c r="I126" s="13">
        <v>42668.797905092593</v>
      </c>
      <c r="J126" s="7">
        <v>0</v>
      </c>
      <c r="K126" s="112" t="str">
        <f t="shared" si="19"/>
        <v>4005/4006</v>
      </c>
      <c r="L126" s="22" t="str">
        <f>VLOOKUP(A126,'Trips&amp;Operators'!$C$1:$E$10000,3,FALSE)</f>
        <v>YOUNG</v>
      </c>
      <c r="M126" s="6">
        <f t="shared" si="20"/>
        <v>2.9652777775481809E-2</v>
      </c>
      <c r="N126" s="7">
        <f t="shared" si="21"/>
        <v>42.699999996693805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17:17:41-0600',mode:absolute,to:'2016-10-25 20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26" s="52" t="str">
        <f t="shared" si="25"/>
        <v>N</v>
      </c>
      <c r="X126" s="171">
        <f t="shared" si="26"/>
        <v>1</v>
      </c>
      <c r="Y126" s="67">
        <f t="shared" si="27"/>
        <v>23.297999999999998</v>
      </c>
      <c r="Z126" s="67">
        <f t="shared" si="28"/>
        <v>1.5800000000000002E-2</v>
      </c>
      <c r="AA126" s="67">
        <f t="shared" si="29"/>
        <v>23.2822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0212-25</v>
      </c>
      <c r="AE126" s="91" t="str">
        <f t="shared" si="31"/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AF126" s="88" t="str">
        <f t="shared" si="32"/>
        <v>"C:\Program Files (x86)\AstroGrep\AstroGrep.exe" /spath="%USERPROFILE%\AppData\Local\Temp\OnboardLogs" /stypes="app*4005*20161026*"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212-25 --locoid 4005 --swversion DE.1.0.7.0 --startMP 204:232980 --initTime 2016-10-25T18:17:41 --startdatetime 2016-10-25T18:26:17 --delay 1 --endMP 204:158 --enddatetime 2016-10-25T19:08:59 --enforcementcount 0 &gt;&gt;C:\Users\stu\Documents\GitHub\eaglep3-reporting\EC\2016-10-25-refined-times.txt</v>
      </c>
      <c r="AI12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{"issue":{"subject":"","project_id":79,"tracker_id":40,"status_id":1,"priority_id":2,"assigned_to_id":23,"start_date":"2016-10-25","description":"","custom_fields":[{"id":1,"name":"Subdivision","value":"EC"},{"id":4,"name":"Milepost","value":"0.0158"},{"id":17,"name":"Train ID","value":"212-25"},{"id":16,"name":"Locomotive ID","value":"4005"},{"id":130,"name":"Impact","value":""},{"id":150,"name":"Time of Event (Mountain Time)","value":"19:08:59"},{"id":151,"name":"Denver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584</v>
      </c>
      <c r="B127" s="7">
        <v>4002</v>
      </c>
      <c r="C127" s="22" t="s">
        <v>99</v>
      </c>
      <c r="D127" s="22" t="s">
        <v>703</v>
      </c>
      <c r="E127" s="13">
        <v>42668.735092592593</v>
      </c>
      <c r="F127" s="13">
        <v>42668.739895833336</v>
      </c>
      <c r="G127" s="7">
        <v>1</v>
      </c>
      <c r="H127" s="13" t="s">
        <v>704</v>
      </c>
      <c r="I127" s="13">
        <v>42668.764826388891</v>
      </c>
      <c r="J127" s="7">
        <v>0</v>
      </c>
      <c r="K127" s="112" t="str">
        <f t="shared" si="19"/>
        <v>4001/4002</v>
      </c>
      <c r="L127" s="22" t="str">
        <f>VLOOKUP(A127,'Trips&amp;Operators'!$C$1:$E$10000,3,FALSE)</f>
        <v>BERLING</v>
      </c>
      <c r="M127" s="6">
        <f t="shared" si="20"/>
        <v>2.4930555555329192E-2</v>
      </c>
      <c r="N127" s="7">
        <f t="shared" si="21"/>
        <v>35.899999999674037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16:38:32-0600',mode:absolute,to:'2016-10-25 19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7" s="52" t="str">
        <f t="shared" si="25"/>
        <v>N</v>
      </c>
      <c r="X127" s="171">
        <f t="shared" si="26"/>
        <v>1</v>
      </c>
      <c r="Y127" s="67">
        <f t="shared" si="27"/>
        <v>5.8200000000000002E-2</v>
      </c>
      <c r="Z127" s="67">
        <f t="shared" si="28"/>
        <v>23.3338</v>
      </c>
      <c r="AA127" s="67">
        <f t="shared" si="29"/>
        <v>23.275600000000001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0213-25</v>
      </c>
      <c r="AE127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27" s="88" t="str">
        <f t="shared" si="32"/>
        <v>"C:\Program Files (x86)\AstroGrep\AstroGrep.exe" /spath="%USERPROFILE%\AppData\Local\Temp\OnboardLogs" /stypes="app*4002*20161026*"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213-25 --locoid 4002 --swversion DE.1.0.7.0 --startMP 204:582 --initTime 2016-10-25T17:38:32 --startdatetime 2016-10-25T17:45:27 --delay 1 --endMP 204:233338 --enddatetime 2016-10-25T18:21:21 --enforcementcount 0 &gt;&gt;C:\Users\stu\Documents\GitHub\eaglep3-reporting\EC\2016-10-25-refined-times.txt</v>
      </c>
      <c r="AI12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{"issue":{"subject":"","project_id":79,"tracker_id":40,"status_id":1,"priority_id":2,"assigned_to_id":23,"start_date":"2016-10-25","description":"","custom_fields":[{"id":1,"name":"Subdivision","value":"EC"},{"id":4,"name":"Milepost","value":"23.3338"},{"id":17,"name":"Train ID","value":"213-25"},{"id":16,"name":"Locomotive ID","value":"4002"},{"id":130,"name":"Impact","value":""},{"id":150,"name":"Time of Event (Mountain Time)","value":"18:21:21"},{"id":151,"name":"Denver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594</v>
      </c>
      <c r="B128" s="7">
        <v>4001</v>
      </c>
      <c r="C128" s="22" t="s">
        <v>99</v>
      </c>
      <c r="D128" s="22" t="s">
        <v>334</v>
      </c>
      <c r="E128" s="13">
        <v>42668.771898148145</v>
      </c>
      <c r="F128" s="13">
        <v>42668.77888888889</v>
      </c>
      <c r="G128" s="7">
        <v>1</v>
      </c>
      <c r="H128" s="13" t="s">
        <v>228</v>
      </c>
      <c r="I128" s="13">
        <v>42668.806585648148</v>
      </c>
      <c r="J128" s="7">
        <v>0</v>
      </c>
      <c r="K128" s="112" t="str">
        <f t="shared" si="19"/>
        <v>4001/4002</v>
      </c>
      <c r="L128" s="22" t="str">
        <f>VLOOKUP(A128,'Trips&amp;Operators'!$C$1:$E$10000,3,FALSE)</f>
        <v>BERLING</v>
      </c>
      <c r="M128" s="6">
        <f t="shared" si="20"/>
        <v>2.7696759258105885E-2</v>
      </c>
      <c r="N128" s="7">
        <f t="shared" si="21"/>
        <v>39.883333331672475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17:31:32-0600',mode:absolute,to:'2016-10-25 20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8" s="52" t="str">
        <f t="shared" si="25"/>
        <v>N</v>
      </c>
      <c r="X128" s="171">
        <f t="shared" si="26"/>
        <v>1</v>
      </c>
      <c r="Y128" s="67">
        <f t="shared" si="27"/>
        <v>23.299800000000001</v>
      </c>
      <c r="Z128" s="67">
        <f t="shared" si="28"/>
        <v>1.34E-2</v>
      </c>
      <c r="AA128" s="67">
        <f t="shared" si="29"/>
        <v>23.2864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0214-25</v>
      </c>
      <c r="AE128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28" s="88" t="str">
        <f t="shared" si="32"/>
        <v>"C:\Program Files (x86)\AstroGrep\AstroGrep.exe" /spath="%USERPROFILE%\AppData\Local\Temp\OnboardLogs" /stypes="app*4001*20161026*"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214-25 --locoid 4001 --swversion DE.1.0.7.0 --startMP 204:232998 --initTime 2016-10-25T18:31:32 --startdatetime 2016-10-25T18:41:36 --delay 1 --endMP 204:134 --enddatetime 2016-10-25T19:21:29 --enforcementcount 0 &gt;&gt;C:\Users\stu\Documents\GitHub\eaglep3-reporting\EC\2016-10-25-refined-times.txt</v>
      </c>
      <c r="AI12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{"issue":{"subject":"","project_id":79,"tracker_id":40,"status_id":1,"priority_id":2,"assigned_to_id":23,"start_date":"2016-10-25","description":"","custom_fields":[{"id":1,"name":"Subdivision","value":"EC"},{"id":4,"name":"Milepost","value":"0.0134"},{"id":17,"name":"Train ID","value":"214-25"},{"id":16,"name":"Locomotive ID","value":"4001"},{"id":130,"name":"Impact","value":""},{"id":150,"name":"Time of Event (Mountain Time)","value":"19:21:29"},{"id":151,"name":"Denver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587</v>
      </c>
      <c r="B129" s="7">
        <v>4007</v>
      </c>
      <c r="C129" s="22" t="s">
        <v>99</v>
      </c>
      <c r="D129" s="22" t="s">
        <v>705</v>
      </c>
      <c r="E129" s="13">
        <v>42668.747499999998</v>
      </c>
      <c r="F129" s="13">
        <v>42668.750277777777</v>
      </c>
      <c r="G129" s="7">
        <v>2</v>
      </c>
      <c r="H129" s="13" t="s">
        <v>232</v>
      </c>
      <c r="I129" s="13">
        <v>42668.774456018517</v>
      </c>
      <c r="J129" s="7">
        <v>0</v>
      </c>
      <c r="K129" s="112" t="str">
        <f t="shared" si="19"/>
        <v>4007/4008</v>
      </c>
      <c r="L129" s="22" t="str">
        <f>VLOOKUP(A129,'Trips&amp;Operators'!$C$1:$E$10000,3,FALSE)</f>
        <v>ROMERO</v>
      </c>
      <c r="M129" s="6">
        <f t="shared" si="20"/>
        <v>2.417824073927477E-2</v>
      </c>
      <c r="N129" s="7">
        <f t="shared" si="21"/>
        <v>34.816666664555669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16:56:24-0600',mode:absolute,to:'2016-10-25 19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9" s="52" t="str">
        <f t="shared" si="25"/>
        <v>N</v>
      </c>
      <c r="X129" s="171">
        <f t="shared" si="26"/>
        <v>1</v>
      </c>
      <c r="Y129" s="67">
        <f t="shared" si="27"/>
        <v>4.8599999999999997E-2</v>
      </c>
      <c r="Z129" s="67">
        <f t="shared" si="28"/>
        <v>23.329899999999999</v>
      </c>
      <c r="AA129" s="67">
        <f t="shared" si="29"/>
        <v>23.281299999999998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0215-25</v>
      </c>
      <c r="AE129" s="91" t="str">
        <f t="shared" si="31"/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AF129" s="88" t="str">
        <f t="shared" si="32"/>
        <v>"C:\Program Files (x86)\AstroGrep\AstroGrep.exe" /spath="%USERPROFILE%\AppData\Local\Temp\OnboardLogs" /stypes="app*4007*20161026*" /stext=" 00:.+((SYSTEM_STATE.+slice.+state.+changed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215-25 --locoid 4007 --swversion DE.1.0.7.0 --startMP 204:486 --initTime 2016-10-25T17:56:24 --startdatetime 2016-10-25T18:00:24 --delay 2 --endMP 204:233299 --enddatetime 2016-10-25T18:35:13 --enforcementcount 0 &gt;&gt;C:\Users\stu\Documents\GitHub\eaglep3-reporting\EC\2016-10-25-refined-times.txt</v>
      </c>
      <c r="AI12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{"issue":{"subject":"","project_id":79,"tracker_id":40,"status_id":1,"priority_id":2,"assigned_to_id":23,"start_date":"2016-10-25","description":"","custom_fields":[{"id":1,"name":"Subdivision","value":"EC"},{"id":4,"name":"Milepost","value":"23.3299"},{"id":17,"name":"Train ID","value":"215-25"},{"id":16,"name":"Locomotive ID","value":"4007"},{"id":130,"name":"Impact","value":""},{"id":150,"name":"Time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598</v>
      </c>
      <c r="B130" s="7">
        <v>4008</v>
      </c>
      <c r="C130" s="22" t="s">
        <v>99</v>
      </c>
      <c r="D130" s="22" t="s">
        <v>310</v>
      </c>
      <c r="E130" s="13">
        <v>42668.785868055558</v>
      </c>
      <c r="F130" s="13">
        <v>42668.789097222223</v>
      </c>
      <c r="G130" s="7">
        <v>2</v>
      </c>
      <c r="H130" s="13" t="s">
        <v>220</v>
      </c>
      <c r="I130" s="13">
        <v>42668.815787037034</v>
      </c>
      <c r="J130" s="7">
        <v>0</v>
      </c>
      <c r="K130" s="112" t="str">
        <f t="shared" si="19"/>
        <v>4007/4008</v>
      </c>
      <c r="L130" s="22" t="str">
        <f>VLOOKUP(A130,'Trips&amp;Operators'!$C$1:$E$10000,3,FALSE)</f>
        <v>ROMERO</v>
      </c>
      <c r="M130" s="6">
        <f t="shared" si="20"/>
        <v>2.6689814811106771E-2</v>
      </c>
      <c r="N130" s="7">
        <f t="shared" si="21"/>
        <v>38.433333327993751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17:51:39-0600',mode:absolute,to:'2016-10-25 20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0" s="52" t="str">
        <f t="shared" si="25"/>
        <v>N</v>
      </c>
      <c r="X130" s="171">
        <f t="shared" si="26"/>
        <v>1</v>
      </c>
      <c r="Y130" s="67">
        <f t="shared" si="27"/>
        <v>23.2971</v>
      </c>
      <c r="Z130" s="67">
        <f t="shared" si="28"/>
        <v>1.49E-2</v>
      </c>
      <c r="AA130" s="67">
        <f t="shared" si="29"/>
        <v>23.2822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0216-25</v>
      </c>
      <c r="AE130" s="91" t="str">
        <f t="shared" si="31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130" s="88" t="str">
        <f t="shared" si="32"/>
        <v>"C:\Program Files (x86)\AstroGrep\AstroGrep.exe" /spath="%USERPROFILE%\AppData\Local\Temp\OnboardLogs" /stypes="app*4008*20161026*"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216-25 --locoid 4008 --swversion DE.1.0.7.0 --startMP 204:232971 --initTime 2016-10-25T18:51:39 --startdatetime 2016-10-25T18:56:18 --delay 2 --endMP 204:149 --enddatetime 2016-10-25T19:34:44 --enforcementcount 0 &gt;&gt;C:\Users\stu\Documents\GitHub\eaglep3-reporting\EC\2016-10-25-refined-times.txt</v>
      </c>
      <c r="AI13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ID","value":"216-25"},{"id":16,"name":"Locomotive ID","value":"4008"},{"id":130,"name":"Impact","value":""},{"id":150,"name":"Time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591</v>
      </c>
      <c r="B131" s="7">
        <v>4042</v>
      </c>
      <c r="C131" s="22" t="s">
        <v>99</v>
      </c>
      <c r="D131" s="22" t="s">
        <v>316</v>
      </c>
      <c r="E131" s="13">
        <v>42668.7577662037</v>
      </c>
      <c r="F131" s="13">
        <v>42668.760601851849</v>
      </c>
      <c r="G131" s="7">
        <v>1</v>
      </c>
      <c r="H131" s="13" t="s">
        <v>294</v>
      </c>
      <c r="I131" s="13">
        <v>42668.785057870373</v>
      </c>
      <c r="J131" s="7">
        <v>0</v>
      </c>
      <c r="K131" s="112" t="str">
        <f t="shared" si="19"/>
        <v>4041/4042</v>
      </c>
      <c r="L131" s="22" t="str">
        <f>VLOOKUP(A131,'Trips&amp;Operators'!$C$1:$E$10000,3,FALSE)</f>
        <v>YANAI</v>
      </c>
      <c r="M131" s="6">
        <f t="shared" si="20"/>
        <v>2.4456018523778766E-2</v>
      </c>
      <c r="N131" s="7">
        <f t="shared" si="21"/>
        <v>35.216666674241424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17:11:11-0600',mode:absolute,to:'2016-10-25 19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1" s="52" t="str">
        <f t="shared" si="25"/>
        <v>N</v>
      </c>
      <c r="X131" s="171">
        <f t="shared" si="26"/>
        <v>1</v>
      </c>
      <c r="Y131" s="67">
        <f t="shared" si="27"/>
        <v>4.7800000000000002E-2</v>
      </c>
      <c r="Z131" s="67">
        <f t="shared" si="28"/>
        <v>23.330200000000001</v>
      </c>
      <c r="AA131" s="67">
        <f t="shared" si="29"/>
        <v>23.282400000000003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0217-25</v>
      </c>
      <c r="AE131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31" s="88" t="str">
        <f t="shared" si="32"/>
        <v>"C:\Program Files (x86)\AstroGrep\AstroGrep.exe" /spath="%USERPROFILE%\AppData\Local\Temp\OnboardLogs" /stypes="app*4042*20161026*" /stext=" 00:.+((SYSTEM_STATE.+slice.+state.+changed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217-25 --locoid 4042 --swversion DE.1.0.7.0 --startMP 204:478 --initTime 2016-10-25T18:11:11 --startdatetime 2016-10-25T18:15:16 --delay 1 --endMP 204:233302 --enddatetime 2016-10-25T18:50:29 --enforcementcount 0 &gt;&gt;C:\Users\stu\Documents\GitHub\eaglep3-reporting\EC\2016-10-25-refined-times.txt</v>
      </c>
      <c r="AI13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{"issue":{"subject":"","project_id":79,"tracker_id":40,"status_id":1,"priority_id":2,"assigned_to_id":23,"start_date":"2016-10-25","description":"","custom_fields":[{"id":1,"name":"Subdivision","value":"EC"},{"id":4,"name":"Milepost","value":"23.3302"},{"id":17,"name":"Train ID","value":"217-25"},{"id":16,"name":"Locomotive ID","value":"4042"},{"id":130,"name":"Impact","value":""},{"id":150,"name":"Time of Event (Mountain Time)","value":"18:50:29"},{"id":151,"name":"Denver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446</v>
      </c>
      <c r="B132" s="7">
        <v>4041</v>
      </c>
      <c r="C132" s="22" t="s">
        <v>99</v>
      </c>
      <c r="D132" s="22" t="s">
        <v>252</v>
      </c>
      <c r="E132" s="13">
        <v>42668.795960648145</v>
      </c>
      <c r="F132" s="13">
        <v>42668.799490740741</v>
      </c>
      <c r="G132" s="7">
        <v>1</v>
      </c>
      <c r="H132" s="13" t="s">
        <v>696</v>
      </c>
      <c r="I132" s="13">
        <v>42668.827256944445</v>
      </c>
      <c r="J132" s="7">
        <v>0</v>
      </c>
      <c r="K132" s="112" t="str">
        <f t="shared" si="19"/>
        <v>4041/4042</v>
      </c>
      <c r="L132" s="22" t="str">
        <f>VLOOKUP(A132,'Trips&amp;Operators'!$C$1:$E$10000,3,FALSE)</f>
        <v>YANAI</v>
      </c>
      <c r="M132" s="6">
        <f t="shared" si="20"/>
        <v>2.7766203704231884E-2</v>
      </c>
      <c r="N132" s="7">
        <f t="shared" si="21"/>
        <v>39.983333334093913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18:06:11-0600',mode:absolute,to:'2016-10-25 20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2" s="52" t="str">
        <f t="shared" si="25"/>
        <v>N</v>
      </c>
      <c r="X132" s="171">
        <f t="shared" si="26"/>
        <v>1</v>
      </c>
      <c r="Y132" s="67">
        <f t="shared" si="27"/>
        <v>23.299399999999999</v>
      </c>
      <c r="Z132" s="67">
        <f t="shared" si="28"/>
        <v>1.3599999999999999E-2</v>
      </c>
      <c r="AA132" s="67">
        <f t="shared" si="29"/>
        <v>23.285799999999998</v>
      </c>
      <c r="AB132" s="64" t="str">
        <f>VLOOKUP(A132,Enforcements!$C$7:$K$21,8,0)</f>
        <v>Signal based authority (5)</v>
      </c>
      <c r="AC132" s="60" t="str">
        <f>VLOOKUP(A132,Enforcements!$C$7:$E$21,3,0)</f>
        <v>SIGNAL</v>
      </c>
      <c r="AD132" s="61" t="str">
        <f t="shared" si="30"/>
        <v>0218-25</v>
      </c>
      <c r="AE132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32" s="88" t="str">
        <f t="shared" si="32"/>
        <v>"C:\Program Files (x86)\AstroGrep\AstroGrep.exe" /spath="%USERPROFILE%\AppData\Local\Temp\OnboardLogs" /stypes="app*4041*20161026*" /stext=" 01:.+((SYSTEM_STATE.+slice.+state.+changed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218-25 --locoid 4041 --swversion DE.1.0.7.0 --startMP 204:232994 --initTime 2016-10-25T19:06:11 --startdatetime 2016-10-25T19:11:16 --delay 1 --endMP 204:136 --enddatetime 2016-10-25T19:51:15 --enforcementcount 0 &gt;&gt;C:\Users\stu\Documents\GitHub\eaglep3-reporting\EC\2016-10-25-refined-times.txt</v>
      </c>
      <c r="AI132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{"issue":{"subject":"","project_id":79,"tracker_id":40,"status_id":1,"priority_id":2,"assigned_to_id":23,"start_date":"2016-10-25","description":"","custom_fields":[{"id":1,"name":"Subdivision","value":"EC"},{"id":4,"name":"Milepost","value":"0.0136"},{"id":17,"name":"Train ID","value":"218-25"},{"id":16,"name":"Locomotive ID","value":"4041"},{"id":130,"name":"Impact","value":""},{"id":150,"name":"Time of Event (Mountain Time)","value":"19:51:15"},{"id":151,"name":"Denver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593</v>
      </c>
      <c r="B133" s="7">
        <v>4027</v>
      </c>
      <c r="C133" s="22" t="s">
        <v>99</v>
      </c>
      <c r="D133" s="22" t="s">
        <v>299</v>
      </c>
      <c r="E133" s="13">
        <v>42668.768912037034</v>
      </c>
      <c r="F133" s="13">
        <v>42668.77107638889</v>
      </c>
      <c r="G133" s="7">
        <v>1</v>
      </c>
      <c r="H133" s="13" t="s">
        <v>373</v>
      </c>
      <c r="I133" s="13">
        <v>42668.797083333331</v>
      </c>
      <c r="J133" s="7">
        <v>0</v>
      </c>
      <c r="K133" s="112" t="str">
        <f t="shared" si="19"/>
        <v>4027/4028</v>
      </c>
      <c r="L133" s="22" t="str">
        <f>VLOOKUP(A133,'Trips&amp;Operators'!$C$1:$E$10000,3,FALSE)</f>
        <v>DELGADO</v>
      </c>
      <c r="M133" s="6">
        <f t="shared" si="20"/>
        <v>2.6006944441178348E-2</v>
      </c>
      <c r="N133" s="7">
        <f t="shared" si="21"/>
        <v>37.449999995296821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17:27:14-0600',mode:absolute,to:'2016-10-25 20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3" s="52" t="str">
        <f t="shared" si="25"/>
        <v>N</v>
      </c>
      <c r="X133" s="171">
        <f t="shared" si="26"/>
        <v>1</v>
      </c>
      <c r="Y133" s="67">
        <f t="shared" si="27"/>
        <v>4.6699999999999998E-2</v>
      </c>
      <c r="Z133" s="67">
        <f t="shared" si="28"/>
        <v>23.331099999999999</v>
      </c>
      <c r="AA133" s="67">
        <f t="shared" si="29"/>
        <v>23.284399999999998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0219-25</v>
      </c>
      <c r="AE133" s="91" t="str">
        <f t="shared" si="31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33" s="88" t="str">
        <f t="shared" si="32"/>
        <v>"C:\Program Files (x86)\AstroGrep\AstroGrep.exe" /spath="%USERPROFILE%\AppData\Local\Temp\OnboardLogs" /stypes="app*4027*20161026*"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219-25 --locoid 4027 --swversion DE.1.0.7.0 --startMP 204:467 --initTime 2016-10-25T18:27:14 --startdatetime 2016-10-25T18:30:21 --delay 1 --endMP 204:233311 --enddatetime 2016-10-25T19:07:48 --enforcementcount 0 &gt;&gt;C:\Users\stu\Documents\GitHub\eaglep3-reporting\EC\2016-10-25-refined-times.txt</v>
      </c>
      <c r="AI133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{"issue":{"subject":"","project_id":79,"tracker_id":40,"status_id":1,"priority_id":2,"assigned_to_id":23,"start_date":"2016-10-25","description":"","custom_fields":[{"id":1,"name":"Subdivision","value":"EC"},{"id":4,"name":"Milepost","value":"23.3311"},{"id":17,"name":"Train ID","value":"219-25"},{"id":16,"name":"Locomotive ID","value":"4027"},{"id":130,"name":"Impact","value":""},{"id":150,"name":"Time of Event (Mountain Time)","value":"19:07:48"},{"id":151,"name":"Denver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603</v>
      </c>
      <c r="B134" s="7">
        <v>4028</v>
      </c>
      <c r="C134" s="22" t="s">
        <v>99</v>
      </c>
      <c r="D134" s="22" t="s">
        <v>287</v>
      </c>
      <c r="E134" s="13">
        <v>42668.805011574077</v>
      </c>
      <c r="F134" s="13">
        <v>42668.810069444444</v>
      </c>
      <c r="G134" s="7">
        <v>1</v>
      </c>
      <c r="H134" s="13" t="s">
        <v>219</v>
      </c>
      <c r="I134" s="13">
        <v>42668.838217592594</v>
      </c>
      <c r="J134" s="7">
        <v>0</v>
      </c>
      <c r="K134" s="112" t="str">
        <f t="shared" si="19"/>
        <v>4027/4028</v>
      </c>
      <c r="L134" s="22" t="str">
        <f>VLOOKUP(A134,'Trips&amp;Operators'!$C$1:$E$10000,3,FALSE)</f>
        <v>DELGADO</v>
      </c>
      <c r="M134" s="6">
        <f t="shared" si="20"/>
        <v>2.8148148150648922E-2</v>
      </c>
      <c r="N134" s="7">
        <f t="shared" si="21"/>
        <v>40.533333336934447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18:19:13-0600',mode:absolute,to:'2016-10-25 21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4" s="52" t="str">
        <f t="shared" si="25"/>
        <v>N</v>
      </c>
      <c r="X134" s="171">
        <f t="shared" si="26"/>
        <v>1</v>
      </c>
      <c r="Y134" s="67">
        <f t="shared" si="27"/>
        <v>23.298400000000001</v>
      </c>
      <c r="Z134" s="67">
        <f t="shared" si="28"/>
        <v>1.4500000000000001E-2</v>
      </c>
      <c r="AA134" s="67">
        <f t="shared" si="29"/>
        <v>23.283899999999999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0220-25</v>
      </c>
      <c r="AE134" s="91" t="str">
        <f t="shared" si="31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34" s="88" t="str">
        <f t="shared" si="32"/>
        <v>"C:\Program Files (x86)\AstroGrep\AstroGrep.exe" /spath="%USERPROFILE%\AppData\Local\Temp\OnboardLogs" /stypes="app*4028*20161026*"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220-25 --locoid 4028 --swversion DE.1.0.7.0 --startMP 204:232984 --initTime 2016-10-25T19:19:13 --startdatetime 2016-10-25T19:26:30 --delay 1 --endMP 204:145 --enddatetime 2016-10-25T20:07:02 --enforcementcount 0 &gt;&gt;C:\Users\stu\Documents\GitHub\eaglep3-reporting\EC\2016-10-25-refined-times.txt</v>
      </c>
      <c r="AI134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{"issue":{"subject":"","project_id":79,"tracker_id":40,"status_id":1,"priority_id":2,"assigned_to_id":23,"start_date":"2016-10-25","description":"","custom_fields":[{"id":1,"name":"Subdivision","value":"EC"},{"id":4,"name":"Milepost","value":"0.0145"},{"id":17,"name":"Train ID","value":"220-25"},{"id":16,"name":"Locomotive ID","value":"4028"},{"id":130,"name":"Impact","value":""},{"id":150,"name":"Time of Event (Mountain Time)","value":"20:07:02"},{"id":151,"name":"Denver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599</v>
      </c>
      <c r="B135" s="7">
        <v>4009</v>
      </c>
      <c r="C135" s="22" t="s">
        <v>99</v>
      </c>
      <c r="D135" s="22" t="s">
        <v>236</v>
      </c>
      <c r="E135" s="13">
        <v>42668.788831018515</v>
      </c>
      <c r="F135" s="13">
        <v>42668.792245370372</v>
      </c>
      <c r="G135" s="7">
        <v>1</v>
      </c>
      <c r="H135" s="13" t="s">
        <v>230</v>
      </c>
      <c r="I135" s="13">
        <v>42668.81858796296</v>
      </c>
      <c r="J135" s="7">
        <v>0</v>
      </c>
      <c r="K135" s="112" t="str">
        <f t="shared" si="19"/>
        <v>4009/4010</v>
      </c>
      <c r="L135" s="22" t="str">
        <f>VLOOKUP(A135,'Trips&amp;Operators'!$C$1:$E$10000,3,FALSE)</f>
        <v>LEVERE</v>
      </c>
      <c r="M135" s="6">
        <f t="shared" si="20"/>
        <v>2.6342592587752733E-2</v>
      </c>
      <c r="N135" s="7">
        <f t="shared" si="21"/>
        <v>37.933333326363936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17:55:55-0600',mode:absolute,to:'2016-10-25 20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25"/>
        <v>N</v>
      </c>
      <c r="X135" s="171">
        <f t="shared" si="26"/>
        <v>1</v>
      </c>
      <c r="Y135" s="67">
        <f t="shared" si="27"/>
        <v>4.5100000000000001E-2</v>
      </c>
      <c r="Z135" s="67">
        <f t="shared" si="28"/>
        <v>23.329499999999999</v>
      </c>
      <c r="AA135" s="67">
        <f t="shared" si="29"/>
        <v>23.284399999999998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0221-25</v>
      </c>
      <c r="AE135" s="91" t="str">
        <f t="shared" si="31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35" s="88" t="str">
        <f t="shared" si="32"/>
        <v>"C:\Program Files (x86)\AstroGrep\AstroGrep.exe" /spath="%USERPROFILE%\AppData\Local\Temp\OnboardLogs" /stypes="app*4009*20161026*" /stext=" 01:.+((SYSTEM_STATE.+slice.+state.+changed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221-25 --locoid 4009 --swversion DE.1.0.7.0 --startMP 204:451 --initTime 2016-10-25T18:55:55 --startdatetime 2016-10-25T19:00:50 --delay 1 --endMP 204:233295 --enddatetime 2016-10-25T19:38:46 --enforcementcount 0 &gt;&gt;C:\Users\stu\Documents\GitHub\eaglep3-reporting\EC\2016-10-25-refined-times.txt</v>
      </c>
      <c r="AI135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{"issue":{"subject":"","project_id":79,"tracker_id":40,"status_id":1,"priority_id":2,"assigned_to_id":23,"start_date":"2016-10-25","description":"","custom_fields":[{"id":1,"name":"Subdivision","value":"EC"},{"id":4,"name":"Milepost","value":"23.3295"},{"id":17,"name":"Train ID","value":"221-25"},{"id":16,"name":"Locomotive ID","value":"4009"},{"id":130,"name":"Impact","value":""},{"id":150,"name":"Time of Event (Mountain Time)","value":"19:38:46"},{"id":151,"name":"Denver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607</v>
      </c>
      <c r="B136" s="7">
        <v>4010</v>
      </c>
      <c r="C136" s="22" t="s">
        <v>99</v>
      </c>
      <c r="D136" s="22" t="s">
        <v>694</v>
      </c>
      <c r="E136" s="13">
        <v>42668.825659722221</v>
      </c>
      <c r="F136" s="13">
        <v>42668.830995370372</v>
      </c>
      <c r="G136" s="7">
        <v>1</v>
      </c>
      <c r="H136" s="13" t="s">
        <v>220</v>
      </c>
      <c r="I136" s="13">
        <v>42668.858483796299</v>
      </c>
      <c r="J136" s="7">
        <v>0</v>
      </c>
      <c r="K136" s="112" t="str">
        <f t="shared" si="19"/>
        <v>4009/4010</v>
      </c>
      <c r="L136" s="22" t="str">
        <f>VLOOKUP(A136,'Trips&amp;Operators'!$C$1:$E$10000,3,FALSE)</f>
        <v>LEVERE</v>
      </c>
      <c r="M136" s="6">
        <f t="shared" si="20"/>
        <v>2.7488425927003846E-2</v>
      </c>
      <c r="N136" s="7">
        <f t="shared" si="21"/>
        <v>39.583333334885538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18:48:57-0600',mode:absolute,to:'2016-10-25 21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25"/>
        <v>N</v>
      </c>
      <c r="X136" s="171">
        <f t="shared" si="26"/>
        <v>1</v>
      </c>
      <c r="Y136" s="67">
        <f t="shared" si="27"/>
        <v>23.297599999999999</v>
      </c>
      <c r="Z136" s="67">
        <f t="shared" si="28"/>
        <v>1.49E-2</v>
      </c>
      <c r="AA136" s="67">
        <f t="shared" si="29"/>
        <v>23.282699999999998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0222-25</v>
      </c>
      <c r="AE136" s="91" t="str">
        <f t="shared" si="31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36" s="88" t="str">
        <f t="shared" si="32"/>
        <v>"C:\Program Files (x86)\AstroGrep\AstroGrep.exe" /spath="%USERPROFILE%\AppData\Local\Temp\OnboardLogs" /stypes="app*4010*20161026*" /stext=" 02:.+((SYSTEM_STATE.+slice.+state.+changed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222-25 --locoid 4010 --swversion DE.1.0.7.0 --startMP 204:232976 --initTime 2016-10-25T19:48:57 --startdatetime 2016-10-25T19:56:38 --delay 1 --endMP 204:149 --enddatetime 2016-10-25T20:36:13 --enforcementcount 0 &gt;&gt;C:\Users\stu\Documents\GitHub\eaglep3-reporting\EC\2016-10-25-refined-times.txt</v>
      </c>
      <c r="AI136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{"issue":{"subject":"","project_id":79,"tracker_id":40,"status_id":1,"priority_id":2,"assigned_to_id":23,"start_date":"2016-10-25","description":"","custom_fields":[{"id":1,"name":"Subdivision","value":"EC"},{"id":4,"name":"Milepost","value":"0.0149"},{"id":17,"name":"Train ID","value":"222-25"},{"id":16,"name":"Locomotive ID","value":"4010"},{"id":130,"name":"Impact","value":""},{"id":150,"name":"Time of Event (Mountain Time)","value":"20:36:13"},{"id":151,"name":"Denver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604</v>
      </c>
      <c r="B137" s="7">
        <v>4002</v>
      </c>
      <c r="C137" s="22" t="s">
        <v>99</v>
      </c>
      <c r="D137" s="22" t="s">
        <v>706</v>
      </c>
      <c r="E137" s="13">
        <v>42668.808518518519</v>
      </c>
      <c r="F137" s="13">
        <v>42668.812731481485</v>
      </c>
      <c r="G137" s="7">
        <v>1</v>
      </c>
      <c r="H137" s="13" t="s">
        <v>655</v>
      </c>
      <c r="I137" s="13">
        <v>42668.837708333333</v>
      </c>
      <c r="J137" s="7">
        <v>0</v>
      </c>
      <c r="K137" s="112" t="str">
        <f t="shared" si="19"/>
        <v>4001/4002</v>
      </c>
      <c r="L137" s="22" t="str">
        <f>VLOOKUP(A137,'Trips&amp;Operators'!$C$1:$E$10000,3,FALSE)</f>
        <v>BERLING</v>
      </c>
      <c r="M137" s="6">
        <f t="shared" si="20"/>
        <v>2.4976851847895887E-2</v>
      </c>
      <c r="N137" s="7">
        <f t="shared" si="21"/>
        <v>35.966666660970077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18:24:16-0600',mode:absolute,to:'2016-10-25 21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7" s="52" t="str">
        <f t="shared" si="25"/>
        <v>N</v>
      </c>
      <c r="X137" s="171">
        <f t="shared" si="26"/>
        <v>1</v>
      </c>
      <c r="Y137" s="67">
        <f t="shared" si="27"/>
        <v>4.3299999999999998E-2</v>
      </c>
      <c r="Z137" s="67">
        <f t="shared" si="28"/>
        <v>23.3308</v>
      </c>
      <c r="AA137" s="67">
        <f t="shared" si="29"/>
        <v>23.287500000000001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0223-25</v>
      </c>
      <c r="AE137" s="91" t="str">
        <f t="shared" si="31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37" s="88" t="str">
        <f t="shared" si="32"/>
        <v>"C:\Program Files (x86)\AstroGrep\AstroGrep.exe" /spath="%USERPROFILE%\AppData\Local\Temp\OnboardLogs" /stypes="app*4002*20161026*"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223-25 --locoid 4002 --swversion DE.1.0.7.0 --startMP 204:433 --initTime 2016-10-25T19:24:16 --startdatetime 2016-10-25T19:30:20 --delay 1 --endMP 204:233308 --enddatetime 2016-10-25T20:06:18 --enforcementcount 0 &gt;&gt;C:\Users\stu\Documents\GitHub\eaglep3-reporting\EC\2016-10-25-refined-times.txt</v>
      </c>
      <c r="AI137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{"issue":{"subject":"","project_id":79,"tracker_id":40,"status_id":1,"priority_id":2,"assigned_to_id":23,"start_date":"2016-10-25","description":"","custom_fields":[{"id":1,"name":"Subdivision","value":"EC"},{"id":4,"name":"Milepost","value":"23.3308"},{"id":17,"name":"Train ID","value":"223-25"},{"id":16,"name":"Locomotive ID","value":"4002"},{"id":130,"name":"Impact","value":""},{"id":150,"name":"Time of Event (Mountain Time)","value":"20:06:18"},{"id":151,"name":"Denver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610</v>
      </c>
      <c r="B138" s="7">
        <v>4001</v>
      </c>
      <c r="C138" s="22" t="s">
        <v>99</v>
      </c>
      <c r="D138" s="22" t="s">
        <v>370</v>
      </c>
      <c r="E138" s="13">
        <v>42668.843715277777</v>
      </c>
      <c r="F138" s="13">
        <v>42668.851655092592</v>
      </c>
      <c r="G138" s="7">
        <v>1</v>
      </c>
      <c r="H138" s="13" t="s">
        <v>228</v>
      </c>
      <c r="I138" s="13">
        <v>42668.878113425926</v>
      </c>
      <c r="J138" s="7">
        <v>0</v>
      </c>
      <c r="K138" s="112" t="str">
        <f t="shared" si="19"/>
        <v>4001/4002</v>
      </c>
      <c r="L138" s="22" t="str">
        <f>VLOOKUP(A138,'Trips&amp;Operators'!$C$1:$E$10000,3,FALSE)</f>
        <v>BERLING</v>
      </c>
      <c r="M138" s="6">
        <f t="shared" si="20"/>
        <v>2.6458333333721384E-2</v>
      </c>
      <c r="N138" s="7">
        <f t="shared" si="21"/>
        <v>38.100000000558794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19:14:57-0600',mode:absolute,to:'2016-10-25 22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8" s="52" t="str">
        <f t="shared" si="25"/>
        <v>N</v>
      </c>
      <c r="X138" s="171">
        <f t="shared" si="26"/>
        <v>1</v>
      </c>
      <c r="Y138" s="67">
        <f t="shared" si="27"/>
        <v>23.3017</v>
      </c>
      <c r="Z138" s="67">
        <f t="shared" si="28"/>
        <v>1.34E-2</v>
      </c>
      <c r="AA138" s="67">
        <f t="shared" si="29"/>
        <v>23.2883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0224-25</v>
      </c>
      <c r="AE138" s="91" t="str">
        <f t="shared" si="31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38" s="88" t="str">
        <f t="shared" si="32"/>
        <v>"C:\Program Files (x86)\AstroGrep\AstroGrep.exe" /spath="%USERPROFILE%\AppData\Local\Temp\OnboardLogs" /stypes="app*4001*20161026*"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224-25 --locoid 4001 --swversion DE.1.0.7.0 --startMP 204:233017 --initTime 2016-10-25T20:14:57 --startdatetime 2016-10-25T20:26:23 --delay 1 --endMP 204:134 --enddatetime 2016-10-25T21:04:29 --enforcementcount 0 &gt;&gt;C:\Users\stu\Documents\GitHub\eaglep3-reporting\EC\2016-10-25-refined-times.txt</v>
      </c>
      <c r="AI138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{"issue":{"subject":"","project_id":79,"tracker_id":40,"status_id":1,"priority_id":2,"assigned_to_id":23,"start_date":"2016-10-25","description":"","custom_fields":[{"id":1,"name":"Subdivision","value":"EC"},{"id":4,"name":"Milepost","value":"0.0134"},{"id":17,"name":"Train ID","value":"224-25"},{"id":16,"name":"Locomotive ID","value":"4001"},{"id":130,"name":"Impact","value":""},{"id":150,"name":"Time of Event (Mountain Time)","value":"21:04:29"},{"id":151,"name":"Denver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608</v>
      </c>
      <c r="B139" s="7">
        <v>4042</v>
      </c>
      <c r="C139" s="22" t="s">
        <v>99</v>
      </c>
      <c r="D139" s="22" t="s">
        <v>322</v>
      </c>
      <c r="E139" s="13">
        <v>42668.829791666663</v>
      </c>
      <c r="F139" s="13">
        <v>42668.833483796298</v>
      </c>
      <c r="G139" s="7">
        <v>1</v>
      </c>
      <c r="H139" s="13" t="s">
        <v>226</v>
      </c>
      <c r="I139" s="13">
        <v>42668.857870370368</v>
      </c>
      <c r="J139" s="7">
        <v>0</v>
      </c>
      <c r="K139" s="112" t="str">
        <f t="shared" si="19"/>
        <v>4041/4042</v>
      </c>
      <c r="L139" s="22" t="str">
        <f>VLOOKUP(A139,'Trips&amp;Operators'!$C$1:$E$10000,3,FALSE)</f>
        <v>YANAI</v>
      </c>
      <c r="M139" s="6">
        <f t="shared" si="20"/>
        <v>2.438657407037681E-2</v>
      </c>
      <c r="N139" s="7">
        <f t="shared" si="21"/>
        <v>35.116666661342606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18:54:54-0600',mode:absolute,to:'2016-10-25 21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9" s="52" t="str">
        <f t="shared" si="25"/>
        <v>N</v>
      </c>
      <c r="X139" s="171">
        <f t="shared" si="26"/>
        <v>1</v>
      </c>
      <c r="Y139" s="67">
        <f t="shared" si="27"/>
        <v>4.5699999999999998E-2</v>
      </c>
      <c r="Z139" s="67">
        <f t="shared" si="28"/>
        <v>23.33</v>
      </c>
      <c r="AA139" s="67">
        <f t="shared" si="29"/>
        <v>23.284299999999998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0225-25</v>
      </c>
      <c r="AE139" s="91" t="str">
        <f t="shared" si="31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39" s="88" t="str">
        <f t="shared" si="32"/>
        <v>"C:\Program Files (x86)\AstroGrep\AstroGrep.exe" /spath="%USERPROFILE%\AppData\Local\Temp\OnboardLogs" /stypes="app*4042*20161026*" /stext=" 02:.+((SYSTEM_STATE.+slice.+state.+changed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225-25 --locoid 4042 --swversion DE.1.0.7.0 --startMP 204:457 --initTime 2016-10-25T19:54:54 --startdatetime 2016-10-25T20:00:13 --delay 1 --endMP 204:233300 --enddatetime 2016-10-25T20:35:20 --enforcementcount 0 &gt;&gt;C:\Users\stu\Documents\GitHub\eaglep3-reporting\EC\2016-10-25-refined-times.txt</v>
      </c>
      <c r="AI139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{"issue":{"subject":"","project_id":79,"tracker_id":40,"status_id":1,"priority_id":2,"assigned_to_id":23,"start_date":"2016-10-25","description":"","custom_fields":[{"id":1,"name":"Subdivision","value":"EC"},{"id":4,"name":"Milepost","value":"23.33"},{"id":17,"name":"Train ID","value":"225-25"},{"id":16,"name":"Locomotive ID","value":"4042"},{"id":130,"name":"Impact","value":""},{"id":150,"name":"Time of Event (Mountain Time)","value":"20:35:20"},{"id":151,"name":"Denver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613</v>
      </c>
      <c r="B140" s="7">
        <v>4041</v>
      </c>
      <c r="C140" s="22" t="s">
        <v>99</v>
      </c>
      <c r="D140" s="22" t="s">
        <v>291</v>
      </c>
      <c r="E140" s="13">
        <v>42668.868726851855</v>
      </c>
      <c r="F140" s="13">
        <v>42668.872407407405</v>
      </c>
      <c r="G140" s="7">
        <v>1</v>
      </c>
      <c r="H140" s="13" t="s">
        <v>257</v>
      </c>
      <c r="I140" s="13">
        <v>42668.898310185185</v>
      </c>
      <c r="J140" s="7">
        <v>0</v>
      </c>
      <c r="K140" s="112" t="str">
        <f t="shared" si="19"/>
        <v>4041/4042</v>
      </c>
      <c r="L140" s="22" t="str">
        <f>VLOOKUP(A140,'Trips&amp;Operators'!$C$1:$E$10000,3,FALSE)</f>
        <v>YANAI</v>
      </c>
      <c r="M140" s="6">
        <f t="shared" si="20"/>
        <v>2.5902777779265307E-2</v>
      </c>
      <c r="N140" s="7">
        <f t="shared" si="21"/>
        <v>37.300000002142042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https://search-rtdc-monitor-bjffxe2xuh6vdkpspy63sjmuny.us-east-1.es.amazonaws.com/_plugin/kibana/#/discover/Steve-Slow-Train-Analysis-(2080s-and-2083s)?_g=(refreshInterval:(display:Off,section:0,value:0),time:(from:'2016-10-25 19:50:58-0600',mode:absolute,to:'2016-10-25 22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0" s="52" t="str">
        <f t="shared" si="25"/>
        <v>N</v>
      </c>
      <c r="X140" s="171">
        <f t="shared" si="26"/>
        <v>1</v>
      </c>
      <c r="Y140" s="67">
        <f t="shared" si="27"/>
        <v>23.2989</v>
      </c>
      <c r="Z140" s="67">
        <f t="shared" si="28"/>
        <v>1.5599999999999999E-2</v>
      </c>
      <c r="AA140" s="67">
        <f t="shared" si="29"/>
        <v>23.283300000000001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0"/>
        <v>0226-25</v>
      </c>
      <c r="AE140" s="91" t="str">
        <f t="shared" si="31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40" s="88" t="str">
        <f t="shared" si="32"/>
        <v>"C:\Program Files (x86)\AstroGrep\AstroGrep.exe" /spath="%USERPROFILE%\AppData\Local\Temp\OnboardLogs" /stypes="app*4041*20161026*" /stext=" 03:.+((SYSTEM_STATE.+slice.+state.+changed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226-25 --locoid 4041 --swversion DE.1.0.7.0 --startMP 204:232989 --initTime 2016-10-25T20:50:58 --startdatetime 2016-10-25T20:56:16 --delay 1 --endMP 204:156 --enddatetime 2016-10-25T21:33:34 --enforcementcount 0 &gt;&gt;C:\Users\stu\Documents\GitHub\eaglep3-reporting\EC\2016-10-25-refined-times.txt</v>
      </c>
      <c r="AI140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{"issue":{"subject":"","project_id":79,"tracker_id":40,"status_id":1,"priority_id":2,"assigned_to_id":23,"start_date":"2016-10-25","description":"","custom_fields":[{"id":1,"name":"Subdivision","value":"EC"},{"id":4,"name":"Milepost","value":"0.0156"},{"id":17,"name":"Train ID","value":"226-25"},{"id":16,"name":"Locomotive ID","value":"4041"},{"id":130,"name":"Impact","value":""},{"id":150,"name":"Time of Event (Mountain Time)","value":"21:33:34"},{"id":151,"name":"Denver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611</v>
      </c>
      <c r="B141" s="7">
        <v>4027</v>
      </c>
      <c r="C141" s="22" t="s">
        <v>99</v>
      </c>
      <c r="D141" s="22" t="s">
        <v>322</v>
      </c>
      <c r="E141" s="13">
        <v>42668.848564814813</v>
      </c>
      <c r="F141" s="13">
        <v>42668.854363425926</v>
      </c>
      <c r="G141" s="7">
        <v>1</v>
      </c>
      <c r="H141" s="13" t="s">
        <v>668</v>
      </c>
      <c r="I141" s="13">
        <v>42668.880069444444</v>
      </c>
      <c r="J141" s="7">
        <v>0</v>
      </c>
      <c r="K141" s="112" t="str">
        <f t="shared" ref="K141:K202" si="36">IF(ISEVEN(B141),(B141-1)&amp;"/"&amp;B141,B141&amp;"/"&amp;(B141+1))</f>
        <v>4027/4028</v>
      </c>
      <c r="L141" s="22" t="str">
        <f>VLOOKUP(A141,'Trips&amp;Operators'!$C$1:$E$10000,3,FALSE)</f>
        <v>DELGADO</v>
      </c>
      <c r="M141" s="6">
        <f t="shared" ref="M141:M202" si="37">I141-F141</f>
        <v>2.5706018517666962E-2</v>
      </c>
      <c r="N141" s="7">
        <f t="shared" ref="N141:P202" si="38">24*60*SUM($M141:$M141)</f>
        <v>37.016666665440425</v>
      </c>
      <c r="O141" s="7"/>
      <c r="P141" s="7"/>
      <c r="Q141" s="23"/>
      <c r="R141" s="23"/>
      <c r="S141" s="35">
        <f t="shared" ref="S141:S202" si="39">SUM(U141:U141)/IF(AG141="EC",12,1)</f>
        <v>1</v>
      </c>
      <c r="T141" s="50" t="str">
        <f t="shared" ref="T141:T202" si="40">IF(ISEVEN(LEFT(AD141,4)),"Southbound","NorthBound")</f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2" si="4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https://search-rtdc-monitor-bjffxe2xuh6vdkpspy63sjmuny.us-east-1.es.amazonaws.com/_plugin/kibana/#/discover/Steve-Slow-Train-Analysis-(2080s-and-2083s)?_g=(refreshInterval:(display:Off,section:0,value:0),time:(from:'2016-10-25 19:21:56-0600',mode:absolute,to:'2016-10-25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1" s="52" t="str">
        <f t="shared" ref="W141:W202" si="42">IF(AA141&lt;IF(AG141="EC",23,5.65),"Y","N")</f>
        <v>N</v>
      </c>
      <c r="X141" s="171">
        <f t="shared" ref="X141:X202" si="43">VALUE(LEFT(AD141,4))-VALUE(LEFT(AD140,4))</f>
        <v>1</v>
      </c>
      <c r="Y141" s="67">
        <f t="shared" ref="Y141:Y202" si="44">RIGHT(D141,LEN(D141)-4)/10000</f>
        <v>4.5699999999999998E-2</v>
      </c>
      <c r="Z141" s="67">
        <f t="shared" ref="Z141:Z202" si="45">RIGHT(H141,LEN(H141)-4)/10000</f>
        <v>23.332899999999999</v>
      </c>
      <c r="AA141" s="67">
        <f t="shared" ref="AA141:AA202" si="46">ABS(Z141-Y141)</f>
        <v>23.287199999999999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2" si="47">IF(LEN(A141)=6,"0"&amp;A141,A141)</f>
        <v>0227-25</v>
      </c>
      <c r="AE141" s="91" t="str">
        <f t="shared" ref="AE141:AE202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41" s="88" t="str">
        <f t="shared" ref="AF141:AF202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/stypes="app*4027*20161026*" /stext=" 03:.+((SYSTEM_STATE.+slice.+state.+changed )|(ment ac)|(system.+state.+changed )|(\[timeout)|(PRM\|1\|D)|(kpr)|(kdp)|(\|lc)|(penalty))" /e /r /s</v>
      </c>
      <c r="AG141" s="1" t="str">
        <f t="shared" ref="AG141:AG202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227-25 --locoid 4027 --swversion DE.1.0.7.0 --startMP 204:457 --initTime 2016-10-25T20:21:56 --startdatetime 2016-10-25T20:30:17 --delay 1 --endMP 204:233329 --enddatetime 2016-10-25T21:07:18 --enforcementcount 0 &gt;&gt;C:\Users\stu\Documents\GitHub\eaglep3-reporting\EC\2016-10-25-refined-times.txt</v>
      </c>
      <c r="AI141" s="122" t="str">
        <f t="shared" si="35"/>
        <v>echo {"issue":{"subject":"","project_id":79,"tracker_id":40,"status_id":1,"priority_id":2,"assigned_to_id":23,"start_date":"2016-10-25","description":"","custom_fields":[{"id":1,"name":"Subdivision","value":"EC"},{"id":4,"name":"Milepost","value":"23.3329"},{"id":17,"name":"Train ID","value":"227-25"},{"id":16,"name":"Locomotive ID","value":"4027"},{"id":130,"name":"Impact","value":""},{"id":150,"name":"Time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616</v>
      </c>
      <c r="B142" s="7">
        <v>4028</v>
      </c>
      <c r="C142" s="22" t="s">
        <v>99</v>
      </c>
      <c r="D142" s="22" t="s">
        <v>672</v>
      </c>
      <c r="E142" s="13">
        <v>42668.888611111113</v>
      </c>
      <c r="F142" s="13">
        <v>42668.893657407411</v>
      </c>
      <c r="G142" s="7">
        <v>1</v>
      </c>
      <c r="H142" s="13" t="s">
        <v>707</v>
      </c>
      <c r="I142" s="13">
        <v>42668.920555555553</v>
      </c>
      <c r="J142" s="7">
        <v>0</v>
      </c>
      <c r="K142" s="112" t="str">
        <f t="shared" si="36"/>
        <v>4027/4028</v>
      </c>
      <c r="L142" s="22" t="str">
        <f>VLOOKUP(A142,'Trips&amp;Operators'!$C$1:$E$10000,3,FALSE)</f>
        <v>DELGADO</v>
      </c>
      <c r="M142" s="6">
        <f t="shared" si="37"/>
        <v>2.6898148142208811E-2</v>
      </c>
      <c r="N142" s="7">
        <f t="shared" si="38"/>
        <v>38.733333324780688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20:19:36-0600',mode:absolute,to:'2016-10-25 23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2" s="52" t="str">
        <f t="shared" si="42"/>
        <v>N</v>
      </c>
      <c r="X142" s="171">
        <f t="shared" si="43"/>
        <v>1</v>
      </c>
      <c r="Y142" s="67">
        <f t="shared" si="44"/>
        <v>23.3004</v>
      </c>
      <c r="Z142" s="67">
        <f t="shared" si="45"/>
        <v>1.32E-2</v>
      </c>
      <c r="AA142" s="67">
        <f t="shared" si="46"/>
        <v>23.287199999999999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0228-25</v>
      </c>
      <c r="AE142" s="91" t="str">
        <f t="shared" si="48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42" s="88" t="str">
        <f t="shared" si="49"/>
        <v>"C:\Program Files (x86)\AstroGrep\AstroGrep.exe" /spath="%USERPROFILE%\AppData\Local\Temp\OnboardLogs" /stypes="app*4028*20161026*" /stext=" 04:.+((SYSTEM_STATE.+slice.+state.+changed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ref="AH142:AH203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228-25 --locoid 4028 --swversion DE.1.0.7.0 --startMP 204:233004 --initTime 2016-10-25T21:19:36 --startdatetime 2016-10-25T21:26:52 --delay 1 --endMP 204:132 --enddatetime 2016-10-25T22:05:36 --enforcementcount 0 &gt;&gt;C:\Users\stu\Documents\GitHub\eaglep3-reporting\EC\2016-10-25-refined-times.txt</v>
      </c>
      <c r="AI142" s="122" t="str">
        <f t="shared" ref="AI142:AI203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{"issue":{"subject":"","project_id":79,"tracker_id":40,"status_id":1,"priority_id":2,"assigned_to_id":23,"start_date":"2016-10-25","description":"","custom_fields":[{"id":1,"name":"Subdivision","value":"EC"},{"id":4,"name":"Milepost","value":"0.0132"},{"id":17,"name":"Train ID","value":"228-25"},{"id":16,"name":"Locomotive ID","value":"4028"},{"id":130,"name":"Impact","value":""},{"id":150,"name":"Time of Event (Mountain Time)","value":"22:05:36"},{"id":151,"name":"Denver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614</v>
      </c>
      <c r="B143" s="7">
        <v>4009</v>
      </c>
      <c r="C143" s="22" t="s">
        <v>99</v>
      </c>
      <c r="D143" s="22" t="s">
        <v>266</v>
      </c>
      <c r="E143" s="13">
        <v>42668.871423611112</v>
      </c>
      <c r="F143" s="13">
        <v>42668.875613425924</v>
      </c>
      <c r="G143" s="7">
        <v>1</v>
      </c>
      <c r="H143" s="13" t="s">
        <v>195</v>
      </c>
      <c r="I143" s="13">
        <v>42668.901006944441</v>
      </c>
      <c r="J143" s="7">
        <v>0</v>
      </c>
      <c r="K143" s="112" t="str">
        <f t="shared" si="36"/>
        <v>4009/4010</v>
      </c>
      <c r="L143" s="22" t="str">
        <f>VLOOKUP(A143,'Trips&amp;Operators'!$C$1:$E$10000,3,FALSE)</f>
        <v>LEVERE</v>
      </c>
      <c r="M143" s="6">
        <f t="shared" si="37"/>
        <v>2.5393518517375924E-2</v>
      </c>
      <c r="N143" s="7">
        <f t="shared" si="38"/>
        <v>36.56666666502133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19:54:51-0600',mode:absolute,to:'2016-10-25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42"/>
        <v>N</v>
      </c>
      <c r="X143" s="171">
        <f t="shared" si="43"/>
        <v>1</v>
      </c>
      <c r="Y143" s="67">
        <f t="shared" si="44"/>
        <v>4.4900000000000002E-2</v>
      </c>
      <c r="Z143" s="67">
        <f t="shared" si="45"/>
        <v>23.329699999999999</v>
      </c>
      <c r="AA143" s="67">
        <f t="shared" si="46"/>
        <v>23.284800000000001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7"/>
        <v>0229-25</v>
      </c>
      <c r="AE143" s="91" t="str">
        <f t="shared" si="48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43" s="88" t="str">
        <f t="shared" si="49"/>
        <v>"C:\Program Files (x86)\AstroGrep\AstroGrep.exe" /spath="%USERPROFILE%\AppData\Local\Temp\OnboardLogs" /stypes="app*4009*20161026*" /stext=" 03:.+((SYSTEM_STATE.+slice.+state.+changed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229-25 --locoid 4009 --swversion DE.1.0.7.0 --startMP 204:449 --initTime 2016-10-25T20:54:51 --startdatetime 2016-10-25T21:00:53 --delay 1 --endMP 204:233297 --enddatetime 2016-10-25T21:37:27 --enforcementcount 0 &gt;&gt;C:\Users\stu\Documents\GitHub\eaglep3-reporting\EC\2016-10-25-refined-times.txt</v>
      </c>
      <c r="AI143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{"issue":{"subject":"","project_id":79,"tracker_id":40,"status_id":1,"priority_id":2,"assigned_to_id":23,"start_date":"2016-10-25","description":"","custom_fields":[{"id":1,"name":"Subdivision","value":"EC"},{"id":4,"name":"Milepost","value":"23.3297"},{"id":17,"name":"Train ID","value":"229-25"},{"id":16,"name":"Locomotive ID","value":"4009"},{"id":130,"name":"Impact","value":""},{"id":150,"name":"Time of Event (Mountain Time)","value":"21:37:27"},{"id":151,"name":"Denver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620</v>
      </c>
      <c r="B144" s="7">
        <v>4010</v>
      </c>
      <c r="C144" s="22" t="s">
        <v>99</v>
      </c>
      <c r="D144" s="22" t="s">
        <v>671</v>
      </c>
      <c r="E144" s="13">
        <v>42668.906770833331</v>
      </c>
      <c r="F144" s="13">
        <v>42668.914212962962</v>
      </c>
      <c r="G144" s="7">
        <v>1</v>
      </c>
      <c r="H144" s="13" t="s">
        <v>233</v>
      </c>
      <c r="I144" s="13">
        <v>42668.941608796296</v>
      </c>
      <c r="J144" s="7">
        <v>0</v>
      </c>
      <c r="K144" s="112" t="str">
        <f t="shared" si="36"/>
        <v>4009/4010</v>
      </c>
      <c r="L144" s="22" t="str">
        <f>VLOOKUP(A144,'Trips&amp;Operators'!$C$1:$E$10000,3,FALSE)</f>
        <v>LEVERE</v>
      </c>
      <c r="M144" s="6">
        <f t="shared" si="37"/>
        <v>2.7395833334594499E-2</v>
      </c>
      <c r="N144" s="7">
        <f t="shared" si="38"/>
        <v>39.450000001816079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20:45:45-0600',mode:absolute,to:'2016-10-25 23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42"/>
        <v>N</v>
      </c>
      <c r="X144" s="171">
        <f t="shared" si="43"/>
        <v>1</v>
      </c>
      <c r="Y144" s="67">
        <f t="shared" si="44"/>
        <v>23.298100000000002</v>
      </c>
      <c r="Z144" s="67">
        <f t="shared" si="45"/>
        <v>1.6E-2</v>
      </c>
      <c r="AA144" s="67">
        <f t="shared" si="46"/>
        <v>23.282100000000003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0230-25</v>
      </c>
      <c r="AE144" s="91" t="str">
        <f t="shared" si="48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44" s="88" t="str">
        <f t="shared" si="49"/>
        <v>"C:\Program Files (x86)\AstroGrep\AstroGrep.exe" /spath="%USERPROFILE%\AppData\Local\Temp\OnboardLogs" /stypes="app*4010*20161026*" /stext=" 04:.+((SYSTEM_STATE.+slice.+state.+changed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230-25 --locoid 4010 --swversion DE.1.0.7.0 --startMP 204:232981 --initTime 2016-10-25T21:45:45 --startdatetime 2016-10-25T21:56:28 --delay 1 --endMP 204:160 --enddatetime 2016-10-25T22:35:55 --enforcementcount 0 &gt;&gt;C:\Users\stu\Documents\GitHub\eaglep3-reporting\EC\2016-10-25-refined-times.txt</v>
      </c>
      <c r="AI144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{"issue":{"subject":"","project_id":79,"tracker_id":40,"status_id":1,"priority_id":2,"assigned_to_id":23,"start_date":"2016-10-25","description":"","custom_fields":[{"id":1,"name":"Subdivision","value":"EC"},{"id":4,"name":"Milepost","value":"0.016"},{"id":17,"name":"Train ID","value":"230-25"},{"id":16,"name":"Locomotive ID","value":"4010"},{"id":130,"name":"Impact","value":""},{"id":150,"name":"Time of Event (Mountain Time)","value":"22:35:55"},{"id":151,"name":"Denver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617</v>
      </c>
      <c r="B145" s="7">
        <v>4002</v>
      </c>
      <c r="C145" s="22" t="s">
        <v>99</v>
      </c>
      <c r="D145" s="22" t="s">
        <v>708</v>
      </c>
      <c r="E145" s="13">
        <v>42668.891157407408</v>
      </c>
      <c r="F145" s="13">
        <v>42668.896053240744</v>
      </c>
      <c r="G145" s="7">
        <v>1</v>
      </c>
      <c r="H145" s="13" t="s">
        <v>363</v>
      </c>
      <c r="I145" s="13">
        <v>42668.921122685184</v>
      </c>
      <c r="J145" s="7">
        <v>0</v>
      </c>
      <c r="K145" s="112" t="str">
        <f t="shared" si="36"/>
        <v>4001/4002</v>
      </c>
      <c r="L145" s="22" t="str">
        <f>VLOOKUP(A145,'Trips&amp;Operators'!$C$1:$E$10000,3,FALSE)</f>
        <v>BERLING</v>
      </c>
      <c r="M145" s="6">
        <f t="shared" si="37"/>
        <v>2.5069444440305233E-2</v>
      </c>
      <c r="N145" s="7">
        <f t="shared" si="38"/>
        <v>36.099999994039536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20:23:16-0600',mode:absolute,to:'2016-10-25 23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 t="shared" si="42"/>
        <v>N</v>
      </c>
      <c r="X145" s="171">
        <f t="shared" si="43"/>
        <v>1</v>
      </c>
      <c r="Y145" s="67">
        <f t="shared" si="44"/>
        <v>4.3999999999999997E-2</v>
      </c>
      <c r="Z145" s="67">
        <f t="shared" si="45"/>
        <v>23.331900000000001</v>
      </c>
      <c r="AA145" s="67">
        <f t="shared" si="46"/>
        <v>23.2879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0231-25</v>
      </c>
      <c r="AE145" s="91" t="str">
        <f t="shared" si="48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45" s="88" t="str">
        <f t="shared" si="49"/>
        <v>"C:\Program Files (x86)\AstroGrep\AstroGrep.exe" /spath="%USERPROFILE%\AppData\Local\Temp\OnboardLogs" /stypes="app*4002*20161026*" /stext=" 04:.+((SYSTEM_STATE.+slice.+state.+changed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231-25 --locoid 4002 --swversion DE.1.0.7.0 --startMP 204:440 --initTime 2016-10-25T21:23:16 --startdatetime 2016-10-25T21:30:19 --delay 1 --endMP 204:233319 --enddatetime 2016-10-25T22:06:25 --enforcementcount 0 &gt;&gt;C:\Users\stu\Documents\GitHub\eaglep3-reporting\EC\2016-10-25-refined-times.txt</v>
      </c>
      <c r="AI145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{"issue":{"subject":"","project_id":79,"tracker_id":40,"status_id":1,"priority_id":2,"assigned_to_id":23,"start_date":"2016-10-25","description":"","custom_fields":[{"id":1,"name":"Subdivision","value":"EC"},{"id":4,"name":"Milepost","value":"23.3319"},{"id":17,"name":"Train ID","value":"231-25"},{"id":16,"name":"Locomotive ID","value":"4002"},{"id":130,"name":"Impact","value":""},{"id":150,"name":"Time of Event (Mountain Time)","value":"22:06:25"},{"id":151,"name":"Denver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623</v>
      </c>
      <c r="B146" s="7">
        <v>4001</v>
      </c>
      <c r="C146" s="22" t="s">
        <v>99</v>
      </c>
      <c r="D146" s="22" t="s">
        <v>672</v>
      </c>
      <c r="E146" s="13">
        <v>42668.928726851853</v>
      </c>
      <c r="F146" s="13">
        <v>42668.935034722221</v>
      </c>
      <c r="G146" s="7">
        <v>1</v>
      </c>
      <c r="H146" s="13" t="s">
        <v>228</v>
      </c>
      <c r="I146" s="13">
        <v>42668.962002314816</v>
      </c>
      <c r="J146" s="7">
        <v>0</v>
      </c>
      <c r="K146" s="112" t="str">
        <f t="shared" si="36"/>
        <v>4001/4002</v>
      </c>
      <c r="L146" s="22" t="str">
        <f>VLOOKUP(A146,'Trips&amp;Operators'!$C$1:$E$10000,3,FALSE)</f>
        <v>BERLING</v>
      </c>
      <c r="M146" s="6">
        <f t="shared" si="37"/>
        <v>2.6967592595610768E-2</v>
      </c>
      <c r="N146" s="7">
        <f t="shared" si="38"/>
        <v>38.833333337679505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21:17:22-0600',mode:absolute,to:'2016-10-26 00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52" t="str">
        <f t="shared" si="42"/>
        <v>N</v>
      </c>
      <c r="X146" s="171">
        <f t="shared" si="43"/>
        <v>1</v>
      </c>
      <c r="Y146" s="67">
        <f t="shared" si="44"/>
        <v>23.3004</v>
      </c>
      <c r="Z146" s="67">
        <f t="shared" si="45"/>
        <v>1.34E-2</v>
      </c>
      <c r="AA146" s="67">
        <f t="shared" si="46"/>
        <v>23.286999999999999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0232-25</v>
      </c>
      <c r="AE146" s="91" t="str">
        <f t="shared" si="48"/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AF146" s="88" t="str">
        <f t="shared" si="49"/>
        <v>"C:\Program Files (x86)\AstroGrep\AstroGrep.exe" /spath="%USERPROFILE%\AppData\Local\Temp\OnboardLogs" /stypes="app*4001*20161026*" /stext=" 05:.+((SYSTEM_STATE.+slice.+state.+changed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232-25 --locoid 4001 --swversion DE.1.0.7.0 --startMP 204:233004 --initTime 2016-10-25T22:17:22 --startdatetime 2016-10-25T22:26:27 --delay 1 --endMP 204:134 --enddatetime 2016-10-25T23:05:17 --enforcementcount 0 &gt;&gt;C:\Users\stu\Documents\GitHub\eaglep3-reporting\EC\2016-10-25-refined-times.txt</v>
      </c>
      <c r="AI146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{"issue":{"subject":"","project_id":79,"tracker_id":40,"status_id":1,"priority_id":2,"assigned_to_id":23,"start_date":"2016-10-25","description":"","custom_fields":[{"id":1,"name":"Subdivision","value":"EC"},{"id":4,"name":"Milepost","value":"0.0134"},{"id":17,"name":"Train ID","value":"232-25"},{"id":16,"name":"Locomotive ID","value":"4001"},{"id":130,"name":"Impact","value":""},{"id":150,"name":"Time of Event (Mountain Time)","value":"23:05:17"},{"id":151,"name":"Denver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618</v>
      </c>
      <c r="B147" s="7">
        <v>4042</v>
      </c>
      <c r="C147" s="22" t="s">
        <v>99</v>
      </c>
      <c r="D147" s="22" t="s">
        <v>316</v>
      </c>
      <c r="E147" s="13">
        <v>42668.900497685187</v>
      </c>
      <c r="F147" s="13">
        <v>42668.916875000003</v>
      </c>
      <c r="G147" s="7">
        <v>2</v>
      </c>
      <c r="H147" s="13" t="s">
        <v>315</v>
      </c>
      <c r="I147" s="13">
        <v>42668.941030092596</v>
      </c>
      <c r="J147" s="7">
        <v>0</v>
      </c>
      <c r="K147" s="112" t="str">
        <f t="shared" si="36"/>
        <v>4041/4042</v>
      </c>
      <c r="L147" s="22" t="str">
        <f>VLOOKUP(A147,'Trips&amp;Operators'!$C$1:$E$10000,3,FALSE)</f>
        <v>YANAI</v>
      </c>
      <c r="M147" s="6">
        <f t="shared" si="37"/>
        <v>2.4155092592991423E-2</v>
      </c>
      <c r="N147" s="7">
        <f t="shared" si="38"/>
        <v>34.783333333907649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20:36:43-0600',mode:absolute,to:'2016-10-25 23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7" s="52" t="str">
        <f t="shared" si="42"/>
        <v>N</v>
      </c>
      <c r="X147" s="171">
        <f t="shared" si="43"/>
        <v>1</v>
      </c>
      <c r="Y147" s="67">
        <f t="shared" si="44"/>
        <v>4.7800000000000002E-2</v>
      </c>
      <c r="Z147" s="67">
        <f t="shared" si="45"/>
        <v>23.3307</v>
      </c>
      <c r="AA147" s="67">
        <f t="shared" si="46"/>
        <v>23.282900000000001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0233-25</v>
      </c>
      <c r="AE147" s="91" t="str">
        <f t="shared" si="48"/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AF147" s="88" t="str">
        <f t="shared" si="49"/>
        <v>"C:\Program Files (x86)\AstroGrep\AstroGrep.exe" /spath="%USERPROFILE%\AppData\Local\Temp\OnboardLogs" /stypes="app*4042*20161026*" /stext=" 04:.+((SYSTEM_STATE.+slice.+state.+changed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233-25 --locoid 4042 --swversion DE.1.0.7.0 --startMP 204:478 --initTime 2016-10-25T21:36:43 --startdatetime 2016-10-25T22:00:18 --delay 2 --endMP 204:233307 --enddatetime 2016-10-25T22:35:05 --enforcementcount 0 &gt;&gt;C:\Users\stu\Documents\GitHub\eaglep3-reporting\EC\2016-10-25-refined-times.txt</v>
      </c>
      <c r="AI147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{"issue":{"subject":"","project_id":79,"tracker_id":40,"status_id":1,"priority_id":2,"assigned_to_id":23,"start_date":"2016-10-25","description":"","custom_fields":[{"id":1,"name":"Subdivision","value":"EC"},{"id":4,"name":"Milepost","value":"23.3307"},{"id":17,"name":"Train ID","value":"233-25"},{"id":16,"name":"Locomotive ID","value":"4042"},{"id":130,"name":"Impact","value":""},{"id":150,"name":"Time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447</v>
      </c>
      <c r="B148" s="7">
        <v>4041</v>
      </c>
      <c r="C148" s="22" t="s">
        <v>99</v>
      </c>
      <c r="D148" s="22" t="s">
        <v>677</v>
      </c>
      <c r="E148" s="13">
        <v>42668.95212962963</v>
      </c>
      <c r="F148" s="13">
        <v>42668.955717592595</v>
      </c>
      <c r="G148" s="7">
        <v>1</v>
      </c>
      <c r="H148" s="13" t="s">
        <v>709</v>
      </c>
      <c r="I148" s="13">
        <v>42668.981678240743</v>
      </c>
      <c r="J148" s="7">
        <v>0</v>
      </c>
      <c r="K148" s="112" t="str">
        <f t="shared" si="36"/>
        <v>4041/4042</v>
      </c>
      <c r="L148" s="22" t="str">
        <f>VLOOKUP(A148,'Trips&amp;Operators'!$C$1:$E$10000,3,FALSE)</f>
        <v>YANAI</v>
      </c>
      <c r="M148" s="6">
        <f t="shared" si="37"/>
        <v>2.5960648148611654E-2</v>
      </c>
      <c r="N148" s="7">
        <f t="shared" si="38"/>
        <v>37.383333334000781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21:51:04-0600',mode:absolute,to:'2016-10-26 00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8" s="52" t="str">
        <f t="shared" si="42"/>
        <v>N</v>
      </c>
      <c r="X148" s="171">
        <f t="shared" si="43"/>
        <v>1</v>
      </c>
      <c r="Y148" s="67">
        <f t="shared" si="44"/>
        <v>23.2988</v>
      </c>
      <c r="Z148" s="67">
        <f t="shared" si="45"/>
        <v>1.9800000000000002E-2</v>
      </c>
      <c r="AA148" s="67">
        <f t="shared" si="46"/>
        <v>23.279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0234-25</v>
      </c>
      <c r="AE148" s="91" t="str">
        <f t="shared" si="48"/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AF148" s="88" t="str">
        <f t="shared" si="49"/>
        <v>"C:\Program Files (x86)\AstroGrep\AstroGrep.exe" /spath="%USERPROFILE%\AppData\Local\Temp\OnboardLogs" /stypes="app*4041*20161026*" /stext=" 05:.+((SYSTEM_STATE.+slice.+state.+changed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234-25 --locoid 4041 --swversion DE.1.0.7.0 --startMP 204:232988 --initTime 2016-10-25T22:51:04 --startdatetime 2016-10-25T22:56:14 --delay 1 --endMP 204:198 --enddatetime 2016-10-25T23:33:37 --enforcementcount 0 &gt;&gt;C:\Users\stu\Documents\GitHub\eaglep3-reporting\EC\2016-10-25-refined-times.txt</v>
      </c>
      <c r="AI148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{"issue":{"subject":"","project_id":79,"tracker_id":40,"status_id":1,"priority_id":2,"assigned_to_id":23,"start_date":"2016-10-25","description":"","custom_fields":[{"id":1,"name":"Subdivision","value":"EC"},{"id":4,"name":"Milepost","value":"0.0198"},{"id":17,"name":"Train ID","value":"234-25"},{"id":16,"name":"Locomotive ID","value":"4041"},{"id":130,"name":"Impact","value":""},{"id":150,"name":"Time of Event (Mountain Time)","value":"23:33:37"},{"id":151,"name":"Denver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622</v>
      </c>
      <c r="B149" s="7">
        <v>4027</v>
      </c>
      <c r="C149" s="22" t="s">
        <v>99</v>
      </c>
      <c r="D149" s="22" t="s">
        <v>708</v>
      </c>
      <c r="E149" s="13">
        <v>42668.928599537037</v>
      </c>
      <c r="F149" s="13">
        <v>42668.937696759262</v>
      </c>
      <c r="G149" s="7">
        <v>1</v>
      </c>
      <c r="H149" s="13" t="s">
        <v>327</v>
      </c>
      <c r="I149" s="13">
        <v>42668.963009259256</v>
      </c>
      <c r="J149" s="7">
        <v>0</v>
      </c>
      <c r="K149" s="112" t="str">
        <f t="shared" si="36"/>
        <v>4027/4028</v>
      </c>
      <c r="L149" s="22" t="str">
        <f>VLOOKUP(A149,'Trips&amp;Operators'!$C$1:$E$10000,3,FALSE)</f>
        <v>DELGADO</v>
      </c>
      <c r="M149" s="6">
        <f t="shared" si="37"/>
        <v>2.5312499994470272E-2</v>
      </c>
      <c r="N149" s="7">
        <f t="shared" si="38"/>
        <v>36.449999992037192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21:17:11-0600',mode:absolute,to:'2016-10-26 00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9" s="52" t="str">
        <f t="shared" si="42"/>
        <v>N</v>
      </c>
      <c r="X149" s="171">
        <f t="shared" si="43"/>
        <v>1</v>
      </c>
      <c r="Y149" s="67">
        <f t="shared" si="44"/>
        <v>4.3999999999999997E-2</v>
      </c>
      <c r="Z149" s="67">
        <f t="shared" si="45"/>
        <v>23.330300000000001</v>
      </c>
      <c r="AA149" s="67">
        <f t="shared" si="46"/>
        <v>23.286300000000001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7"/>
        <v>0235-25</v>
      </c>
      <c r="AE149" s="91" t="str">
        <f t="shared" si="48"/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AF149" s="88" t="str">
        <f t="shared" si="49"/>
        <v>"C:\Program Files (x86)\AstroGrep\AstroGrep.exe" /spath="%USERPROFILE%\AppData\Local\Temp\OnboardLogs" /stypes="app*4027*20161026*" /stext=" 05:.+((SYSTEM_STATE.+slice.+state.+changed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235-25 --locoid 4027 --swversion DE.1.0.7.0 --startMP 204:440 --initTime 2016-10-25T22:17:11 --startdatetime 2016-10-25T22:30:17 --delay 1 --endMP 204:233303 --enddatetime 2016-10-25T23:06:44 --enforcementcount 0 &gt;&gt;C:\Users\stu\Documents\GitHub\eaglep3-reporting\EC\2016-10-25-refined-times.txt</v>
      </c>
      <c r="AI149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{"issue":{"subject":"","project_id":79,"tracker_id":40,"status_id":1,"priority_id":2,"assigned_to_id":23,"start_date":"2016-10-25","description":"","custom_fields":[{"id":1,"name":"Subdivision","value":"EC"},{"id":4,"name":"Milepost","value":"23.3303"},{"id":17,"name":"Train ID","value":"235-25"},{"id":16,"name":"Locomotive ID","value":"4027"},{"id":130,"name":"Impact","value":""},{"id":150,"name":"Time of Event (Mountain Time)","value":"23:06:44"},{"id":151,"name":"Denver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448</v>
      </c>
      <c r="B150" s="7">
        <v>4028</v>
      </c>
      <c r="C150" s="22" t="s">
        <v>99</v>
      </c>
      <c r="D150" s="22" t="s">
        <v>376</v>
      </c>
      <c r="E150" s="13">
        <v>42668.973020833335</v>
      </c>
      <c r="F150" s="13">
        <v>42668.976585648146</v>
      </c>
      <c r="G150" s="7">
        <v>0</v>
      </c>
      <c r="H150" s="13" t="s">
        <v>176</v>
      </c>
      <c r="I150" s="13">
        <v>42669.00409722222</v>
      </c>
      <c r="J150" s="7">
        <v>0</v>
      </c>
      <c r="K150" s="112" t="str">
        <f t="shared" si="36"/>
        <v>4027/4028</v>
      </c>
      <c r="L150" s="22" t="str">
        <f>VLOOKUP(A150,'Trips&amp;Operators'!$C$1:$E$10000,3,FALSE)</f>
        <v>DELGADO</v>
      </c>
      <c r="M150" s="6">
        <f t="shared" si="37"/>
        <v>2.7511574073287193E-2</v>
      </c>
      <c r="N150" s="7">
        <f t="shared" si="38"/>
        <v>39.616666665533558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22:21:09-0600',mode:absolute,to:'2016-10-26 01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0" s="52" t="str">
        <f t="shared" si="42"/>
        <v>N</v>
      </c>
      <c r="X150" s="171">
        <f t="shared" si="43"/>
        <v>1</v>
      </c>
      <c r="Y150" s="67">
        <f t="shared" si="44"/>
        <v>23.297999999999998</v>
      </c>
      <c r="Z150" s="67">
        <f t="shared" si="45"/>
        <v>1.47E-2</v>
      </c>
      <c r="AA150" s="67">
        <f t="shared" si="46"/>
        <v>23.283299999999997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0236-25</v>
      </c>
      <c r="AE150" s="91" t="str">
        <f t="shared" si="48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150" s="88" t="str">
        <f t="shared" si="49"/>
        <v>"C:\Program Files (x86)\AstroGrep\AstroGrep.exe" /spath="%USERPROFILE%\AppData\Local\Temp\OnboardLogs" /stypes="app*4028*20161026*" /stext=" 06:.+((SYSTEM_STATE.+slice.+state.+changed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236-25 --locoid 4028 --swversion DE.1.0.7.0 --startMP 204:232980 --initTime 2016-10-25T23:21:09 --startdatetime 2016-10-25T23:26:17 --delay 0 --endMP 204:147 --enddatetime 2016-10-26T00:05:54 --enforcementcount 0 &gt;&gt;C:\Users\stu\Documents\GitHub\eaglep3-reporting\EC\2016-10-25-refined-times.txt</v>
      </c>
      <c r="AI150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ID","value":"236-25"},{"id":16,"name":"Locomotive ID","value":"4028"},{"id":130,"name":"Impact","value":""},{"id":150,"name":"Time of Event (Mountain Time)","value":"00:05:54"},{"id":151,"name":"Denver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625</v>
      </c>
      <c r="B151" s="7">
        <v>4009</v>
      </c>
      <c r="C151" s="22" t="s">
        <v>99</v>
      </c>
      <c r="D151" s="22" t="s">
        <v>314</v>
      </c>
      <c r="E151" s="13">
        <v>42668.953958333332</v>
      </c>
      <c r="F151" s="13">
        <v>42668.958518518521</v>
      </c>
      <c r="G151" s="7">
        <v>1</v>
      </c>
      <c r="H151" s="13" t="s">
        <v>309</v>
      </c>
      <c r="I151" s="13">
        <v>42668.984537037039</v>
      </c>
      <c r="J151" s="7">
        <v>0</v>
      </c>
      <c r="K151" s="112" t="str">
        <f t="shared" si="36"/>
        <v>4009/4010</v>
      </c>
      <c r="L151" s="22" t="str">
        <f>VLOOKUP(A151,'Trips&amp;Operators'!$C$1:$E$10000,3,FALSE)</f>
        <v>LEVERE</v>
      </c>
      <c r="M151" s="6">
        <f t="shared" si="37"/>
        <v>2.6018518517958E-2</v>
      </c>
      <c r="N151" s="7">
        <f t="shared" si="38"/>
        <v>37.46666666585952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21:53:42-0600',mode:absolute,to:'2016-10-26 00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42"/>
        <v>N</v>
      </c>
      <c r="X151" s="171">
        <f t="shared" si="43"/>
        <v>1</v>
      </c>
      <c r="Y151" s="67">
        <f t="shared" si="44"/>
        <v>4.4200000000000003E-2</v>
      </c>
      <c r="Z151" s="67">
        <f t="shared" si="45"/>
        <v>23.3291</v>
      </c>
      <c r="AA151" s="67">
        <f t="shared" si="46"/>
        <v>23.2849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0237-25</v>
      </c>
      <c r="AE151" s="91" t="str">
        <f t="shared" si="48"/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AF151" s="88" t="str">
        <f t="shared" si="49"/>
        <v>"C:\Program Files (x86)\AstroGrep\AstroGrep.exe" /spath="%USERPROFILE%\AppData\Local\Temp\OnboardLogs" /stypes="app*4009*20161026*" /stext=" 05:.+((SYSTEM_STATE.+slice.+state.+changed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237-25 --locoid 4009 --swversion DE.1.0.7.0 --startMP 204:442 --initTime 2016-10-25T22:53:42 --startdatetime 2016-10-25T23:00:16 --delay 1 --endMP 204:233291 --enddatetime 2016-10-25T23:37:44 --enforcementcount 0 &gt;&gt;C:\Users\stu\Documents\GitHub\eaglep3-reporting\EC\2016-10-25-refined-times.txt</v>
      </c>
      <c r="AI151" s="122" t="str">
        <f t="shared" si="52"/>
        <v>echo {"issue":{"subject":"","project_id":79,"tracker_id":40,"status_id":1,"priority_id":2,"assigned_to_id":23,"start_date":"2016-10-25","description":"","custom_fields":[{"id":1,"name":"Subdivision","value":"EC"},{"id":4,"name":"Milepost","value":"23.3291"},{"id":17,"name":"Train ID","value":"237-25"},{"id":16,"name":"Locomotive ID","value":"4009"},{"id":130,"name":"Impact","value":""},{"id":150,"name":"Time of Event (Mountain Time)","value":"23:37:44"},{"id":151,"name":"Denver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628</v>
      </c>
      <c r="B152" s="7">
        <v>4010</v>
      </c>
      <c r="C152" s="22" t="s">
        <v>99</v>
      </c>
      <c r="D152" s="22" t="s">
        <v>710</v>
      </c>
      <c r="E152" s="13">
        <v>42668.992395833331</v>
      </c>
      <c r="F152" s="13">
        <v>42668.997650462959</v>
      </c>
      <c r="G152" s="7">
        <v>1</v>
      </c>
      <c r="H152" s="13" t="s">
        <v>176</v>
      </c>
      <c r="I152" s="13">
        <v>42669.025671296295</v>
      </c>
      <c r="J152" s="7">
        <v>0</v>
      </c>
      <c r="K152" s="112" t="str">
        <f t="shared" si="36"/>
        <v>4009/4010</v>
      </c>
      <c r="L152" s="22" t="str">
        <f>VLOOKUP(A152,'Trips&amp;Operators'!$C$1:$E$10000,3,FALSE)</f>
        <v>LEVERE</v>
      </c>
      <c r="M152" s="6">
        <f t="shared" si="37"/>
        <v>2.8020833335176576E-2</v>
      </c>
      <c r="N152" s="7">
        <f t="shared" si="38"/>
        <v>40.350000002654269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22:49:03-0600',mode:absolute,to:'2016-10-26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42"/>
        <v>N</v>
      </c>
      <c r="X152" s="171">
        <f t="shared" si="43"/>
        <v>1</v>
      </c>
      <c r="Y152" s="67">
        <f t="shared" si="44"/>
        <v>23.295500000000001</v>
      </c>
      <c r="Z152" s="67">
        <f t="shared" si="45"/>
        <v>1.47E-2</v>
      </c>
      <c r="AA152" s="67">
        <f t="shared" si="46"/>
        <v>23.280799999999999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0238-25</v>
      </c>
      <c r="AE152" s="91" t="str">
        <f t="shared" si="48"/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AF152" s="88" t="str">
        <f t="shared" si="49"/>
        <v>"C:\Program Files (x86)\AstroGrep\AstroGrep.exe" /spath="%USERPROFILE%\AppData\Local\Temp\OnboardLogs" /stypes="app*4010*20161026*" /stext=" 06:.+((SYSTEM_STATE.+slice.+state.+changed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238-25 --locoid 4010 --swversion DE.1.0.7.0 --startMP 204:232955 --initTime 2016-10-25T23:49:03 --startdatetime 2016-10-25T23:56:37 --delay 1 --endMP 204:147 --enddatetime 2016-10-26T00:36:58 --enforcementcount 0 &gt;&gt;C:\Users\stu\Documents\GitHub\eaglep3-reporting\EC\2016-10-25-refined-times.txt</v>
      </c>
      <c r="AI152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ID","value":"238-25"},{"id":16,"name":"Locomotive ID","value":"4010"},{"id":130,"name":"Impact","value":""},{"id":150,"name":"Time of Event (Mountain Time)","value":"00:36:58"},{"id":151,"name":"Denver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626</v>
      </c>
      <c r="B153" s="7">
        <v>4002</v>
      </c>
      <c r="C153" s="22" t="s">
        <v>99</v>
      </c>
      <c r="D153" s="22" t="s">
        <v>266</v>
      </c>
      <c r="E153" s="13">
        <v>42668.973333333335</v>
      </c>
      <c r="F153" s="13">
        <v>42668.979363425926</v>
      </c>
      <c r="G153" s="7">
        <v>1</v>
      </c>
      <c r="H153" s="13" t="s">
        <v>701</v>
      </c>
      <c r="I153" s="13">
        <v>42669.005335648151</v>
      </c>
      <c r="J153" s="7">
        <v>0</v>
      </c>
      <c r="K153" s="112" t="str">
        <f t="shared" si="36"/>
        <v>4001/4002</v>
      </c>
      <c r="L153" s="22" t="str">
        <f>VLOOKUP(A153,'Trips&amp;Operators'!$C$1:$E$10000,3,FALSE)</f>
        <v>BERLING</v>
      </c>
      <c r="M153" s="6">
        <f t="shared" si="37"/>
        <v>2.5972222225391306E-2</v>
      </c>
      <c r="N153" s="7">
        <f t="shared" si="38"/>
        <v>37.400000004563481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22:21:36-0600',mode:absolute,to:'2016-10-26 01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52" t="str">
        <f t="shared" si="42"/>
        <v>N</v>
      </c>
      <c r="X153" s="171">
        <f t="shared" si="43"/>
        <v>1</v>
      </c>
      <c r="Y153" s="67">
        <f t="shared" si="44"/>
        <v>4.4900000000000002E-2</v>
      </c>
      <c r="Z153" s="67">
        <f t="shared" si="45"/>
        <v>23.331399999999999</v>
      </c>
      <c r="AA153" s="67">
        <f t="shared" si="46"/>
        <v>23.2865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0239-25</v>
      </c>
      <c r="AE153" s="91" t="str">
        <f t="shared" si="48"/>
        <v>aws s3 cp s3://rtdc.mdm.uploadarchive.raw/RTDC4002/ "%USERPROFILE%\AppData\Local\Temp\OnboardLogs"\RTDC4002\2016-10-25 --exclude "*" --recursive --include "*20161025*" &amp; "%USERPROFILE%\Documents\GitHub\mrs-test-scripts\Headless Mode &amp; Sideloading\WalkAndUnGZ.bat" "%USERPROFILE%\AppData\Local\Temp\OnboardLogs"\RTDC4002\2016-10-25 &amp; 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</v>
      </c>
      <c r="AF153" s="88" t="str">
        <f t="shared" si="49"/>
        <v>"C:\Program Files (x86)\AstroGrep\AstroGrep.exe" /spath="%USERPROFILE%\AppData\Local\Temp\OnboardLogs" /stypes="app*4002*20161026*" /stext=" 06:.+((SYSTEM_STATE.+slice.+state.+changed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239-25 --locoid 4002 --swversion DE.1.0.7.0 --startMP 204:449 --initTime 2016-10-25T23:21:36 --startdatetime 2016-10-25T23:30:17 --delay 1 --endMP 204:233314 --enddatetime 2016-10-26T00:07:41 --enforcementcount 0 &gt;&gt;C:\Users\stu\Documents\GitHub\eaglep3-reporting\EC\2016-10-25-refined-times.txt</v>
      </c>
      <c r="AI153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{"issue":{"subject":"","project_id":79,"tracker_id":40,"status_id":1,"priority_id":2,"assigned_to_id":23,"start_date":"2016-10-26","description":"","custom_fields":[{"id":1,"name":"Subdivision","value":"EC"},{"id":4,"name":"Milepost","value":"23.3314"},{"id":17,"name":"Train ID","value":"239-25"},{"id":16,"name":"Locomotive ID","value":"4002"},{"id":130,"name":"Impact","value":""},{"id":150,"name":"Time of Event (Mountain Time)","value":"00:07:41"},{"id":151,"name":"Denver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449</v>
      </c>
      <c r="B154" s="7">
        <v>4001</v>
      </c>
      <c r="C154" s="22" t="s">
        <v>99</v>
      </c>
      <c r="D154" s="22" t="s">
        <v>326</v>
      </c>
      <c r="E154" s="13">
        <v>42669.013541666667</v>
      </c>
      <c r="F154" s="13">
        <v>42669.018229166664</v>
      </c>
      <c r="G154" s="7">
        <v>1</v>
      </c>
      <c r="H154" s="13" t="s">
        <v>711</v>
      </c>
      <c r="I154" s="13">
        <v>42669.045185185183</v>
      </c>
      <c r="J154" s="7">
        <v>0</v>
      </c>
      <c r="K154" s="112" t="str">
        <f t="shared" si="36"/>
        <v>4001/4002</v>
      </c>
      <c r="L154" s="22" t="str">
        <f>VLOOKUP(A154,'Trips&amp;Operators'!$C$1:$E$10000,3,FALSE)</f>
        <v>BERLING</v>
      </c>
      <c r="M154" s="6">
        <f t="shared" si="37"/>
        <v>2.6956018518831115E-2</v>
      </c>
      <c r="N154" s="7">
        <f t="shared" si="38"/>
        <v>38.816666667116806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23:19:30-0600',mode:absolute,to:'2016-10-26 02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4" s="52" t="str">
        <f t="shared" si="42"/>
        <v>N</v>
      </c>
      <c r="X154" s="171">
        <f t="shared" si="43"/>
        <v>1</v>
      </c>
      <c r="Y154" s="67">
        <f t="shared" si="44"/>
        <v>23.299199999999999</v>
      </c>
      <c r="Z154" s="67">
        <f t="shared" si="45"/>
        <v>2.0899999999999998E-2</v>
      </c>
      <c r="AA154" s="67">
        <f t="shared" si="46"/>
        <v>23.278299999999998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7"/>
        <v>0240-25</v>
      </c>
      <c r="AE154" s="91" t="str">
        <f t="shared" si="48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154" s="88" t="str">
        <f t="shared" si="49"/>
        <v>"C:\Program Files (x86)\AstroGrep\AstroGrep.exe" /spath="%USERPROFILE%\AppData\Local\Temp\OnboardLogs" /stypes="app*4001*20161026*" /stext=" 07:.+((SYSTEM_STATE.+slice.+state.+changed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240-25 --locoid 4001 --swversion DE.1.0.7.0 --startMP 204:232992 --initTime 2016-10-26T00:19:30 --startdatetime 2016-10-26T00:26:15 --delay 1 --endMP 204:209 --enddatetime 2016-10-26T01:05:04 --enforcementcount 0 &gt;&gt;C:\Users\stu\Documents\GitHub\eaglep3-reporting\EC\2016-10-25-refined-times.txt</v>
      </c>
      <c r="AI154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{"issue":{"subject":"","project_id":79,"tracker_id":40,"status_id":1,"priority_id":2,"assigned_to_id":23,"start_date":"2016-10-26","description":"","custom_fields":[{"id":1,"name":"Subdivision","value":"EC"},{"id":4,"name":"Milepost","value":"0.0209"},{"id":17,"name":"Train ID","value":"240-25"},{"id":16,"name":"Locomotive ID","value":"4001"},{"id":130,"name":"Impact","value":""},{"id":150,"name":"Time of Event (Mountain Time)","value":"01:05:04"},{"id":151,"name":"Denver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627</v>
      </c>
      <c r="B155" s="7">
        <v>4042</v>
      </c>
      <c r="C155" s="22" t="s">
        <v>99</v>
      </c>
      <c r="D155" s="22" t="s">
        <v>712</v>
      </c>
      <c r="E155" s="13">
        <v>42668.982754629629</v>
      </c>
      <c r="F155" s="13">
        <v>42669.000173611108</v>
      </c>
      <c r="G155" s="7">
        <v>1</v>
      </c>
      <c r="H155" s="13" t="s">
        <v>658</v>
      </c>
      <c r="I155" s="13">
        <v>42669.024317129632</v>
      </c>
      <c r="J155" s="7">
        <v>0</v>
      </c>
      <c r="K155" s="112" t="str">
        <f t="shared" si="36"/>
        <v>4041/4042</v>
      </c>
      <c r="L155" s="22" t="str">
        <f>VLOOKUP(A155,'Trips&amp;Operators'!$C$1:$E$10000,3,FALSE)</f>
        <v>YANAI</v>
      </c>
      <c r="M155" s="6">
        <f t="shared" si="37"/>
        <v>2.4143518523487728E-2</v>
      </c>
      <c r="N155" s="7">
        <f t="shared" si="38"/>
        <v>34.766666673822328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22:35:10-0600',mode:absolute,to:'2016-10-26 01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5" s="52" t="str">
        <f t="shared" si="42"/>
        <v>N</v>
      </c>
      <c r="X155" s="171">
        <f t="shared" si="43"/>
        <v>1</v>
      </c>
      <c r="Y155" s="67">
        <f t="shared" si="44"/>
        <v>4.9799999999999997E-2</v>
      </c>
      <c r="Z155" s="67">
        <f t="shared" si="45"/>
        <v>23.330100000000002</v>
      </c>
      <c r="AA155" s="67">
        <f t="shared" si="46"/>
        <v>23.2803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0241-25</v>
      </c>
      <c r="AE155" s="91" t="str">
        <f t="shared" si="48"/>
        <v>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 &amp; aws s3 cp s3://rtdc.mdm.uploadarchive.raw/RTDC4042/ "%USERPROFILE%\AppData\Local\Temp\OnboardLogs"\RTDC4042\2016-10-27 --exclude "*" --recursive --include "*20161027*" &amp; "%USERPROFILE%\Documents\GitHub\mrs-test-scripts\Headless Mode &amp; Sideloading\WalkAndUnGZ.bat" "%USERPROFILE%\AppData\Local\Temp\OnboardLogs"\RTDC4042\2016-10-27</v>
      </c>
      <c r="AF155" s="88" t="str">
        <f t="shared" si="49"/>
        <v>"C:\Program Files (x86)\AstroGrep\AstroGrep.exe" /spath="%USERPROFILE%\AppData\Local\Temp\OnboardLogs" /stypes="app*4042*20161026*" /stext=" 06:.+((SYSTEM_STATE.+slice.+state.+changed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241-25 --locoid 4042 --swversion DE.1.0.7.0 --startMP 204:498 --initTime 2016-10-25T23:35:10 --startdatetime 2016-10-26T00:00:15 --delay 1 --endMP 204:233301 --enddatetime 2016-10-26T00:35:01 --enforcementcount 0 &gt;&gt;C:\Users\stu\Documents\GitHub\eaglep3-reporting\EC\2016-10-25-refined-times.txt</v>
      </c>
      <c r="AI155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{"issue":{"subject":"","project_id":79,"tracker_id":40,"status_id":1,"priority_id":2,"assigned_to_id":23,"start_date":"2016-10-26","description":"","custom_fields":[{"id":1,"name":"Subdivision","value":"EC"},{"id":4,"name":"Milepost","value":"23.3301"},{"id":17,"name":"Train ID","value":"241-25"},{"id":16,"name":"Locomotive ID","value":"4042"},{"id":130,"name":"Impact","value":""},{"id":150,"name":"Time of Event (Mountain Time)","value":"00:35:01"},{"id":151,"name":"Denver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631</v>
      </c>
      <c r="B156" s="7">
        <v>4041</v>
      </c>
      <c r="C156" s="22" t="s">
        <v>99</v>
      </c>
      <c r="D156" s="22" t="s">
        <v>251</v>
      </c>
      <c r="E156" s="13">
        <v>42669.035798611112</v>
      </c>
      <c r="F156" s="13">
        <v>42669.039039351854</v>
      </c>
      <c r="G156" s="7">
        <v>1</v>
      </c>
      <c r="H156" s="13" t="s">
        <v>218</v>
      </c>
      <c r="I156" s="13">
        <v>42669.065162037034</v>
      </c>
      <c r="J156" s="7">
        <v>0</v>
      </c>
      <c r="K156" s="112" t="str">
        <f t="shared" si="36"/>
        <v>4041/4042</v>
      </c>
      <c r="L156" s="22" t="str">
        <f>VLOOKUP(A156,'Trips&amp;Operators'!$C$1:$E$10000,3,FALSE)</f>
        <v>YANAI</v>
      </c>
      <c r="M156" s="6">
        <f t="shared" si="37"/>
        <v>2.6122685179871041E-2</v>
      </c>
      <c r="N156" s="7">
        <f t="shared" si="38"/>
        <v>37.6166666590143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23:51:33-0600',mode:absolute,to:'2016-10-26 02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52" t="str">
        <f t="shared" si="42"/>
        <v>N</v>
      </c>
      <c r="X156" s="171">
        <f t="shared" si="43"/>
        <v>1</v>
      </c>
      <c r="Y156" s="67">
        <f t="shared" si="44"/>
        <v>23.297699999999999</v>
      </c>
      <c r="Z156" s="67">
        <f t="shared" si="45"/>
        <v>1.54E-2</v>
      </c>
      <c r="AA156" s="67">
        <f t="shared" si="46"/>
        <v>23.282299999999999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0242-25</v>
      </c>
      <c r="AE156" s="91" t="str">
        <f t="shared" si="48"/>
        <v>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 &amp; aws s3 cp s3://rtdc.mdm.uploadarchive.raw/RTDC4041/ "%USERPROFILE%\AppData\Local\Temp\OnboardLogs"\RTDC4041\2016-10-27 --exclude "*" --recursive --include "*20161027*" &amp; "%USERPROFILE%\Documents\GitHub\mrs-test-scripts\Headless Mode &amp; Sideloading\WalkAndUnGZ.bat" "%USERPROFILE%\AppData\Local\Temp\OnboardLogs"\RTDC4041\2016-10-27</v>
      </c>
      <c r="AF156" s="88" t="str">
        <f t="shared" si="49"/>
        <v>"C:\Program Files (x86)\AstroGrep\AstroGrep.exe" /spath="%USERPROFILE%\AppData\Local\Temp\OnboardLogs" /stypes="app*4041*20161026*" /stext=" 07:.+((SYSTEM_STATE.+slice.+state.+changed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242-25 --locoid 4041 --swversion DE.1.0.7.0 --startMP 204:232977 --initTime 2016-10-26T00:51:33 --startdatetime 2016-10-26T00:56:13 --delay 1 --endMP 204:154 --enddatetime 2016-10-26T01:33:50 --enforcementcount 0 &gt;&gt;C:\Users\stu\Documents\GitHub\eaglep3-reporting\EC\2016-10-25-refined-times.txt</v>
      </c>
      <c r="AI156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{"issue":{"subject":"","project_id":79,"tracker_id":40,"status_id":1,"priority_id":2,"assigned_to_id":23,"start_date":"2016-10-26","description":"","custom_fields":[{"id":1,"name":"Subdivision","value":"EC"},{"id":4,"name":"Milepost","value":"0.0154"},{"id":17,"name":"Train ID","value":"242-25"},{"id":16,"name":"Locomotive ID","value":"4041"},{"id":130,"name":"Impact","value":""},{"id":150,"name":"Time of Event (Mountain Time)","value":"01:33:50"},{"id":151,"name":"Denver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629</v>
      </c>
      <c r="B157" s="7">
        <v>4027</v>
      </c>
      <c r="C157" s="22" t="s">
        <v>99</v>
      </c>
      <c r="D157" s="22" t="s">
        <v>342</v>
      </c>
      <c r="E157" s="13">
        <v>42669.016319444447</v>
      </c>
      <c r="F157" s="13">
        <v>42669.021041666667</v>
      </c>
      <c r="G157" s="7">
        <v>1</v>
      </c>
      <c r="H157" s="13" t="s">
        <v>713</v>
      </c>
      <c r="I157" s="13">
        <v>42669.047210648147</v>
      </c>
      <c r="J157" s="7">
        <v>0</v>
      </c>
      <c r="K157" s="112" t="str">
        <f t="shared" si="36"/>
        <v>4027/4028</v>
      </c>
      <c r="L157" s="22" t="str">
        <f>VLOOKUP(A157,'Trips&amp;Operators'!$C$1:$E$10000,3,FALSE)</f>
        <v>DELGADO</v>
      </c>
      <c r="M157" s="6">
        <f t="shared" si="37"/>
        <v>2.6168981479713693E-2</v>
      </c>
      <c r="N157" s="7">
        <f t="shared" si="38"/>
        <v>37.683333330787718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23:23:30-0600',mode:absolute,to:'2016-10-26 02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7" s="52" t="str">
        <f t="shared" si="42"/>
        <v>N</v>
      </c>
      <c r="X157" s="171">
        <f t="shared" si="43"/>
        <v>1</v>
      </c>
      <c r="Y157" s="67">
        <f t="shared" si="44"/>
        <v>4.2599999999999999E-2</v>
      </c>
      <c r="Z157" s="67">
        <f t="shared" si="45"/>
        <v>23.333400000000001</v>
      </c>
      <c r="AA157" s="67">
        <f t="shared" si="46"/>
        <v>23.290800000000001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0243-25</v>
      </c>
      <c r="AE157" s="91" t="str">
        <f t="shared" si="48"/>
        <v>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 &amp; aws s3 cp s3://rtdc.mdm.uploadarchive.raw/RTDC4027/ "%USERPROFILE%\AppData\Local\Temp\OnboardLogs"\RTDC4027\2016-10-27 --exclude "*" --recursive --include "*20161027*" &amp; "%USERPROFILE%\Documents\GitHub\mrs-test-scripts\Headless Mode &amp; Sideloading\WalkAndUnGZ.bat" "%USERPROFILE%\AppData\Local\Temp\OnboardLogs"\RTDC4027\2016-10-27</v>
      </c>
      <c r="AF157" s="88" t="str">
        <f t="shared" si="49"/>
        <v>"C:\Program Files (x86)\AstroGrep\AstroGrep.exe" /spath="%USERPROFILE%\AppData\Local\Temp\OnboardLogs" /stypes="app*4027*20161026*" /stext=" 07:.+((SYSTEM_STATE.+slice.+state.+changed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243-25 --locoid 4027 --swversion DE.1.0.7.0 --startMP 204:426 --initTime 2016-10-26T00:23:30 --startdatetime 2016-10-26T00:30:18 --delay 1 --endMP 204:233334 --enddatetime 2016-10-26T01:07:59 --enforcementcount 0 &gt;&gt;C:\Users\stu\Documents\GitHub\eaglep3-reporting\EC\2016-10-25-refined-times.txt</v>
      </c>
      <c r="AI157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{"issue":{"subject":"","project_id":79,"tracker_id":40,"status_id":1,"priority_id":2,"assigned_to_id":23,"start_date":"2016-10-26","description":"","custom_fields":[{"id":1,"name":"Subdivision","value":"EC"},{"id":4,"name":"Milepost","value":"23.3334"},{"id":17,"name":"Train ID","value":"243-25"},{"id":16,"name":"Locomotive ID","value":"4027"},{"id":130,"name":"Impact","value":""},{"id":150,"name":"Time of Event (Mountain Time)","value":"01:07:59"},{"id":151,"name":"Denver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633</v>
      </c>
      <c r="B158" s="7">
        <v>4028</v>
      </c>
      <c r="C158" s="22" t="s">
        <v>99</v>
      </c>
      <c r="D158" s="22" t="s">
        <v>376</v>
      </c>
      <c r="E158" s="13">
        <v>42669.053912037038</v>
      </c>
      <c r="F158" s="13">
        <v>42669.059942129628</v>
      </c>
      <c r="G158" s="7">
        <v>1</v>
      </c>
      <c r="H158" s="13" t="s">
        <v>182</v>
      </c>
      <c r="I158" s="13">
        <v>42669.086909722224</v>
      </c>
      <c r="J158" s="7">
        <v>0</v>
      </c>
      <c r="K158" s="112" t="str">
        <f t="shared" si="36"/>
        <v>4027/4028</v>
      </c>
      <c r="L158" s="22" t="str">
        <f>VLOOKUP(A158,'Trips&amp;Operators'!$C$1:$E$10000,3,FALSE)</f>
        <v>DELGADO</v>
      </c>
      <c r="M158" s="6">
        <f t="shared" si="37"/>
        <v>2.6967592595610768E-2</v>
      </c>
      <c r="N158" s="7">
        <f t="shared" si="38"/>
        <v>38.833333337679505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00:17:38-0600',mode:absolute,to:'2016-10-26 03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8" s="52" t="str">
        <f t="shared" si="42"/>
        <v>N</v>
      </c>
      <c r="X158" s="171">
        <f t="shared" si="43"/>
        <v>1</v>
      </c>
      <c r="Y158" s="67">
        <f t="shared" si="44"/>
        <v>23.297999999999998</v>
      </c>
      <c r="Z158" s="67">
        <f t="shared" si="45"/>
        <v>1.41E-2</v>
      </c>
      <c r="AA158" s="67">
        <f t="shared" si="46"/>
        <v>23.283899999999999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0244-25</v>
      </c>
      <c r="AE158" s="91" t="str">
        <f t="shared" si="48"/>
        <v>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 &amp; aws s3 cp s3://rtdc.mdm.uploadarchive.raw/RTDC4028/ "%USERPROFILE%\AppData\Local\Temp\OnboardLogs"\RTDC4028\2016-10-27 --exclude "*" --recursive --include "*20161027*" &amp; "%USERPROFILE%\Documents\GitHub\mrs-test-scripts\Headless Mode &amp; Sideloading\WalkAndUnGZ.bat" "%USERPROFILE%\AppData\Local\Temp\OnboardLogs"\RTDC4028\2016-10-27</v>
      </c>
      <c r="AF158" s="88" t="str">
        <f t="shared" si="49"/>
        <v>"C:\Program Files (x86)\AstroGrep\AstroGrep.exe" /spath="%USERPROFILE%\AppData\Local\Temp\OnboardLogs" /stypes="app*4028*20161026*" /stext=" 08:.+((SYSTEM_STATE.+slice.+state.+changed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244-25 --locoid 4028 --swversion DE.1.0.7.0 --startMP 204:232980 --initTime 2016-10-26T01:17:38 --startdatetime 2016-10-26T01:26:19 --delay 1 --endMP 204:141 --enddatetime 2016-10-26T02:05:09 --enforcementcount 0 &gt;&gt;C:\Users\stu\Documents\GitHub\eaglep3-reporting\EC\2016-10-25-refined-times.txt</v>
      </c>
      <c r="AI158" s="122" t="str">
        <f t="shared" si="52"/>
        <v>echo {"issue":{"subject":"","project_id":79,"tracker_id":40,"status_id":1,"priority_id":2,"assigned_to_id":23,"start_date":"2016-10-26","description":"","custom_fields":[{"id":1,"name":"Subdivision","value":"EC"},{"id":4,"name":"Milepost","value":"0.0141"},{"id":17,"name":"Train ID","value":"244-25"},{"id":16,"name":"Locomotive ID","value":"4028"},{"id":130,"name":"Impact","value":""},{"id":150,"name":"Time of Event (Mountain Time)","value":"02:05:09"},{"id":151,"name":"Denver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463</v>
      </c>
      <c r="B159" s="7">
        <v>4030</v>
      </c>
      <c r="C159" s="22" t="s">
        <v>99</v>
      </c>
      <c r="D159" s="22" t="s">
        <v>738</v>
      </c>
      <c r="E159" s="13">
        <v>42668.215358796297</v>
      </c>
      <c r="F159" s="13">
        <v>42668.217048611114</v>
      </c>
      <c r="G159" s="7">
        <v>1</v>
      </c>
      <c r="H159" s="13" t="s">
        <v>338</v>
      </c>
      <c r="I159" s="13">
        <v>42668.227141203701</v>
      </c>
      <c r="J159" s="7">
        <v>0</v>
      </c>
      <c r="K159" s="112" t="str">
        <f t="shared" si="36"/>
        <v>4029/4030</v>
      </c>
      <c r="L159" s="22" t="str">
        <f>VLOOKUP(A159,'Trips&amp;Operators'!$C$1:$E$10000,3,FALSE)</f>
        <v>STARKS</v>
      </c>
      <c r="M159" s="6">
        <f t="shared" si="37"/>
        <v>1.0092592587170657E-2</v>
      </c>
      <c r="N159" s="7">
        <f t="shared" si="38"/>
        <v>14.533333325525746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04:10:07-0600',mode:absolute,to:'2016-10-25 06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9" s="52" t="str">
        <f t="shared" si="42"/>
        <v>N</v>
      </c>
      <c r="X159" s="171">
        <f t="shared" si="43"/>
        <v>556</v>
      </c>
      <c r="Y159" s="67">
        <f t="shared" si="44"/>
        <v>5.8605999999999998</v>
      </c>
      <c r="Z159" s="67">
        <f t="shared" si="45"/>
        <v>7.2599999999999998E-2</v>
      </c>
      <c r="AA159" s="67">
        <f t="shared" si="46"/>
        <v>5.7880000000000003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0800-25</v>
      </c>
      <c r="AE159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59" s="88" t="str">
        <f t="shared" si="49"/>
        <v>"C:\Program Files (x86)\AstroGrep\AstroGrep.exe" /spath="%USERPROFILE%\AppData\Local\Temp\OnboardLogs" /stypes="app*4030*20161025*" /stext=" 11:.+((SYSTEM_STATE.+slice.+state.+changed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800-25 --locoid 4030 --swversion DE.1.0.7.0 --startMP 300:58606 --initTime 2016-10-25T05:10:07 --startdatetime 2016-10-25T05:12:33 --delay 1 --endMP 204:726 --enddatetime 2016-10-25T05:27:05 --enforcementcount 0 &gt;&gt;C:\Users\stu\Documents\GitHub\eaglep3-reporting\EC\2016-10-25-refined-times.txt</v>
      </c>
      <c r="AI159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{"issue":{"subject":"","project_id":79,"tracker_id":40,"status_id":1,"priority_id":2,"assigned_to_id":23,"start_date":"2016-10-25","description":"","custom_fields":[{"id":1,"name":"Subdivision","value":"NW"},{"id":4,"name":"Milepost","value":"0.0726"},{"id":17,"name":"Train ID","value":"800-25"},{"id":16,"name":"Locomotive ID","value":"4030"},{"id":130,"name":"Impact","value":""},{"id":150,"name":"Time of Event (Mountain Time)","value":"05:27:05"},{"id":151,"name":"Denver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468</v>
      </c>
      <c r="B160" s="7">
        <v>4029</v>
      </c>
      <c r="C160" s="22" t="s">
        <v>99</v>
      </c>
      <c r="D160" s="22" t="s">
        <v>739</v>
      </c>
      <c r="E160" s="13">
        <v>42668.241793981484</v>
      </c>
      <c r="F160" s="13">
        <v>42668.243935185186</v>
      </c>
      <c r="G160" s="7">
        <v>1</v>
      </c>
      <c r="H160" s="13" t="s">
        <v>403</v>
      </c>
      <c r="I160" s="13">
        <v>42668.253495370373</v>
      </c>
      <c r="J160" s="7">
        <v>0</v>
      </c>
      <c r="K160" s="112" t="str">
        <f t="shared" si="36"/>
        <v>4029/4030</v>
      </c>
      <c r="L160" s="22" t="str">
        <f>VLOOKUP(A160,'Trips&amp;Operators'!$C$1:$E$10000,3,FALSE)</f>
        <v>STARKS</v>
      </c>
      <c r="M160" s="6">
        <f t="shared" si="37"/>
        <v>9.560185186273884E-3</v>
      </c>
      <c r="N160" s="7">
        <f t="shared" si="38"/>
        <v>13.766666668234393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04:48:11-0600',mode:absolute,to:'2016-10-25 07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0" s="52" t="str">
        <f t="shared" si="42"/>
        <v>N</v>
      </c>
      <c r="X160" s="171">
        <f t="shared" si="43"/>
        <v>1</v>
      </c>
      <c r="Y160" s="67">
        <f t="shared" si="44"/>
        <v>0.1013</v>
      </c>
      <c r="Z160" s="67">
        <f t="shared" si="45"/>
        <v>5.8936999999999999</v>
      </c>
      <c r="AA160" s="67">
        <f t="shared" si="46"/>
        <v>5.7923999999999998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0801-25</v>
      </c>
      <c r="AE160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60" s="88" t="str">
        <f t="shared" si="49"/>
        <v>"C:\Program Files (x86)\AstroGrep\AstroGrep.exe" /spath="%USERPROFILE%\AppData\Local\Temp\OnboardLogs" /stypes="app*4029*20161025*" /stext=" 12:.+((SYSTEM_STATE.+slice.+state.+changed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801-25 --locoid 4029 --swversion DE.1.0.7.0 --startMP 204:1013 --initTime 2016-10-25T05:48:11 --startdatetime 2016-10-25T05:51:16 --delay 1 --endMP 300:58937 --enddatetime 2016-10-25T06:05:02 --enforcementcount 0 &gt;&gt;C:\Users\stu\Documents\GitHub\eaglep3-reporting\EC\2016-10-25-refined-times.txt</v>
      </c>
      <c r="AI16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{"issue":{"subject":"","project_id":79,"tracker_id":40,"status_id":1,"priority_id":2,"assigned_to_id":23,"start_date":"2016-10-25","description":"","custom_fields":[{"id":1,"name":"Subdivision","value":"NW"},{"id":4,"name":"Milepost","value":"5.8937"},{"id":17,"name":"Train ID","value":"801-25"},{"id":16,"name":"Locomotive ID","value":"4029"},{"id":130,"name":"Impact","value":""},{"id":150,"name":"Time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471</v>
      </c>
      <c r="B161" s="7">
        <v>4030</v>
      </c>
      <c r="C161" s="22" t="s">
        <v>99</v>
      </c>
      <c r="D161" s="22" t="s">
        <v>740</v>
      </c>
      <c r="E161" s="13">
        <v>42668.254560185182</v>
      </c>
      <c r="F161" s="13">
        <v>42668.256111111114</v>
      </c>
      <c r="G161" s="7">
        <v>1</v>
      </c>
      <c r="H161" s="13" t="s">
        <v>741</v>
      </c>
      <c r="I161" s="13">
        <v>42668.269108796296</v>
      </c>
      <c r="J161" s="7">
        <v>0</v>
      </c>
      <c r="K161" s="112" t="str">
        <f t="shared" si="36"/>
        <v>4029/4030</v>
      </c>
      <c r="L161" s="22" t="str">
        <f>VLOOKUP(A161,'Trips&amp;Operators'!$C$1:$E$10000,3,FALSE)</f>
        <v>STARKS</v>
      </c>
      <c r="M161" s="6">
        <f t="shared" si="37"/>
        <v>1.2997685182199348E-2</v>
      </c>
      <c r="N161" s="7">
        <f t="shared" si="38"/>
        <v>18.716666662367061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05:06:34-0600',mode:absolute,to:'2016-10-25 07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1" s="52" t="str">
        <f t="shared" si="42"/>
        <v>N</v>
      </c>
      <c r="X161" s="171">
        <f t="shared" si="43"/>
        <v>1</v>
      </c>
      <c r="Y161" s="67">
        <f t="shared" si="44"/>
        <v>5.8623000000000003</v>
      </c>
      <c r="Z161" s="67">
        <f t="shared" si="45"/>
        <v>7.1999999999999995E-2</v>
      </c>
      <c r="AA161" s="67">
        <f t="shared" si="46"/>
        <v>5.7903000000000002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0802-25</v>
      </c>
      <c r="AE161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61" s="88" t="str">
        <f t="shared" si="49"/>
        <v>"C:\Program Files (x86)\AstroGrep\AstroGrep.exe" /spath="%USERPROFILE%\AppData\Local\Temp\OnboardLogs" /stypes="app*4030*20161025*" /stext=" 12:.+((SYSTEM_STATE.+slice.+state.+changed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802-25 --locoid 4030 --swversion DE.1.0.7.0 --startMP 300:58623 --initTime 2016-10-25T06:06:34 --startdatetime 2016-10-25T06:08:48 --delay 1 --endMP 204:720 --enddatetime 2016-10-25T06:27:31 --enforcementcount 0 &gt;&gt;C:\Users\stu\Documents\GitHub\eaglep3-reporting\EC\2016-10-25-refined-times.txt</v>
      </c>
      <c r="AI16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{"issue":{"subject":"","project_id":79,"tracker_id":40,"status_id":1,"priority_id":2,"assigned_to_id":23,"start_date":"2016-10-25","description":"","custom_fields":[{"id":1,"name":"Subdivision","value":"NW"},{"id":4,"name":"Milepost","value":"0.072"},{"id":17,"name":"Train ID","value":"802-25"},{"id":16,"name":"Locomotive ID","value":"4030"},{"id":130,"name":"Impact","value":""},{"id":150,"name":"Time of Event (Mountain Time)","value":"06:27:31"},{"id":151,"name":"Denver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473</v>
      </c>
      <c r="B162" s="7">
        <v>4053</v>
      </c>
      <c r="C162" s="22" t="s">
        <v>99</v>
      </c>
      <c r="D162" s="22" t="s">
        <v>742</v>
      </c>
      <c r="E162" s="13">
        <v>42668.260011574072</v>
      </c>
      <c r="F162" s="13">
        <v>42668.265034722222</v>
      </c>
      <c r="G162" s="7">
        <v>1</v>
      </c>
      <c r="H162" s="13" t="s">
        <v>743</v>
      </c>
      <c r="I162" s="13">
        <v>42668.274016203701</v>
      </c>
      <c r="J162" s="7">
        <v>0</v>
      </c>
      <c r="K162" s="112" t="str">
        <f t="shared" si="36"/>
        <v>4053/4054</v>
      </c>
      <c r="L162" s="22" t="str">
        <f>VLOOKUP(A162,'Trips&amp;Operators'!$C$1:$E$10000,3,FALSE)</f>
        <v>LEVIN</v>
      </c>
      <c r="M162" s="6">
        <f t="shared" si="37"/>
        <v>8.9814814782585017E-3</v>
      </c>
      <c r="N162" s="7">
        <f t="shared" si="38"/>
        <v>12.933333328692243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05:14:25-0600',mode:absolute,to:'2016-10-25 07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2" s="52" t="str">
        <f t="shared" si="42"/>
        <v>N</v>
      </c>
      <c r="X162" s="171">
        <f t="shared" si="43"/>
        <v>1</v>
      </c>
      <c r="Y162" s="67">
        <f t="shared" si="44"/>
        <v>0.1002</v>
      </c>
      <c r="Z162" s="67">
        <f t="shared" si="45"/>
        <v>5.8933</v>
      </c>
      <c r="AA162" s="67">
        <f t="shared" si="46"/>
        <v>5.7930999999999999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0803-25</v>
      </c>
      <c r="AE16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62" s="88" t="str">
        <f t="shared" si="49"/>
        <v>"C:\Program Files (x86)\AstroGrep\AstroGrep.exe" /spath="%USERPROFILE%\AppData\Local\Temp\OnboardLogs" /stypes="app*4053*20161025*" /stext=" 12:.+((SYSTEM_STATE.+slice.+state.+changed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803-25 --locoid 4053 --swversion DE.1.0.7.0 --startMP 204:1002 --initTime 2016-10-25T06:14:25 --startdatetime 2016-10-25T06:21:39 --delay 1 --endMP 300:58933 --enddatetime 2016-10-25T06:34:35 --enforcementcount 0 &gt;&gt;C:\Users\stu\Documents\GitHub\eaglep3-reporting\EC\2016-10-25-refined-times.txt</v>
      </c>
      <c r="AI16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{"issue":{"subject":"","project_id":79,"tracker_id":40,"status_id":1,"priority_id":2,"assigned_to_id":23,"start_date":"2016-10-25","description":"","custom_fields":[{"id":1,"name":"Subdivision","value":"NW"},{"id":4,"name":"Milepost","value":"5.8933"},{"id":17,"name":"Train ID","value":"803-25"},{"id":16,"name":"Locomotive ID","value":"4053"},{"id":130,"name":"Impact","value":""},{"id":150,"name":"Time of Event (Mountain Time)","value":"06:34:35"},{"id":151,"name":"Denver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476</v>
      </c>
      <c r="B163" s="7">
        <v>4054</v>
      </c>
      <c r="C163" s="22" t="s">
        <v>99</v>
      </c>
      <c r="D163" s="22" t="s">
        <v>395</v>
      </c>
      <c r="E163" s="13">
        <v>42668.275046296294</v>
      </c>
      <c r="F163" s="13">
        <v>42668.276307870372</v>
      </c>
      <c r="G163" s="7">
        <v>1</v>
      </c>
      <c r="H163" s="13" t="s">
        <v>338</v>
      </c>
      <c r="I163" s="13">
        <v>42668.288784722223</v>
      </c>
      <c r="J163" s="7">
        <v>0</v>
      </c>
      <c r="K163" s="112" t="str">
        <f t="shared" si="36"/>
        <v>4053/4054</v>
      </c>
      <c r="L163" s="22" t="str">
        <f>VLOOKUP(A163,'Trips&amp;Operators'!$C$1:$E$10000,3,FALSE)</f>
        <v>LEVIN</v>
      </c>
      <c r="M163" s="6">
        <f t="shared" si="37"/>
        <v>1.247685185080627E-2</v>
      </c>
      <c r="N163" s="7">
        <f t="shared" si="38"/>
        <v>17.966666665161029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05:36:04-0600',mode:absolute,to:'2016-10-25 07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3" s="52" t="str">
        <f t="shared" si="42"/>
        <v>N</v>
      </c>
      <c r="X163" s="171">
        <f t="shared" si="43"/>
        <v>1</v>
      </c>
      <c r="Y163" s="67">
        <f t="shared" si="44"/>
        <v>5.8632</v>
      </c>
      <c r="Z163" s="67">
        <f t="shared" si="45"/>
        <v>7.2599999999999998E-2</v>
      </c>
      <c r="AA163" s="67">
        <f t="shared" si="46"/>
        <v>5.7905999999999995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0804-25</v>
      </c>
      <c r="AE16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63" s="88" t="str">
        <f t="shared" si="49"/>
        <v>"C:\Program Files (x86)\AstroGrep\AstroGrep.exe" /spath="%USERPROFILE%\AppData\Local\Temp\OnboardLogs" /stypes="app*4054*20161025*" /stext=" 12:.+((SYSTEM_STATE.+slice.+state.+changed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804-25 --locoid 4054 --swversion DE.1.0.7.0 --startMP 300:58632 --initTime 2016-10-25T06:36:04 --startdatetime 2016-10-25T06:37:53 --delay 1 --endMP 204:726 --enddatetime 2016-10-25T06:55:51 --enforcementcount 0 &gt;&gt;C:\Users\stu\Documents\GitHub\eaglep3-reporting\EC\2016-10-25-refined-times.txt</v>
      </c>
      <c r="AI16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{"issue":{"subject":"","project_id":79,"tracker_id":40,"status_id":1,"priority_id":2,"assigned_to_id":23,"start_date":"2016-10-25","description":"","custom_fields":[{"id":1,"name":"Subdivision","value":"NW"},{"id":4,"name":"Milepost","value":"0.0726"},{"id":17,"name":"Train ID","value":"804-25"},{"id":16,"name":"Locomotive ID","value":"4054"},{"id":130,"name":"Impact","value":""},{"id":150,"name":"Time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478</v>
      </c>
      <c r="B164" s="7">
        <v>4029</v>
      </c>
      <c r="C164" s="22" t="s">
        <v>99</v>
      </c>
      <c r="D164" s="22" t="s">
        <v>744</v>
      </c>
      <c r="E164" s="13">
        <v>42668.282638888886</v>
      </c>
      <c r="F164" s="13">
        <v>42668.285844907405</v>
      </c>
      <c r="G164" s="7">
        <v>1</v>
      </c>
      <c r="H164" s="13" t="s">
        <v>745</v>
      </c>
      <c r="I164" s="13">
        <v>42668.294953703706</v>
      </c>
      <c r="J164" s="7">
        <v>0</v>
      </c>
      <c r="K164" s="112" t="str">
        <f t="shared" si="36"/>
        <v>4029/4030</v>
      </c>
      <c r="L164" s="22" t="str">
        <f>VLOOKUP(A164,'Trips&amp;Operators'!$C$1:$E$10000,3,FALSE)</f>
        <v>STARKS</v>
      </c>
      <c r="M164" s="6">
        <f t="shared" si="37"/>
        <v>9.1087963010068052E-3</v>
      </c>
      <c r="N164" s="7">
        <f t="shared" si="38"/>
        <v>13.116666673449799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05:47:00-0600',mode:absolute,to:'2016-10-25 08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4" s="52" t="str">
        <f t="shared" si="42"/>
        <v>N</v>
      </c>
      <c r="X164" s="171">
        <f t="shared" si="43"/>
        <v>1</v>
      </c>
      <c r="Y164" s="67">
        <f t="shared" si="44"/>
        <v>0.1014</v>
      </c>
      <c r="Z164" s="67">
        <f t="shared" si="45"/>
        <v>5.8935000000000004</v>
      </c>
      <c r="AA164" s="67">
        <f t="shared" si="46"/>
        <v>5.7921000000000005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0805-25</v>
      </c>
      <c r="AE164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64" s="88" t="str">
        <f t="shared" si="49"/>
        <v>"C:\Program Files (x86)\AstroGrep\AstroGrep.exe" /spath="%USERPROFILE%\AppData\Local\Temp\OnboardLogs" /stypes="app*4029*20161025*" /stext=" 13:.+((SYSTEM_STATE.+slice.+state.+changed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805-25 --locoid 4029 --swversion DE.1.0.7.0 --startMP 204:1014 --initTime 2016-10-25T06:47:00 --startdatetime 2016-10-25T06:51:37 --delay 1 --endMP 300:58935 --enddatetime 2016-10-25T07:04:44 --enforcementcount 0 &gt;&gt;C:\Users\stu\Documents\GitHub\eaglep3-reporting\EC\2016-10-25-refined-times.txt</v>
      </c>
      <c r="AI164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{"issue":{"subject":"","project_id":79,"tracker_id":40,"status_id":1,"priority_id":2,"assigned_to_id":23,"start_date":"2016-10-25","description":"","custom_fields":[{"id":1,"name":"Subdivision","value":"NW"},{"id":4,"name":"Milepost","value":"5.8935"},{"id":17,"name":"Train ID","value":"805-25"},{"id":16,"name":"Locomotive ID","value":"4029"},{"id":130,"name":"Impact","value":""},{"id":150,"name":"Time of Event (Mountain Time)","value":"07:04:44"},{"id":151,"name":"Denver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481</v>
      </c>
      <c r="B165" s="7">
        <v>4030</v>
      </c>
      <c r="C165" s="22" t="s">
        <v>99</v>
      </c>
      <c r="D165" s="22" t="s">
        <v>746</v>
      </c>
      <c r="E165" s="13">
        <v>42668.29587962963</v>
      </c>
      <c r="F165" s="13">
        <v>42668.297118055554</v>
      </c>
      <c r="G165" s="7">
        <v>1</v>
      </c>
      <c r="H165" s="13" t="s">
        <v>747</v>
      </c>
      <c r="I165" s="13">
        <v>42668.309594907405</v>
      </c>
      <c r="J165" s="7">
        <v>0</v>
      </c>
      <c r="K165" s="112" t="str">
        <f t="shared" si="36"/>
        <v>4029/4030</v>
      </c>
      <c r="L165" s="22" t="str">
        <f>VLOOKUP(A165,'Trips&amp;Operators'!$C$1:$E$10000,3,FALSE)</f>
        <v>STARKS</v>
      </c>
      <c r="M165" s="6">
        <f t="shared" si="37"/>
        <v>1.247685185080627E-2</v>
      </c>
      <c r="N165" s="7">
        <f t="shared" si="38"/>
        <v>17.966666665161029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06:06:04-0600',mode:absolute,to:'2016-10-25 08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5" s="52" t="str">
        <f t="shared" si="42"/>
        <v>N</v>
      </c>
      <c r="X165" s="171">
        <f t="shared" si="43"/>
        <v>1</v>
      </c>
      <c r="Y165" s="67">
        <f t="shared" si="44"/>
        <v>5.8616999999999999</v>
      </c>
      <c r="Z165" s="67">
        <f t="shared" si="45"/>
        <v>7.0999999999999994E-2</v>
      </c>
      <c r="AA165" s="67">
        <f t="shared" si="46"/>
        <v>5.7907000000000002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0806-25</v>
      </c>
      <c r="AE165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65" s="88" t="str">
        <f t="shared" si="49"/>
        <v>"C:\Program Files (x86)\AstroGrep\AstroGrep.exe" /spath="%USERPROFILE%\AppData\Local\Temp\OnboardLogs" /stypes="app*4030*20161025*" /stext=" 13:.+((SYSTEM_STATE.+slice.+state.+changed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806-25 --locoid 4030 --swversion DE.1.0.7.0 --startMP 300:58617 --initTime 2016-10-25T07:06:04 --startdatetime 2016-10-25T07:07:51 --delay 1 --endMP 204:710 --enddatetime 2016-10-25T07:25:49 --enforcementcount 0 &gt;&gt;C:\Users\stu\Documents\GitHub\eaglep3-reporting\EC\2016-10-25-refined-times.txt</v>
      </c>
      <c r="AI165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{"issue":{"subject":"","project_id":79,"tracker_id":40,"status_id":1,"priority_id":2,"assigned_to_id":23,"start_date":"2016-10-25","description":"","custom_fields":[{"id":1,"name":"Subdivision","value":"NW"},{"id":4,"name":"Milepost","value":"0.071"},{"id":17,"name":"Train ID","value":"806-25"},{"id":16,"name":"Locomotive ID","value":"4030"},{"id":130,"name":"Impact","value":""},{"id":150,"name":"Time of Event (Mountain Time)","value":"07:25:49"},{"id":151,"name":"Denver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483</v>
      </c>
      <c r="B166" s="7">
        <v>4053</v>
      </c>
      <c r="C166" s="22" t="s">
        <v>99</v>
      </c>
      <c r="D166" s="22" t="s">
        <v>748</v>
      </c>
      <c r="E166" s="13">
        <v>42668.301886574074</v>
      </c>
      <c r="F166" s="13">
        <v>42668.306423611109</v>
      </c>
      <c r="G166" s="7">
        <v>1</v>
      </c>
      <c r="H166" s="13" t="s">
        <v>303</v>
      </c>
      <c r="I166" s="13">
        <v>42668.315289351849</v>
      </c>
      <c r="J166" s="7">
        <v>0</v>
      </c>
      <c r="K166" s="112" t="str">
        <f t="shared" si="36"/>
        <v>4053/4054</v>
      </c>
      <c r="L166" s="22" t="str">
        <f>VLOOKUP(A166,'Trips&amp;Operators'!$C$1:$E$10000,3,FALSE)</f>
        <v>LEVIN</v>
      </c>
      <c r="M166" s="6">
        <f t="shared" si="37"/>
        <v>8.8657407395658083E-3</v>
      </c>
      <c r="N166" s="7">
        <f t="shared" si="38"/>
        <v>12.766666664974764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06:14:43-0600',mode:absolute,to:'2016-10-25 08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6" s="52" t="str">
        <f t="shared" si="42"/>
        <v>N</v>
      </c>
      <c r="X166" s="171">
        <f t="shared" si="43"/>
        <v>1</v>
      </c>
      <c r="Y166" s="67">
        <f t="shared" si="44"/>
        <v>0.1018</v>
      </c>
      <c r="Z166" s="67">
        <f t="shared" si="45"/>
        <v>5.8924000000000003</v>
      </c>
      <c r="AA166" s="67">
        <f t="shared" si="46"/>
        <v>5.7906000000000004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0807-25</v>
      </c>
      <c r="AE166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66" s="88" t="str">
        <f t="shared" si="49"/>
        <v>"C:\Program Files (x86)\AstroGrep\AstroGrep.exe" /spath="%USERPROFILE%\AppData\Local\Temp\OnboardLogs" /stypes="app*4053*20161025*" /stext=" 13:.+((SYSTEM_STATE.+slice.+state.+changed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807-25 --locoid 4053 --swversion DE.1.0.7.0 --startMP 204:1018 --initTime 2016-10-25T07:14:43 --startdatetime 2016-10-25T07:21:15 --delay 1 --endMP 300:58924 --enddatetime 2016-10-25T07:34:01 --enforcementcount 0 &gt;&gt;C:\Users\stu\Documents\GitHub\eaglep3-reporting\EC\2016-10-25-refined-times.txt</v>
      </c>
      <c r="AI166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{"issue":{"subject":"","project_id":79,"tracker_id":40,"status_id":1,"priority_id":2,"assigned_to_id":23,"start_date":"2016-10-25","description":"","custom_fields":[{"id":1,"name":"Subdivision","value":"NW"},{"id":4,"name":"Milepost","value":"5.8924"},{"id":17,"name":"Train ID","value":"807-25"},{"id":16,"name":"Locomotive ID","value":"4053"},{"id":130,"name":"Impact","value":""},{"id":150,"name":"Time of Event (Mountain Time)","value":"07:34:01"},{"id":151,"name":"Denver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488</v>
      </c>
      <c r="B167" s="7">
        <v>4054</v>
      </c>
      <c r="C167" s="22" t="s">
        <v>99</v>
      </c>
      <c r="D167" s="22" t="s">
        <v>749</v>
      </c>
      <c r="E167" s="13">
        <v>42668.316342592596</v>
      </c>
      <c r="F167" s="13">
        <v>42668.317835648151</v>
      </c>
      <c r="G167" s="7">
        <v>1</v>
      </c>
      <c r="H167" s="13" t="s">
        <v>750</v>
      </c>
      <c r="I167" s="13">
        <v>42668.330231481479</v>
      </c>
      <c r="J167" s="7">
        <v>0</v>
      </c>
      <c r="K167" s="112" t="str">
        <f t="shared" si="36"/>
        <v>4053/4054</v>
      </c>
      <c r="L167" s="22" t="str">
        <f>VLOOKUP(A167,'Trips&amp;Operators'!$C$1:$E$10000,3,FALSE)</f>
        <v>LEVIN</v>
      </c>
      <c r="M167" s="6">
        <f t="shared" si="37"/>
        <v>1.2395833327900618E-2</v>
      </c>
      <c r="N167" s="7">
        <f t="shared" si="38"/>
        <v>17.84999999217689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06:35:32-0600',mode:absolute,to:'2016-10-25 08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7" s="52" t="str">
        <f t="shared" si="42"/>
        <v>N</v>
      </c>
      <c r="X167" s="171">
        <f t="shared" si="43"/>
        <v>1</v>
      </c>
      <c r="Y167" s="67">
        <f t="shared" si="44"/>
        <v>5.8609</v>
      </c>
      <c r="Z167" s="67">
        <f t="shared" si="45"/>
        <v>7.1300000000000002E-2</v>
      </c>
      <c r="AA167" s="67">
        <f t="shared" si="46"/>
        <v>5.7896000000000001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0808-25</v>
      </c>
      <c r="AE167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67" s="88" t="str">
        <f t="shared" si="49"/>
        <v>"C:\Program Files (x86)\AstroGrep\AstroGrep.exe" /spath="%USERPROFILE%\AppData\Local\Temp\OnboardLogs" /stypes="app*4054*20161025*" /stext=" 13:.+((SYSTEM_STATE.+slice.+state.+changed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808-25 --locoid 4054 --swversion DE.1.0.7.0 --startMP 300:58609 --initTime 2016-10-25T07:35:32 --startdatetime 2016-10-25T07:37:41 --delay 1 --endMP 204:713 --enddatetime 2016-10-25T07:55:32 --enforcementcount 0 &gt;&gt;C:\Users\stu\Documents\GitHub\eaglep3-reporting\EC\2016-10-25-refined-times.txt</v>
      </c>
      <c r="AI167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{"issue":{"subject":"","project_id":79,"tracker_id":40,"status_id":1,"priority_id":2,"assigned_to_id":23,"start_date":"2016-10-25","description":"","custom_fields":[{"id":1,"name":"Subdivision","value":"NW"},{"id":4,"name":"Milepost","value":"0.0713"},{"id":17,"name":"Train ID","value":"808-25"},{"id":16,"name":"Locomotive ID","value":"4054"},{"id":130,"name":"Impact","value":""},{"id":150,"name":"Time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422</v>
      </c>
      <c r="B168" s="7">
        <v>4029</v>
      </c>
      <c r="C168" s="22" t="s">
        <v>99</v>
      </c>
      <c r="D168" s="22" t="s">
        <v>393</v>
      </c>
      <c r="E168" s="13">
        <v>42668.322384259256</v>
      </c>
      <c r="F168" s="13">
        <v>42668.327418981484</v>
      </c>
      <c r="G168" s="7">
        <v>1</v>
      </c>
      <c r="H168" s="13" t="s">
        <v>751</v>
      </c>
      <c r="I168" s="13">
        <v>42668.336747685185</v>
      </c>
      <c r="J168" s="7">
        <v>0</v>
      </c>
      <c r="K168" s="112" t="str">
        <f t="shared" si="36"/>
        <v>4029/4030</v>
      </c>
      <c r="L168" s="22" t="str">
        <f>VLOOKUP(A168,'Trips&amp;Operators'!$C$1:$E$10000,3,FALSE)</f>
        <v>STARKS</v>
      </c>
      <c r="M168" s="6">
        <f t="shared" si="37"/>
        <v>9.3287037016125396E-3</v>
      </c>
      <c r="N168" s="7">
        <f t="shared" si="38"/>
        <v>13.433333330322057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06:44:14-0600',mode:absolute,to:'2016-10-25 09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8" s="52" t="str">
        <f t="shared" si="42"/>
        <v>N</v>
      </c>
      <c r="X168" s="171">
        <f t="shared" si="43"/>
        <v>1</v>
      </c>
      <c r="Y168" s="67">
        <f t="shared" si="44"/>
        <v>9.9699999999999997E-2</v>
      </c>
      <c r="Z168" s="67">
        <v>5.89</v>
      </c>
      <c r="AA168" s="67">
        <f t="shared" si="46"/>
        <v>5.7902999999999993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0809-25</v>
      </c>
      <c r="AE168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68" s="88" t="str">
        <f t="shared" si="49"/>
        <v>"C:\Program Files (x86)\AstroGrep\AstroGrep.exe" /spath="%USERPROFILE%\AppData\Local\Temp\OnboardLogs" /stypes="app*4029*20161025*" /stext=" 14:.+((SYSTEM_STATE.+slice.+state.+changed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809-25 --locoid 4029 --swversion DE.1.0.7.0 --startMP 204:997 --initTime 2016-10-25T07:44:14 --startdatetime 2016-10-25T07:51:29 --delay 1 --endMP 300:49340 --enddatetime 2016-10-25T08:04:55 --enforcementcount 0 &gt;&gt;C:\Users\stu\Documents\GitHub\eaglep3-reporting\EC\2016-10-25-refined-times.txt</v>
      </c>
      <c r="AI168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{"issue":{"subject":"","project_id":79,"tracker_id":40,"status_id":1,"priority_id":2,"assigned_to_id":23,"start_date":"2016-10-25","description":"","custom_fields":[{"id":1,"name":"Subdivision","value":"NW"},{"id":4,"name":"Milepost","value":"5.89"},{"id":17,"name":"Train ID","value":"809-25"},{"id":16,"name":"Locomotive ID","value":"4029"},{"id":130,"name":"Impact","value":""},{"id":150,"name":"Time of Event (Mountain Time)","value":"08:04:55"},{"id":151,"name":"Denver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424</v>
      </c>
      <c r="B169" s="7">
        <v>4030</v>
      </c>
      <c r="C169" s="22" t="s">
        <v>99</v>
      </c>
      <c r="D169" s="22" t="s">
        <v>405</v>
      </c>
      <c r="E169" s="13">
        <v>42668.338113425925</v>
      </c>
      <c r="F169" s="13">
        <v>42668.339513888888</v>
      </c>
      <c r="G169" s="7">
        <v>1</v>
      </c>
      <c r="H169" s="13">
        <v>8.5222222222222221</v>
      </c>
      <c r="I169" s="13">
        <v>42668.351770833331</v>
      </c>
      <c r="J169" s="7">
        <v>0</v>
      </c>
      <c r="K169" s="112" t="str">
        <f t="shared" si="36"/>
        <v>4029/4030</v>
      </c>
      <c r="L169" s="22" t="str">
        <f>VLOOKUP(A169,'Trips&amp;Operators'!$C$1:$E$10000,3,FALSE)</f>
        <v>STARKS</v>
      </c>
      <c r="M169" s="6">
        <f t="shared" si="37"/>
        <v>1.2256944442924578E-2</v>
      </c>
      <c r="N169" s="7">
        <f t="shared" si="38"/>
        <v>17.649999997811392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07:06:53-0600',mode:absolute,to:'2016-10-25 09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9" s="52" t="str">
        <f t="shared" si="42"/>
        <v>N</v>
      </c>
      <c r="X169" s="171">
        <f t="shared" si="43"/>
        <v>1</v>
      </c>
      <c r="Y169" s="67">
        <f t="shared" si="44"/>
        <v>5.8608000000000002</v>
      </c>
      <c r="Z169" s="67">
        <v>0.03</v>
      </c>
      <c r="AA169" s="67">
        <f t="shared" si="46"/>
        <v>5.8308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0810-25</v>
      </c>
      <c r="AE169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69" s="88" t="str">
        <f t="shared" si="49"/>
        <v>"C:\Program Files (x86)\AstroGrep\AstroGrep.exe" /spath="%USERPROFILE%\AppData\Local\Temp\OnboardLogs" /stypes="app*4030*20161025*" /stext=" 14:.+((SYSTEM_STATE.+slice.+state.+changed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810-25 --locoid 4030 --swversion DE.1.0.7.0 --startMP 300:58608 --initTime 2016-10-25T08:06:53 --startdatetime 2016-10-25T08:08:54 --delay 1 --endMP 8.52222222222222 --enddatetime 2016-10-25T08:26:33 --enforcementcount 0 &gt;&gt;C:\Users\stu\Documents\GitHub\eaglep3-reporting\EC\2016-10-25-refined-times.txt</v>
      </c>
      <c r="AI169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{"issue":{"subject":"","project_id":79,"tracker_id":40,"status_id":1,"priority_id":2,"assigned_to_id":23,"start_date":"2016-10-25","description":"","custom_fields":[{"id":1,"name":"Subdivision","value":"NW"},{"id":4,"name":"Milepost","value":"0.03"},{"id":17,"name":"Train ID","value":"810-25"},{"id":16,"name":"Locomotive ID","value":"4030"},{"id":130,"name":"Impact","value":""},{"id":150,"name":"Time of Event (Mountain Time)","value":"08:26:33"},{"id":151,"name":"Denver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492</v>
      </c>
      <c r="B170" s="7">
        <v>4053</v>
      </c>
      <c r="C170" s="22" t="s">
        <v>99</v>
      </c>
      <c r="D170" s="22" t="s">
        <v>752</v>
      </c>
      <c r="E170" s="13">
        <v>42668.344930555555</v>
      </c>
      <c r="F170" s="13">
        <v>42668.348101851851</v>
      </c>
      <c r="G170" s="7">
        <v>1</v>
      </c>
      <c r="H170" s="13" t="s">
        <v>743</v>
      </c>
      <c r="I170" s="13">
        <v>42668.357118055559</v>
      </c>
      <c r="J170" s="7">
        <v>0</v>
      </c>
      <c r="K170" s="112" t="str">
        <f t="shared" si="36"/>
        <v>4053/4054</v>
      </c>
      <c r="L170" s="22" t="str">
        <f>VLOOKUP(A170,'Trips&amp;Operators'!$C$1:$E$10000,3,FALSE)</f>
        <v>LEVIN</v>
      </c>
      <c r="M170" s="6">
        <f t="shared" si="37"/>
        <v>9.0162037085974589E-3</v>
      </c>
      <c r="N170" s="7">
        <f t="shared" si="38"/>
        <v>12.983333340380341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07:16:42-0600',mode:absolute,to:'2016-10-25 09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0" s="52" t="str">
        <f t="shared" si="42"/>
        <v>N</v>
      </c>
      <c r="X170" s="171">
        <f t="shared" si="43"/>
        <v>1</v>
      </c>
      <c r="Y170" s="67">
        <f t="shared" si="44"/>
        <v>0.1009</v>
      </c>
      <c r="Z170" s="67">
        <f t="shared" si="45"/>
        <v>5.8933</v>
      </c>
      <c r="AA170" s="67">
        <f t="shared" si="46"/>
        <v>5.7923999999999998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0811-25</v>
      </c>
      <c r="AE170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0" s="88" t="str">
        <f t="shared" si="49"/>
        <v>"C:\Program Files (x86)\AstroGrep\AstroGrep.exe" /spath="%USERPROFILE%\AppData\Local\Temp\OnboardLogs" /stypes="app*4053*20161025*" /stext=" 14:.+((SYSTEM_STATE.+slice.+state.+changed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811-25 --locoid 4053 --swversion DE.1.0.7.0 --startMP 204:1009 --initTime 2016-10-25T08:16:42 --startdatetime 2016-10-25T08:21:16 --delay 1 --endMP 300:58933 --enddatetime 2016-10-25T08:34:15 --enforcementcount 0 &gt;&gt;C:\Users\stu\Documents\GitHub\eaglep3-reporting\EC\2016-10-25-refined-times.txt</v>
      </c>
      <c r="AI17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{"issue":{"subject":"","project_id":79,"tracker_id":40,"status_id":1,"priority_id":2,"assigned_to_id":23,"start_date":"2016-10-25","description":"","custom_fields":[{"id":1,"name":"Subdivision","value":"NW"},{"id":4,"name":"Milepost","value":"5.8933"},{"id":17,"name":"Train ID","value":"811-25"},{"id":16,"name":"Locomotive ID","value":"4053"},{"id":130,"name":"Impact","value":""},{"id":150,"name":"Time of Event (Mountain Time)","value":"08:34:15"},{"id":151,"name":"Denver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495</v>
      </c>
      <c r="B171" s="7">
        <v>4054</v>
      </c>
      <c r="C171" s="22" t="s">
        <v>99</v>
      </c>
      <c r="D171" s="22" t="s">
        <v>337</v>
      </c>
      <c r="E171" s="13">
        <v>42668.358136574076</v>
      </c>
      <c r="F171" s="13">
        <v>42668.359305555554</v>
      </c>
      <c r="G171" s="7">
        <v>0</v>
      </c>
      <c r="H171" s="13" t="s">
        <v>753</v>
      </c>
      <c r="I171" s="13">
        <v>42668.371168981481</v>
      </c>
      <c r="J171" s="7">
        <v>0</v>
      </c>
      <c r="K171" s="112" t="str">
        <f t="shared" si="36"/>
        <v>4053/4054</v>
      </c>
      <c r="L171" s="22" t="str">
        <f>VLOOKUP(A171,'Trips&amp;Operators'!$C$1:$E$10000,3,FALSE)</f>
        <v>LEVIN</v>
      </c>
      <c r="M171" s="6">
        <f t="shared" si="37"/>
        <v>1.1863425927003846E-2</v>
      </c>
      <c r="N171" s="7">
        <f t="shared" si="38"/>
        <v>17.083333334885538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07:35:43-0600',mode:absolute,to:'2016-10-25 09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1" s="52" t="str">
        <f t="shared" si="42"/>
        <v>N</v>
      </c>
      <c r="X171" s="171">
        <f t="shared" si="43"/>
        <v>1</v>
      </c>
      <c r="Y171" s="67">
        <f t="shared" si="44"/>
        <v>5.8604000000000003</v>
      </c>
      <c r="Z171" s="67">
        <f t="shared" si="45"/>
        <v>7.0599999999999996E-2</v>
      </c>
      <c r="AA171" s="67">
        <f t="shared" si="46"/>
        <v>5.7898000000000005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0812-25</v>
      </c>
      <c r="AE171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1" s="88" t="str">
        <f t="shared" si="49"/>
        <v>"C:\Program Files (x86)\AstroGrep\AstroGrep.exe" /spath="%USERPROFILE%\AppData\Local\Temp\OnboardLogs" /stypes="app*4054*20161025*" /stext=" 14:.+((SYSTEM_STATE.+slice.+state.+changed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812-25 --locoid 4054 --swversion DE.1.0.7.0 --startMP 300:58604 --initTime 2016-10-25T08:35:43 --startdatetime 2016-10-25T08:37:24 --delay 0 --endMP 204:706 --enddatetime 2016-10-25T08:54:29 --enforcementcount 0 &gt;&gt;C:\Users\stu\Documents\GitHub\eaglep3-reporting\EC\2016-10-25-refined-times.txt</v>
      </c>
      <c r="AI17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{"issue":{"subject":"","project_id":79,"tracker_id":40,"status_id":1,"priority_id":2,"assigned_to_id":23,"start_date":"2016-10-25","description":"","custom_fields":[{"id":1,"name":"Subdivision","value":"NW"},{"id":4,"name":"Milepost","value":"0.0706"},{"id":17,"name":"Train ID","value":"812-25"},{"id":16,"name":"Locomotive ID","value":"4054"},{"id":130,"name":"Impact","value":""},{"id":150,"name":"Time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503</v>
      </c>
      <c r="B172" s="7">
        <v>4053</v>
      </c>
      <c r="C172" s="22" t="s">
        <v>99</v>
      </c>
      <c r="D172" s="22" t="s">
        <v>754</v>
      </c>
      <c r="E172" s="13">
        <v>42668.386967592596</v>
      </c>
      <c r="F172" s="13">
        <v>42668.389756944445</v>
      </c>
      <c r="G172" s="7">
        <v>1</v>
      </c>
      <c r="H172" s="13" t="s">
        <v>743</v>
      </c>
      <c r="I172" s="13">
        <v>42668.398715277777</v>
      </c>
      <c r="J172" s="7">
        <v>0</v>
      </c>
      <c r="K172" s="112" t="str">
        <f t="shared" si="36"/>
        <v>4053/4054</v>
      </c>
      <c r="L172" s="22" t="str">
        <f>VLOOKUP(A172,'Trips&amp;Operators'!$C$1:$E$10000,3,FALSE)</f>
        <v>LEVIN</v>
      </c>
      <c r="M172" s="6">
        <f t="shared" si="37"/>
        <v>8.9583333319751546E-3</v>
      </c>
      <c r="N172" s="7">
        <f t="shared" si="38"/>
        <v>12.899999998044223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08:17:14-0600',mode:absolute,to:'2016-10-25 10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2" s="52" t="str">
        <f t="shared" si="42"/>
        <v>N</v>
      </c>
      <c r="X172" s="171">
        <f t="shared" si="43"/>
        <v>1</v>
      </c>
      <c r="Y172" s="67">
        <f t="shared" si="44"/>
        <v>0.1011</v>
      </c>
      <c r="Z172" s="67">
        <f t="shared" si="45"/>
        <v>5.8933</v>
      </c>
      <c r="AA172" s="67">
        <f t="shared" si="46"/>
        <v>5.7922000000000002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0813-25</v>
      </c>
      <c r="AE17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2" s="88" t="str">
        <f t="shared" si="49"/>
        <v>"C:\Program Files (x86)\AstroGrep\AstroGrep.exe" /spath="%USERPROFILE%\AppData\Local\Temp\OnboardLogs" /stypes="app*4053*20161025*" /stext=" 15:.+((SYSTEM_STATE.+slice.+state.+changed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813-25 --locoid 4053 --swversion DE.1.0.7.0 --startMP 204:1011 --initTime 2016-10-25T09:17:14 --startdatetime 2016-10-25T09:21:15 --delay 1 --endMP 300:58933 --enddatetime 2016-10-25T09:34:09 --enforcementcount 0 &gt;&gt;C:\Users\stu\Documents\GitHub\eaglep3-reporting\EC\2016-10-25-refined-times.txt</v>
      </c>
      <c r="AI17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{"issue":{"subject":"","project_id":79,"tracker_id":40,"status_id":1,"priority_id":2,"assigned_to_id":23,"start_date":"2016-10-25","description":"","custom_fields":[{"id":1,"name":"Subdivision","value":"NW"},{"id":4,"name":"Milepost","value":"5.8933"},{"id":17,"name":"Train ID","value":"813-25"},{"id":16,"name":"Locomotive ID","value":"4053"},{"id":130,"name":"Impact","value":""},{"id":150,"name":"Time of Event (Mountain Time)","value":"09:34:09"},{"id":151,"name":"Denver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506</v>
      </c>
      <c r="B173" s="7">
        <v>4054</v>
      </c>
      <c r="C173" s="22" t="s">
        <v>99</v>
      </c>
      <c r="D173" s="22" t="s">
        <v>755</v>
      </c>
      <c r="E173" s="13">
        <v>42668.399918981479</v>
      </c>
      <c r="F173" s="13">
        <v>42668.401574074072</v>
      </c>
      <c r="G173" s="7">
        <v>1</v>
      </c>
      <c r="H173" s="13" t="s">
        <v>747</v>
      </c>
      <c r="I173" s="13">
        <v>42668.412986111114</v>
      </c>
      <c r="J173" s="7">
        <v>0</v>
      </c>
      <c r="K173" s="112" t="str">
        <f t="shared" si="36"/>
        <v>4053/4054</v>
      </c>
      <c r="L173" s="22" t="str">
        <f>VLOOKUP(A173,'Trips&amp;Operators'!$C$1:$E$10000,3,FALSE)</f>
        <v>LEVIN</v>
      </c>
      <c r="M173" s="6">
        <f t="shared" si="37"/>
        <v>1.1412037041736767E-2</v>
      </c>
      <c r="N173" s="7">
        <f t="shared" si="38"/>
        <v>16.433333340100944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08:35:53-0600',mode:absolute,to:'2016-10-25 10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3" s="52" t="str">
        <f t="shared" si="42"/>
        <v>N</v>
      </c>
      <c r="X173" s="171">
        <f t="shared" si="43"/>
        <v>1</v>
      </c>
      <c r="Y173" s="67">
        <f t="shared" si="44"/>
        <v>5.8619000000000003</v>
      </c>
      <c r="Z173" s="67">
        <f t="shared" si="45"/>
        <v>7.0999999999999994E-2</v>
      </c>
      <c r="AA173" s="67">
        <f t="shared" si="46"/>
        <v>5.7909000000000006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0814-25</v>
      </c>
      <c r="AE17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3" s="88" t="str">
        <f t="shared" si="49"/>
        <v>"C:\Program Files (x86)\AstroGrep\AstroGrep.exe" /spath="%USERPROFILE%\AppData\Local\Temp\OnboardLogs" /stypes="app*4054*20161025*" /stext=" 15:.+((SYSTEM_STATE.+slice.+state.+changed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814-25 --locoid 4054 --swversion DE.1.0.7.0 --startMP 300:58619 --initTime 2016-10-25T09:35:53 --startdatetime 2016-10-25T09:38:16 --delay 1 --endMP 204:710 --enddatetime 2016-10-25T09:54:42 --enforcementcount 0 &gt;&gt;C:\Users\stu\Documents\GitHub\eaglep3-reporting\EC\2016-10-25-refined-times.txt</v>
      </c>
      <c r="AI17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{"issue":{"subject":"","project_id":79,"tracker_id":40,"status_id":1,"priority_id":2,"assigned_to_id":23,"start_date":"2016-10-25","description":"","custom_fields":[{"id":1,"name":"Subdivision","value":"NW"},{"id":4,"name":"Milepost","value":"0.071"},{"id":17,"name":"Train ID","value":"814-25"},{"id":16,"name":"Locomotive ID","value":"4054"},{"id":130,"name":"Impact","value":""},{"id":150,"name":"Time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426</v>
      </c>
      <c r="B174" s="7">
        <v>4053</v>
      </c>
      <c r="C174" s="22" t="s">
        <v>99</v>
      </c>
      <c r="D174" s="22" t="s">
        <v>393</v>
      </c>
      <c r="E174" s="13">
        <v>42668.429479166669</v>
      </c>
      <c r="F174" s="13">
        <v>42668.431435185186</v>
      </c>
      <c r="G174" s="7">
        <v>1</v>
      </c>
      <c r="H174" s="13" t="s">
        <v>302</v>
      </c>
      <c r="I174" s="13">
        <v>42668.440775462965</v>
      </c>
      <c r="J174" s="7">
        <v>0</v>
      </c>
      <c r="K174" s="112" t="str">
        <f t="shared" si="36"/>
        <v>4053/4054</v>
      </c>
      <c r="L174" s="22" t="str">
        <f>VLOOKUP(A174,'Trips&amp;Operators'!$C$1:$E$10000,3,FALSE)</f>
        <v>LEVIN</v>
      </c>
      <c r="M174" s="6">
        <f t="shared" si="37"/>
        <v>9.340277778392192E-3</v>
      </c>
      <c r="N174" s="7">
        <f t="shared" si="38"/>
        <v>13.450000000884756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09:18:27-0600',mode:absolute,to:'2016-10-25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4" s="52" t="str">
        <f t="shared" si="42"/>
        <v>N</v>
      </c>
      <c r="X174" s="171">
        <f t="shared" si="43"/>
        <v>1</v>
      </c>
      <c r="Y174" s="67">
        <f t="shared" si="44"/>
        <v>9.9699999999999997E-2</v>
      </c>
      <c r="Z174" s="67">
        <f t="shared" si="45"/>
        <v>5.8929</v>
      </c>
      <c r="AA174" s="67">
        <f t="shared" si="46"/>
        <v>5.7931999999999997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0815-25</v>
      </c>
      <c r="AE174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4" s="88" t="str">
        <f t="shared" si="49"/>
        <v>"C:\Program Files (x86)\AstroGrep\AstroGrep.exe" /spath="%USERPROFILE%\AppData\Local\Temp\OnboardLogs" /stypes="app*4053*20161025*" /stext=" 16:.+((SYSTEM_STATE.+slice.+state.+changed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815-25 --locoid 4053 --swversion DE.1.0.7.0 --startMP 204:997 --initTime 2016-10-25T10:18:27 --startdatetime 2016-10-25T10:21:16 --delay 1 --endMP 300:58929 --enddatetime 2016-10-25T10:34:43 --enforcementcount 0 &gt;&gt;C:\Users\stu\Documents\GitHub\eaglep3-reporting\EC\2016-10-25-refined-times.txt</v>
      </c>
      <c r="AI174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{"issue":{"subject":"","project_id":79,"tracker_id":40,"status_id":1,"priority_id":2,"assigned_to_id":23,"start_date":"2016-10-25","description":"","custom_fields":[{"id":1,"name":"Subdivision","value":"NW"},{"id":4,"name":"Milepost","value":"5.8929"},{"id":17,"name":"Train ID","value":"815-25"},{"id":16,"name":"Locomotive ID","value":"4053"},{"id":130,"name":"Impact","value":""},{"id":150,"name":"Time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513</v>
      </c>
      <c r="B175" s="7">
        <v>4054</v>
      </c>
      <c r="C175" s="22" t="s">
        <v>99</v>
      </c>
      <c r="D175" s="22" t="s">
        <v>399</v>
      </c>
      <c r="E175" s="13">
        <v>42668.442118055558</v>
      </c>
      <c r="F175" s="13">
        <v>42668.443414351852</v>
      </c>
      <c r="G175" s="7">
        <v>1</v>
      </c>
      <c r="H175" s="13" t="s">
        <v>756</v>
      </c>
      <c r="I175" s="13">
        <v>42668.454456018517</v>
      </c>
      <c r="J175" s="7">
        <v>0</v>
      </c>
      <c r="K175" s="112" t="str">
        <f t="shared" si="36"/>
        <v>4053/4054</v>
      </c>
      <c r="L175" s="22" t="str">
        <f>VLOOKUP(A175,'Trips&amp;Operators'!$C$1:$E$10000,3,FALSE)</f>
        <v>LEVIN</v>
      </c>
      <c r="M175" s="6">
        <f t="shared" si="37"/>
        <v>1.1041666664823424E-2</v>
      </c>
      <c r="N175" s="7">
        <f t="shared" si="38"/>
        <v>15.899999997345731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09:36:39-0600',mode:absolute,to:'2016-10-25 11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5" s="52" t="str">
        <f t="shared" si="42"/>
        <v>N</v>
      </c>
      <c r="X175" s="171">
        <f t="shared" si="43"/>
        <v>1</v>
      </c>
      <c r="Y175" s="67">
        <f t="shared" si="44"/>
        <v>5.8615000000000004</v>
      </c>
      <c r="Z175" s="67">
        <f t="shared" si="45"/>
        <v>7.1499999999999994E-2</v>
      </c>
      <c r="AA175" s="67">
        <f t="shared" si="46"/>
        <v>5.79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0816-25</v>
      </c>
      <c r="AE175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5" s="88" t="str">
        <f t="shared" si="49"/>
        <v>"C:\Program Files (x86)\AstroGrep\AstroGrep.exe" /spath="%USERPROFILE%\AppData\Local\Temp\OnboardLogs" /stypes="app*4054*20161025*" /stext=" 16:.+((SYSTEM_STATE.+slice.+state.+changed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816-25 --locoid 4054 --swversion DE.1.0.7.0 --startMP 300:58615 --initTime 2016-10-25T10:36:39 --startdatetime 2016-10-25T10:38:31 --delay 1 --endMP 204:715 --enddatetime 2016-10-25T10:54:25 --enforcementcount 0 &gt;&gt;C:\Users\stu\Documents\GitHub\eaglep3-reporting\EC\2016-10-25-refined-times.txt</v>
      </c>
      <c r="AI175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{"issue":{"subject":"","project_id":79,"tracker_id":40,"status_id":1,"priority_id":2,"assigned_to_id":23,"start_date":"2016-10-25","description":"","custom_fields":[{"id":1,"name":"Subdivision","value":"NW"},{"id":4,"name":"Milepost","value":"0.0715"},{"id":17,"name":"Train ID","value":"816-25"},{"id":16,"name":"Locomotive ID","value":"4054"},{"id":130,"name":"Impact","value":""},{"id":150,"name":"Time of Event (Mountain Time)","value":"10:54:25"},{"id":151,"name":"Denver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521</v>
      </c>
      <c r="B176" s="7">
        <v>4053</v>
      </c>
      <c r="C176" s="22" t="s">
        <v>99</v>
      </c>
      <c r="D176" s="22" t="s">
        <v>757</v>
      </c>
      <c r="E176" s="13">
        <v>42668.470381944448</v>
      </c>
      <c r="F176" s="13">
        <v>42668.473090277781</v>
      </c>
      <c r="G176" s="7">
        <v>1</v>
      </c>
      <c r="H176" s="13" t="s">
        <v>303</v>
      </c>
      <c r="I176" s="13">
        <v>42668.482037037036</v>
      </c>
      <c r="J176" s="7">
        <v>0</v>
      </c>
      <c r="K176" s="112" t="str">
        <f t="shared" si="36"/>
        <v>4053/4054</v>
      </c>
      <c r="L176" s="22" t="str">
        <f>VLOOKUP(A176,'Trips&amp;Operators'!$C$1:$E$10000,3,FALSE)</f>
        <v>LEVIN</v>
      </c>
      <c r="M176" s="6">
        <f t="shared" si="37"/>
        <v>8.9467592551955022E-3</v>
      </c>
      <c r="N176" s="7">
        <f t="shared" si="38"/>
        <v>12.883333327481523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10:17:21-0600',mode:absolute,to:'2016-10-25 12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6" s="52" t="str">
        <f t="shared" si="42"/>
        <v>N</v>
      </c>
      <c r="X176" s="171">
        <f t="shared" si="43"/>
        <v>1</v>
      </c>
      <c r="Y176" s="67">
        <f t="shared" si="44"/>
        <v>9.9000000000000005E-2</v>
      </c>
      <c r="Z176" s="67">
        <f t="shared" si="45"/>
        <v>5.8924000000000003</v>
      </c>
      <c r="AA176" s="67">
        <f t="shared" si="46"/>
        <v>5.7934000000000001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0817-25</v>
      </c>
      <c r="AE176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6" s="88" t="str">
        <f t="shared" si="49"/>
        <v>"C:\Program Files (x86)\AstroGrep\AstroGrep.exe" /spath="%USERPROFILE%\AppData\Local\Temp\OnboardLogs" /stypes="app*4053*20161025*" /stext=" 17:.+((SYSTEM_STATE.+slice.+state.+changed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817-25 --locoid 4053 --swversion DE.1.0.7.0 --startMP 204:990 --initTime 2016-10-25T11:17:21 --startdatetime 2016-10-25T11:21:15 --delay 1 --endMP 300:58924 --enddatetime 2016-10-25T11:34:08 --enforcementcount 0 &gt;&gt;C:\Users\stu\Documents\GitHub\eaglep3-reporting\EC\2016-10-25-refined-times.txt</v>
      </c>
      <c r="AI176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{"issue":{"subject":"","project_id":79,"tracker_id":40,"status_id":1,"priority_id":2,"assigned_to_id":23,"start_date":"2016-10-25","description":"","custom_fields":[{"id":1,"name":"Subdivision","value":"NW"},{"id":4,"name":"Milepost","value":"5.8924"},{"id":17,"name":"Train ID","value":"817-25"},{"id":16,"name":"Locomotive ID","value":"4053"},{"id":130,"name":"Impact","value":""},{"id":150,"name":"Time of Event (Mountain Time)","value":"11:34:08"},{"id":151,"name":"Denver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432</v>
      </c>
      <c r="B177" s="7">
        <v>4054</v>
      </c>
      <c r="C177" s="22" t="s">
        <v>99</v>
      </c>
      <c r="D177" s="22" t="s">
        <v>758</v>
      </c>
      <c r="E177" s="13">
        <v>42668.48541666667</v>
      </c>
      <c r="F177" s="13">
        <v>42668.48642361111</v>
      </c>
      <c r="G177" s="7">
        <v>1</v>
      </c>
      <c r="H177" s="13" t="s">
        <v>747</v>
      </c>
      <c r="I177" s="13">
        <v>42668.497175925928</v>
      </c>
      <c r="J177" s="7">
        <v>0</v>
      </c>
      <c r="K177" s="112" t="str">
        <f t="shared" si="36"/>
        <v>4053/4054</v>
      </c>
      <c r="L177" s="22" t="str">
        <f>VLOOKUP(A177,'Trips&amp;Operators'!$C$1:$E$10000,3,FALSE)</f>
        <v>LEVIN</v>
      </c>
      <c r="M177" s="6">
        <f t="shared" si="37"/>
        <v>1.0752314818091691E-2</v>
      </c>
      <c r="N177" s="7">
        <f>24*60*SUM($M177:$M177)</f>
        <v>15.483333338052034</v>
      </c>
      <c r="O177" s="7"/>
      <c r="P177" s="7"/>
      <c r="Q177" s="23"/>
      <c r="R177" s="23" t="s">
        <v>814</v>
      </c>
      <c r="S177" s="35">
        <f t="shared" si="39"/>
        <v>1</v>
      </c>
      <c r="T177" s="50" t="str">
        <f t="shared" si="40"/>
        <v>Southbound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10:39:00-0600',mode:absolute,to:'2016-10-25 12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7" s="52" t="str">
        <f t="shared" si="42"/>
        <v>N</v>
      </c>
      <c r="X177" s="171">
        <f t="shared" si="43"/>
        <v>1</v>
      </c>
      <c r="Y177" s="67">
        <f t="shared" si="44"/>
        <v>5.7331000000000003</v>
      </c>
      <c r="Z177" s="67">
        <f t="shared" si="45"/>
        <v>7.0999999999999994E-2</v>
      </c>
      <c r="AA177" s="67">
        <f t="shared" si="46"/>
        <v>5.6621000000000006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0818-25</v>
      </c>
      <c r="AE177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7" s="88" t="str">
        <f t="shared" si="49"/>
        <v>"C:\Program Files (x86)\AstroGrep\AstroGrep.exe" /spath="%USERPROFILE%\AppData\Local\Temp\OnboardLogs" /stypes="app*4054*20161025*" /stext=" 17:.+((SYSTEM_STATE.+slice.+state.+changed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818-25 --locoid 4054 --swversion DE.1.0.7.0 --startMP 300:57331 --initTime 2016-10-25T11:39:00 --startdatetime 2016-10-25T11:40:27 --delay 1 --endMP 204:710 --enddatetime 2016-10-25T11:55:56 --enforcementcount 0 &gt;&gt;C:\Users\stu\Documents\GitHub\eaglep3-reporting\EC\2016-10-25-refined-times.txt</v>
      </c>
      <c r="AI177" s="122" t="str">
        <f t="shared" si="52"/>
        <v>echo {"issue":{"subject":"Went active too close to Westminster 2S, otherwise normal run","project_id":79,"tracker_id":40,"status_id":1,"priority_id":2,"assigned_to_id":23,"start_date":"2016-10-25","description":"","custom_fields":[{"id":1,"name":"Subdivision","value":"NW"},{"id":4,"name":"Milepost","value":"0.071"},{"id":17,"name":"Train ID","value":"818-25"},{"id":16,"name":"Locomotive ID","value":"4054"},{"id":130,"name":"Impact","value":""},{"id":150,"name":"Time of Event (Mountain Time)","value":"11:55:56"},{"id":151,"name":"Denver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531</v>
      </c>
      <c r="B178" s="7">
        <v>4053</v>
      </c>
      <c r="C178" s="22" t="s">
        <v>99</v>
      </c>
      <c r="D178" s="22" t="s">
        <v>759</v>
      </c>
      <c r="E178" s="13">
        <v>42668.511018518519</v>
      </c>
      <c r="F178" s="13">
        <v>42668.514733796299</v>
      </c>
      <c r="G178" s="7">
        <v>1</v>
      </c>
      <c r="H178" s="13" t="s">
        <v>317</v>
      </c>
      <c r="I178" s="13">
        <v>42668.524016203701</v>
      </c>
      <c r="J178" s="7">
        <v>0</v>
      </c>
      <c r="K178" s="112" t="str">
        <f t="shared" si="36"/>
        <v>4053/4054</v>
      </c>
      <c r="L178" s="22" t="str">
        <f>VLOOKUP(A178,'Trips&amp;Operators'!$C$1:$E$10000,3,FALSE)</f>
        <v>LEVIN</v>
      </c>
      <c r="M178" s="6">
        <f t="shared" si="37"/>
        <v>9.2824074017698877E-3</v>
      </c>
      <c r="N178" s="7">
        <f t="shared" si="38"/>
        <v>13.366666658548638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11:15:52-0600',mode:absolute,to:'2016-10-25 13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8" s="52" t="str">
        <f t="shared" si="42"/>
        <v>N</v>
      </c>
      <c r="X178" s="171">
        <f t="shared" si="43"/>
        <v>1</v>
      </c>
      <c r="Y178" s="67">
        <f t="shared" si="44"/>
        <v>9.9900000000000003E-2</v>
      </c>
      <c r="Z178" s="67">
        <f t="shared" si="45"/>
        <v>5.8921999999999999</v>
      </c>
      <c r="AA178" s="67">
        <f t="shared" si="46"/>
        <v>5.7923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0819-25</v>
      </c>
      <c r="AE178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78" s="88" t="str">
        <f t="shared" si="49"/>
        <v>"C:\Program Files (x86)\AstroGrep\AstroGrep.exe" /spath="%USERPROFILE%\AppData\Local\Temp\OnboardLogs" /stypes="app*4053*20161025*" /stext=" 18:.+((SYSTEM_STATE.+slice.+state.+changed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819-25 --locoid 4053 --swversion DE.1.0.7.0 --startMP 204:999 --initTime 2016-10-25T12:15:52 --startdatetime 2016-10-25T12:21:13 --delay 1 --endMP 300:58922 --enddatetime 2016-10-25T12:34:35 --enforcementcount 0 &gt;&gt;C:\Users\stu\Documents\GitHub\eaglep3-reporting\EC\2016-10-25-refined-times.txt</v>
      </c>
      <c r="AI178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{"issue":{"subject":"","project_id":79,"tracker_id":40,"status_id":1,"priority_id":2,"assigned_to_id":23,"start_date":"2016-10-25","description":"","custom_fields":[{"id":1,"name":"Subdivision","value":"NW"},{"id":4,"name":"Milepost","value":"5.8922"},{"id":17,"name":"Train ID","value":"819-25"},{"id":16,"name":"Locomotive ID","value":"4053"},{"id":130,"name":"Impact","value":""},{"id":150,"name":"Time of Event (Mountain Time)","value":"12:34:35"},{"id":151,"name":"Denver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537</v>
      </c>
      <c r="B179" s="7">
        <v>4054</v>
      </c>
      <c r="C179" s="22" t="s">
        <v>99</v>
      </c>
      <c r="D179" s="22" t="s">
        <v>405</v>
      </c>
      <c r="E179" s="13">
        <v>42668.525104166663</v>
      </c>
      <c r="F179" s="13">
        <v>42668.526319444441</v>
      </c>
      <c r="G179" s="7">
        <v>1</v>
      </c>
      <c r="H179" s="13" t="s">
        <v>760</v>
      </c>
      <c r="I179" s="13">
        <v>42668.537754629629</v>
      </c>
      <c r="J179" s="7">
        <v>0</v>
      </c>
      <c r="K179" s="112" t="str">
        <f t="shared" si="36"/>
        <v>4053/4054</v>
      </c>
      <c r="L179" s="22" t="str">
        <f>VLOOKUP(A179,'Trips&amp;Operators'!$C$1:$E$10000,3,FALSE)</f>
        <v>LEVIN</v>
      </c>
      <c r="M179" s="6">
        <f t="shared" si="37"/>
        <v>1.1435185188020114E-2</v>
      </c>
      <c r="N179" s="7">
        <f t="shared" si="38"/>
        <v>16.466666670748964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11:36:09-0600',mode:absolute,to:'2016-10-25 13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9" s="52" t="str">
        <f t="shared" si="42"/>
        <v>N</v>
      </c>
      <c r="X179" s="171">
        <f t="shared" si="43"/>
        <v>1</v>
      </c>
      <c r="Y179" s="67">
        <f t="shared" si="44"/>
        <v>5.8608000000000002</v>
      </c>
      <c r="Z179" s="67">
        <f t="shared" si="45"/>
        <v>7.22E-2</v>
      </c>
      <c r="AA179" s="67">
        <f t="shared" si="46"/>
        <v>5.7886000000000006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0820-25</v>
      </c>
      <c r="AE179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79" s="88" t="str">
        <f t="shared" si="49"/>
        <v>"C:\Program Files (x86)\AstroGrep\AstroGrep.exe" /spath="%USERPROFILE%\AppData\Local\Temp\OnboardLogs" /stypes="app*4054*20161025*" /stext=" 18:.+((SYSTEM_STATE.+slice.+state.+changed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820-25 --locoid 4054 --swversion DE.1.0.7.0 --startMP 300:58608 --initTime 2016-10-25T12:36:09 --startdatetime 2016-10-25T12:37:54 --delay 1 --endMP 204:722 --enddatetime 2016-10-25T12:54:22 --enforcementcount 0 &gt;&gt;C:\Users\stu\Documents\GitHub\eaglep3-reporting\EC\2016-10-25-refined-times.txt</v>
      </c>
      <c r="AI179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{"issue":{"subject":"","project_id":79,"tracker_id":40,"status_id":1,"priority_id":2,"assigned_to_id":23,"start_date":"2016-10-25","description":"","custom_fields":[{"id":1,"name":"Subdivision","value":"NW"},{"id":4,"name":"Milepost","value":"0.0722"},{"id":17,"name":"Train ID","value":"820-25"},{"id":16,"name":"Locomotive ID","value":"4054"},{"id":130,"name":"Impact","value":""},{"id":150,"name":"Time of Event (Mountain Time)","value":"12:54:22"},{"id":151,"name":"Denver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541</v>
      </c>
      <c r="B180" s="7">
        <v>4053</v>
      </c>
      <c r="C180" s="22" t="s">
        <v>99</v>
      </c>
      <c r="D180" s="22" t="s">
        <v>761</v>
      </c>
      <c r="E180" s="13">
        <v>42668.546979166669</v>
      </c>
      <c r="F180" s="13">
        <v>42668.556469907409</v>
      </c>
      <c r="G180" s="7">
        <v>1</v>
      </c>
      <c r="H180" s="13" t="s">
        <v>390</v>
      </c>
      <c r="I180" s="13">
        <v>42668.566307870373</v>
      </c>
      <c r="J180" s="7">
        <v>0</v>
      </c>
      <c r="K180" s="112" t="str">
        <f t="shared" si="36"/>
        <v>4053/4054</v>
      </c>
      <c r="L180" s="22" t="str">
        <f>VLOOKUP(A180,'Trips&amp;Operators'!$C$1:$E$10000,3,FALSE)</f>
        <v>NICHOLSON</v>
      </c>
      <c r="M180" s="6">
        <f t="shared" si="37"/>
        <v>9.8379629635019228E-3</v>
      </c>
      <c r="N180" s="7">
        <f t="shared" si="38"/>
        <v>14.166666667442769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12:07:39-0600',mode:absolute,to:'2016-10-25 14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0" s="52" t="str">
        <f t="shared" si="42"/>
        <v>N</v>
      </c>
      <c r="X180" s="171">
        <f t="shared" si="43"/>
        <v>1</v>
      </c>
      <c r="Y180" s="67">
        <f t="shared" si="44"/>
        <v>0.1007</v>
      </c>
      <c r="Z180" s="67">
        <f t="shared" si="45"/>
        <v>5.8940999999999999</v>
      </c>
      <c r="AA180" s="67">
        <f t="shared" si="46"/>
        <v>5.7934000000000001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0821-25</v>
      </c>
      <c r="AE180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0" s="88" t="str">
        <f t="shared" si="49"/>
        <v>"C:\Program Files (x86)\AstroGrep\AstroGrep.exe" /spath="%USERPROFILE%\AppData\Local\Temp\OnboardLogs" /stypes="app*4053*20161025*" /stext=" 19:.+((SYSTEM_STATE.+slice.+state.+changed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821-25 --locoid 4053 --swversion DE.1.0.7.0 --startMP 204:1007 --initTime 2016-10-25T13:07:39 --startdatetime 2016-10-25T13:21:19 --delay 1 --endMP 300:58941 --enddatetime 2016-10-25T13:35:29 --enforcementcount 0 &gt;&gt;C:\Users\stu\Documents\GitHub\eaglep3-reporting\EC\2016-10-25-refined-times.txt</v>
      </c>
      <c r="AI18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{"issue":{"subject":"","project_id":79,"tracker_id":40,"status_id":1,"priority_id":2,"assigned_to_id":23,"start_date":"2016-10-25","description":"","custom_fields":[{"id":1,"name":"Subdivision","value":"NW"},{"id":4,"name":"Milepost","value":"5.8941"},{"id":17,"name":"Train ID","value":"821-25"},{"id":16,"name":"Locomotive ID","value":"4053"},{"id":130,"name":"Impact","value":""},{"id":150,"name":"Time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545</v>
      </c>
      <c r="B181" s="7">
        <v>4054</v>
      </c>
      <c r="C181" s="22" t="s">
        <v>99</v>
      </c>
      <c r="D181" s="22" t="s">
        <v>391</v>
      </c>
      <c r="E181" s="13">
        <v>42668.567557870374</v>
      </c>
      <c r="F181" s="13">
        <v>42668.571030092593</v>
      </c>
      <c r="G181" s="7">
        <v>3</v>
      </c>
      <c r="H181" s="13" t="s">
        <v>753</v>
      </c>
      <c r="I181" s="13">
        <v>42668.581354166665</v>
      </c>
      <c r="J181" s="7">
        <v>0</v>
      </c>
      <c r="K181" s="112" t="str">
        <f t="shared" si="36"/>
        <v>4053/4054</v>
      </c>
      <c r="L181" s="22" t="str">
        <f>VLOOKUP(A181,'Trips&amp;Operators'!$C$1:$E$10000,3,FALSE)</f>
        <v>NICHOLSON</v>
      </c>
      <c r="M181" s="6">
        <f t="shared" si="37"/>
        <v>1.0324074071832001E-2</v>
      </c>
      <c r="N181" s="7">
        <f t="shared" si="38"/>
        <v>14.866666663438082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12:37:17-0600',mode:absolute,to:'2016-10-25 14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1" s="52" t="str">
        <f t="shared" si="42"/>
        <v>N</v>
      </c>
      <c r="X181" s="171">
        <f t="shared" si="43"/>
        <v>1</v>
      </c>
      <c r="Y181" s="67">
        <f t="shared" si="44"/>
        <v>5.8630000000000004</v>
      </c>
      <c r="Z181" s="67">
        <f t="shared" si="45"/>
        <v>7.0599999999999996E-2</v>
      </c>
      <c r="AA181" s="67">
        <f t="shared" si="46"/>
        <v>5.7924000000000007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0822-25</v>
      </c>
      <c r="AE181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1" s="88" t="str">
        <f t="shared" si="49"/>
        <v>"C:\Program Files (x86)\AstroGrep\AstroGrep.exe" /spath="%USERPROFILE%\AppData\Local\Temp\OnboardLogs" /stypes="app*4054*20161025*" /stext=" 19:.+((SYSTEM_STATE.+slice.+state.+changed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822-25 --locoid 4054 --swversion DE.1.0.7.0 --startMP 300:58630 --initTime 2016-10-25T13:37:17 --startdatetime 2016-10-25T13:42:17 --delay 3 --endMP 204:706 --enddatetime 2016-10-25T13:57:09 --enforcementcount 0 &gt;&gt;C:\Users\stu\Documents\GitHub\eaglep3-reporting\EC\2016-10-25-refined-times.txt</v>
      </c>
      <c r="AI18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{"issue":{"subject":"","project_id":79,"tracker_id":40,"status_id":1,"priority_id":2,"assigned_to_id":23,"start_date":"2016-10-25","description":"","custom_fields":[{"id":1,"name":"Subdivision","value":"NW"},{"id":4,"name":"Milepost","value":"0.0706"},{"id":17,"name":"Train ID","value":"822-25"},{"id":16,"name":"Locomotive ID","value":"4054"},{"id":130,"name":"Impact","value":""},{"id":150,"name":"Time of Event (Mountain Time)","value":"13:57:09"},{"id":151,"name":"Denver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440</v>
      </c>
      <c r="B182" s="7">
        <v>4053</v>
      </c>
      <c r="C182" s="22" t="s">
        <v>99</v>
      </c>
      <c r="D182" s="22" t="s">
        <v>404</v>
      </c>
      <c r="E182" s="13">
        <v>42668.583784722221</v>
      </c>
      <c r="F182" s="13">
        <v>42668.598124999997</v>
      </c>
      <c r="G182" s="7">
        <v>1</v>
      </c>
      <c r="H182" s="13" t="s">
        <v>762</v>
      </c>
      <c r="I182" s="13">
        <v>42668.60796296296</v>
      </c>
      <c r="J182" s="7">
        <v>0</v>
      </c>
      <c r="K182" s="112" t="str">
        <f t="shared" si="36"/>
        <v>4053/4054</v>
      </c>
      <c r="L182" s="22" t="str">
        <f>VLOOKUP(A182,'Trips&amp;Operators'!$C$1:$E$10000,3,FALSE)</f>
        <v>NICHOLSON</v>
      </c>
      <c r="M182" s="6">
        <f t="shared" si="37"/>
        <v>9.8379629635019228E-3</v>
      </c>
      <c r="N182" s="7">
        <f t="shared" si="38"/>
        <v>14.166666667442769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13:00:39-0600',mode:absolute,to:'2016-10-25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2" s="52" t="str">
        <f t="shared" si="42"/>
        <v>N</v>
      </c>
      <c r="X182" s="171">
        <f t="shared" si="43"/>
        <v>1</v>
      </c>
      <c r="Y182" s="67">
        <f t="shared" si="44"/>
        <v>9.7799999999999998E-2</v>
      </c>
      <c r="Z182" s="67">
        <f t="shared" si="45"/>
        <v>5.8952</v>
      </c>
      <c r="AA182" s="67">
        <f t="shared" si="46"/>
        <v>5.7973999999999997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0823-25</v>
      </c>
      <c r="AE18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2" s="88" t="str">
        <f t="shared" si="49"/>
        <v>"C:\Program Files (x86)\AstroGrep\AstroGrep.exe" /spath="%USERPROFILE%\AppData\Local\Temp\OnboardLogs" /stypes="app*4053*20161025*" /stext=" 20:.+((SYSTEM_STATE.+slice.+state.+changed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823-25 --locoid 4053 --swversion DE.1.0.7.0 --startMP 204:978 --initTime 2016-10-25T14:00:39 --startdatetime 2016-10-25T14:21:18 --delay 1 --endMP 300:58952 --enddatetime 2016-10-25T14:35:28 --enforcementcount 0 &gt;&gt;C:\Users\stu\Documents\GitHub\eaglep3-reporting\EC\2016-10-25-refined-times.txt</v>
      </c>
      <c r="AI18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{"issue":{"subject":"","project_id":79,"tracker_id":40,"status_id":1,"priority_id":2,"assigned_to_id":23,"start_date":"2016-10-25","description":"","custom_fields":[{"id":1,"name":"Subdivision","value":"NW"},{"id":4,"name":"Milepost","value":"5.8952"},{"id":17,"name":"Train ID","value":"823-25"},{"id":16,"name":"Locomotive ID","value":"4053"},{"id":130,"name":"Impact","value":""},{"id":150,"name":"Time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551</v>
      </c>
      <c r="B183" s="7">
        <v>4054</v>
      </c>
      <c r="C183" s="22" t="s">
        <v>99</v>
      </c>
      <c r="D183" s="22" t="s">
        <v>763</v>
      </c>
      <c r="E183" s="13">
        <v>42668.609710648147</v>
      </c>
      <c r="F183" s="13">
        <v>42668.611585648148</v>
      </c>
      <c r="G183" s="7">
        <v>1</v>
      </c>
      <c r="H183" s="13" t="s">
        <v>392</v>
      </c>
      <c r="I183" s="13">
        <v>42668.621666666666</v>
      </c>
      <c r="J183" s="7">
        <v>0</v>
      </c>
      <c r="K183" s="112" t="str">
        <f t="shared" si="36"/>
        <v>4053/4054</v>
      </c>
      <c r="L183" s="22" t="str">
        <f>VLOOKUP(A183,'Trips&amp;Operators'!$C$1:$E$10000,3,FALSE)</f>
        <v>NICHOLSON</v>
      </c>
      <c r="M183" s="6">
        <f t="shared" si="37"/>
        <v>1.0081018517666962E-2</v>
      </c>
      <c r="N183" s="7">
        <f t="shared" si="38"/>
        <v>14.516666665440425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13:37:59-0600',mode:absolute,to:'2016-10-25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3" s="52" t="str">
        <f t="shared" si="42"/>
        <v>N</v>
      </c>
      <c r="X183" s="171">
        <f t="shared" si="43"/>
        <v>1</v>
      </c>
      <c r="Y183" s="67">
        <f t="shared" si="44"/>
        <v>5.8635999999999999</v>
      </c>
      <c r="Z183" s="67">
        <f t="shared" si="45"/>
        <v>6.9800000000000001E-2</v>
      </c>
      <c r="AA183" s="67">
        <f t="shared" si="46"/>
        <v>5.7938000000000001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0824-25</v>
      </c>
      <c r="AE18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3" s="88" t="str">
        <f t="shared" si="49"/>
        <v>"C:\Program Files (x86)\AstroGrep\AstroGrep.exe" /spath="%USERPROFILE%\AppData\Local\Temp\OnboardLogs" /stypes="app*4054*20161025*" /stext=" 20:.+((SYSTEM_STATE.+slice.+state.+changed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824-25 --locoid 4054 --swversion DE.1.0.7.0 --startMP 300:58636 --initTime 2016-10-25T14:37:59 --startdatetime 2016-10-25T14:40:41 --delay 1 --endMP 204:698 --enddatetime 2016-10-25T14:55:12 --enforcementcount 0 &gt;&gt;C:\Users\stu\Documents\GitHub\eaglep3-reporting\EC\2016-10-25-refined-times.txt</v>
      </c>
      <c r="AI18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{"issue":{"subject":"","project_id":79,"tracker_id":40,"status_id":1,"priority_id":2,"assigned_to_id":23,"start_date":"2016-10-25","description":"","custom_fields":[{"id":1,"name":"Subdivision","value":"NW"},{"id":4,"name":"Milepost","value":"0.0698"},{"id":17,"name":"Train ID","value":"824-25"},{"id":16,"name":"Locomotive ID","value":"4054"},{"id":130,"name":"Impact","value":""},{"id":150,"name":"Time of Event (Mountain Time)","value":"14:55:12"},{"id":151,"name":"Denver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554</v>
      </c>
      <c r="B184" s="7">
        <v>4053</v>
      </c>
      <c r="C184" s="22" t="s">
        <v>99</v>
      </c>
      <c r="D184" s="22" t="s">
        <v>400</v>
      </c>
      <c r="E184" s="13">
        <v>42668.623668981483</v>
      </c>
      <c r="F184" s="13">
        <v>42668.63989583333</v>
      </c>
      <c r="G184" s="7">
        <v>1</v>
      </c>
      <c r="H184" s="13" t="s">
        <v>764</v>
      </c>
      <c r="I184" s="13">
        <v>42668.649340277778</v>
      </c>
      <c r="J184" s="7">
        <v>0</v>
      </c>
      <c r="K184" s="112" t="str">
        <f t="shared" si="36"/>
        <v>4053/4054</v>
      </c>
      <c r="L184" s="22" t="str">
        <f>VLOOKUP(A184,'Trips&amp;Operators'!$C$1:$E$10000,3,FALSE)</f>
        <v>NICHOLSON</v>
      </c>
      <c r="M184" s="6">
        <f t="shared" si="37"/>
        <v>9.4444444475811906E-3</v>
      </c>
      <c r="N184" s="7">
        <f t="shared" si="38"/>
        <v>13.600000004516914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13:58:05-0600',mode:absolute,to:'2016-10-25 16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4" s="52" t="str">
        <f t="shared" si="42"/>
        <v>N</v>
      </c>
      <c r="X184" s="171">
        <f t="shared" si="43"/>
        <v>1</v>
      </c>
      <c r="Y184" s="67">
        <f t="shared" si="44"/>
        <v>9.6699999999999994E-2</v>
      </c>
      <c r="Z184" s="67">
        <f t="shared" si="45"/>
        <v>5.8944000000000001</v>
      </c>
      <c r="AA184" s="67">
        <f t="shared" si="46"/>
        <v>5.7976999999999999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0825-25</v>
      </c>
      <c r="AE184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4" s="88" t="str">
        <f t="shared" si="49"/>
        <v>"C:\Program Files (x86)\AstroGrep\AstroGrep.exe" /spath="%USERPROFILE%\AppData\Local\Temp\OnboardLogs" /stypes="app*4053*20161025*" /stext=" 21:.+((SYSTEM_STATE.+slice.+state.+changed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825-25 --locoid 4053 --swversion DE.1.0.7.0 --startMP 204:967 --initTime 2016-10-25T14:58:05 --startdatetime 2016-10-25T15:21:27 --delay 1 --endMP 300:58944 --enddatetime 2016-10-25T15:35:03 --enforcementcount 0 &gt;&gt;C:\Users\stu\Documents\GitHub\eaglep3-reporting\EC\2016-10-25-refined-times.txt</v>
      </c>
      <c r="AI184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{"issue":{"subject":"","project_id":79,"tracker_id":40,"status_id":1,"priority_id":2,"assigned_to_id":23,"start_date":"2016-10-25","description":"","custom_fields":[{"id":1,"name":"Subdivision","value":"NW"},{"id":4,"name":"Milepost","value":"5.8944"},{"id":17,"name":"Train ID","value":"825-25"},{"id":16,"name":"Locomotive ID","value":"4053"},{"id":130,"name":"Impact","value":""},{"id":150,"name":"Time of Event (Mountain Time)","value":"15:35:03"},{"id":151,"name":"Denver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560</v>
      </c>
      <c r="B185" s="7">
        <v>4054</v>
      </c>
      <c r="C185" s="22" t="s">
        <v>99</v>
      </c>
      <c r="D185" s="22" t="s">
        <v>763</v>
      </c>
      <c r="E185" s="13">
        <v>42668.650763888887</v>
      </c>
      <c r="F185" s="13">
        <v>42668.652881944443</v>
      </c>
      <c r="G185" s="7">
        <v>1</v>
      </c>
      <c r="H185" s="13" t="s">
        <v>765</v>
      </c>
      <c r="I185" s="13">
        <v>42668.6643287037</v>
      </c>
      <c r="J185" s="7">
        <v>0</v>
      </c>
      <c r="K185" s="112" t="str">
        <f t="shared" si="36"/>
        <v>4053/4054</v>
      </c>
      <c r="L185" s="22" t="str">
        <f>VLOOKUP(A185,'Trips&amp;Operators'!$C$1:$E$10000,3,FALSE)</f>
        <v>NICHOLSON</v>
      </c>
      <c r="M185" s="6">
        <f t="shared" si="37"/>
        <v>1.1446759257523809E-2</v>
      </c>
      <c r="N185" s="7">
        <f t="shared" si="38"/>
        <v>16.483333330834284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14:37:06-0600',mode:absolute,to:'2016-10-25 16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5" s="52" t="str">
        <f t="shared" si="42"/>
        <v>N</v>
      </c>
      <c r="X185" s="171">
        <f t="shared" si="43"/>
        <v>1</v>
      </c>
      <c r="Y185" s="67">
        <f t="shared" si="44"/>
        <v>5.8635999999999999</v>
      </c>
      <c r="Z185" s="67">
        <f t="shared" si="45"/>
        <v>6.7699999999999996E-2</v>
      </c>
      <c r="AA185" s="67">
        <f t="shared" si="46"/>
        <v>5.7958999999999996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0826-25</v>
      </c>
      <c r="AE185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5" s="88" t="str">
        <f t="shared" si="49"/>
        <v>"C:\Program Files (x86)\AstroGrep\AstroGrep.exe" /spath="%USERPROFILE%\AppData\Local\Temp\OnboardLogs" /stypes="app*4054*20161025*" /stext=" 21:.+((SYSTEM_STATE.+slice.+state.+changed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826-25 --locoid 4054 --swversion DE.1.0.7.0 --startMP 300:58636 --initTime 2016-10-25T15:37:06 --startdatetime 2016-10-25T15:40:09 --delay 1 --endMP 204:677 --enddatetime 2016-10-25T15:56:38 --enforcementcount 0 &gt;&gt;C:\Users\stu\Documents\GitHub\eaglep3-reporting\EC\2016-10-25-refined-times.txt</v>
      </c>
      <c r="AI185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{"issue":{"subject":"","project_id":79,"tracker_id":40,"status_id":1,"priority_id":2,"assigned_to_id":23,"start_date":"2016-10-25","description":"","custom_fields":[{"id":1,"name":"Subdivision","value":"NW"},{"id":4,"name":"Milepost","value":"0.0677"},{"id":17,"name":"Train ID","value":"826-25"},{"id":16,"name":"Locomotive ID","value":"4054"},{"id":130,"name":"Impact","value":""},{"id":150,"name":"Time of Event (Mountain Time)","value":"15:56:38"},{"id":151,"name":"Denver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561</v>
      </c>
      <c r="B186" s="7">
        <v>4029</v>
      </c>
      <c r="C186" s="22" t="s">
        <v>99</v>
      </c>
      <c r="D186" s="22" t="s">
        <v>766</v>
      </c>
      <c r="E186" s="13">
        <v>42668.663506944446</v>
      </c>
      <c r="F186" s="13">
        <v>42668.664699074077</v>
      </c>
      <c r="G186" s="7">
        <v>1</v>
      </c>
      <c r="H186" s="13" t="s">
        <v>339</v>
      </c>
      <c r="I186" s="13">
        <v>42668.673055555555</v>
      </c>
      <c r="J186" s="7">
        <v>0</v>
      </c>
      <c r="K186" s="112" t="str">
        <f t="shared" si="36"/>
        <v>4029/4030</v>
      </c>
      <c r="L186" s="22" t="str">
        <f>VLOOKUP(A186,'Trips&amp;Operators'!$C$1:$E$10000,3,FALSE)</f>
        <v>MAHAN</v>
      </c>
      <c r="M186" s="6">
        <f t="shared" si="37"/>
        <v>8.3564814776764251E-3</v>
      </c>
      <c r="N186" s="7"/>
      <c r="O186" s="7"/>
      <c r="P186" s="7">
        <f t="shared" si="38"/>
        <v>12.033333327854052</v>
      </c>
      <c r="Q186" s="23"/>
      <c r="R186" s="23" t="s">
        <v>810</v>
      </c>
      <c r="S186" s="35">
        <f t="shared" si="39"/>
        <v>1</v>
      </c>
      <c r="T186" s="50" t="str">
        <f t="shared" si="40"/>
        <v>NorthBound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14:55:27-0600',mode:absolute,to:'2016-10-25 17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52" t="str">
        <f t="shared" si="42"/>
        <v>Y</v>
      </c>
      <c r="X186" s="171">
        <f t="shared" si="43"/>
        <v>1</v>
      </c>
      <c r="Y186" s="67">
        <f t="shared" si="44"/>
        <v>0.90939999999999999</v>
      </c>
      <c r="Z186" s="67">
        <f t="shared" si="45"/>
        <v>5.8954000000000004</v>
      </c>
      <c r="AA186" s="67">
        <f t="shared" si="46"/>
        <v>4.9860000000000007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0827-25</v>
      </c>
      <c r="AE186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86" s="88" t="str">
        <f t="shared" si="49"/>
        <v>"C:\Program Files (x86)\AstroGrep\AstroGrep.exe" /spath="%USERPROFILE%\AppData\Local\Temp\OnboardLogs" /stypes="app*4029*20161025*" /stext=" 22:.+((SYSTEM_STATE.+slice.+state.+changed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827-25 --locoid 4029 --swversion DE.1.0.7.0 --startMP 300:9094 --initTime 2016-10-25T15:55:27 --startdatetime 2016-10-25T15:57:10 --delay 1 --endMP 300:58954 --enddatetime 2016-10-25T16:09:12 --enforcementcount 0 &gt;&gt;C:\Users\stu\Documents\GitHub\eaglep3-reporting\EC\2016-10-25-refined-times.txt</v>
      </c>
      <c r="AI186" s="122" t="str">
        <f t="shared" si="52"/>
        <v>echo {"issue":{"subject":"CCROC/crew/equipment not associated in TMDS (dispatcher error)","project_id":79,"tracker_id":40,"status_id":1,"priority_id":2,"assigned_to_id":23,"start_date":"2016-10-25","description":"Multiple init attempts in the 2016-10-25 15:38:08.000-2016-10-25 15:56:10.000 timeframe. A few unsuccesful due to office commanded cut outs, which almost always indicate CCROC/equipment/crew not being associated correctly","custom_fields":[{"id":1,"name":"Subdivision","value":"NW"},{"id":4,"name":"Milepost","value":"5.8954"},{"id":17,"name":"Train ID","value":"827-25"},{"id":16,"name":"Locomotive ID","value":"4029"},{"id":130,"name":"Impact","value":"Initialization Problem"},{"id":150,"name":"Time of Event (Mountain Time)","value":"16:09:12"},{"id":151,"name":"Denver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86" s="53" t="s">
        <v>815</v>
      </c>
      <c r="AK186" s="53" t="s">
        <v>134</v>
      </c>
      <c r="AL186" s="53" t="s">
        <v>144</v>
      </c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569</v>
      </c>
      <c r="B187" s="7">
        <v>4030</v>
      </c>
      <c r="C187" s="22" t="s">
        <v>99</v>
      </c>
      <c r="D187" s="22" t="s">
        <v>767</v>
      </c>
      <c r="E187" s="13">
        <v>42668.673981481479</v>
      </c>
      <c r="F187" s="13">
        <v>42668.675694444442</v>
      </c>
      <c r="G187" s="7">
        <v>1</v>
      </c>
      <c r="H187" s="13" t="s">
        <v>768</v>
      </c>
      <c r="I187" s="13">
        <v>42668.68540509259</v>
      </c>
      <c r="J187" s="7">
        <v>0</v>
      </c>
      <c r="K187" s="112" t="str">
        <f t="shared" si="36"/>
        <v>4029/4030</v>
      </c>
      <c r="L187" s="22" t="str">
        <f>VLOOKUP(A187,'Trips&amp;Operators'!$C$1:$E$10000,3,FALSE)</f>
        <v>MAHAN</v>
      </c>
      <c r="M187" s="6">
        <f t="shared" si="37"/>
        <v>9.710648148029577E-3</v>
      </c>
      <c r="N187" s="7">
        <f t="shared" si="38"/>
        <v>13.983333333162591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15:10:32-0600',mode:absolute,to:'2016-10-25 17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52" t="str">
        <f t="shared" si="42"/>
        <v>N</v>
      </c>
      <c r="X187" s="171">
        <f t="shared" si="43"/>
        <v>1</v>
      </c>
      <c r="Y187" s="67">
        <f t="shared" si="44"/>
        <v>5.8648999999999996</v>
      </c>
      <c r="Z187" s="67">
        <f t="shared" si="45"/>
        <v>7.8299999999999995E-2</v>
      </c>
      <c r="AA187" s="67">
        <f t="shared" si="46"/>
        <v>5.7866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0828-25</v>
      </c>
      <c r="AE187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87" s="88" t="str">
        <f t="shared" si="49"/>
        <v>"C:\Program Files (x86)\AstroGrep\AstroGrep.exe" /spath="%USERPROFILE%\AppData\Local\Temp\OnboardLogs" /stypes="app*4030*20161025*" /stext=" 22:.+((SYSTEM_STATE.+slice.+state.+changed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828-25 --locoid 4030 --swversion DE.1.0.7.0 --startMP 300:58649 --initTime 2016-10-25T16:10:32 --startdatetime 2016-10-25T16:13:00 --delay 1 --endMP 204:783 --enddatetime 2016-10-25T16:26:59 --enforcementcount 0 &gt;&gt;C:\Users\stu\Documents\GitHub\eaglep3-reporting\EC\2016-10-25-refined-times.txt</v>
      </c>
      <c r="AI187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{"issue":{"subject":"","project_id":79,"tracker_id":40,"status_id":1,"priority_id":2,"assigned_to_id":23,"start_date":"2016-10-25","description":"","custom_fields":[{"id":1,"name":"Subdivision","value":"NW"},{"id":4,"name":"Milepost","value":"0.0783"},{"id":17,"name":"Train ID","value":"828-25"},{"id":16,"name":"Locomotive ID","value":"4030"},{"id":130,"name":"Impact","value":""},{"id":150,"name":"Time of Event (Mountain Time)","value":"16:26:59"},{"id":151,"name":"Denver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565</v>
      </c>
      <c r="B188" s="7">
        <v>4053</v>
      </c>
      <c r="C188" s="22" t="s">
        <v>99</v>
      </c>
      <c r="D188" s="22" t="s">
        <v>394</v>
      </c>
      <c r="E188" s="13">
        <v>42668.666203703702</v>
      </c>
      <c r="F188" s="13">
        <v>42668.681493055556</v>
      </c>
      <c r="G188" s="7">
        <v>1</v>
      </c>
      <c r="H188" s="13" t="s">
        <v>401</v>
      </c>
      <c r="I188" s="13">
        <v>42668.691736111112</v>
      </c>
      <c r="J188" s="7">
        <v>0</v>
      </c>
      <c r="K188" s="112" t="str">
        <f t="shared" si="36"/>
        <v>4053/4054</v>
      </c>
      <c r="L188" s="22" t="str">
        <f>VLOOKUP(A188,'Trips&amp;Operators'!$C$1:$E$10000,3,FALSE)</f>
        <v>NICHOLSON</v>
      </c>
      <c r="M188" s="6">
        <f t="shared" si="37"/>
        <v>1.0243055556202307E-2</v>
      </c>
      <c r="N188" s="7">
        <f t="shared" si="38"/>
        <v>14.750000000931323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14:59:20-0600',mode:absolute,to:'2016-10-25 17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8" s="52" t="str">
        <f t="shared" si="42"/>
        <v>N</v>
      </c>
      <c r="X188" s="171">
        <f t="shared" si="43"/>
        <v>1</v>
      </c>
      <c r="Y188" s="67">
        <f t="shared" si="44"/>
        <v>9.7199999999999995E-2</v>
      </c>
      <c r="Z188" s="67">
        <f t="shared" si="45"/>
        <v>5.8943000000000003</v>
      </c>
      <c r="AA188" s="67">
        <f t="shared" si="46"/>
        <v>5.7971000000000004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0829-25</v>
      </c>
      <c r="AE188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88" s="88" t="str">
        <f t="shared" si="49"/>
        <v>"C:\Program Files (x86)\AstroGrep\AstroGrep.exe" /spath="%USERPROFILE%\AppData\Local\Temp\OnboardLogs" /stypes="app*4053*20161025*" /stext=" 22:.+((SYSTEM_STATE.+slice.+state.+changed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829-25 --locoid 4053 --swversion DE.1.0.7.0 --startMP 204:972 --initTime 2016-10-25T15:59:20 --startdatetime 2016-10-25T16:21:21 --delay 1 --endMP 300:58943 --enddatetime 2016-10-25T16:36:06 --enforcementcount 0 &gt;&gt;C:\Users\stu\Documents\GitHub\eaglep3-reporting\EC\2016-10-25-refined-times.txt</v>
      </c>
      <c r="AI188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{"issue":{"subject":"","project_id":79,"tracker_id":40,"status_id":1,"priority_id":2,"assigned_to_id":23,"start_date":"2016-10-25","description":"","custom_fields":[{"id":1,"name":"Subdivision","value":"NW"},{"id":4,"name":"Milepost","value":"5.8943"},{"id":17,"name":"Train ID","value":"829-25"},{"id":16,"name":"Locomotive ID","value":"4053"},{"id":130,"name":"Impact","value":""},{"id":150,"name":"Time of Event (Mountain Time)","value":"16:36:06"},{"id":151,"name":"Denver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572</v>
      </c>
      <c r="B189" s="7">
        <v>4054</v>
      </c>
      <c r="C189" s="22" t="s">
        <v>99</v>
      </c>
      <c r="D189" s="22" t="s">
        <v>769</v>
      </c>
      <c r="E189" s="13">
        <v>42668.703599537039</v>
      </c>
      <c r="F189" s="13">
        <v>42668.705289351848</v>
      </c>
      <c r="G189" s="7">
        <v>1</v>
      </c>
      <c r="H189" s="13" t="s">
        <v>397</v>
      </c>
      <c r="I189" s="13">
        <v>42668.712453703702</v>
      </c>
      <c r="J189" s="7">
        <v>0</v>
      </c>
      <c r="K189" s="112" t="str">
        <f t="shared" si="36"/>
        <v>4053/4054</v>
      </c>
      <c r="L189" s="22" t="str">
        <f>VLOOKUP(A189,'Trips&amp;Operators'!$C$1:$E$10000,3,FALSE)</f>
        <v>NICHOLSON</v>
      </c>
      <c r="M189" s="6">
        <f t="shared" si="37"/>
        <v>7.1643518531345762E-3</v>
      </c>
      <c r="N189" s="7"/>
      <c r="O189" s="7"/>
      <c r="P189" s="7">
        <f t="shared" si="38"/>
        <v>10.31666666851379</v>
      </c>
      <c r="Q189" s="23"/>
      <c r="R189" s="23" t="s">
        <v>817</v>
      </c>
      <c r="S189" s="35">
        <f t="shared" si="39"/>
        <v>1</v>
      </c>
      <c r="T189" s="50" t="str">
        <f t="shared" si="40"/>
        <v>Southbound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15:53:11-0600',mode:absolute,to:'2016-10-25 18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9" s="52" t="str">
        <f t="shared" si="42"/>
        <v>Y</v>
      </c>
      <c r="X189" s="171">
        <f t="shared" si="43"/>
        <v>1</v>
      </c>
      <c r="Y189" s="67">
        <f t="shared" si="44"/>
        <v>3.9239999999999999</v>
      </c>
      <c r="Z189" s="67">
        <f t="shared" si="45"/>
        <v>6.7500000000000004E-2</v>
      </c>
      <c r="AA189" s="67">
        <f t="shared" si="46"/>
        <v>3.8565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0830-25</v>
      </c>
      <c r="AE189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89" s="88" t="str">
        <f t="shared" si="49"/>
        <v>"C:\Program Files (x86)\AstroGrep\AstroGrep.exe" /spath="%USERPROFILE%\AppData\Local\Temp\OnboardLogs" /stypes="app*4054*20161025*" /stext=" 23:.+((SYSTEM_STATE.+slice.+state.+changed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830-25 --locoid 4054 --swversion DE.1.0.7.0 --startMP 300:39240 --initTime 2016-10-25T16:53:11 --startdatetime 2016-10-25T16:55:37 --delay 1 --endMP 204:675 --enddatetime 2016-10-25T17:05:56 --enforcementcount 0 &gt;&gt;C:\Users\stu\Documents\GitHub\eaglep3-reporting\EC\2016-10-25-refined-times.txt</v>
      </c>
      <c r="AI189" s="122" t="str">
        <f t="shared" si="52"/>
        <v>echo {"issue":{"subject":"Onboard in-route failure","project_id":79,"tracker_id":40,"status_id":1,"priority_id":2,"assigned_to_id":23,"start_date":"2016-10-25","description":"multiple cpu faults around 2016-10-25 16:43:45.000 ","custom_fields":[{"id":1,"name":"Subdivision","value":"NW"},{"id":4,"name":"Milepost","value":"0.0675"},{"id":17,"name":"Train ID","value":"830-25"},{"id":16,"name":"Locomotive ID","value":"4054"},{"id":130,"name":"Impact","value":"Failed State"},{"id":150,"name":"Time of Event (Mountain Time)","value":"17:05:56"},{"id":151,"name":"Denver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9" s="53" t="s">
        <v>816</v>
      </c>
      <c r="AK189" s="53" t="s">
        <v>129</v>
      </c>
      <c r="AL189" s="53" t="s">
        <v>179</v>
      </c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573</v>
      </c>
      <c r="B190" s="7">
        <v>4029</v>
      </c>
      <c r="C190" s="22" t="s">
        <v>99</v>
      </c>
      <c r="D190" s="22" t="s">
        <v>770</v>
      </c>
      <c r="E190" s="13">
        <v>42668.697326388887</v>
      </c>
      <c r="F190" s="13">
        <v>42668.702511574076</v>
      </c>
      <c r="G190" s="7">
        <v>1</v>
      </c>
      <c r="H190" s="13" t="s">
        <v>771</v>
      </c>
      <c r="I190" s="13">
        <v>42668.712511574071</v>
      </c>
      <c r="J190" s="7">
        <v>0</v>
      </c>
      <c r="K190" s="112" t="str">
        <f t="shared" si="36"/>
        <v>4029/4030</v>
      </c>
      <c r="L190" s="22" t="str">
        <f>VLOOKUP(A190,'Trips&amp;Operators'!$C$1:$E$10000,3,FALSE)</f>
        <v>MAHAN</v>
      </c>
      <c r="M190" s="6">
        <f t="shared" si="37"/>
        <v>9.9999999947613105E-3</v>
      </c>
      <c r="N190" s="7">
        <f t="shared" si="38"/>
        <v>14.399999992456287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15:44:09-0600',mode:absolute,to:'2016-10-25 18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0" s="52" t="str">
        <f t="shared" si="42"/>
        <v>N</v>
      </c>
      <c r="X190" s="171">
        <f t="shared" si="43"/>
        <v>1</v>
      </c>
      <c r="Y190" s="67">
        <f t="shared" si="44"/>
        <v>0.1086</v>
      </c>
      <c r="Z190" s="67">
        <f t="shared" si="45"/>
        <v>5.8971</v>
      </c>
      <c r="AA190" s="67">
        <f t="shared" si="46"/>
        <v>5.7885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0831-25</v>
      </c>
      <c r="AE190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90" s="88" t="str">
        <f t="shared" si="49"/>
        <v>"C:\Program Files (x86)\AstroGrep\AstroGrep.exe" /spath="%USERPROFILE%\AppData\Local\Temp\OnboardLogs" /stypes="app*4029*20161025*" /stext=" 23:.+((SYSTEM_STATE.+slice.+state.+changed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831-25 --locoid 4029 --swversion DE.1.0.7.0 --startMP 204:1086 --initTime 2016-10-25T16:44:09 --startdatetime 2016-10-25T16:51:37 --delay 1 --endMP 300:58971 --enddatetime 2016-10-25T17:06:01 --enforcementcount 0 &gt;&gt;C:\Users\stu\Documents\GitHub\eaglep3-reporting\EC\2016-10-25-refined-times.txt</v>
      </c>
      <c r="AI19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{"issue":{"subject":"","project_id":79,"tracker_id":40,"status_id":1,"priority_id":2,"assigned_to_id":23,"start_date":"2016-10-25","description":"","custom_fields":[{"id":1,"name":"Subdivision","value":"NW"},{"id":4,"name":"Milepost","value":"5.8971"},{"id":17,"name":"Train ID","value":"831-25"},{"id":16,"name":"Locomotive ID","value":"4029"},{"id":130,"name":"Impact","value":""},{"id":150,"name":"Time of Event (Mountain Time)","value":"17:06:01"},{"id":151,"name":"Denver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576</v>
      </c>
      <c r="B191" s="7">
        <v>4030</v>
      </c>
      <c r="C191" s="22" t="s">
        <v>99</v>
      </c>
      <c r="D191" s="22" t="s">
        <v>772</v>
      </c>
      <c r="E191" s="13">
        <v>42668.713483796295</v>
      </c>
      <c r="F191" s="13">
        <v>42668.715150462966</v>
      </c>
      <c r="G191" s="7">
        <v>1</v>
      </c>
      <c r="H191" s="13" t="s">
        <v>362</v>
      </c>
      <c r="I191" s="13">
        <v>42668.726678240739</v>
      </c>
      <c r="J191" s="7">
        <v>0</v>
      </c>
      <c r="K191" s="112" t="str">
        <f t="shared" si="36"/>
        <v>4029/4030</v>
      </c>
      <c r="L191" s="22" t="str">
        <f>VLOOKUP(A191,'Trips&amp;Operators'!$C$1:$E$10000,3,FALSE)</f>
        <v>MAHAN</v>
      </c>
      <c r="M191" s="6">
        <f t="shared" si="37"/>
        <v>1.1527777773153502E-2</v>
      </c>
      <c r="N191" s="7">
        <f t="shared" si="38"/>
        <v>16.599999993341044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16:07:25-0600',mode:absolute,to:'2016-10-25 18:26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si="42"/>
        <v>N</v>
      </c>
      <c r="X191" s="171">
        <f t="shared" si="43"/>
        <v>1</v>
      </c>
      <c r="Y191" s="67">
        <f t="shared" si="44"/>
        <v>5.8647</v>
      </c>
      <c r="Z191" s="67">
        <f t="shared" si="45"/>
        <v>7.85E-2</v>
      </c>
      <c r="AA191" s="67">
        <f t="shared" si="46"/>
        <v>5.7862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0832-25</v>
      </c>
      <c r="AE191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91" s="88" t="str">
        <f t="shared" si="49"/>
        <v>"C:\Program Files (x86)\AstroGrep\AstroGrep.exe" /spath="%USERPROFILE%\AppData\Local\Temp\OnboardLogs" /stypes="app*4030*20161025*" /stext=" 23:.+((SYSTEM_STATE.+slice.+state.+changed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832-25 --locoid 4030 --swversion DE.1.0.7.0 --startMP 300:58647 --initTime 2016-10-25T17:07:25 --startdatetime 2016-10-25T17:09:49 --delay 1 --endMP 204:785 --enddatetime 2016-10-25T17:26:25 --enforcementcount 0 &gt;&gt;C:\Users\stu\Documents\GitHub\eaglep3-reporting\EC\2016-10-25-refined-times.txt</v>
      </c>
      <c r="AI19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{"issue":{"subject":"","project_id":79,"tracker_id":40,"status_id":1,"priority_id":2,"assigned_to_id":23,"start_date":"2016-10-25","description":"","custom_fields":[{"id":1,"name":"Subdivision","value":"NW"},{"id":4,"name":"Milepost","value":"0.0785"},{"id":17,"name":"Train ID","value":"832-25"},{"id":16,"name":"Locomotive ID","value":"4030"},{"id":130,"name":"Impact","value":""},{"id":150,"name":"Time of Event (Mountain Time)","value":"17:26:25"},{"id":151,"name":"Denver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577</v>
      </c>
      <c r="B192" s="7">
        <v>4053</v>
      </c>
      <c r="C192" s="22" t="s">
        <v>99</v>
      </c>
      <c r="D192" s="22" t="s">
        <v>400</v>
      </c>
      <c r="E192" s="13">
        <v>42668.715069444443</v>
      </c>
      <c r="F192" s="13">
        <v>42668.723171296297</v>
      </c>
      <c r="G192" s="7">
        <v>2</v>
      </c>
      <c r="H192" s="13" t="s">
        <v>764</v>
      </c>
      <c r="I192" s="13">
        <v>42668.733287037037</v>
      </c>
      <c r="J192" s="7">
        <v>0</v>
      </c>
      <c r="K192" s="112" t="str">
        <f t="shared" si="36"/>
        <v>4053/4054</v>
      </c>
      <c r="L192" s="22" t="str">
        <f>VLOOKUP(A192,'Trips&amp;Operators'!$C$1:$E$10000,3,FALSE)</f>
        <v>NICHOLSON</v>
      </c>
      <c r="M192" s="6">
        <f t="shared" si="37"/>
        <v>1.0115740740729962E-2</v>
      </c>
      <c r="N192" s="7">
        <f t="shared" si="38"/>
        <v>14.566666666651145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16:09:42-0600',mode:absolute,to:'2016-10-25 18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2" s="52" t="str">
        <f t="shared" si="42"/>
        <v>N</v>
      </c>
      <c r="X192" s="171">
        <f t="shared" si="43"/>
        <v>1</v>
      </c>
      <c r="Y192" s="67">
        <f t="shared" si="44"/>
        <v>9.6699999999999994E-2</v>
      </c>
      <c r="Z192" s="67">
        <f t="shared" si="45"/>
        <v>5.8944000000000001</v>
      </c>
      <c r="AA192" s="67">
        <f t="shared" si="46"/>
        <v>5.7976999999999999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0833-25</v>
      </c>
      <c r="AE19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92" s="88" t="str">
        <f t="shared" si="49"/>
        <v>"C:\Program Files (x86)\AstroGrep\AstroGrep.exe" /spath="%USERPROFILE%\AppData\Local\Temp\OnboardLogs" /stypes="app*4053*20161025*" /stext=" 23:.+((SYSTEM_STATE.+slice.+state.+changed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833-25 --locoid 4053 --swversion DE.1.0.7.0 --startMP 204:967 --initTime 2016-10-25T17:09:42 --startdatetime 2016-10-25T17:21:22 --delay 2 --endMP 300:58944 --enddatetime 2016-10-25T17:35:56 --enforcementcount 0 &gt;&gt;C:\Users\stu\Documents\GitHub\eaglep3-reporting\EC\2016-10-25-refined-times.txt</v>
      </c>
      <c r="AI19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{"issue":{"subject":"","project_id":79,"tracker_id":40,"status_id":1,"priority_id":2,"assigned_to_id":23,"start_date":"2016-10-25","description":"","custom_fields":[{"id":1,"name":"Subdivision","value":"NW"},{"id":4,"name":"Milepost","value":"5.8944"},{"id":17,"name":"Train ID","value":"833-25"},{"id":16,"name":"Locomotive ID","value":"4053"},{"id":130,"name":"Impact","value":""},{"id":150,"name":"Time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583</v>
      </c>
      <c r="B193" s="7">
        <v>4054</v>
      </c>
      <c r="C193" s="22" t="s">
        <v>99</v>
      </c>
      <c r="D193" s="22" t="s">
        <v>402</v>
      </c>
      <c r="E193" s="13">
        <v>42668.734131944446</v>
      </c>
      <c r="F193" s="13">
        <v>42668.736076388886</v>
      </c>
      <c r="G193" s="7">
        <v>1</v>
      </c>
      <c r="H193" s="13" t="s">
        <v>765</v>
      </c>
      <c r="I193" s="13">
        <v>42668.747395833336</v>
      </c>
      <c r="J193" s="7">
        <v>0</v>
      </c>
      <c r="K193" s="112" t="str">
        <f t="shared" si="36"/>
        <v>4053/4054</v>
      </c>
      <c r="L193" s="22" t="str">
        <f>VLOOKUP(A193,'Trips&amp;Operators'!$C$1:$E$10000,3,FALSE)</f>
        <v>NICHOLSON</v>
      </c>
      <c r="M193" s="6">
        <f t="shared" si="37"/>
        <v>1.131944444932742E-2</v>
      </c>
      <c r="N193" s="7">
        <f t="shared" si="38"/>
        <v>16.300000007031485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16:37:09-0600',mode:absolute,to:'2016-10-25 18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3" s="52" t="str">
        <f t="shared" si="42"/>
        <v>N</v>
      </c>
      <c r="X193" s="171">
        <f t="shared" si="43"/>
        <v>1</v>
      </c>
      <c r="Y193" s="67">
        <f t="shared" si="44"/>
        <v>5.8625999999999996</v>
      </c>
      <c r="Z193" s="67">
        <f t="shared" si="45"/>
        <v>6.7699999999999996E-2</v>
      </c>
      <c r="AA193" s="67">
        <f t="shared" si="46"/>
        <v>5.7948999999999993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0834-25</v>
      </c>
      <c r="AE193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93" s="88" t="str">
        <f t="shared" si="49"/>
        <v>"C:\Program Files (x86)\AstroGrep\AstroGrep.exe" /spath="%USERPROFILE%\AppData\Local\Temp\OnboardLogs" /stypes="app*4054*20161025*" /stext=" 23:.+((SYSTEM_STATE.+slice.+state.+changed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834-25 --locoid 4054 --swversion DE.1.0.7.0 --startMP 300:58626 --initTime 2016-10-25T17:37:09 --startdatetime 2016-10-25T17:39:57 --delay 1 --endMP 204:677 --enddatetime 2016-10-25T17:56:15 --enforcementcount 0 &gt;&gt;C:\Users\stu\Documents\GitHub\eaglep3-reporting\EC\2016-10-25-refined-times.txt</v>
      </c>
      <c r="AI19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{"issue":{"subject":"","project_id":79,"tracker_id":40,"status_id":1,"priority_id":2,"assigned_to_id":23,"start_date":"2016-10-25","description":"","custom_fields":[{"id":1,"name":"Subdivision","value":"NW"},{"id":4,"name":"Milepost","value":"0.0677"},{"id":17,"name":"Train ID","value":"834-25"},{"id":16,"name":"Locomotive ID","value":"4054"},{"id":130,"name":"Impact","value":""},{"id":150,"name":"Time of Event (Mountain Time)","value":"17:56:15"},{"id":151,"name":"Denver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586</v>
      </c>
      <c r="B194" s="7">
        <v>4029</v>
      </c>
      <c r="C194" s="22" t="s">
        <v>99</v>
      </c>
      <c r="D194" s="22" t="s">
        <v>398</v>
      </c>
      <c r="E194" s="13">
        <v>42668.739675925928</v>
      </c>
      <c r="F194" s="13">
        <v>42668.744143518517</v>
      </c>
      <c r="G194" s="7">
        <v>1</v>
      </c>
      <c r="H194" s="13" t="s">
        <v>339</v>
      </c>
      <c r="I194" s="13">
        <v>42668.754155092596</v>
      </c>
      <c r="J194" s="7">
        <v>0</v>
      </c>
      <c r="K194" s="112" t="str">
        <f t="shared" si="36"/>
        <v>4029/4030</v>
      </c>
      <c r="L194" s="22" t="str">
        <f>VLOOKUP(A194,'Trips&amp;Operators'!$C$1:$E$10000,3,FALSE)</f>
        <v>MAHAN</v>
      </c>
      <c r="M194" s="6">
        <f t="shared" si="37"/>
        <v>1.0011574078816921E-2</v>
      </c>
      <c r="N194" s="7">
        <f t="shared" si="38"/>
        <v>14.416666673496366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16:45:08-0600',mode:absolute,to:'2016-10-25 19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4" s="52" t="str">
        <f t="shared" si="42"/>
        <v>N</v>
      </c>
      <c r="X194" s="171">
        <f t="shared" si="43"/>
        <v>1</v>
      </c>
      <c r="Y194" s="67">
        <f t="shared" si="44"/>
        <v>0.1056</v>
      </c>
      <c r="Z194" s="67">
        <f t="shared" si="45"/>
        <v>5.8954000000000004</v>
      </c>
      <c r="AA194" s="67">
        <f t="shared" si="46"/>
        <v>5.7898000000000005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0835-25</v>
      </c>
      <c r="AE194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94" s="88" t="str">
        <f t="shared" si="49"/>
        <v>"C:\Program Files (x86)\AstroGrep\AstroGrep.exe" /spath="%USERPROFILE%\AppData\Local\Temp\OnboardLogs" /stypes="app*4029*20161026*" /stext=" 00:.+((SYSTEM_STATE.+slice.+state.+changed )|(ment ac)|(system.+state.+changed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835-25 --locoid 4029 --swversion DE.1.0.7.0 --startMP 204:1056 --initTime 2016-10-25T17:45:08 --startdatetime 2016-10-25T17:51:34 --delay 1 --endMP 300:58954 --enddatetime 2016-10-25T18:05:59 --enforcementcount 0 &gt;&gt;C:\Users\stu\Documents\GitHub\eaglep3-reporting\EC\2016-10-25-refined-times.txt</v>
      </c>
      <c r="AI194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{"issue":{"subject":"","project_id":79,"tracker_id":40,"status_id":1,"priority_id":2,"assigned_to_id":23,"start_date":"2016-10-25","description":"","custom_fields":[{"id":1,"name":"Subdivision","value":"NW"},{"id":4,"name":"Milepost","value":"5.8954"},{"id":17,"name":"Train ID","value":"835-25"},{"id":16,"name":"Locomotive ID","value":"4029"},{"id":130,"name":"Impact","value":""},{"id":150,"name":"Time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590</v>
      </c>
      <c r="B195" s="7">
        <v>4030</v>
      </c>
      <c r="C195" s="22" t="s">
        <v>99</v>
      </c>
      <c r="D195" s="22" t="s">
        <v>773</v>
      </c>
      <c r="E195" s="13">
        <v>42668.755219907405</v>
      </c>
      <c r="F195" s="13">
        <v>42668.757291666669</v>
      </c>
      <c r="G195" s="7">
        <v>1</v>
      </c>
      <c r="H195" s="13" t="s">
        <v>382</v>
      </c>
      <c r="I195" s="13">
        <v>42668.768206018518</v>
      </c>
      <c r="J195" s="7">
        <v>0</v>
      </c>
      <c r="K195" s="112" t="str">
        <f t="shared" si="36"/>
        <v>4029/4030</v>
      </c>
      <c r="L195" s="22" t="str">
        <f>VLOOKUP(A195,'Trips&amp;Operators'!$C$1:$E$10000,3,FALSE)</f>
        <v>MAHAN</v>
      </c>
      <c r="M195" s="6">
        <f t="shared" si="37"/>
        <v>1.0914351849351078E-2</v>
      </c>
      <c r="N195" s="7">
        <f t="shared" si="38"/>
        <v>15.716666663065553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17:07:31-0600',mode:absolute,to:'2016-10-25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2" t="str">
        <f t="shared" si="42"/>
        <v>N</v>
      </c>
      <c r="X195" s="171">
        <f t="shared" si="43"/>
        <v>1</v>
      </c>
      <c r="Y195" s="67">
        <f t="shared" si="44"/>
        <v>5.8640999999999996</v>
      </c>
      <c r="Z195" s="67">
        <f t="shared" si="45"/>
        <v>7.6600000000000001E-2</v>
      </c>
      <c r="AA195" s="67">
        <f t="shared" si="46"/>
        <v>5.7874999999999996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0836-25</v>
      </c>
      <c r="AE195" s="91" t="str">
        <f t="shared" si="48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195" s="88" t="str">
        <f t="shared" si="49"/>
        <v>"C:\Program Files (x86)\AstroGrep\AstroGrep.exe" /spath="%USERPROFILE%\AppData\Local\Temp\OnboardLogs" /stypes="app*4030*20161026*" /stext=" 00:.+((SYSTEM_STATE.+slice.+state.+changed )|(ment ac)|(system.+state.+changed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836-25 --locoid 4030 --swversion DE.1.0.7.0 --startMP 300:58641 --initTime 2016-10-25T18:07:31 --startdatetime 2016-10-25T18:10:30 --delay 1 --endMP 204:766 --enddatetime 2016-10-25T18:26:13 --enforcementcount 0 &gt;&gt;C:\Users\stu\Documents\GitHub\eaglep3-reporting\EC\2016-10-25-refined-times.txt</v>
      </c>
      <c r="AI195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{"issue":{"subject":"","project_id":79,"tracker_id":40,"status_id":1,"priority_id":2,"assigned_to_id":23,"start_date":"2016-10-25","description":"","custom_fields":[{"id":1,"name":"Subdivision","value":"NW"},{"id":4,"name":"Milepost","value":"0.0766"},{"id":17,"name":"Train ID","value":"836-25"},{"id":16,"name":"Locomotive ID","value":"4030"},{"id":130,"name":"Impact","value":""},{"id":150,"name":"Time of Event (Mountain Time)","value":"18:26:13"},{"id":151,"name":"Denver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588</v>
      </c>
      <c r="B196" s="7">
        <v>4053</v>
      </c>
      <c r="C196" s="22" t="s">
        <v>99</v>
      </c>
      <c r="D196" s="22" t="s">
        <v>774</v>
      </c>
      <c r="E196" s="13">
        <v>42668.74931712963</v>
      </c>
      <c r="F196" s="13">
        <v>42668.764826388891</v>
      </c>
      <c r="G196" s="7">
        <v>1</v>
      </c>
      <c r="H196" s="13" t="s">
        <v>390</v>
      </c>
      <c r="I196" s="13">
        <v>42668.774710648147</v>
      </c>
      <c r="J196" s="7">
        <v>0</v>
      </c>
      <c r="K196" s="112" t="str">
        <f t="shared" si="36"/>
        <v>4053/4054</v>
      </c>
      <c r="L196" s="22" t="str">
        <f>VLOOKUP(A196,'Trips&amp;Operators'!$C$1:$E$10000,3,FALSE)</f>
        <v>NICHOLSON</v>
      </c>
      <c r="M196" s="6">
        <f t="shared" si="37"/>
        <v>9.8842592560686171E-3</v>
      </c>
      <c r="N196" s="7">
        <f t="shared" si="38"/>
        <v>14.233333328738809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16:59:01-0600',mode:absolute,to:'2016-10-25 19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6" s="52" t="str">
        <f t="shared" si="42"/>
        <v>N</v>
      </c>
      <c r="X196" s="171">
        <f t="shared" si="43"/>
        <v>1</v>
      </c>
      <c r="Y196" s="67">
        <f t="shared" si="44"/>
        <v>9.8100000000000007E-2</v>
      </c>
      <c r="Z196" s="67">
        <f t="shared" si="45"/>
        <v>5.8940999999999999</v>
      </c>
      <c r="AA196" s="67">
        <f t="shared" si="46"/>
        <v>5.7960000000000003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0837-25</v>
      </c>
      <c r="AE196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196" s="88" t="str">
        <f t="shared" si="49"/>
        <v>"C:\Program Files (x86)\AstroGrep\AstroGrep.exe" /spath="%USERPROFILE%\AppData\Local\Temp\OnboardLogs" /stypes="app*4053*20161026*" /stext=" 00:.+((SYSTEM_STATE.+slice.+state.+changed )|(ment ac)|(system.+state.+changed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837-25 --locoid 4053 --swversion DE.1.0.7.0 --startMP 204:981 --initTime 2016-10-25T17:59:01 --startdatetime 2016-10-25T18:21:21 --delay 1 --endMP 300:58941 --enddatetime 2016-10-25T18:35:35 --enforcementcount 0 &gt;&gt;C:\Users\stu\Documents\GitHub\eaglep3-reporting\EC\2016-10-25-refined-times.txt</v>
      </c>
      <c r="AI196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{"issue":{"subject":"","project_id":79,"tracker_id":40,"status_id":1,"priority_id":2,"assigned_to_id":23,"start_date":"2016-10-25","description":"","custom_fields":[{"id":1,"name":"Subdivision","value":"NW"},{"id":4,"name":"Milepost","value":"5.8941"},{"id":17,"name":"Train ID","value":"837-25"},{"id":16,"name":"Locomotive ID","value":"4053"},{"id":130,"name":"Impact","value":""},{"id":150,"name":"Time of Event (Mountain Time)","value":"18:35:35"},{"id":151,"name":"Denver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595</v>
      </c>
      <c r="B197" s="7">
        <v>4054</v>
      </c>
      <c r="C197" s="22" t="s">
        <v>99</v>
      </c>
      <c r="D197" s="22" t="s">
        <v>775</v>
      </c>
      <c r="E197" s="13">
        <v>42668.775925925926</v>
      </c>
      <c r="F197" s="13">
        <v>42668.777719907404</v>
      </c>
      <c r="G197" s="7">
        <v>1</v>
      </c>
      <c r="H197" s="13" t="s">
        <v>776</v>
      </c>
      <c r="I197" s="13">
        <v>42668.790138888886</v>
      </c>
      <c r="J197" s="7">
        <v>0</v>
      </c>
      <c r="K197" s="112" t="str">
        <f t="shared" si="36"/>
        <v>4053/4054</v>
      </c>
      <c r="L197" s="22" t="str">
        <f>VLOOKUP(A197,'Trips&amp;Operators'!$C$1:$E$10000,3,FALSE)</f>
        <v>NICHOLSON</v>
      </c>
      <c r="M197" s="6">
        <f t="shared" si="37"/>
        <v>1.2418981481459923E-2</v>
      </c>
      <c r="N197" s="7">
        <f t="shared" si="38"/>
        <v>17.883333333302289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17:37:20-0600',mode:absolute,to:'2016-10-25 19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7" s="52" t="str">
        <f t="shared" si="42"/>
        <v>N</v>
      </c>
      <c r="X197" s="171">
        <f t="shared" si="43"/>
        <v>1</v>
      </c>
      <c r="Y197" s="67">
        <f t="shared" si="44"/>
        <v>5.8624000000000001</v>
      </c>
      <c r="Z197" s="67">
        <f t="shared" si="45"/>
        <v>6.8500000000000005E-2</v>
      </c>
      <c r="AA197" s="67">
        <f t="shared" si="46"/>
        <v>5.7938999999999998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0838-25</v>
      </c>
      <c r="AE197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97" s="88" t="str">
        <f t="shared" si="49"/>
        <v>"C:\Program Files (x86)\AstroGrep\AstroGrep.exe" /spath="%USERPROFILE%\AppData\Local\Temp\OnboardLogs" /stypes="app*4054*20161026*" /stext=" 00:.+((SYSTEM_STATE.+slice.+state.+changed )|(ment ac)|(system.+state.+changed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838-25 --locoid 4054 --swversion DE.1.0.7.0 --startMP 300:58624 --initTime 2016-10-25T18:37:20 --startdatetime 2016-10-25T18:39:55 --delay 1 --endMP 204:685 --enddatetime 2016-10-25T18:57:48 --enforcementcount 0 &gt;&gt;C:\Users\stu\Documents\GitHub\eaglep3-reporting\EC\2016-10-25-refined-times.txt</v>
      </c>
      <c r="AI197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{"issue":{"subject":"","project_id":79,"tracker_id":40,"status_id":1,"priority_id":2,"assigned_to_id":23,"start_date":"2016-10-25","description":"","custom_fields":[{"id":1,"name":"Subdivision","value":"NW"},{"id":4,"name":"Milepost","value":"0.0685"},{"id":17,"name":"Train ID","value":"838-25"},{"id":16,"name":"Locomotive ID","value":"4054"},{"id":130,"name":"Impact","value":""},{"id":150,"name":"Time of Event (Mountain Time)","value":"18:57:48"},{"id":151,"name":"Denver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597</v>
      </c>
      <c r="B198" s="7">
        <v>4029</v>
      </c>
      <c r="C198" s="22" t="s">
        <v>99</v>
      </c>
      <c r="D198" s="22" t="s">
        <v>777</v>
      </c>
      <c r="E198" s="13">
        <v>42668.782650462963</v>
      </c>
      <c r="F198" s="13">
        <v>42668.786400462966</v>
      </c>
      <c r="G198" s="7">
        <v>1</v>
      </c>
      <c r="H198" s="13" t="s">
        <v>778</v>
      </c>
      <c r="I198" s="13">
        <v>42668.796666666669</v>
      </c>
      <c r="J198" s="7">
        <v>0</v>
      </c>
      <c r="K198" s="112" t="str">
        <f t="shared" si="36"/>
        <v>4029/4030</v>
      </c>
      <c r="L198" s="22" t="str">
        <f>VLOOKUP(A198,'Trips&amp;Operators'!$C$1:$E$10000,3,FALSE)</f>
        <v>MAHAN</v>
      </c>
      <c r="M198" s="6">
        <f t="shared" si="37"/>
        <v>1.0266203702485655E-2</v>
      </c>
      <c r="N198" s="7">
        <f t="shared" si="38"/>
        <v>14.783333331579342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17:47:01-0600',mode:absolute,to:'2016-10-25 20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8" s="52" t="str">
        <f t="shared" si="42"/>
        <v>N</v>
      </c>
      <c r="X198" s="171">
        <f t="shared" si="43"/>
        <v>1</v>
      </c>
      <c r="Y198" s="67">
        <f t="shared" si="44"/>
        <v>0.1069</v>
      </c>
      <c r="Z198" s="67">
        <f t="shared" si="45"/>
        <v>5.8958000000000004</v>
      </c>
      <c r="AA198" s="67">
        <f t="shared" si="46"/>
        <v>5.7888999999999999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0839-25</v>
      </c>
      <c r="AE198" s="91" t="str">
        <f t="shared" si="48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198" s="88" t="str">
        <f t="shared" si="49"/>
        <v>"C:\Program Files (x86)\AstroGrep\AstroGrep.exe" /spath="%USERPROFILE%\AppData\Local\Temp\OnboardLogs" /stypes="app*4029*20161026*" /stext=" 01:.+((SYSTEM_STATE.+slice.+state.+changed )|(ment ac)|(system.+state.+changed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839-25 --locoid 4029 --swversion DE.1.0.7.0 --startMP 204:1069 --initTime 2016-10-25T18:47:01 --startdatetime 2016-10-25T18:52:25 --delay 1 --endMP 300:58958 --enddatetime 2016-10-25T19:07:12 --enforcementcount 0 &gt;&gt;C:\Users\stu\Documents\GitHub\eaglep3-reporting\EC\2016-10-25-refined-times.txt</v>
      </c>
      <c r="AI198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{"issue":{"subject":"","project_id":79,"tracker_id":40,"status_id":1,"priority_id":2,"assigned_to_id":23,"start_date":"2016-10-25","description":"","custom_fields":[{"id":1,"name":"Subdivision","value":"NW"},{"id":4,"name":"Milepost","value":"5.8958"},{"id":17,"name":"Train ID","value":"839-25"},{"id":16,"name":"Locomotive ID","value":"4029"},{"id":130,"name":"Impact","value":""},{"id":150,"name":"Time of Event (Mountain Time)","value":"19:07:12"},{"id":151,"name":"Denver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606</v>
      </c>
      <c r="B199" s="7">
        <v>4054</v>
      </c>
      <c r="C199" s="22" t="s">
        <v>99</v>
      </c>
      <c r="D199" s="22" t="s">
        <v>779</v>
      </c>
      <c r="E199" s="13">
        <v>42668.817627314813</v>
      </c>
      <c r="F199" s="13">
        <v>42668.819432870368</v>
      </c>
      <c r="G199" s="7">
        <v>1</v>
      </c>
      <c r="H199" s="13" t="s">
        <v>384</v>
      </c>
      <c r="I199" s="13">
        <v>42668.831261574072</v>
      </c>
      <c r="J199" s="7">
        <v>0</v>
      </c>
      <c r="K199" s="112" t="str">
        <f t="shared" si="36"/>
        <v>4053/4054</v>
      </c>
      <c r="L199" s="22" t="str">
        <f>VLOOKUP(A199,'Trips&amp;Operators'!$C$1:$E$10000,3,FALSE)</f>
        <v>NICHOLSON</v>
      </c>
      <c r="M199" s="6">
        <f t="shared" si="37"/>
        <v>1.1828703703940846E-2</v>
      </c>
      <c r="N199" s="7">
        <f t="shared" si="38"/>
        <v>17.033333333674818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18:37:23-0600',mode:absolute,to:'2016-10-25 20:57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9" s="52" t="str">
        <f t="shared" si="42"/>
        <v>N</v>
      </c>
      <c r="X199" s="171">
        <f t="shared" si="43"/>
        <v>1</v>
      </c>
      <c r="Y199" s="67">
        <f t="shared" si="44"/>
        <v>5.8655999999999997</v>
      </c>
      <c r="Z199" s="67">
        <f t="shared" si="45"/>
        <v>6.9199999999999998E-2</v>
      </c>
      <c r="AA199" s="67">
        <f t="shared" si="46"/>
        <v>5.7963999999999993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0840-25</v>
      </c>
      <c r="AE199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199" s="88" t="str">
        <f t="shared" si="49"/>
        <v>"C:\Program Files (x86)\AstroGrep\AstroGrep.exe" /spath="%USERPROFILE%\AppData\Local\Temp\OnboardLogs" /stypes="app*4054*20161026*" /stext=" 01:.+((SYSTEM_STATE.+slice.+state.+changed )|(ment ac)|(system.+state.+changed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840-25 --locoid 4054 --swversion DE.1.0.7.0 --startMP 300:58656 --initTime 2016-10-25T19:37:23 --startdatetime 2016-10-25T19:39:59 --delay 1 --endMP 204:692 --enddatetime 2016-10-25T19:57:01 --enforcementcount 0 &gt;&gt;C:\Users\stu\Documents\GitHub\eaglep3-reporting\EC\2016-10-25-refined-times.txt</v>
      </c>
      <c r="AI199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{"issue":{"subject":"","project_id":79,"tracker_id":40,"status_id":1,"priority_id":2,"assigned_to_id":23,"start_date":"2016-10-25","description":"","custom_fields":[{"id":1,"name":"Subdivision","value":"NW"},{"id":4,"name":"Milepost","value":"0.0692"},{"id":17,"name":"Train ID","value":"840-25"},{"id":16,"name":"Locomotive ID","value":"4054"},{"id":130,"name":"Impact","value":""},{"id":150,"name":"Time of Event (Mountain Time)","value":"19:57:01"},{"id":151,"name":"Denver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600</v>
      </c>
      <c r="B200" s="7">
        <v>4053</v>
      </c>
      <c r="C200" s="22" t="s">
        <v>99</v>
      </c>
      <c r="D200" s="22" t="s">
        <v>780</v>
      </c>
      <c r="E200" s="13">
        <v>42668.791886574072</v>
      </c>
      <c r="F200" s="13">
        <v>42668.806469907409</v>
      </c>
      <c r="G200" s="7">
        <v>1</v>
      </c>
      <c r="H200" s="13" t="s">
        <v>396</v>
      </c>
      <c r="I200" s="13">
        <v>42668.816504629627</v>
      </c>
      <c r="J200" s="7">
        <v>0</v>
      </c>
      <c r="K200" s="112" t="str">
        <f t="shared" si="36"/>
        <v>4053/4054</v>
      </c>
      <c r="L200" s="22" t="str">
        <f>VLOOKUP(A200,'Trips&amp;Operators'!$C$1:$E$10000,3,FALSE)</f>
        <v>NICHOLSON</v>
      </c>
      <c r="M200" s="6">
        <f t="shared" si="37"/>
        <v>1.003472221782431E-2</v>
      </c>
      <c r="N200" s="7">
        <f t="shared" si="38"/>
        <v>14.449999993667006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18:00:19-0600',mode:absolute,to:'2016-10-25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2" t="str">
        <f t="shared" si="42"/>
        <v>N</v>
      </c>
      <c r="X200" s="171">
        <f t="shared" si="43"/>
        <v>1</v>
      </c>
      <c r="Y200" s="67">
        <f t="shared" si="44"/>
        <v>9.74E-2</v>
      </c>
      <c r="Z200" s="67">
        <f t="shared" si="45"/>
        <v>5.8968999999999996</v>
      </c>
      <c r="AA200" s="67">
        <f t="shared" si="46"/>
        <v>5.7994999999999992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0841-25</v>
      </c>
      <c r="AE200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0" s="88" t="str">
        <f t="shared" si="49"/>
        <v>"C:\Program Files (x86)\AstroGrep\AstroGrep.exe" /spath="%USERPROFILE%\AppData\Local\Temp\OnboardLogs" /stypes="app*4053*20161026*" /stext=" 01:.+((SYSTEM_STATE.+slice.+state.+changed )|(ment ac)|(system.+state.+changed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841-25 --locoid 4053 --swversion DE.1.0.7.0 --startMP 204:974 --initTime 2016-10-25T19:00:19 --startdatetime 2016-10-25T19:21:19 --delay 1 --endMP 300:58969 --enddatetime 2016-10-25T19:35:46 --enforcementcount 0 &gt;&gt;C:\Users\stu\Documents\GitHub\eaglep3-reporting\EC\2016-10-25-refined-times.txt</v>
      </c>
      <c r="AI200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{"issue":{"subject":"","project_id":79,"tracker_id":40,"status_id":1,"priority_id":2,"assigned_to_id":23,"start_date":"2016-10-25","description":"","custom_fields":[{"id":1,"name":"Subdivision","value":"NW"},{"id":4,"name":"Milepost","value":"5.8969"},{"id":17,"name":"Train ID","value":"841-25"},{"id":16,"name":"Locomotive ID","value":"4053"},{"id":130,"name":"Impact","value":""},{"id":150,"name":"Time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612</v>
      </c>
      <c r="B201" s="7">
        <v>4054</v>
      </c>
      <c r="C201" s="22" t="s">
        <v>99</v>
      </c>
      <c r="D201" s="22" t="s">
        <v>740</v>
      </c>
      <c r="E201" s="13">
        <v>42668.858715277776</v>
      </c>
      <c r="F201" s="13">
        <v>42668.860543981478</v>
      </c>
      <c r="G201" s="7">
        <v>1</v>
      </c>
      <c r="H201" s="13" t="s">
        <v>781</v>
      </c>
      <c r="I201" s="13">
        <v>42668.872141203705</v>
      </c>
      <c r="J201" s="7">
        <v>0</v>
      </c>
      <c r="K201" s="112" t="str">
        <f t="shared" si="36"/>
        <v>4053/4054</v>
      </c>
      <c r="L201" s="22" t="str">
        <f>VLOOKUP(A201,'Trips&amp;Operators'!$C$1:$E$10000,3,FALSE)</f>
        <v>NICHOLSON</v>
      </c>
      <c r="M201" s="6">
        <f t="shared" si="37"/>
        <v>1.1597222226555459E-2</v>
      </c>
      <c r="N201" s="7">
        <f t="shared" si="38"/>
        <v>16.700000006239861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19:36:33-0600',mode:absolute,to:'2016-10-25 21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1" s="52" t="str">
        <f t="shared" si="42"/>
        <v>N</v>
      </c>
      <c r="X201" s="171">
        <f t="shared" si="43"/>
        <v>1</v>
      </c>
      <c r="Y201" s="67">
        <f t="shared" si="44"/>
        <v>5.8623000000000003</v>
      </c>
      <c r="Z201" s="67">
        <f t="shared" si="45"/>
        <v>6.8199999999999997E-2</v>
      </c>
      <c r="AA201" s="67">
        <f t="shared" si="46"/>
        <v>5.7941000000000003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47"/>
        <v>0842-25</v>
      </c>
      <c r="AE201" s="91" t="str">
        <f t="shared" si="48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01" s="88" t="str">
        <f t="shared" si="49"/>
        <v>"C:\Program Files (x86)\AstroGrep\AstroGrep.exe" /spath="%USERPROFILE%\AppData\Local\Temp\OnboardLogs" /stypes="app*4054*20161026*" /stext=" 02:.+((SYSTEM_STATE.+slice.+state.+changed )|(ment ac)|(system.+state.+changed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842-25 --locoid 4054 --swversion DE.1.0.7.0 --startMP 300:58623 --initTime 2016-10-25T20:36:33 --startdatetime 2016-10-25T20:39:11 --delay 1 --endMP 204:682 --enddatetime 2016-10-25T20:55:53 --enforcementcount 0 &gt;&gt;C:\Users\stu\Documents\GitHub\eaglep3-reporting\EC\2016-10-25-refined-times.txt</v>
      </c>
      <c r="AI201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{"issue":{"subject":"","project_id":79,"tracker_id":40,"status_id":1,"priority_id":2,"assigned_to_id":23,"start_date":"2016-10-25","description":"","custom_fields":[{"id":1,"name":"Subdivision","value":"NW"},{"id":4,"name":"Milepost","value":"0.0682"},{"id":17,"name":"Train ID","value":"842-25"},{"id":16,"name":"Locomotive ID","value":"4054"},{"id":130,"name":"Impact","value":""},{"id":150,"name":"Time of Event (Mountain Time)","value":"20:55:53"},{"id":151,"name":"Denver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609</v>
      </c>
      <c r="B202" s="7">
        <v>4053</v>
      </c>
      <c r="C202" s="22" t="s">
        <v>99</v>
      </c>
      <c r="D202" s="22" t="s">
        <v>404</v>
      </c>
      <c r="E202" s="13">
        <v>42668.837743055556</v>
      </c>
      <c r="F202" s="13">
        <v>42668.848113425927</v>
      </c>
      <c r="G202" s="7">
        <v>2</v>
      </c>
      <c r="H202" s="13" t="s">
        <v>390</v>
      </c>
      <c r="I202" s="13">
        <v>42668.857685185183</v>
      </c>
      <c r="J202" s="7">
        <v>0</v>
      </c>
      <c r="K202" s="112" t="str">
        <f t="shared" si="36"/>
        <v>4053/4054</v>
      </c>
      <c r="L202" s="22" t="str">
        <f>VLOOKUP(A202,'Trips&amp;Operators'!$C$1:$E$10000,3,FALSE)</f>
        <v>NICHOLSON</v>
      </c>
      <c r="M202" s="6">
        <f t="shared" si="37"/>
        <v>9.5717592557775788E-3</v>
      </c>
      <c r="N202" s="7">
        <f t="shared" si="38"/>
        <v>13.783333328319713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https://search-rtdc-monitor-bjffxe2xuh6vdkpspy63sjmuny.us-east-1.es.amazonaws.com/_plugin/kibana/#/discover/Steve-Slow-Train-Analysis-(2080s-and-2083s)?_g=(refreshInterval:(display:Off,section:0,value:0),time:(from:'2016-10-25 19:06:21-0600',mode:absolute,to:'2016-10-25 21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2" s="52" t="str">
        <f t="shared" si="42"/>
        <v>N</v>
      </c>
      <c r="X202" s="171">
        <f t="shared" si="43"/>
        <v>1</v>
      </c>
      <c r="Y202" s="67">
        <f t="shared" si="44"/>
        <v>9.7799999999999998E-2</v>
      </c>
      <c r="Z202" s="67">
        <f t="shared" si="45"/>
        <v>5.8940999999999999</v>
      </c>
      <c r="AA202" s="67">
        <f t="shared" si="46"/>
        <v>5.7962999999999996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47"/>
        <v>0843-25</v>
      </c>
      <c r="AE202" s="91" t="str">
        <f t="shared" si="48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2" s="88" t="str">
        <f t="shared" si="49"/>
        <v>"C:\Program Files (x86)\AstroGrep\AstroGrep.exe" /spath="%USERPROFILE%\AppData\Local\Temp\OnboardLogs" /stypes="app*4053*20161026*" /stext=" 02:.+((SYSTEM_STATE.+slice.+state.+changed )|(ment ac)|(system.+state.+changed )|(\[timeout)|(PRM\|1\|D)|(kpr)|(kdp)|(\|lc)|(penalty))" /e /r /s</v>
      </c>
      <c r="AG202" s="1" t="str">
        <f t="shared" si="50"/>
        <v>NW</v>
      </c>
      <c r="AH202" s="92" t="str">
        <f t="shared" si="51"/>
        <v>"%USERPROFILE%\Documents\GitHub\eaglep3\Utilities\RefineRTDCRunTimes.py" --tripid 843-25 --locoid 4053 --swversion DE.1.0.7.0 --startMP 204:978 --initTime 2016-10-25T20:06:21 --startdatetime 2016-10-25T20:21:17 --delay 2 --endMP 300:58941 --enddatetime 2016-10-25T20:35:04 --enforcementcount 0 &gt;&gt;C:\Users\stu\Documents\GitHub\eaglep3-reporting\EC\2016-10-25-refined-times.txt</v>
      </c>
      <c r="AI202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{"issue":{"subject":"","project_id":79,"tracker_id":40,"status_id":1,"priority_id":2,"assigned_to_id":23,"start_date":"2016-10-25","description":"","custom_fields":[{"id":1,"name":"Subdivision","value":"NW"},{"id":4,"name":"Milepost","value":"5.8941"},{"id":17,"name":"Train ID","value":"843-25"},{"id":16,"name":"Locomotive ID","value":"4053"},{"id":130,"name":"Impact","value":""},{"id":150,"name":"Time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619</v>
      </c>
      <c r="B203" s="7">
        <v>4054</v>
      </c>
      <c r="C203" s="22" t="s">
        <v>99</v>
      </c>
      <c r="D203" s="22" t="s">
        <v>782</v>
      </c>
      <c r="E203" s="13">
        <v>42668.900960648149</v>
      </c>
      <c r="F203" s="13">
        <v>42668.90284722222</v>
      </c>
      <c r="G203" s="7">
        <v>1</v>
      </c>
      <c r="H203" s="13" t="s">
        <v>783</v>
      </c>
      <c r="I203" s="13">
        <v>42668.913460648146</v>
      </c>
      <c r="J203" s="7">
        <v>0</v>
      </c>
      <c r="K203" s="112" t="str">
        <f t="shared" ref="K203:K228" si="53">IF(ISEVEN(B203),(B203-1)&amp;"/"&amp;B203,B203&amp;"/"&amp;(B203+1))</f>
        <v>4053/4054</v>
      </c>
      <c r="L203" s="22" t="str">
        <f>VLOOKUP(A203,'Trips&amp;Operators'!$C$1:$E$10000,3,FALSE)</f>
        <v>MAHAN</v>
      </c>
      <c r="M203" s="6">
        <f t="shared" ref="M203:M228" si="54">I203-F203</f>
        <v>1.0613425925839692E-2</v>
      </c>
      <c r="N203" s="7">
        <f t="shared" ref="N203:N228" si="55">24*60*SUM($M203:$M203)</f>
        <v>15.283333333209157</v>
      </c>
      <c r="O203" s="7"/>
      <c r="P203" s="7"/>
      <c r="Q203" s="23"/>
      <c r="R203" s="23"/>
      <c r="S203" s="35">
        <f t="shared" ref="S203:S228" si="56">SUM(U203:U203)/IF(AG203="EC",12,1)</f>
        <v>1</v>
      </c>
      <c r="T203" s="50" t="str">
        <f t="shared" ref="T203:T228" si="57">IF(ISEVEN(LEFT(AD203,4)),"Southbound","NorthBound")</f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28" si="58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https://search-rtdc-monitor-bjffxe2xuh6vdkpspy63sjmuny.us-east-1.es.amazonaws.com/_plugin/kibana/#/discover/Steve-Slow-Train-Analysis-(2080s-and-2083s)?_g=(refreshInterval:(display:Off,section:0,value:0),time:(from:'2016-10-25 20:37:23-0600',mode:absolute,to:'2016-10-25 22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3" s="52" t="str">
        <f t="shared" ref="W203:W228" si="59">IF(AA203&lt;IF(AG203="EC",23,5.65),"Y","N")</f>
        <v>N</v>
      </c>
      <c r="X203" s="171">
        <f t="shared" ref="X203:X228" si="60">VALUE(LEFT(AD203,4))-VALUE(LEFT(AD202,4))</f>
        <v>1</v>
      </c>
      <c r="Y203" s="67">
        <f t="shared" ref="Y203:Y228" si="61">RIGHT(D203,LEN(D203)-4)/10000</f>
        <v>5.8651</v>
      </c>
      <c r="Z203" s="67">
        <f t="shared" ref="Z203:Z228" si="62">RIGHT(H203,LEN(H203)-4)/10000</f>
        <v>7.3400000000000007E-2</v>
      </c>
      <c r="AA203" s="67">
        <f t="shared" ref="AA203:AA266" si="63">ABS(Z203-Y203)</f>
        <v>5.7916999999999996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ref="AD203:AD228" si="64">IF(LEN(A203)=6,"0"&amp;A203,A203)</f>
        <v>0844-25</v>
      </c>
      <c r="AE203" s="91" t="str">
        <f t="shared" ref="AE203:AE228" si="65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03" s="88" t="str">
        <f t="shared" ref="AF203:AF228" si="66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/stypes="app*4054*20161026*" /stext=" 03:.+((SYSTEM_STATE.+slice.+state.+changed )|(ment ac)|(system.+state.+changed )|(\[timeout)|(PRM\|1\|D)|(kpr)|(kdp)|(\|lc)|(penalty))" /e /r /s</v>
      </c>
      <c r="AG203" s="1" t="str">
        <f t="shared" ref="AG203:AG228" si="67">IFERROR(IF(VALUE(LEFT(AD203,2))&lt;=2,"EC",IF(OR(VALUE(LEFT(AD203,2))=8,VALUE(LEFT(AD203,2))=18),"NW","Other")),"Other")</f>
        <v>NW</v>
      </c>
      <c r="AH203" s="92" t="str">
        <f t="shared" si="51"/>
        <v>"%USERPROFILE%\Documents\GitHub\eaglep3\Utilities\RefineRTDCRunTimes.py" --tripid 844-25 --locoid 4054 --swversion DE.1.0.7.0 --startMP 300:58651 --initTime 2016-10-25T21:37:23 --startdatetime 2016-10-25T21:40:06 --delay 1 --endMP 204:734 --enddatetime 2016-10-25T21:55:23 --enforcementcount 0 &gt;&gt;C:\Users\stu\Documents\GitHub\eaglep3-reporting\EC\2016-10-25-refined-times.txt</v>
      </c>
      <c r="AI203" s="122" t="str">
        <f t="shared" si="52"/>
        <v>echo {"issue":{"subject":"","project_id":79,"tracker_id":40,"status_id":1,"priority_id":2,"assigned_to_id":23,"start_date":"2016-10-25","description":"","custom_fields":[{"id":1,"name":"Subdivision","value":"NW"},{"id":4,"name":"Milepost","value":"0.0734"},{"id":17,"name":"Train ID","value":"844-25"},{"id":16,"name":"Locomotive ID","value":"4054"},{"id":130,"name":"Impact","value":""},{"id":150,"name":"Time of Event (Mountain Time)","value":"21:55:23"},{"id":151,"name":"Denver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615</v>
      </c>
      <c r="B204" s="7">
        <v>4053</v>
      </c>
      <c r="C204" s="22" t="s">
        <v>99</v>
      </c>
      <c r="D204" s="22" t="s">
        <v>404</v>
      </c>
      <c r="E204" s="13">
        <v>42668.877083333333</v>
      </c>
      <c r="F204" s="13">
        <v>42668.889861111114</v>
      </c>
      <c r="G204" s="7">
        <v>1</v>
      </c>
      <c r="H204" s="13" t="s">
        <v>784</v>
      </c>
      <c r="I204" s="13">
        <v>42668.899756944447</v>
      </c>
      <c r="J204" s="7">
        <v>0</v>
      </c>
      <c r="K204" s="112" t="str">
        <f t="shared" si="53"/>
        <v>4053/4054</v>
      </c>
      <c r="L204" s="22" t="str">
        <f>VLOOKUP(A204,'Trips&amp;Operators'!$C$1:$E$10000,3,FALSE)</f>
        <v>MAHAN</v>
      </c>
      <c r="M204" s="6">
        <f t="shared" si="54"/>
        <v>9.8958333328482695E-3</v>
      </c>
      <c r="N204" s="7">
        <f t="shared" si="55"/>
        <v>14.249999999301508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20:03:00-0600',mode:absolute,to:'2016-10-25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4" s="52" t="str">
        <f t="shared" si="59"/>
        <v>N</v>
      </c>
      <c r="X204" s="171">
        <f t="shared" si="60"/>
        <v>1</v>
      </c>
      <c r="Y204" s="67">
        <f t="shared" si="61"/>
        <v>9.7799999999999998E-2</v>
      </c>
      <c r="Z204" s="67">
        <f t="shared" si="62"/>
        <v>5.8967000000000001</v>
      </c>
      <c r="AA204" s="67">
        <f t="shared" si="63"/>
        <v>5.7988999999999997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0845-25</v>
      </c>
      <c r="AE204" s="91" t="str">
        <f t="shared" si="65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4" s="88" t="str">
        <f t="shared" si="66"/>
        <v>"C:\Program Files (x86)\AstroGrep\AstroGrep.exe" /spath="%USERPROFILE%\AppData\Local\Temp\OnboardLogs" /stypes="app*4053*20161026*" /stext=" 03:.+((SYSTEM_STATE.+slice.+state.+changed )|(ment ac)|(system.+state.+changed )|(\[timeout)|(PRM\|1\|D)|(kpr)|(kdp)|(\|lc)|(penalty))" /e /r /s</v>
      </c>
      <c r="AG204" s="1" t="str">
        <f t="shared" si="67"/>
        <v>NW</v>
      </c>
      <c r="AH204" s="92" t="str">
        <f t="shared" ref="AH204:AH228" si="6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845-25 --locoid 4053 --swversion DE.1.0.7.0 --startMP 204:978 --initTime 2016-10-25T21:03:00 --startdatetime 2016-10-25T21:21:24 --delay 1 --endMP 300:58967 --enddatetime 2016-10-25T21:35:39 --enforcementcount 0 &gt;&gt;C:\Users\stu\Documents\GitHub\eaglep3-reporting\EC\2016-10-25-refined-times.txt</v>
      </c>
      <c r="AI204" s="122" t="str">
        <f t="shared" ref="AI204:AI228" si="6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{"issue":{"subject":"","project_id":79,"tracker_id":40,"status_id":1,"priority_id":2,"assigned_to_id":23,"start_date":"2016-10-25","description":"","custom_fields":[{"id":1,"name":"Subdivision","value":"NW"},{"id":4,"name":"Milepost","value":"5.8967"},{"id":17,"name":"Train ID","value":"845-25"},{"id":16,"name":"Locomotive ID","value":"4053"},{"id":130,"name":"Impact","value":""},{"id":150,"name":"Time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621</v>
      </c>
      <c r="B205" s="7">
        <v>4053</v>
      </c>
      <c r="C205" s="22" t="s">
        <v>99</v>
      </c>
      <c r="D205" s="22" t="s">
        <v>785</v>
      </c>
      <c r="E205" s="13">
        <v>42668.917060185187</v>
      </c>
      <c r="F205" s="13">
        <v>42668.931527777779</v>
      </c>
      <c r="G205" s="7">
        <v>1</v>
      </c>
      <c r="H205" s="13" t="s">
        <v>786</v>
      </c>
      <c r="I205" s="13">
        <v>42668.941932870373</v>
      </c>
      <c r="J205" s="7">
        <v>0</v>
      </c>
      <c r="K205" s="112" t="str">
        <f t="shared" si="53"/>
        <v>4053/4054</v>
      </c>
      <c r="L205" s="22" t="str">
        <f>VLOOKUP(A205,'Trips&amp;Operators'!$C$1:$E$10000,3,FALSE)</f>
        <v>MAHAN</v>
      </c>
      <c r="M205" s="6">
        <f t="shared" si="54"/>
        <v>1.0405092594737653E-2</v>
      </c>
      <c r="N205" s="7">
        <f t="shared" si="55"/>
        <v>14.98333333642222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21:00:34-0600',mode:absolute,to:'2016-10-25 23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5" s="52" t="str">
        <f t="shared" si="59"/>
        <v>N</v>
      </c>
      <c r="X205" s="171">
        <f t="shared" si="60"/>
        <v>2</v>
      </c>
      <c r="Y205" s="67">
        <f t="shared" si="61"/>
        <v>0.1037</v>
      </c>
      <c r="Z205" s="67">
        <f t="shared" si="62"/>
        <v>5.8956</v>
      </c>
      <c r="AA205" s="67">
        <f t="shared" si="63"/>
        <v>5.7919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4"/>
        <v>0847-25</v>
      </c>
      <c r="AE205" s="91" t="str">
        <f t="shared" si="65"/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AF205" s="88" t="str">
        <f t="shared" si="66"/>
        <v>"C:\Program Files (x86)\AstroGrep\AstroGrep.exe" /spath="%USERPROFILE%\AppData\Local\Temp\OnboardLogs" /stypes="app*4053*20161026*" /stext=" 04:.+((SYSTEM_STATE.+slice.+state.+changed )|(ment ac)|(system.+state.+changed )|(\[timeout)|(PRM\|1\|D)|(kpr)|(kdp)|(\|lc)|(penalty))" /e /r /s</v>
      </c>
      <c r="AG205" s="1" t="str">
        <f t="shared" si="67"/>
        <v>NW</v>
      </c>
      <c r="AH205" s="92" t="str">
        <f t="shared" si="68"/>
        <v>"%USERPROFILE%\Documents\GitHub\eaglep3\Utilities\RefineRTDCRunTimes.py" --tripid 847-25 --locoid 4053 --swversion DE.1.0.7.0 --startMP 204:1037 --initTime 2016-10-25T22:00:34 --startdatetime 2016-10-25T22:21:24 --delay 1 --endMP 300:58956 --enddatetime 2016-10-25T22:36:23 --enforcementcount 0 &gt;&gt;C:\Users\stu\Documents\GitHub\eaglep3-reporting\EC\2016-10-25-refined-times.txt</v>
      </c>
      <c r="AI205" s="122" t="str">
        <f t="shared" si="69"/>
        <v>echo {"issue":{"subject":"","project_id":79,"tracker_id":40,"status_id":1,"priority_id":2,"assigned_to_id":23,"start_date":"2016-10-25","description":"","custom_fields":[{"id":1,"name":"Subdivision","value":"NW"},{"id":4,"name":"Milepost","value":"5.8956"},{"id":17,"name":"Train ID","value":"847-25"},{"id":16,"name":"Locomotive ID","value":"4053"},{"id":130,"name":"Impact","value":""},{"id":150,"name":"Time of Event (Mountain Time)","value":"22:36:23"},{"id":151,"name":"Denver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407</v>
      </c>
      <c r="B206" s="7">
        <v>4045</v>
      </c>
      <c r="C206" s="22" t="s">
        <v>99</v>
      </c>
      <c r="D206" s="22" t="s">
        <v>714</v>
      </c>
      <c r="E206" s="13">
        <v>42668.125625000001</v>
      </c>
      <c r="F206" s="13">
        <v>42668.126886574071</v>
      </c>
      <c r="G206" s="7">
        <v>1</v>
      </c>
      <c r="H206" s="13" t="s">
        <v>233</v>
      </c>
      <c r="I206" s="13">
        <v>42668.1330787037</v>
      </c>
      <c r="J206" s="7">
        <v>0</v>
      </c>
      <c r="K206" s="112" t="str">
        <f t="shared" si="53"/>
        <v>4045/4046</v>
      </c>
      <c r="L206" s="22" t="str">
        <f>VLOOKUP(A206,'Trips&amp;Operators'!$C$1:$E$10000,3,FALSE)</f>
        <v>KILLION</v>
      </c>
      <c r="M206" s="6">
        <f t="shared" si="54"/>
        <v>6.1921296291984618E-3</v>
      </c>
      <c r="N206" s="7">
        <f t="shared" si="55"/>
        <v>8.916666666045785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02:00:54-0600',mode:absolute,to:'2016-10-25 04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6" s="52" t="str">
        <f t="shared" si="59"/>
        <v>Y</v>
      </c>
      <c r="X206" s="171">
        <f t="shared" si="60"/>
        <v>-545</v>
      </c>
      <c r="Y206" s="67">
        <f t="shared" si="61"/>
        <v>2.202</v>
      </c>
      <c r="Z206" s="67">
        <f t="shared" si="62"/>
        <v>1.6E-2</v>
      </c>
      <c r="AA206" s="67">
        <f t="shared" si="63"/>
        <v>2.1859999999999999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4"/>
        <v>0302-25</v>
      </c>
      <c r="AE206" s="91" t="str">
        <f t="shared" si="65"/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AF206" s="88" t="str">
        <f t="shared" si="66"/>
        <v>"C:\Program Files (x86)\AstroGrep\AstroGrep.exe" /spath="%USERPROFILE%\AppData\Local\Temp\OnboardLogs" /stypes="app*4045*20161025*" /stext=" 09:.+((SYSTEM_STATE.+slice.+state.+changed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302-25 --locoid 4045 --swversion DE.1.0.7.0 --startMP 300:22020 --initTime 2016-10-25T03:00:54 --startdatetime 2016-10-25T03:02:43 --delay 1 --endMP 204:160 --enddatetime 2016-10-25T03:11:38 --enforcementcount 0 &gt;&gt;C:\Users\stu\Documents\GitHub\eaglep3-reporting\EC\2016-10-25-refined-times.txt</v>
      </c>
      <c r="AI206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{"issue":{"subject":"","project_id":79,"tracker_id":40,"status_id":1,"priority_id":2,"assigned_to_id":23,"start_date":"2016-10-25","description":"","custom_fields":[{"id":1,"name":"Subdivision","value":"Other"},{"id":4,"name":"Milepost","value":"0.016"},{"id":17,"name":"Train ID","value":"302-25"},{"id":16,"name":"Locomotive ID","value":"4045"},{"id":130,"name":"Impact","value":""},{"id":150,"name":"Time of Event (Mountain Time)","value":"03:11:38"},{"id":151,"name":"Denver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596</v>
      </c>
      <c r="B207" s="7">
        <v>4031</v>
      </c>
      <c r="C207" s="22" t="s">
        <v>99</v>
      </c>
      <c r="D207" s="22" t="s">
        <v>227</v>
      </c>
      <c r="E207" s="13">
        <v>42668.778333333335</v>
      </c>
      <c r="F207" s="13">
        <v>42668.780034722222</v>
      </c>
      <c r="G207" s="7">
        <v>1</v>
      </c>
      <c r="H207" s="13" t="s">
        <v>715</v>
      </c>
      <c r="I207" s="13">
        <v>42668.785567129627</v>
      </c>
      <c r="J207" s="7">
        <v>0</v>
      </c>
      <c r="K207" s="112" t="str">
        <f t="shared" si="53"/>
        <v>4031/4032</v>
      </c>
      <c r="L207" s="22" t="str">
        <f>VLOOKUP(A207,'Trips&amp;Operators'!$C$1:$E$10000,3,FALSE)</f>
        <v>BONDS</v>
      </c>
      <c r="M207" s="6">
        <f t="shared" si="54"/>
        <v>5.5324074055533856E-3</v>
      </c>
      <c r="N207" s="7">
        <f t="shared" si="55"/>
        <v>7.9666666639968753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17:40:48-0600',mode:absolute,to:'2016-10-25 19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7" s="52" t="str">
        <f t="shared" si="59"/>
        <v>Y</v>
      </c>
      <c r="X207" s="171">
        <f t="shared" si="60"/>
        <v>1</v>
      </c>
      <c r="Y207" s="67">
        <f t="shared" si="61"/>
        <v>4.5499999999999999E-2</v>
      </c>
      <c r="Z207" s="67">
        <f t="shared" si="62"/>
        <v>2.331</v>
      </c>
      <c r="AA207" s="67">
        <f t="shared" si="63"/>
        <v>2.2854999999999999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4"/>
        <v>0303-25</v>
      </c>
      <c r="AE207" s="91" t="str">
        <f t="shared" si="65"/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AF207" s="88" t="str">
        <f t="shared" si="66"/>
        <v>"C:\Program Files (x86)\AstroGrep\AstroGrep.exe" /spath="%USERPROFILE%\AppData\Local\Temp\OnboardLogs" /stypes="app*4031*20161026*" /stext=" 00:.+((SYSTEM_STATE.+slice.+state.+changed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303-25 --locoid 4031 --swversion DE.1.0.7.0 --startMP 204:455 --initTime 2016-10-25T18:40:48 --startdatetime 2016-10-25T18:43:15 --delay 1 --endMP 300:23310 --enddatetime 2016-10-25T18:51:13 --enforcementcount 0 &gt;&gt;C:\Users\stu\Documents\GitHub\eaglep3-reporting\EC\2016-10-25-refined-times.txt</v>
      </c>
      <c r="AI207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{"issue":{"subject":"","project_id":79,"tracker_id":40,"status_id":1,"priority_id":2,"assigned_to_id":23,"start_date":"2016-10-25","description":"","custom_fields":[{"id":1,"name":"Subdivision","value":"Other"},{"id":4,"name":"Milepost","value":"2.331"},{"id":17,"name":"Train ID","value":"303-25"},{"id":16,"name":"Locomotive ID","value":"4031"},{"id":130,"name":"Impact","value":""},{"id":150,"name":"Time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450</v>
      </c>
      <c r="B208" s="7">
        <v>4008</v>
      </c>
      <c r="C208" s="22" t="s">
        <v>99</v>
      </c>
      <c r="D208" s="22" t="s">
        <v>716</v>
      </c>
      <c r="E208" s="13">
        <v>42668.142407407409</v>
      </c>
      <c r="F208" s="13">
        <v>42668.14371527778</v>
      </c>
      <c r="G208" s="7">
        <v>1</v>
      </c>
      <c r="H208" s="13" t="s">
        <v>717</v>
      </c>
      <c r="I208" s="13">
        <v>42668.149699074071</v>
      </c>
      <c r="J208" s="7">
        <v>0</v>
      </c>
      <c r="K208" s="112" t="str">
        <f t="shared" si="53"/>
        <v>4007/4008</v>
      </c>
      <c r="L208" s="22" t="str">
        <f>VLOOKUP(A208,'Trips&amp;Operators'!$C$1:$E$10000,3,FALSE)</f>
        <v>ACKERMAN</v>
      </c>
      <c r="M208" s="6">
        <f t="shared" si="54"/>
        <v>5.9837962908204645E-3</v>
      </c>
      <c r="N208" s="7">
        <f t="shared" si="55"/>
        <v>8.6166666587814689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Southbound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02:25:04-0600',mode:absolute,to:'2016-10-25 04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8" s="52" t="str">
        <f t="shared" si="59"/>
        <v>Y</v>
      </c>
      <c r="X208" s="171">
        <f t="shared" si="60"/>
        <v>1</v>
      </c>
      <c r="Y208" s="67">
        <f t="shared" si="61"/>
        <v>2.2317999999999998</v>
      </c>
      <c r="Z208" s="67">
        <f t="shared" si="62"/>
        <v>8.6999999999999994E-3</v>
      </c>
      <c r="AA208" s="67">
        <f t="shared" si="63"/>
        <v>2.2230999999999996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4"/>
        <v>0304-25</v>
      </c>
      <c r="AE208" s="91" t="str">
        <f t="shared" si="65"/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AF208" s="88" t="str">
        <f t="shared" si="66"/>
        <v>"C:\Program Files (x86)\AstroGrep\AstroGrep.exe" /spath="%USERPROFILE%\AppData\Local\Temp\OnboardLogs" /stypes="app*4008*20161025*" /stext=" 09:.+((SYSTEM_STATE.+slice.+state.+changed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304-25 --locoid 4008 --swversion DE.1.0.7.0 --startMP 300:22318 --initTime 2016-10-25T03:25:04 --startdatetime 2016-10-25T03:26:57 --delay 1 --endMP 204:87 --enddatetime 2016-10-25T03:35:34 --enforcementcount 0 &gt;&gt;C:\Users\stu\Documents\GitHub\eaglep3-reporting\EC\2016-10-25-refined-times.txt</v>
      </c>
      <c r="AI208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{"issue":{"subject":"","project_id":79,"tracker_id":40,"status_id":1,"priority_id":2,"assigned_to_id":23,"start_date":"2016-10-25","description":"","custom_fields":[{"id":1,"name":"Subdivision","value":"Other"},{"id":4,"name":"Milepost","value":"0.0087"},{"id":17,"name":"Train ID","value":"304-25"},{"id":16,"name":"Locomotive ID","value":"4008"},{"id":130,"name":"Impact","value":""},{"id":150,"name":"Time of Event (Mountain Time)","value":"03:35:34"},{"id":151,"name":"Denver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602</v>
      </c>
      <c r="B209" s="7">
        <v>4006</v>
      </c>
      <c r="C209" s="22" t="s">
        <v>99</v>
      </c>
      <c r="D209" s="22" t="s">
        <v>705</v>
      </c>
      <c r="E209" s="13">
        <v>42668.800706018519</v>
      </c>
      <c r="F209" s="13">
        <v>42668.802071759259</v>
      </c>
      <c r="G209" s="7">
        <v>1</v>
      </c>
      <c r="H209" s="13" t="s">
        <v>718</v>
      </c>
      <c r="I209" s="13">
        <v>42668.809942129628</v>
      </c>
      <c r="J209" s="7">
        <v>0</v>
      </c>
      <c r="K209" s="112" t="str">
        <f t="shared" si="53"/>
        <v>4005/4006</v>
      </c>
      <c r="L209" s="22" t="str">
        <f>VLOOKUP(A209,'Trips&amp;Operators'!$C$1:$E$10000,3,FALSE)</f>
        <v>YOUNG</v>
      </c>
      <c r="M209" s="6">
        <f t="shared" si="54"/>
        <v>7.8703703693463467E-3</v>
      </c>
      <c r="N209" s="7">
        <f t="shared" si="55"/>
        <v>11.333333331858739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NorthBound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18:13:01-0600',mode:absolute,to:'2016-10-25 20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09" s="52" t="str">
        <f t="shared" si="59"/>
        <v>Y</v>
      </c>
      <c r="X209" s="171">
        <f t="shared" si="60"/>
        <v>1</v>
      </c>
      <c r="Y209" s="67">
        <f t="shared" si="61"/>
        <v>4.8599999999999997E-2</v>
      </c>
      <c r="Z209" s="67">
        <f t="shared" si="62"/>
        <v>2.3296999999999999</v>
      </c>
      <c r="AA209" s="67">
        <f t="shared" si="63"/>
        <v>2.2810999999999999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4"/>
        <v>0305-25</v>
      </c>
      <c r="AE209" s="91" t="str">
        <f t="shared" si="65"/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AF209" s="88" t="str">
        <f t="shared" si="66"/>
        <v>"C:\Program Files (x86)\AstroGrep\AstroGrep.exe" /spath="%USERPROFILE%\AppData\Local\Temp\OnboardLogs" /stypes="app*4006*20161026*" /stext=" 01:.+((SYSTEM_STATE.+slice.+state.+changed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305-25 --locoid 4006 --swversion DE.1.0.7.0 --startMP 204:486 --initTime 2016-10-25T19:13:01 --startdatetime 2016-10-25T19:14:59 --delay 1 --endMP 300:23297 --enddatetime 2016-10-25T19:26:19 --enforcementcount 0 &gt;&gt;C:\Users\stu\Documents\GitHub\eaglep3-reporting\EC\2016-10-25-refined-times.txt</v>
      </c>
      <c r="AI209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{"issue":{"subject":"","project_id":79,"tracker_id":40,"status_id":1,"priority_id":2,"assigned_to_id":23,"start_date":"2016-10-25","description":"","custom_fields":[{"id":1,"name":"Subdivision","value":"Other"},{"id":4,"name":"Milepost","value":"2.3297"},{"id":17,"name":"Train ID","value":"305-25"},{"id":16,"name":"Locomotive ID","value":"4006"},{"id":130,"name":"Impact","value":""},{"id":150,"name":"Time of Event (Mountain Time)","value":"19:26:19"},{"id":151,"name":"Denver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451</v>
      </c>
      <c r="B210" s="7">
        <v>4032</v>
      </c>
      <c r="C210" s="22" t="s">
        <v>99</v>
      </c>
      <c r="D210" s="22" t="s">
        <v>719</v>
      </c>
      <c r="E210" s="13">
        <v>42668.164768518516</v>
      </c>
      <c r="F210" s="13">
        <v>42668.165995370371</v>
      </c>
      <c r="G210" s="7">
        <v>1</v>
      </c>
      <c r="H210" s="13" t="s">
        <v>372</v>
      </c>
      <c r="I210" s="13">
        <v>42668.171087962961</v>
      </c>
      <c r="J210" s="7">
        <v>0</v>
      </c>
      <c r="K210" s="112" t="str">
        <f t="shared" si="53"/>
        <v>4031/4032</v>
      </c>
      <c r="L210" s="22" t="str">
        <f>VLOOKUP(A210,'Trips&amp;Operators'!$C$1:$E$10000,3,FALSE)</f>
        <v>BRANNON</v>
      </c>
      <c r="M210" s="6">
        <f t="shared" si="54"/>
        <v>5.0925925897900015E-3</v>
      </c>
      <c r="N210" s="7">
        <f t="shared" si="55"/>
        <v>7.3333333292976022</v>
      </c>
      <c r="O210" s="7"/>
      <c r="P210" s="7"/>
      <c r="Q210" s="23"/>
      <c r="R210" s="23"/>
      <c r="S210" s="35">
        <f t="shared" si="56"/>
        <v>1</v>
      </c>
      <c r="T210" s="50" t="str">
        <f t="shared" si="57"/>
        <v>Southbound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02:57:16-0600',mode:absolute,to:'2016-10-25 05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0" s="52" t="str">
        <f t="shared" si="59"/>
        <v>Y</v>
      </c>
      <c r="X210" s="171">
        <f t="shared" si="60"/>
        <v>1</v>
      </c>
      <c r="Y210" s="67">
        <f t="shared" si="61"/>
        <v>2.2189000000000001</v>
      </c>
      <c r="Z210" s="67">
        <f t="shared" si="62"/>
        <v>1.61E-2</v>
      </c>
      <c r="AA210" s="67">
        <f t="shared" si="63"/>
        <v>2.2028000000000003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4"/>
        <v>0306-25</v>
      </c>
      <c r="AE210" s="91" t="str">
        <f t="shared" si="65"/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AF210" s="88" t="str">
        <f t="shared" si="66"/>
        <v>"C:\Program Files (x86)\AstroGrep\AstroGrep.exe" /spath="%USERPROFILE%\AppData\Local\Temp\OnboardLogs" /stypes="app*4032*20161025*" /stext=" 10:.+((SYSTEM_STATE.+slice.+state.+changed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306-25 --locoid 4032 --swversion DE.1.0.7.0 --startMP 300:22189 --initTime 2016-10-25T03:57:16 --startdatetime 2016-10-25T03:59:02 --delay 1 --endMP 204:161 --enddatetime 2016-10-25T04:06:22 --enforcementcount 0 &gt;&gt;C:\Users\stu\Documents\GitHub\eaglep3-reporting\EC\2016-10-25-refined-times.txt</v>
      </c>
      <c r="AI210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{"issue":{"subject":"","project_id":79,"tracker_id":40,"status_id":1,"priority_id":2,"assigned_to_id":23,"start_date":"2016-10-25","description":"","custom_fields":[{"id":1,"name":"Subdivision","value":"Other"},{"id":4,"name":"Milepost","value":"0.0161"},{"id":17,"name":"Train ID","value":"306-25"},{"id":16,"name":"Locomotive ID","value":"4032"},{"id":130,"name":"Impact","value":""},{"id":150,"name":"Time of Event (Mountain Time)","value":"04:06:22"},{"id":151,"name":"Denver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605</v>
      </c>
      <c r="B211" s="7">
        <v>4007</v>
      </c>
      <c r="C211" s="22" t="s">
        <v>99</v>
      </c>
      <c r="D211" s="22" t="s">
        <v>229</v>
      </c>
      <c r="E211" s="13">
        <v>42668.817604166667</v>
      </c>
      <c r="F211" s="13">
        <v>25568.708333333332</v>
      </c>
      <c r="G211" s="7">
        <v>3</v>
      </c>
      <c r="H211" s="13" t="s">
        <v>386</v>
      </c>
      <c r="I211" s="13">
        <v>25568.708333333332</v>
      </c>
      <c r="J211" s="7">
        <v>0</v>
      </c>
      <c r="K211" s="112" t="str">
        <f t="shared" si="53"/>
        <v>4007/4008</v>
      </c>
      <c r="L211" s="22" t="str">
        <f>VLOOKUP(A211,'Trips&amp;Operators'!$C$1:$E$10000,3,FALSE)</f>
        <v>ROMERO</v>
      </c>
      <c r="M211" s="6">
        <f t="shared" si="54"/>
        <v>0</v>
      </c>
      <c r="N211" s="7">
        <f t="shared" si="55"/>
        <v>0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18:37:21-0600',mode:absolute,to:'1969-12-31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1" s="52" t="str">
        <f t="shared" si="59"/>
        <v>Y</v>
      </c>
      <c r="X211" s="171">
        <f t="shared" si="60"/>
        <v>1</v>
      </c>
      <c r="Y211" s="67">
        <f t="shared" si="61"/>
        <v>4.6600000000000003E-2</v>
      </c>
      <c r="Z211" s="67">
        <f t="shared" si="62"/>
        <v>2.3300999999999998</v>
      </c>
      <c r="AA211" s="67">
        <f t="shared" si="63"/>
        <v>2.2834999999999996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4"/>
        <v>0307-25</v>
      </c>
      <c r="AE211" s="91" t="str">
        <f t="shared" si="65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1" s="88" t="str">
        <f t="shared" si="66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307-25 --locoid 4007 --swversion DE.1.0.7.0 --startMP 204:466 --initTime 2016-10-25T19:37:21 --startdatetime 1969-12-31T17:00:00 --delay 3 --endMP 300:23301 --enddatetime 1969-12-31T17:00:00 --enforcementcount 0 &gt;&gt;C:\Users\stu\Documents\GitHub\eaglep3-reporting\EC\2016-10-25-refined-times.txt</v>
      </c>
      <c r="AI211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ID","value":"307-25"},{"id":16,"name":"Locomotive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s="21" customFormat="1" x14ac:dyDescent="0.25">
      <c r="A212" s="37" t="s">
        <v>452</v>
      </c>
      <c r="B212" s="7">
        <v>4028</v>
      </c>
      <c r="C212" s="22" t="s">
        <v>99</v>
      </c>
      <c r="D212" s="22" t="s">
        <v>720</v>
      </c>
      <c r="E212" s="13">
        <v>42668.17</v>
      </c>
      <c r="F212" s="13">
        <v>42668.171574074076</v>
      </c>
      <c r="G212" s="7">
        <v>1</v>
      </c>
      <c r="H212" s="13" t="s">
        <v>182</v>
      </c>
      <c r="I212" s="13">
        <v>42668.177743055552</v>
      </c>
      <c r="J212" s="7">
        <v>0</v>
      </c>
      <c r="K212" s="112" t="str">
        <f t="shared" si="53"/>
        <v>4027/4028</v>
      </c>
      <c r="L212" s="22" t="str">
        <f>VLOOKUP(A212,'Trips&amp;Operators'!$C$1:$E$10000,3,FALSE)</f>
        <v>SPECTOR</v>
      </c>
      <c r="M212" s="6">
        <f t="shared" si="54"/>
        <v>6.168981475639157E-3</v>
      </c>
      <c r="N212" s="7">
        <f t="shared" si="55"/>
        <v>8.8833333249203861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Southbound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03:04:48-0600',mode:absolute,to:'2016-10-25 05:15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2" s="52" t="str">
        <f t="shared" si="59"/>
        <v>Y</v>
      </c>
      <c r="X212" s="171">
        <f t="shared" si="60"/>
        <v>1</v>
      </c>
      <c r="Y212" s="67">
        <f t="shared" si="61"/>
        <v>2.3370000000000002</v>
      </c>
      <c r="Z212" s="67">
        <f t="shared" si="62"/>
        <v>1.41E-2</v>
      </c>
      <c r="AA212" s="67">
        <f t="shared" si="63"/>
        <v>2.3229000000000002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4"/>
        <v>0308-25</v>
      </c>
      <c r="AE212" s="91" t="str">
        <f t="shared" si="65"/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AF212" s="88" t="str">
        <f t="shared" si="66"/>
        <v>"C:\Program Files (x86)\AstroGrep\AstroGrep.exe" /spath="%USERPROFILE%\AppData\Local\Temp\OnboardLogs" /stypes="app*4028*20161025*" /stext=" 10:.+((SYSTEM_STATE.+slice.+state.+changed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308-25 --locoid 4028 --swversion DE.1.0.7.0 --startMP 300:23370 --initTime 2016-10-25T04:04:48 --startdatetime 2016-10-25T04:07:04 --delay 1 --endMP 204:141 --enddatetime 2016-10-25T04:15:57 --enforcementcount 0 &gt;&gt;C:\Users\stu\Documents\GitHub\eaglep3-reporting\EC\2016-10-25-refined-times.txt</v>
      </c>
      <c r="AI212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{"issue":{"subject":"","project_id":79,"tracker_id":40,"status_id":1,"priority_id":2,"assigned_to_id":23,"start_date":"2016-10-25","description":"","custom_fields":[{"id":1,"name":"Subdivision","value":"Other"},{"id":4,"name":"Milepost","value":"0.0141"},{"id":17,"name":"Train ID","value":"308-25"},{"id":16,"name":"Locomotive ID","value":"4028"},{"id":130,"name":"Impact","value":""},{"id":150,"name":"Time of Event (Mountain Time)","value":"04:15:57"},{"id":151,"name":"Denver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630</v>
      </c>
      <c r="B213" s="7">
        <v>4009</v>
      </c>
      <c r="C213" s="22" t="s">
        <v>99</v>
      </c>
      <c r="D213" s="22" t="s">
        <v>299</v>
      </c>
      <c r="E213" s="13">
        <v>42669.028287037036</v>
      </c>
      <c r="F213" s="13">
        <v>42669.031342592592</v>
      </c>
      <c r="G213" s="7">
        <v>3</v>
      </c>
      <c r="H213" s="13" t="s">
        <v>721</v>
      </c>
      <c r="I213" s="13">
        <v>42669.038622685184</v>
      </c>
      <c r="J213" s="7">
        <v>0</v>
      </c>
      <c r="K213" s="112" t="str">
        <f t="shared" si="53"/>
        <v>4009/4010</v>
      </c>
      <c r="L213" s="22" t="str">
        <f>VLOOKUP(A213,'Trips&amp;Operators'!$C$1:$E$10000,3,FALSE)</f>
        <v>LEVERE</v>
      </c>
      <c r="M213" s="6">
        <f t="shared" si="54"/>
        <v>7.2800925918272696E-3</v>
      </c>
      <c r="N213" s="7">
        <f t="shared" si="55"/>
        <v>10.483333332231268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NorthBound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23:40:44-0600',mode:absolute,to:'2016-10-26 01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3" s="52" t="str">
        <f t="shared" si="59"/>
        <v>Y</v>
      </c>
      <c r="X213" s="171">
        <f t="shared" si="60"/>
        <v>1</v>
      </c>
      <c r="Y213" s="67">
        <f t="shared" si="61"/>
        <v>4.6699999999999998E-2</v>
      </c>
      <c r="Z213" s="67">
        <f t="shared" si="62"/>
        <v>2.2841</v>
      </c>
      <c r="AA213" s="67">
        <f t="shared" si="63"/>
        <v>2.2374000000000001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4"/>
        <v>0309-25</v>
      </c>
      <c r="AE213" s="91" t="str">
        <f t="shared" si="65"/>
        <v>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 &amp; 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</v>
      </c>
      <c r="AF213" s="88" t="str">
        <f t="shared" si="66"/>
        <v>"C:\Program Files (x86)\AstroGrep\AstroGrep.exe" /spath="%USERPROFILE%\AppData\Local\Temp\OnboardLogs" /stypes="app*4009*20161026*" /stext=" 06:.+((SYSTEM_STATE.+slice.+state.+changed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309-25 --locoid 4009 --swversion DE.1.0.7.0 --startMP 204:467 --initTime 2016-10-26T00:40:44 --startdatetime 2016-10-26T00:45:08 --delay 3 --endMP 300:22841 --enddatetime 2016-10-26T00:55:37 --enforcementcount 0 &gt;&gt;C:\Users\stu\Documents\GitHub\eaglep3-reporting\EC\2016-10-25-refined-times.txt</v>
      </c>
      <c r="AI213" s="122" t="str">
        <f t="shared" si="69"/>
        <v>echo {"issue":{"subject":"","project_id":79,"tracker_id":40,"status_id":1,"priority_id":2,"assigned_to_id":23,"start_date":"2016-10-26","description":"","custom_fields":[{"id":1,"name":"Subdivision","value":"Other"},{"id":4,"name":"Milepost","value":"2.2841"},{"id":17,"name":"Train ID","value":"309-25"},{"id":16,"name":"Locomotive ID","value":"4009"},{"id":130,"name":"Impact","value":""},{"id":150,"name":"Time of Event (Mountain Time)","value":"00:55:37"},{"id":151,"name":"Denver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632</v>
      </c>
      <c r="B214" s="7">
        <v>4002</v>
      </c>
      <c r="C214" s="22" t="s">
        <v>99</v>
      </c>
      <c r="D214" s="22" t="s">
        <v>374</v>
      </c>
      <c r="E214" s="13">
        <v>42669.047291666669</v>
      </c>
      <c r="F214" s="13">
        <v>25568.708333333332</v>
      </c>
      <c r="G214" s="7">
        <v>2</v>
      </c>
      <c r="H214" s="13" t="s">
        <v>722</v>
      </c>
      <c r="I214" s="13">
        <v>25568.708333333332</v>
      </c>
      <c r="J214" s="7">
        <v>0</v>
      </c>
      <c r="K214" s="112" t="str">
        <f t="shared" si="53"/>
        <v>4001/4002</v>
      </c>
      <c r="L214" s="22" t="str">
        <f>VLOOKUP(A214,'Trips&amp;Operators'!$C$1:$E$10000,3,FALSE)</f>
        <v>BERLING</v>
      </c>
      <c r="M214" s="6">
        <f t="shared" si="54"/>
        <v>0</v>
      </c>
      <c r="N214" s="7">
        <f t="shared" si="55"/>
        <v>0</v>
      </c>
      <c r="O214" s="7"/>
      <c r="P214" s="7"/>
      <c r="Q214" s="23"/>
      <c r="R214" s="23"/>
      <c r="S214" s="35">
        <f t="shared" si="56"/>
        <v>1</v>
      </c>
      <c r="T214" s="50" t="str">
        <f t="shared" si="57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https://search-rtdc-monitor-bjffxe2xuh6vdkpspy63sjmuny.us-east-1.es.amazonaws.com/_plugin/kibana/#/discover/Steve-Slow-Train-Analysis-(2080s-and-2083s)?_g=(refreshInterval:(display:Off,section:0,value:0),time:(from:'2016-10-26 00:08:06-0600',mode:absolute,to:'1969-12-31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2" t="str">
        <f t="shared" si="59"/>
        <v>Y</v>
      </c>
      <c r="X214" s="171">
        <f t="shared" si="60"/>
        <v>2</v>
      </c>
      <c r="Y214" s="67">
        <f t="shared" si="61"/>
        <v>4.9299999999999997E-2</v>
      </c>
      <c r="Z214" s="67">
        <f t="shared" si="62"/>
        <v>2.3304</v>
      </c>
      <c r="AA214" s="67">
        <f t="shared" si="63"/>
        <v>2.2810999999999999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64"/>
        <v>0311-25</v>
      </c>
      <c r="AE214" s="91" t="str">
        <f t="shared" si="6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88" t="str">
        <f t="shared" si="66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311-25 --locoid 4002 --swversion DE.1.0.7.0 --startMP 204:493 --initTime 2016-10-26T01:08:06 --startdatetime 1969-12-31T17:00:00 --delay 2 --endMP 300:23304 --enddatetime 1969-12-31T17:00:00 --enforcementcount 0 &gt;&gt;C:\Users\stu\Documents\GitHub\eaglep3-reporting\EC\2016-10-25-refined-times.txt</v>
      </c>
      <c r="AI214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ID","value":"311-25"},{"id":16,"name":"Locomotive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 s="37" t="s">
        <v>360</v>
      </c>
      <c r="B215" s="7">
        <v>4011</v>
      </c>
      <c r="C215" s="22" t="s">
        <v>99</v>
      </c>
      <c r="D215" s="22" t="s">
        <v>387</v>
      </c>
      <c r="E215" s="13">
        <v>42668.077430555553</v>
      </c>
      <c r="F215" s="13">
        <v>42668.07916666667</v>
      </c>
      <c r="G215" s="7">
        <v>2</v>
      </c>
      <c r="H215" s="13" t="s">
        <v>388</v>
      </c>
      <c r="I215" s="13">
        <v>42668.085324074076</v>
      </c>
      <c r="J215" s="7">
        <v>0</v>
      </c>
      <c r="K215" s="112" t="str">
        <f t="shared" si="53"/>
        <v>4011/4012</v>
      </c>
      <c r="L215" s="22" t="str">
        <f>VLOOKUP(A215,'Trips&amp;Operators'!$C$1:$E$10000,3,FALSE)</f>
        <v>CHANDLER</v>
      </c>
      <c r="M215" s="6">
        <f t="shared" si="54"/>
        <v>6.1574074061354622E-3</v>
      </c>
      <c r="N215" s="7">
        <f t="shared" si="55"/>
        <v>8.8666666648350656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NorthBound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00:51:30-0600',mode:absolute,to:'2016-10-25 03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59"/>
        <v>Y</v>
      </c>
      <c r="X215" s="171">
        <f t="shared" si="60"/>
        <v>2</v>
      </c>
      <c r="Y215" s="67">
        <f t="shared" si="61"/>
        <v>7.1900000000000006E-2</v>
      </c>
      <c r="Z215" s="67">
        <f t="shared" si="62"/>
        <v>2.2242000000000002</v>
      </c>
      <c r="AA215" s="67">
        <f t="shared" si="63"/>
        <v>2.1523000000000003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64"/>
        <v>0313-24</v>
      </c>
      <c r="AE215" s="91" t="str">
        <f t="shared" si="65"/>
        <v>aws s3 cp s3://rtdc.mdm.uploadarchive.raw/RTDC4011/ "%USERPROFILE%\AppData\Local\Temp\OnboardLogs"\RTDC4011\2016-10-25 --exclude "*" --recursive --include "*20161025*" &amp; "%USERPROFILE%\Documents\GitHub\mrs-test-scripts\Headless Mode &amp; Sideloading\WalkAndUnGZ.bat" "%USERPROFILE%\AppData\Local\Temp\OnboardLogs"\RTDC4011\2016-10-25 &amp; 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</v>
      </c>
      <c r="AF215" s="88" t="str">
        <f t="shared" si="66"/>
        <v>"C:\Program Files (x86)\AstroGrep\AstroGrep.exe" /spath="%USERPROFILE%\AppData\Local\Temp\OnboardLogs" /stypes="app*4011*20161025*" /stext=" 08:.+((SYSTEM_STATE.+slice.+state.+changed )|(ment ac)|(system.+state.+changed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313-24 --locoid 4011 --swversion DE.1.0.7.0 --startMP 204:719 --initTime 2016-10-25T01:51:30 --startdatetime 2016-10-25T01:54:00 --delay 2 --endMP 300:22242 --enddatetime 2016-10-25T02:02:52 --enforcementcount 0 &gt;&gt;C:\Users\stu\Documents\GitHub\eaglep3-reporting\EC\2016-10-25-refined-times.txt</v>
      </c>
      <c r="AI215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{"issue":{"subject":"","project_id":79,"tracker_id":40,"status_id":1,"priority_id":2,"assigned_to_id":23,"start_date":"2016-10-25","description":"","custom_fields":[{"id":1,"name":"Subdivision","value":"Other"},{"id":4,"name":"Milepost","value":"2.2242"},{"id":17,"name":"Train ID","value":"313-24"},{"id":16,"name":"Locomotive ID","value":"4011"},{"id":130,"name":"Impact","value":""},{"id":150,"name":"Time of Event (Mountain Time)","value":"02:02:52"},{"id":151,"name":"Denver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 s="37" t="s">
        <v>634</v>
      </c>
      <c r="B216" s="7">
        <v>4042</v>
      </c>
      <c r="C216" s="22" t="s">
        <v>99</v>
      </c>
      <c r="D216" s="22" t="s">
        <v>234</v>
      </c>
      <c r="E216" s="13">
        <v>42669.067129629628</v>
      </c>
      <c r="F216" s="13">
        <v>25568.708333333332</v>
      </c>
      <c r="G216" s="7">
        <v>1</v>
      </c>
      <c r="H216" s="13" t="s">
        <v>723</v>
      </c>
      <c r="I216" s="13">
        <v>25568.708333333332</v>
      </c>
      <c r="J216" s="7">
        <v>0</v>
      </c>
      <c r="K216" s="112" t="str">
        <f t="shared" si="53"/>
        <v>4041/4042</v>
      </c>
      <c r="L216" s="22" t="str">
        <f>VLOOKUP(A216,'Trips&amp;Operators'!$C$1:$E$10000,3,FALSE)</f>
        <v>YANAI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1</v>
      </c>
      <c r="T216" s="50" t="str">
        <f t="shared" si="57"/>
        <v>NorthBound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https://search-rtdc-monitor-bjffxe2xuh6vdkpspy63sjmuny.us-east-1.es.amazonaws.com/_plugin/kibana/#/discover/Steve-Slow-Train-Analysis-(2080s-and-2083s)?_g=(refreshInterval:(display:Off,section:0,value:0),time:(from:'2016-10-26 00:36:40-0600',mode:absolute,to:'1969-12-31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6" s="52" t="str">
        <f t="shared" si="59"/>
        <v>Y</v>
      </c>
      <c r="X216" s="171">
        <f t="shared" si="60"/>
        <v>0</v>
      </c>
      <c r="Y216" s="67">
        <f t="shared" si="61"/>
        <v>4.5999999999999999E-2</v>
      </c>
      <c r="Z216" s="67">
        <f t="shared" si="62"/>
        <v>2.3090999999999999</v>
      </c>
      <c r="AA216" s="67">
        <f t="shared" si="63"/>
        <v>2.2631000000000001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64"/>
        <v>0313-25</v>
      </c>
      <c r="AE216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8" t="str">
        <f t="shared" si="66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313-25 --locoid 4042 --swversion DE.1.0.7.0 --startMP 204:460 --initTime 2016-10-26T01:36:40 --startdatetime 1969-12-31T17:00:00 --delay 1 --endMP 300:23091 --enddatetime 1969-12-31T17:00:00 --enforcementcount 0 &gt;&gt;C:\Users\stu\Documents\GitHub\eaglep3-reporting\EC\2016-10-25-refined-times.txt</v>
      </c>
      <c r="AI21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{"issue":{"subject":"","project_id":79,"tracker_id":40,"status_id":1,"priority_id":2,"assigned_to_id":23,"start_date":"1969-12-31","description":"","custom_fields":[{"id":1,"name":"Subdivision","value":"Other"},{"id":4,"name":"Milepost","value":"2.3091"},{"id":17,"name":"Train ID","value":"313-25"},{"id":16,"name":"Locomotive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361</v>
      </c>
      <c r="B217" s="7">
        <v>4016</v>
      </c>
      <c r="C217" s="22" t="s">
        <v>99</v>
      </c>
      <c r="D217" s="22" t="s">
        <v>324</v>
      </c>
      <c r="E217" s="13">
        <v>42668.08865740741</v>
      </c>
      <c r="F217" s="13">
        <v>25568.708333333332</v>
      </c>
      <c r="G217" s="7">
        <v>1</v>
      </c>
      <c r="H217" s="13" t="s">
        <v>389</v>
      </c>
      <c r="I217" s="13">
        <v>25568.708333333332</v>
      </c>
      <c r="J217" s="7">
        <v>0</v>
      </c>
      <c r="K217" s="112" t="str">
        <f t="shared" si="53"/>
        <v>4015/4016</v>
      </c>
      <c r="L217" s="22" t="str">
        <f>VLOOKUP(A217,'Trips&amp;Operators'!$C$1:$E$10000,3,FALSE)</f>
        <v>YANAI</v>
      </c>
      <c r="M217" s="6">
        <f t="shared" si="54"/>
        <v>0</v>
      </c>
      <c r="N217" s="7">
        <f t="shared" si="55"/>
        <v>0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NorthBound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01:07:40-0600',mode:absolute,to:'1969-12-31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7" s="52" t="str">
        <f t="shared" si="59"/>
        <v>Y</v>
      </c>
      <c r="X217" s="171">
        <f t="shared" si="60"/>
        <v>2</v>
      </c>
      <c r="Y217" s="67">
        <f t="shared" si="61"/>
        <v>7.5200000000000003E-2</v>
      </c>
      <c r="Z217" s="67">
        <f t="shared" si="62"/>
        <v>2.3108</v>
      </c>
      <c r="AA217" s="67">
        <f t="shared" si="63"/>
        <v>2.2355999999999998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64"/>
        <v>0315-24</v>
      </c>
      <c r="AE217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7" s="88" t="str">
        <f t="shared" si="66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7" s="1" t="str">
        <f t="shared" si="67"/>
        <v>Other</v>
      </c>
      <c r="AH217" s="92" t="str">
        <f t="shared" si="68"/>
        <v>"%USERPROFILE%\Documents\GitHub\eaglep3\Utilities\RefineRTDCRunTimes.py" --tripid 315-24 --locoid 4016 --swversion DE.1.0.7.0 --startMP 204:752 --initTime 2016-10-25T02:07:40 --startdatetime 1969-12-31T17:00:00 --delay 1 --endMP 300:23108 --enddatetime 1969-12-31T17:00:00 --enforcementcount 0 &gt;&gt;C:\Users\stu\Documents\GitHub\eaglep3-reporting\EC\2016-10-25-refined-times.txt</v>
      </c>
      <c r="AI217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{"issue":{"subject":"","project_id":79,"tracker_id":40,"status_id":1,"priority_id":2,"assigned_to_id":23,"start_date":"1969-12-31","description":"","custom_fields":[{"id":1,"name":"Subdivision","value":"Other"},{"id":4,"name":"Milepost","value":"2.3108"},{"id":17,"name":"Train ID","value":"315-24"},{"id":16,"name":"Locomotive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459</v>
      </c>
      <c r="B218" s="7">
        <v>4029</v>
      </c>
      <c r="C218" s="22" t="s">
        <v>99</v>
      </c>
      <c r="D218" s="22" t="s">
        <v>787</v>
      </c>
      <c r="E218" s="13">
        <v>42668.204699074071</v>
      </c>
      <c r="F218" s="13">
        <v>42668.20890046296</v>
      </c>
      <c r="G218" s="7">
        <v>5</v>
      </c>
      <c r="H218" s="13" t="s">
        <v>317</v>
      </c>
      <c r="I218" s="13">
        <v>42668.21371527778</v>
      </c>
      <c r="J218" s="7">
        <v>0</v>
      </c>
      <c r="K218" s="112" t="str">
        <f t="shared" si="53"/>
        <v>4029/4030</v>
      </c>
      <c r="L218" s="22" t="str">
        <f>VLOOKUP(A218,'Trips&amp;Operators'!$C$1:$E$10000,3,FALSE)</f>
        <v>STARKS</v>
      </c>
      <c r="M218" s="6">
        <f t="shared" si="54"/>
        <v>4.8148148198379204E-3</v>
      </c>
      <c r="N218" s="7">
        <f t="shared" si="55"/>
        <v>6.9333333405666053</v>
      </c>
      <c r="O218" s="7"/>
      <c r="P218" s="7"/>
      <c r="Q218" s="23"/>
      <c r="R218" s="23"/>
      <c r="S218" s="35">
        <f t="shared" si="56"/>
        <v>0</v>
      </c>
      <c r="T218" s="50" t="str">
        <f t="shared" si="57"/>
        <v>NorthBound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03:54:46-0600',mode:absolute,to:'2016-10-25 06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8" s="52" t="str">
        <f t="shared" si="59"/>
        <v>Y</v>
      </c>
      <c r="X218" s="171">
        <f t="shared" si="60"/>
        <v>586</v>
      </c>
      <c r="Y218" s="67">
        <f t="shared" si="61"/>
        <v>3.0337000000000001</v>
      </c>
      <c r="Z218" s="67">
        <f t="shared" si="62"/>
        <v>5.8921999999999999</v>
      </c>
      <c r="AA218" s="67">
        <f t="shared" si="63"/>
        <v>2.8584999999999998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64"/>
        <v>0901-25</v>
      </c>
      <c r="AE218" s="91" t="str">
        <f t="shared" si="65"/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AF218" s="88" t="str">
        <f t="shared" si="66"/>
        <v>"C:\Program Files (x86)\AstroGrep\AstroGrep.exe" /spath="%USERPROFILE%\AppData\Local\Temp\OnboardLogs" /stypes="app*4029*20161025*" /stext=" 11:.+((SYSTEM_STATE.+slice.+state.+changed )|(ment ac)|(system.+state.+changed )|(\[timeout)|(PRM\|1\|D)|(kpr)|(kdp)|(\|lc)|(penalty))" /e /r /s</v>
      </c>
      <c r="AG218" s="1" t="str">
        <f t="shared" si="67"/>
        <v>Other</v>
      </c>
      <c r="AH218" s="92" t="str">
        <f t="shared" si="68"/>
        <v>"%USERPROFILE%\Documents\GitHub\eaglep3\Utilities\RefineRTDCRunTimes.py" --tripid 901-25 --locoid 4029 --swversion DE.1.0.7.0 --startMP 300:30337 --initTime 2016-10-25T04:54:46 --startdatetime 2016-10-25T05:00:49 --delay 5 --endMP 300:58922 --enddatetime 2016-10-25T05:07:45 --enforcementcount 0 &gt;&gt;C:\Users\stu\Documents\GitHub\eaglep3-reporting\EC\2016-10-25-refined-times.txt</v>
      </c>
      <c r="AI218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{"issue":{"subject":"","project_id":79,"tracker_id":40,"status_id":1,"priority_id":2,"assigned_to_id":23,"start_date":"2016-10-25","description":"","custom_fields":[{"id":1,"name":"Subdivision","value":"Other"},{"id":4,"name":"Milepost","value":"5.8922"},{"id":17,"name":"Train ID","value":"901-25"},{"id":16,"name":"Locomotive ID","value":"4029"},{"id":130,"name":"Impact","value":""},{"id":150,"name":"Time of Event (Mountain Time)","value":"05:07:45"},{"id":151,"name":"Denver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412</v>
      </c>
      <c r="B219" s="7">
        <v>4054</v>
      </c>
      <c r="C219" s="22" t="s">
        <v>99</v>
      </c>
      <c r="D219" s="22" t="s">
        <v>788</v>
      </c>
      <c r="E219" s="13">
        <v>42668.239861111113</v>
      </c>
      <c r="F219" s="13">
        <v>42668.2422337963</v>
      </c>
      <c r="G219" s="7">
        <v>3</v>
      </c>
      <c r="H219" s="13" t="s">
        <v>789</v>
      </c>
      <c r="I219" s="13">
        <v>42668.248113425929</v>
      </c>
      <c r="J219" s="7">
        <v>0</v>
      </c>
      <c r="K219" s="112" t="str">
        <f t="shared" si="53"/>
        <v>4053/4054</v>
      </c>
      <c r="L219" s="22" t="str">
        <f>VLOOKUP(A219,'Trips&amp;Operators'!$C$1:$E$10000,3,FALSE)</f>
        <v>LEVIN</v>
      </c>
      <c r="M219" s="6">
        <f t="shared" si="54"/>
        <v>5.8796296289074235E-3</v>
      </c>
      <c r="N219" s="7">
        <f t="shared" si="55"/>
        <v>8.4666666656266898</v>
      </c>
      <c r="O219" s="7"/>
      <c r="P219" s="7"/>
      <c r="Q219" s="23"/>
      <c r="R219" s="23"/>
      <c r="S219" s="35">
        <f t="shared" si="56"/>
        <v>1</v>
      </c>
      <c r="T219" s="50" t="str">
        <f t="shared" si="57"/>
        <v>Southbound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04:45:24-0600',mode:absolute,to:'2016-10-25 06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9" s="52" t="str">
        <f t="shared" si="59"/>
        <v>Y</v>
      </c>
      <c r="X219" s="171">
        <f t="shared" si="60"/>
        <v>1</v>
      </c>
      <c r="Y219" s="67">
        <f t="shared" si="61"/>
        <v>2.3298999999999999</v>
      </c>
      <c r="Z219" s="67">
        <f t="shared" si="62"/>
        <v>7.1199999999999999E-2</v>
      </c>
      <c r="AA219" s="67">
        <f t="shared" si="63"/>
        <v>2.2586999999999997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64"/>
        <v>0902-25</v>
      </c>
      <c r="AE219" s="91" t="str">
        <f t="shared" si="65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19" s="88" t="str">
        <f t="shared" si="66"/>
        <v>"C:\Program Files (x86)\AstroGrep\AstroGrep.exe" /spath="%USERPROFILE%\AppData\Local\Temp\OnboardLogs" /stypes="app*4054*20161025*" /stext=" 11:.+((SYSTEM_STATE.+slice.+state.+changed )|(ment ac)|(system.+state.+changed )|(\[timeout)|(PRM\|1\|D)|(kpr)|(kdp)|(\|lc)|(penalty))" /e /r /s</v>
      </c>
      <c r="AG219" s="1" t="str">
        <f t="shared" si="67"/>
        <v>Other</v>
      </c>
      <c r="AH219" s="92" t="str">
        <f t="shared" si="68"/>
        <v>"%USERPROFILE%\Documents\GitHub\eaglep3\Utilities\RefineRTDCRunTimes.py" --tripid 902-25 --locoid 4054 --swversion DE.1.0.7.0 --startMP 300:23299 --initTime 2016-10-25T05:45:24 --startdatetime 2016-10-25T05:48:49 --delay 3 --endMP 204:712 --enddatetime 2016-10-25T05:57:17 --enforcementcount 0 &gt;&gt;C:\Users\stu\Documents\GitHub\eaglep3-reporting\EC\2016-10-25-refined-times.txt</v>
      </c>
      <c r="AI219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{"issue":{"subject":"","project_id":79,"tracker_id":40,"status_id":1,"priority_id":2,"assigned_to_id":23,"start_date":"2016-10-25","description":"","custom_fields":[{"id":1,"name":"Subdivision","value":"Other"},{"id":4,"name":"Milepost","value":"0.0712"},{"id":17,"name":"Train ID","value":"902-25"},{"id":16,"name":"Locomotive ID","value":"4054"},{"id":130,"name":"Impact","value":""},{"id":150,"name":"Time of Event (Mountain Time)","value":"05:57:17"},{"id":151,"name":"Denver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601</v>
      </c>
      <c r="B220" s="7">
        <v>4030</v>
      </c>
      <c r="C220" s="22" t="s">
        <v>99</v>
      </c>
      <c r="D220" s="22" t="s">
        <v>767</v>
      </c>
      <c r="E220" s="13">
        <v>42668.797800925924</v>
      </c>
      <c r="F220" s="13">
        <v>42668.79991898148</v>
      </c>
      <c r="G220" s="7">
        <v>1</v>
      </c>
      <c r="H220" s="13" t="s">
        <v>790</v>
      </c>
      <c r="I220" s="13">
        <v>42668.805995370371</v>
      </c>
      <c r="J220" s="7">
        <v>0</v>
      </c>
      <c r="K220" s="112" t="str">
        <f t="shared" si="53"/>
        <v>4029/4030</v>
      </c>
      <c r="L220" s="22" t="str">
        <f>VLOOKUP(A220,'Trips&amp;Operators'!$C$1:$E$10000,3,FALSE)</f>
        <v>MAHAN</v>
      </c>
      <c r="M220" s="6">
        <f t="shared" si="54"/>
        <v>6.0763888905057684E-3</v>
      </c>
      <c r="N220" s="7">
        <f t="shared" si="55"/>
        <v>8.7500000023283064</v>
      </c>
      <c r="O220" s="7"/>
      <c r="P220" s="7"/>
      <c r="Q220" s="23"/>
      <c r="R220" s="23"/>
      <c r="S220" s="35">
        <f t="shared" si="56"/>
        <v>0</v>
      </c>
      <c r="T220" s="50" t="str">
        <f t="shared" si="57"/>
        <v>Southbound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18:08:50-0600',mode:absolute,to:'2016-10-25 20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0" s="52" t="str">
        <f t="shared" si="59"/>
        <v>Y</v>
      </c>
      <c r="X220" s="171">
        <f t="shared" si="60"/>
        <v>4</v>
      </c>
      <c r="Y220" s="67">
        <f t="shared" si="61"/>
        <v>5.8648999999999996</v>
      </c>
      <c r="Z220" s="67">
        <f t="shared" si="62"/>
        <v>2.8791000000000002</v>
      </c>
      <c r="AA220" s="67">
        <f t="shared" si="63"/>
        <v>2.9857999999999993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64"/>
        <v>0906-25</v>
      </c>
      <c r="AE220" s="91" t="str">
        <f t="shared" si="65"/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AF220" s="88" t="str">
        <f t="shared" si="66"/>
        <v>"C:\Program Files (x86)\AstroGrep\AstroGrep.exe" /spath="%USERPROFILE%\AppData\Local\Temp\OnboardLogs" /stypes="app*4030*20161026*" /stext=" 01:.+((SYSTEM_STATE.+slice.+state.+changed )|(ment ac)|(system.+state.+changed )|(\[timeout)|(PRM\|1\|D)|(kpr)|(kdp)|(\|lc)|(penalty))" /e /r /s</v>
      </c>
      <c r="AG220" s="1" t="str">
        <f t="shared" si="67"/>
        <v>Other</v>
      </c>
      <c r="AH220" s="92" t="str">
        <f t="shared" si="68"/>
        <v>"%USERPROFILE%\Documents\GitHub\eaglep3\Utilities\RefineRTDCRunTimes.py" --tripid 906-25 --locoid 4030 --swversion DE.1.0.7.0 --startMP 300:58649 --initTime 2016-10-25T19:08:50 --startdatetime 2016-10-25T19:11:53 --delay 1 --endMP 300:28791 --enddatetime 2016-10-25T19:20:38 --enforcementcount 0 &gt;&gt;C:\Users\stu\Documents\GitHub\eaglep3-reporting\EC\2016-10-25-refined-times.txt</v>
      </c>
      <c r="AI220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{"issue":{"subject":"","project_id":79,"tracker_id":40,"status_id":1,"priority_id":2,"assigned_to_id":23,"start_date":"2016-10-25","description":"","custom_fields":[{"id":1,"name":"Subdivision","value":"Other"},{"id":4,"name":"Milepost","value":"2.8791"},{"id":17,"name":"Train ID","value":"906-25"},{"id":16,"name":"Locomotive ID","value":"4030"},{"id":130,"name":"Impact","value":""},{"id":150,"name":"Time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624</v>
      </c>
      <c r="B221" s="7">
        <v>4054</v>
      </c>
      <c r="C221" s="22" t="s">
        <v>99</v>
      </c>
      <c r="D221" s="22" t="s">
        <v>772</v>
      </c>
      <c r="E221" s="13">
        <v>42668.943240740744</v>
      </c>
      <c r="F221" s="13">
        <v>42668.945219907408</v>
      </c>
      <c r="G221" s="7">
        <v>1</v>
      </c>
      <c r="H221" s="13" t="s">
        <v>791</v>
      </c>
      <c r="I221" s="13">
        <v>42668.950694444444</v>
      </c>
      <c r="J221" s="7">
        <v>0</v>
      </c>
      <c r="K221" s="112" t="str">
        <f t="shared" si="53"/>
        <v>4053/4054</v>
      </c>
      <c r="L221" s="22" t="str">
        <f>VLOOKUP(A221,'Trips&amp;Operators'!$C$1:$E$10000,3,FALSE)</f>
        <v>MAHAN</v>
      </c>
      <c r="M221" s="6">
        <f t="shared" si="54"/>
        <v>5.4745370362070389E-3</v>
      </c>
      <c r="N221" s="7">
        <f t="shared" si="55"/>
        <v>7.883333332138136</v>
      </c>
      <c r="O221" s="7"/>
      <c r="P221" s="7"/>
      <c r="Q221" s="23"/>
      <c r="R221" s="23"/>
      <c r="S221" s="35">
        <f t="shared" si="56"/>
        <v>0</v>
      </c>
      <c r="T221" s="50" t="str">
        <f t="shared" si="57"/>
        <v>Southbound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21:38:16-0600',mode:absolute,to:'2016-10-25 23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1" s="52" t="str">
        <f t="shared" si="59"/>
        <v>Y</v>
      </c>
      <c r="X221" s="171">
        <f t="shared" si="60"/>
        <v>2</v>
      </c>
      <c r="Y221" s="67">
        <f t="shared" si="61"/>
        <v>5.8647</v>
      </c>
      <c r="Z221" s="67">
        <f t="shared" si="62"/>
        <v>2.1406999999999998</v>
      </c>
      <c r="AA221" s="67">
        <f t="shared" si="63"/>
        <v>3.7240000000000002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64"/>
        <v>0908-25</v>
      </c>
      <c r="AE221" s="91" t="str">
        <f t="shared" si="65"/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AF221" s="88" t="str">
        <f t="shared" si="66"/>
        <v>"C:\Program Files (x86)\AstroGrep\AstroGrep.exe" /spath="%USERPROFILE%\AppData\Local\Temp\OnboardLogs" /stypes="app*4054*20161026*" /stext=" 04:.+((SYSTEM_STATE.+slice.+state.+changed )|(ment ac)|(system.+state.+changed )|(\[timeout)|(PRM\|1\|D)|(kpr)|(kdp)|(\|lc)|(penalty))" /e /r /s</v>
      </c>
      <c r="AG221" s="1" t="str">
        <f t="shared" si="67"/>
        <v>Other</v>
      </c>
      <c r="AH221" s="92" t="str">
        <f t="shared" si="68"/>
        <v>"%USERPROFILE%\Documents\GitHub\eaglep3\Utilities\RefineRTDCRunTimes.py" --tripid 908-25 --locoid 4054 --swversion DE.1.0.7.0 --startMP 300:58647 --initTime 2016-10-25T22:38:16 --startdatetime 2016-10-25T22:41:07 --delay 1 --endMP 300:21407 --enddatetime 2016-10-25T22:49:00 --enforcementcount 0 &gt;&gt;C:\Users\stu\Documents\GitHub\eaglep3-reporting\EC\2016-10-25-refined-times.txt</v>
      </c>
      <c r="AI221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{"issue":{"subject":"","project_id":79,"tracker_id":40,"status_id":1,"priority_id":2,"assigned_to_id":23,"start_date":"2016-10-25","description":"","custom_fields":[{"id":1,"name":"Subdivision","value":"Other"},{"id":4,"name":"Milepost","value":"2.1407"},{"id":17,"name":"Train ID","value":"908-25"},{"id":16,"name":"Locomotive ID","value":"4054"},{"id":130,"name":"Impact","value":""},{"id":150,"name":"Time of Event (Mountain Time)","value":"22:49:00"},{"id":151,"name":"Denver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7" t="s">
        <v>518</v>
      </c>
      <c r="B222" s="7">
        <v>4021</v>
      </c>
      <c r="C222" s="22" t="s">
        <v>99</v>
      </c>
      <c r="D222" s="22" t="s">
        <v>724</v>
      </c>
      <c r="E222" s="13">
        <v>42668.45988425926</v>
      </c>
      <c r="F222" s="13">
        <v>42668.461331018516</v>
      </c>
      <c r="G222" s="7">
        <v>1</v>
      </c>
      <c r="H222" s="13" t="s">
        <v>725</v>
      </c>
      <c r="I222" s="13">
        <v>42668.46702546296</v>
      </c>
      <c r="J222" s="7">
        <v>0</v>
      </c>
      <c r="K222" s="112" t="str">
        <f t="shared" si="53"/>
        <v>4021/4022</v>
      </c>
      <c r="L222" s="22" t="str">
        <f>VLOOKUP(A222,'Trips&amp;Operators'!$C$1:$E$10000,3,FALSE)</f>
        <v>HELVIE</v>
      </c>
      <c r="M222" s="6">
        <f t="shared" si="54"/>
        <v>5.694444444088731E-3</v>
      </c>
      <c r="N222" s="7">
        <f t="shared" si="55"/>
        <v>8.1999999994877726</v>
      </c>
      <c r="O222" s="7"/>
      <c r="P222" s="7"/>
      <c r="Q222" s="23"/>
      <c r="R222" s="23"/>
      <c r="S222" s="35">
        <f t="shared" si="56"/>
        <v>0</v>
      </c>
      <c r="T222" s="50" t="e">
        <f t="shared" si="57"/>
        <v>#VALUE!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10:02:14-0600',mode:absolute,to:'2016-10-25 12:12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2" s="52" t="str">
        <f t="shared" si="59"/>
        <v>Y</v>
      </c>
      <c r="X222" s="171" t="e">
        <f t="shared" si="60"/>
        <v>#VALUE!</v>
      </c>
      <c r="Y222" s="67">
        <f t="shared" si="61"/>
        <v>2.1829000000000001</v>
      </c>
      <c r="Z222" s="67">
        <f t="shared" si="62"/>
        <v>9.2100000000000001E-2</v>
      </c>
      <c r="AA222" s="67">
        <f t="shared" si="63"/>
        <v>2.0908000000000002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64"/>
        <v>50-25</v>
      </c>
      <c r="AE222" s="91" t="str">
        <f t="shared" si="65"/>
        <v>aws s3 cp s3://rtdc.mdm.uploadarchive.raw/RTDC4021/ "%USERPROFILE%\AppData\Local\Temp\OnboardLogs"\RTDC4021\2016-10-25 --exclude "*" --recursive --include "*20161025*" &amp; "%USERPROFILE%\Documents\GitHub\mrs-test-scripts\Headless Mode &amp; Sideloading\WalkAndUnGZ.bat" "%USERPROFILE%\AppData\Local\Temp\OnboardLogs"\RTDC4021\2016-10-25 &amp; aws s3 cp s3://rtdc.mdm.uploadarchive.raw/RTDC4021/ "%USERPROFILE%\AppData\Local\Temp\OnboardLogs"\RTDC4021\2016-10-26 --exclude "*" --recursive --include "*20161026*" &amp; "%USERPROFILE%\Documents\GitHub\mrs-test-scripts\Headless Mode &amp; Sideloading\WalkAndUnGZ.bat" "%USERPROFILE%\AppData\Local\Temp\OnboardLogs"\RTDC4021\2016-10-26</v>
      </c>
      <c r="AF222" s="88" t="str">
        <f t="shared" si="66"/>
        <v>"C:\Program Files (x86)\AstroGrep\AstroGrep.exe" /spath="%USERPROFILE%\AppData\Local\Temp\OnboardLogs" /stypes="app*4021*20161025*" /stext=" 17:.+((SYSTEM_STATE.+slice.+state.+changed )|(ment ac)|(system.+state.+changed )|(\[timeout)|(PRM\|1\|D)|(kpr)|(kdp)|(\|lc)|(penalty))" /e /r /s</v>
      </c>
      <c r="AG222" s="1" t="str">
        <f t="shared" si="67"/>
        <v>Other</v>
      </c>
      <c r="AH222" s="92" t="str">
        <f t="shared" si="68"/>
        <v>"%USERPROFILE%\Documents\GitHub\eaglep3\Utilities\RefineRTDCRunTimes.py" --tripid 50-25 --locoid 4021 --swversion DE.1.0.7.0 --startMP 300:21829 --initTime 2016-10-25T11:02:14 --startdatetime 2016-10-25T11:04:19 --delay 1 --endMP 204:921 --enddatetime 2016-10-25T11:12:31 --enforcementcount 0 &gt;&gt;C:\Users\stu\Documents\GitHub\eaglep3-reporting\EC\2016-10-25-refined-times.txt</v>
      </c>
      <c r="AI222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{"issue":{"subject":"","project_id":79,"tracker_id":40,"status_id":1,"priority_id":2,"assigned_to_id":23,"start_date":"2016-10-25","description":"","custom_fields":[{"id":1,"name":"Subdivision","value":"Other"},{"id":4,"name":"Milepost","value":"0.0921"},{"id":17,"name":"Train ID","value":"50-25"},{"id":16,"name":"Locomotive ID","value":"4021"},{"id":130,"name":"Impact","value":""},{"id":150,"name":"Time of Event (Mountain Time)","value":"11:12:31"},{"id":151,"name":"Denver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532</v>
      </c>
      <c r="B223" s="7">
        <v>4022</v>
      </c>
      <c r="C223" s="22" t="s">
        <v>99</v>
      </c>
      <c r="D223" s="22" t="s">
        <v>726</v>
      </c>
      <c r="E223" s="13">
        <v>42668.512824074074</v>
      </c>
      <c r="F223" s="13">
        <v>42668.514456018522</v>
      </c>
      <c r="G223" s="7">
        <v>1</v>
      </c>
      <c r="H223" s="13" t="s">
        <v>727</v>
      </c>
      <c r="I223" s="13">
        <v>42668.519733796296</v>
      </c>
      <c r="J223" s="7">
        <v>0</v>
      </c>
      <c r="K223" s="112" t="str">
        <f t="shared" si="53"/>
        <v>4021/4022</v>
      </c>
      <c r="L223" s="22" t="str">
        <f>VLOOKUP(A223,'Trips&amp;Operators'!$C$1:$E$10000,3,FALSE)</f>
        <v>GEBRETEKLE</v>
      </c>
      <c r="M223" s="6">
        <f t="shared" si="54"/>
        <v>5.277777774608694E-3</v>
      </c>
      <c r="N223" s="7">
        <f t="shared" si="55"/>
        <v>7.5999999954365194</v>
      </c>
      <c r="O223" s="7"/>
      <c r="P223" s="7"/>
      <c r="Q223" s="23"/>
      <c r="R223" s="23"/>
      <c r="S223" s="35">
        <f t="shared" si="56"/>
        <v>0</v>
      </c>
      <c r="T223" s="50" t="e">
        <f t="shared" si="57"/>
        <v>#VALUE!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11:18:28-0600',mode:absolute,to:'2016-10-25 13:28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3" s="52" t="str">
        <f t="shared" si="59"/>
        <v>Y</v>
      </c>
      <c r="X223" s="171" t="e">
        <f t="shared" si="60"/>
        <v>#VALUE!</v>
      </c>
      <c r="Y223" s="67">
        <f t="shared" si="61"/>
        <v>0.1231</v>
      </c>
      <c r="Z223" s="67">
        <f t="shared" si="62"/>
        <v>2.4241000000000001</v>
      </c>
      <c r="AA223" s="67">
        <f t="shared" si="63"/>
        <v>2.3010000000000002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64"/>
        <v>51-25</v>
      </c>
      <c r="AE223" s="91" t="str">
        <f t="shared" si="65"/>
        <v>aws s3 cp s3://rtdc.mdm.uploadarchive.raw/RTDC4022/ "%USERPROFILE%\AppData\Local\Temp\OnboardLogs"\RTDC4022\2016-10-25 --exclude "*" --recursive --include "*20161025*" &amp; "%USERPROFILE%\Documents\GitHub\mrs-test-scripts\Headless Mode &amp; Sideloading\WalkAndUnGZ.bat" "%USERPROFILE%\AppData\Local\Temp\OnboardLogs"\RTDC4022\2016-10-25 &amp; aws s3 cp s3://rtdc.mdm.uploadarchive.raw/RTDC4022/ "%USERPROFILE%\AppData\Local\Temp\OnboardLogs"\RTDC4022\2016-10-26 --exclude "*" --recursive --include "*20161026*" &amp; "%USERPROFILE%\Documents\GitHub\mrs-test-scripts\Headless Mode &amp; Sideloading\WalkAndUnGZ.bat" "%USERPROFILE%\AppData\Local\Temp\OnboardLogs"\RTDC4022\2016-10-26</v>
      </c>
      <c r="AF223" s="88" t="str">
        <f t="shared" si="66"/>
        <v>"C:\Program Files (x86)\AstroGrep\AstroGrep.exe" /spath="%USERPROFILE%\AppData\Local\Temp\OnboardLogs" /stypes="app*4022*20161025*" /stext=" 18:.+((SYSTEM_STATE.+slice.+state.+changed )|(ment ac)|(system.+state.+changed )|(\[timeout)|(PRM\|1\|D)|(kpr)|(kdp)|(\|lc)|(penalty))" /e /r /s</v>
      </c>
      <c r="AG223" s="1" t="str">
        <f t="shared" si="67"/>
        <v>Other</v>
      </c>
      <c r="AH223" s="92" t="str">
        <f t="shared" si="68"/>
        <v>"%USERPROFILE%\Documents\GitHub\eaglep3\Utilities\RefineRTDCRunTimes.py" --tripid 51-25 --locoid 4022 --swversion DE.1.0.7.0 --startMP 204:1231 --initTime 2016-10-25T12:18:28 --startdatetime 2016-10-25T12:20:49 --delay 1 --endMP 300:24241 --enddatetime 2016-10-25T12:28:25 --enforcementcount 0 &gt;&gt;C:\Users\stu\Documents\GitHub\eaglep3-reporting\EC\2016-10-25-refined-times.txt</v>
      </c>
      <c r="AI223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{"issue":{"subject":"","project_id":79,"tracker_id":40,"status_id":1,"priority_id":2,"assigned_to_id":23,"start_date":"2016-10-25","description":"","custom_fields":[{"id":1,"name":"Subdivision","value":"Other"},{"id":4,"name":"Milepost","value":"2.4241"},{"id":17,"name":"Train ID","value":"51-25"},{"id":16,"name":"Locomotive ID","value":"4022"},{"id":130,"name":"Impact","value":""},{"id":150,"name":"Time of Event (Mountain Time)","value":"12:28:25"},{"id":151,"name":"Denver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635</v>
      </c>
      <c r="B224" s="7">
        <v>4051</v>
      </c>
      <c r="C224" s="22" t="s">
        <v>728</v>
      </c>
      <c r="D224" s="22" t="s">
        <v>712</v>
      </c>
      <c r="E224" s="13">
        <v>42669.105196759258</v>
      </c>
      <c r="F224" s="13">
        <v>42669.107476851852</v>
      </c>
      <c r="G224" s="7">
        <v>1</v>
      </c>
      <c r="H224" s="13" t="s">
        <v>729</v>
      </c>
      <c r="I224" s="13">
        <v>42669.123252314814</v>
      </c>
      <c r="J224" s="7">
        <v>0</v>
      </c>
      <c r="K224" s="112" t="str">
        <f t="shared" si="53"/>
        <v>4051/4052</v>
      </c>
      <c r="L224" s="22" t="str">
        <f>VLOOKUP(A224,'Trips&amp;Operators'!$C$1:$E$10000,3,FALSE)</f>
        <v>CHIONE</v>
      </c>
      <c r="M224" s="6">
        <f t="shared" si="54"/>
        <v>1.5775462961755693E-2</v>
      </c>
      <c r="N224" s="7">
        <f t="shared" si="55"/>
        <v>22.716666664928198</v>
      </c>
      <c r="O224" s="7"/>
      <c r="P224" s="7"/>
      <c r="Q224" s="23"/>
      <c r="R224" s="23"/>
      <c r="S224" s="35">
        <f t="shared" si="56"/>
        <v>0</v>
      </c>
      <c r="T224" s="50" t="e">
        <f t="shared" si="57"/>
        <v>#VALUE!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https://search-rtdc-monitor-bjffxe2xuh6vdkpspy63sjmuny.us-east-1.es.amazonaws.com/_plugin/kibana/#/discover/Steve-Slow-Train-Analysis-(2080s-and-2083s)?_g=(refreshInterval:(display:Off,section:0,value:0),time:(from:'2016-10-26 01:31:29-0600',mode:absolute,to:'2016-10-26 03:57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4" s="52" t="str">
        <f t="shared" si="59"/>
        <v>N</v>
      </c>
      <c r="X224" s="171" t="e">
        <f t="shared" si="60"/>
        <v>#VALUE!</v>
      </c>
      <c r="Y224" s="67">
        <f t="shared" si="61"/>
        <v>4.9799999999999997E-2</v>
      </c>
      <c r="Z224" s="67">
        <f t="shared" si="62"/>
        <v>12.827500000000001</v>
      </c>
      <c r="AA224" s="67">
        <f t="shared" si="63"/>
        <v>12.777700000000001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64"/>
        <v>51-26</v>
      </c>
      <c r="AE224" s="91" t="str">
        <f t="shared" si="65"/>
        <v>aws s3 cp s3://rtdc.mdm.uploadarchive.raw/RTDC4051/ "%USERPROFILE%\AppData\Local\Temp\OnboardLogs"\RTDC4051\2016-10-26 --exclude "*" --recursive --include "*20161026*" &amp; "%USERPROFILE%\Documents\GitHub\mrs-test-scripts\Headless Mode &amp; Sideloading\WalkAndUnGZ.bat" "%USERPROFILE%\AppData\Local\Temp\OnboardLogs"\RTDC4051\2016-10-26 &amp; 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</v>
      </c>
      <c r="AF224" s="88" t="str">
        <f t="shared" si="66"/>
        <v>"C:\Program Files (x86)\AstroGrep\AstroGrep.exe" /spath="%USERPROFILE%\AppData\Local\Temp\OnboardLogs" /stypes="app*4051*20161026*" /stext=" 08:.+((SYSTEM_STATE.+slice.+state.+changed )|(ment ac)|(system.+state.+changed )|(\[timeout)|(PRM\|1\|D)|(kpr)|(kdp)|(\|lc)|(penalty))" /e /r /s</v>
      </c>
      <c r="AG224" s="1" t="str">
        <f t="shared" si="67"/>
        <v>Other</v>
      </c>
      <c r="AH224" s="92" t="str">
        <f t="shared" si="68"/>
        <v>"%USERPROFILE%\Documents\GitHub\eaglep3\Utilities\RefineRTDCRunTimes.py" --tripid 51-26 --locoid 4051 --swversion DE.1.0.8.0 --startMP 204:498 --initTime 2016-10-26T02:31:29 --startdatetime 2016-10-26T02:34:46 --delay 1 --endMP 204:128275 --enddatetime 2016-10-26T02:57:29 --enforcementcount 0 &gt;&gt;C:\Users\stu\Documents\GitHub\eaglep3-reporting\EC\2016-10-25-refined-times.txt</v>
      </c>
      <c r="AI224" s="122" t="str">
        <f t="shared" si="69"/>
        <v>echo {"issue":{"subject":"","project_id":79,"tracker_id":40,"status_id":1,"priority_id":2,"assigned_to_id":23,"start_date":"2016-10-26","description":"","custom_fields":[{"id":1,"name":"Subdivision","value":"Other"},{"id":4,"name":"Milepost","value":"12.8275"},{"id":17,"name":"Train ID","value":"51-26"},{"id":16,"name":"Locomotive ID","value":"4051"},{"id":130,"name":"Impact","value":""},{"id":150,"name":"Time of Event (Mountain Time)","value":"02:57:29"},{"id":151,"name":"Denver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523</v>
      </c>
      <c r="B225" s="7">
        <v>4015</v>
      </c>
      <c r="C225" s="22" t="s">
        <v>99</v>
      </c>
      <c r="D225" s="22" t="s">
        <v>730</v>
      </c>
      <c r="E225" s="13">
        <v>42668.478576388887</v>
      </c>
      <c r="F225" s="13">
        <v>42668.480046296296</v>
      </c>
      <c r="G225" s="7">
        <v>1</v>
      </c>
      <c r="H225" s="13" t="s">
        <v>731</v>
      </c>
      <c r="I225" s="13">
        <v>42668.482141203705</v>
      </c>
      <c r="J225" s="7">
        <v>0</v>
      </c>
      <c r="K225" s="112" t="str">
        <f t="shared" si="53"/>
        <v>4015/4016</v>
      </c>
      <c r="L225" s="22" t="str">
        <f>VLOOKUP(A225,'Trips&amp;Operators'!$C$1:$E$10000,3,FALSE)</f>
        <v>YOUNG</v>
      </c>
      <c r="M225" s="6">
        <f t="shared" si="54"/>
        <v>2.0949074096279219E-3</v>
      </c>
      <c r="N225" s="7">
        <f t="shared" si="55"/>
        <v>3.0166666698642075</v>
      </c>
      <c r="O225" s="7"/>
      <c r="P225" s="7"/>
      <c r="Q225" s="23"/>
      <c r="R225" s="23"/>
      <c r="S225" s="35">
        <f t="shared" si="56"/>
        <v>0</v>
      </c>
      <c r="T225" s="50" t="e">
        <f t="shared" si="57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10:29:09-0600',mode:absolute,to:'2016-10-25 12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5" s="52" t="str">
        <f t="shared" si="59"/>
        <v>Y</v>
      </c>
      <c r="X225" s="171" t="e">
        <f t="shared" si="60"/>
        <v>#VALUE!</v>
      </c>
      <c r="Y225" s="67">
        <f t="shared" si="61"/>
        <v>2.2705000000000002</v>
      </c>
      <c r="Z225" s="67">
        <f t="shared" si="62"/>
        <v>1.9309000000000001</v>
      </c>
      <c r="AA225" s="67">
        <f t="shared" si="63"/>
        <v>0.33960000000000012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64"/>
        <v>52-25</v>
      </c>
      <c r="AE225" s="91" t="str">
        <f t="shared" si="65"/>
        <v>aws s3 cp s3://rtdc.mdm.uploadarchive.raw/RTDC4015/ "%USERPROFILE%\AppData\Local\Temp\OnboardLogs"\RTDC4015\2016-10-25 --exclude "*" --recursive --include "*20161025*" &amp; "%USERPROFILE%\Documents\GitHub\mrs-test-scripts\Headless Mode &amp; Sideloading\WalkAndUnGZ.bat" "%USERPROFILE%\AppData\Local\Temp\OnboardLogs"\RTDC4015\2016-10-25 &amp; 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</v>
      </c>
      <c r="AF225" s="88" t="str">
        <f t="shared" si="66"/>
        <v>"C:\Program Files (x86)\AstroGrep\AstroGrep.exe" /spath="%USERPROFILE%\AppData\Local\Temp\OnboardLogs" /stypes="app*4015*20161025*" /stext=" 17:.+((SYSTEM_STATE.+slice.+state.+changed )|(ment ac)|(system.+state.+changed )|(\[timeout)|(PRM\|1\|D)|(kpr)|(kdp)|(\|lc)|(penalty))" /e /r /s</v>
      </c>
      <c r="AG225" s="1" t="str">
        <f t="shared" si="67"/>
        <v>Other</v>
      </c>
      <c r="AH225" s="92" t="str">
        <f t="shared" si="68"/>
        <v>"%USERPROFILE%\Documents\GitHub\eaglep3\Utilities\RefineRTDCRunTimes.py" --tripid 52-25 --locoid 4015 --swversion DE.1.0.7.0 --startMP 300:22705 --initTime 2016-10-25T11:29:09 --startdatetime 2016-10-25T11:31:16 --delay 1 --endMP 300:19309 --enddatetime 2016-10-25T11:34:17 --enforcementcount 0 &gt;&gt;C:\Users\stu\Documents\GitHub\eaglep3-reporting\EC\2016-10-25-refined-times.txt</v>
      </c>
      <c r="AI225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{"issue":{"subject":"","project_id":79,"tracker_id":40,"status_id":1,"priority_id":2,"assigned_to_id":23,"start_date":"2016-10-25","description":"","custom_fields":[{"id":1,"name":"Subdivision","value":"Other"},{"id":4,"name":"Milepost","value":"1.9309"},{"id":17,"name":"Train ID","value":"52-25"},{"id":16,"name":"Locomotive ID","value":"4015"},{"id":130,"name":"Impact","value":""},{"id":150,"name":"Time of Event (Mountain Time)","value":"11:34:17"},{"id":151,"name":"Denver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527</v>
      </c>
      <c r="B226" s="7">
        <v>4016</v>
      </c>
      <c r="C226" s="22" t="s">
        <v>99</v>
      </c>
      <c r="D226" s="22" t="s">
        <v>732</v>
      </c>
      <c r="E226" s="13">
        <v>42668.493750000001</v>
      </c>
      <c r="F226" s="13">
        <v>25568.708333333332</v>
      </c>
      <c r="G226" s="7">
        <v>1</v>
      </c>
      <c r="H226" s="13" t="s">
        <v>733</v>
      </c>
      <c r="I226" s="13">
        <v>25568.708333333332</v>
      </c>
      <c r="J226" s="7">
        <v>0</v>
      </c>
      <c r="K226" s="112" t="str">
        <f t="shared" si="53"/>
        <v>4015/4016</v>
      </c>
      <c r="L226" s="22" t="str">
        <f>VLOOKUP(A226,'Trips&amp;Operators'!$C$1:$E$10000,3,FALSE)</f>
        <v>DAVIS</v>
      </c>
      <c r="M226" s="6">
        <f t="shared" si="54"/>
        <v>0</v>
      </c>
      <c r="N226" s="7">
        <f t="shared" si="55"/>
        <v>0</v>
      </c>
      <c r="O226" s="7"/>
      <c r="P226" s="7"/>
      <c r="Q226" s="23"/>
      <c r="R226" s="23"/>
      <c r="S226" s="35">
        <f t="shared" si="56"/>
        <v>0</v>
      </c>
      <c r="T226" s="50" t="e">
        <f t="shared" si="57"/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10:51:00-0600',mode:absolute,to:'1969-12-31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6" s="52" t="str">
        <f t="shared" si="59"/>
        <v>Y</v>
      </c>
      <c r="X226" s="171" t="e">
        <f t="shared" si="60"/>
        <v>#VALUE!</v>
      </c>
      <c r="Y226" s="67">
        <f t="shared" si="61"/>
        <v>0.15709999999999999</v>
      </c>
      <c r="Z226" s="67">
        <f t="shared" si="62"/>
        <v>2.4226000000000001</v>
      </c>
      <c r="AA226" s="67">
        <f t="shared" si="63"/>
        <v>2.2655000000000003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64"/>
        <v>53-25</v>
      </c>
      <c r="AE226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6" s="88" t="str">
        <f t="shared" si="66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26" s="1" t="str">
        <f t="shared" si="67"/>
        <v>Other</v>
      </c>
      <c r="AH226" s="92" t="str">
        <f t="shared" si="68"/>
        <v>"%USERPROFILE%\Documents\GitHub\eaglep3\Utilities\RefineRTDCRunTimes.py" --tripid 53-25 --locoid 4016 --swversion DE.1.0.7.0 --startMP 204:1571 --initTime 2016-10-25T11:51:00 --startdatetime 1969-12-31T17:00:00 --delay 1 --endMP 300:24226 --enddatetime 1969-12-31T17:00:00 --enforcementcount 0 &gt;&gt;C:\Users\stu\Documents\GitHub\eaglep3-reporting\EC\2016-10-25-refined-times.txt</v>
      </c>
      <c r="AI22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ID","value":"53-25"},{"id":16,"name":"Locomotive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445</v>
      </c>
      <c r="B227" s="7">
        <v>4013</v>
      </c>
      <c r="C227" s="22" t="s">
        <v>99</v>
      </c>
      <c r="D227" s="22" t="s">
        <v>734</v>
      </c>
      <c r="E227" s="13">
        <v>42668.726863425924</v>
      </c>
      <c r="F227" s="13">
        <v>42668.73605324074</v>
      </c>
      <c r="G227" s="7">
        <v>13</v>
      </c>
      <c r="H227" s="13" t="s">
        <v>735</v>
      </c>
      <c r="I227" s="13">
        <v>42668.743842592594</v>
      </c>
      <c r="J227" s="7">
        <v>0</v>
      </c>
      <c r="K227" s="112" t="str">
        <f t="shared" si="53"/>
        <v>4013/4014</v>
      </c>
      <c r="L227" s="22" t="str">
        <f>VLOOKUP(A227,'Trips&amp;Operators'!$C$1:$E$10000,3,FALSE)</f>
        <v>MATTHEWS</v>
      </c>
      <c r="M227" s="6">
        <f t="shared" si="54"/>
        <v>7.7893518537166528E-3</v>
      </c>
      <c r="N227" s="7">
        <f t="shared" si="55"/>
        <v>11.21666666935198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16:26:41-0600',mode:absolute,to:'2016-10-25 18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7" s="52" t="str">
        <f t="shared" si="59"/>
        <v>Y</v>
      </c>
      <c r="X227" s="171" t="e">
        <f t="shared" si="60"/>
        <v>#VALUE!</v>
      </c>
      <c r="Y227" s="67">
        <f t="shared" si="61"/>
        <v>2.3142999999999998</v>
      </c>
      <c r="Z227" s="67">
        <f t="shared" si="62"/>
        <v>8.9599999999999999E-2</v>
      </c>
      <c r="AA227" s="67">
        <f t="shared" si="63"/>
        <v>2.2246999999999999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64"/>
        <v>56-25</v>
      </c>
      <c r="AE227" s="91" t="str">
        <f t="shared" si="65"/>
        <v>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 &amp; aws s3 cp s3://rtdc.mdm.uploadarchive.raw/RTDC4013/ "%USERPROFILE%\AppData\Local\Temp\OnboardLogs"\RTDC4013\2016-10-26 --exclude "*" --recursive --include "*20161026*" &amp; "%USERPROFILE%\Documents\GitHub\mrs-test-scripts\Headless Mode &amp; Sideloading\WalkAndUnGZ.bat" "%USERPROFILE%\AppData\Local\Temp\OnboardLogs"\RTDC4013\2016-10-26</v>
      </c>
      <c r="AF227" s="88" t="str">
        <f t="shared" si="66"/>
        <v>"C:\Program Files (x86)\AstroGrep\AstroGrep.exe" /spath="%USERPROFILE%\AppData\Local\Temp\OnboardLogs" /stypes="app*4013*20161025*" /stext=" 23:.+((SYSTEM_STATE.+slice.+state.+changed )|(ment ac)|(system.+state.+changed )|(\[timeout)|(PRM\|1\|D)|(kpr)|(kdp)|(\|lc)|(penalty))" /e /r /s</v>
      </c>
      <c r="AG227" s="1" t="str">
        <f t="shared" si="67"/>
        <v>Other</v>
      </c>
      <c r="AH227" s="92" t="str">
        <f t="shared" si="68"/>
        <v>"%USERPROFILE%\Documents\GitHub\eaglep3\Utilities\RefineRTDCRunTimes.py" --tripid 56-25 --locoid 4013 --swversion DE.1.0.7.0 --startMP 300:23143 --initTime 2016-10-25T17:26:41 --startdatetime 2016-10-25T17:39:55 --delay 13 --endMP 204:896 --enddatetime 2016-10-25T17:51:08 --enforcementcount 0 &gt;&gt;C:\Users\stu\Documents\GitHub\eaglep3-reporting\EC\2016-10-25-refined-times.txt</v>
      </c>
      <c r="AI227" s="122" t="str">
        <f t="shared" si="69"/>
        <v>echo {"issue":{"subject":"","project_id":79,"tracker_id":40,"status_id":1,"priority_id":2,"assigned_to_id":23,"start_date":"2016-10-25","description":"","custom_fields":[{"id":1,"name":"Subdivision","value":"Other"},{"id":4,"name":"Milepost","value":"0.0896"},{"id":17,"name":"Train ID","value":"56-25"},{"id":16,"name":"Locomotive ID","value":"4013"},{"id":130,"name":"Impact","value":""},{"id":150,"name":"Time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579</v>
      </c>
      <c r="B228" s="7">
        <v>4046</v>
      </c>
      <c r="C228" s="22" t="s">
        <v>99</v>
      </c>
      <c r="D228" s="22" t="s">
        <v>736</v>
      </c>
      <c r="E228" s="13">
        <v>42668.720104166663</v>
      </c>
      <c r="F228" s="13">
        <v>25568.708333333332</v>
      </c>
      <c r="G228" s="7">
        <v>1</v>
      </c>
      <c r="H228" s="13" t="s">
        <v>737</v>
      </c>
      <c r="I228" s="13">
        <v>25568.708333333332</v>
      </c>
      <c r="J228" s="7">
        <v>0</v>
      </c>
      <c r="K228" s="112" t="str">
        <f t="shared" si="53"/>
        <v>4045/4046</v>
      </c>
      <c r="L228" s="22" t="str">
        <f>VLOOKUP(A228,'Trips&amp;Operators'!$C$1:$E$10000,3,FALSE)</f>
        <v>SWANSON</v>
      </c>
      <c r="M228" s="6">
        <f t="shared" si="54"/>
        <v>0</v>
      </c>
      <c r="N228" s="7">
        <f t="shared" si="55"/>
        <v>0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7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https://search-rtdc-monitor-bjffxe2xuh6vdkpspy63sjmuny.us-east-1.es.amazonaws.com/_plugin/kibana/#/discover/Steve-Slow-Train-Analysis-(2080s-and-2083s)?_g=(refreshInterval:(display:Off,section:0,value:0),time:(from:'2016-10-25 16:16:57-0600',mode:absolute,to:'1969-12-31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8" s="52" t="str">
        <f t="shared" si="59"/>
        <v>Y</v>
      </c>
      <c r="X228" s="171" t="e">
        <f t="shared" si="60"/>
        <v>#VALUE!</v>
      </c>
      <c r="Y228" s="67">
        <f t="shared" si="61"/>
        <v>0.1484</v>
      </c>
      <c r="Z228" s="67">
        <f t="shared" si="62"/>
        <v>2.3313999999999999</v>
      </c>
      <c r="AA228" s="67">
        <f t="shared" si="63"/>
        <v>2.1829999999999998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64"/>
        <v>63-25</v>
      </c>
      <c r="AE228" s="91" t="str">
        <f t="shared" si="6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8" s="88" t="str">
        <f t="shared" si="66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8" s="1" t="str">
        <f t="shared" si="67"/>
        <v>Other</v>
      </c>
      <c r="AH228" s="92" t="str">
        <f t="shared" si="68"/>
        <v>"%USERPROFILE%\Documents\GitHub\eaglep3\Utilities\RefineRTDCRunTimes.py" --tripid 63-25 --locoid 4046 --swversion DE.1.0.7.0 --startMP 204:1484 --initTime 2016-10-25T17:16:57 --startdatetime 1969-12-31T17:00:00 --delay 1 --endMP 300:23314 --enddatetime 1969-12-31T17:00:00 --enforcementcount 0 &gt;&gt;C:\Users\stu\Documents\GitHub\eaglep3-reporting\EC\2016-10-25-refined-times.txt</v>
      </c>
      <c r="AI228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ID","value":"63-25"},{"id":16,"name":"Locomotive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</sheetData>
  <autoFilter ref="A12:AG274">
    <sortState ref="A13:AG276">
      <sortCondition ref="AG13:AG230"/>
      <sortCondition ref="AD13:AD230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28">
    <cfRule type="cellIs" dxfId="18" priority="344" operator="equal">
      <formula>"Y"</formula>
    </cfRule>
  </conditionalFormatting>
  <conditionalFormatting sqref="X275:X1048576 X13:X228">
    <cfRule type="cellIs" dxfId="17" priority="327" operator="greaterThan">
      <formula>1</formula>
    </cfRule>
  </conditionalFormatting>
  <conditionalFormatting sqref="X275:X1048576 X12:X228">
    <cfRule type="cellIs" dxfId="16" priority="324" operator="equal">
      <formula>0</formula>
    </cfRule>
  </conditionalFormatting>
  <conditionalFormatting sqref="A13:S228">
    <cfRule type="expression" dxfId="15" priority="318" stopIfTrue="1">
      <formula>$P13&gt;0</formula>
    </cfRule>
    <cfRule type="expression" dxfId="14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Values'!$C$2:$C$14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2"/>
  <sheetViews>
    <sheetView topLeftCell="A2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34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- 2016-10-25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42668.449791666666</v>
      </c>
      <c r="B7" s="31" t="s">
        <v>321</v>
      </c>
      <c r="C7" s="31" t="s">
        <v>427</v>
      </c>
      <c r="D7" s="31" t="s">
        <v>98</v>
      </c>
      <c r="E7" s="31" t="s">
        <v>428</v>
      </c>
      <c r="F7" s="47">
        <v>790</v>
      </c>
      <c r="G7" s="47">
        <v>841</v>
      </c>
      <c r="H7" s="47">
        <v>216754</v>
      </c>
      <c r="I7" s="47">
        <v>220461</v>
      </c>
      <c r="J7" s="31" t="s">
        <v>239</v>
      </c>
      <c r="K7" s="47">
        <v>156300</v>
      </c>
      <c r="L7" s="157" t="s">
        <v>50</v>
      </c>
      <c r="M7" s="158">
        <f t="shared" ref="M7:M43" si="0">CONVERT((I7-K7)/10000,"mi","ft")*IF(L7="Increasing Mileposts (1)",-1,1)</f>
        <v>-33877.008000000002</v>
      </c>
      <c r="N7" s="159" t="str">
        <f>VLOOKUP(C7,'Trips&amp;Operators'!$C$1:$E$99999,3,FALSE)</f>
        <v>GEBRETEKLE</v>
      </c>
      <c r="O7" s="184" t="s">
        <v>289</v>
      </c>
      <c r="P7" s="160" t="s">
        <v>821</v>
      </c>
      <c r="Q7" s="31"/>
      <c r="R7" s="100" t="str">
        <f>VLOOKUP(C7,'Train Runs'!$A$13:$AE$10018,31,0)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S7" s="103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https://search-rtdc-monitor-bjffxe2xuh6vdkpspy63sjmuny.us-east-1.es.amazonaws.com/_plugin/kibana/#/discover/Steve-Slow-Train-Analysis-(2080s-and-2083s)?_g=(refreshInterval:(display:Off,section:0,value:0),time:(from:'2016-10-25 09:08:20-0600',mode:absolute,to:'2016-10-25 11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7" s="105" t="str">
        <f t="shared" ref="T7:T4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/stypes="*4006*201610251*" /stext=" 16:.+((SYSTEM_STATE.+slice.+state.+changed )|(ment ac)|(system.+state.+changed )|(\[timeout)|(PRM\|1\|D)|(kpr)|(kdp)|(\|lc)|(penalty))" /e /r /s</v>
      </c>
      <c r="U7" s="9" t="str">
        <f t="shared" ref="U7:U43" si="2">MID(B7,13,4)</f>
        <v>4006</v>
      </c>
      <c r="V7" s="36">
        <f t="shared" ref="V7:V43" si="3">A7+6/24</f>
        <v>42668.699791666666</v>
      </c>
      <c r="W7" s="50" t="str">
        <f t="shared" ref="W7:W43" si="4">IF(VALUE(LEFT(IF(LEN(C7)=6,"0"&amp;C7,C7),2))&lt;=2,"EC",IF(OR(VALUE(LEFT(IF(LEN(C7)=6,"0"&amp;C7,C7),2))=8,VALUE(LEFT(IF(LEN(C7)=6,"0"&amp;C7,C7),2))=18),"NW","Other"))</f>
        <v>EC</v>
      </c>
      <c r="X7" s="50" t="str">
        <f t="shared" ref="X7:X43" si="5">IF(AND(E7="TRACK WARRANT AUTHORITY",G7&lt;10),"OMIT","KEEP")</f>
        <v>KEEP</v>
      </c>
      <c r="Y7" s="122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{"issue":{"subject":"Speedometer jumped (from 80-&gt;84)","project_id":79,"tracker_id":40,"status_id":1,"priority_id":2,"assigned_to_id":23,"start_date":"2016-10-25","description":"At 10:47:07, reading from speedometer jumped from 80-&gt;84","custom_fields":[{"id":1,"name":"Subdivision","value":"EC"},{"id":4,"name":"Milepost","value":"15.63"},{"id":17,"name":"Train ID","value":"153-25"},{"id":16,"name":"Locomotive ID","value":"4006"},{"id":130,"name":"Impact","value":"Enforcement"},{"id":150,"name":"Time of Event (Mountain Time)","value":"10:47:42"},{"id":151,"name":"Denver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7" s="53" t="s">
        <v>822</v>
      </c>
      <c r="AA7" s="53" t="s">
        <v>126</v>
      </c>
      <c r="AB7" s="53" t="s">
        <v>179</v>
      </c>
      <c r="AC7" s="141" t="str">
        <f t="shared" ref="AC7:AC4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"%USERPROFILE%\AppData\Local\Temp\OnboardLogs"\RTDC4006\*4006*201610251* | grep -SE "((Enforcement Ac)|(PRM))" -</v>
      </c>
    </row>
    <row r="8" spans="1:29" s="1" customFormat="1" x14ac:dyDescent="0.25">
      <c r="A8" s="36">
        <v>42668.303946759261</v>
      </c>
      <c r="B8" s="31" t="s">
        <v>418</v>
      </c>
      <c r="C8" s="31" t="s">
        <v>419</v>
      </c>
      <c r="D8" s="31" t="s">
        <v>295</v>
      </c>
      <c r="E8" s="31" t="s">
        <v>155</v>
      </c>
      <c r="F8" s="47">
        <v>0</v>
      </c>
      <c r="G8" s="47">
        <v>121</v>
      </c>
      <c r="H8" s="47">
        <v>27244</v>
      </c>
      <c r="I8" s="47">
        <v>27158</v>
      </c>
      <c r="J8" s="31" t="s">
        <v>154</v>
      </c>
      <c r="K8" s="47">
        <v>27350</v>
      </c>
      <c r="L8" s="157" t="s">
        <v>51</v>
      </c>
      <c r="M8" s="158">
        <f t="shared" si="0"/>
        <v>-101.376</v>
      </c>
      <c r="N8" s="159" t="str">
        <f>VLOOKUP(C8,'Trips&amp;Operators'!$C$1:$E$99999,3,FALSE)</f>
        <v>BADERTSCHER</v>
      </c>
      <c r="O8" s="184" t="s">
        <v>237</v>
      </c>
      <c r="P8" s="160" t="s">
        <v>818</v>
      </c>
      <c r="Q8" s="31"/>
      <c r="R8" s="100" t="str">
        <f>VLOOKUP(C8,'Train Runs'!$A$13:$AE$10018,31,0)</f>
        <v>aws s3 cp s3://rtdc.mdm.uploadarchive.raw/RTDC4008/ "%USERPROFILE%\AppData\Local\Temp\OnboardLogs"\RTDC4008\2016-10-25 --exclude "*" --recursive --include "*20161025*" &amp; "%USERPROFILE%\Documents\GitHub\mrs-test-scripts\Headless Mode &amp; Sideloading\WalkAndUnGZ.bat" "%USERPROFILE%\AppData\Local\Temp\OnboardLogs"\RTDC4008\2016-10-25 &amp; 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</v>
      </c>
      <c r="S8" s="103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https://search-rtdc-monitor-bjffxe2xuh6vdkpspy63sjmuny.us-east-1.es.amazonaws.com/_plugin/kibana/#/discover/Steve-Slow-Train-Analysis-(2080s-and-2083s)?_g=(refreshInterval:(display:Off,section:0,value:0),time:(from:'2016-10-25 05:31:39-0600',mode:absolute,to:'2016-10-25 08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8" s="105" t="str">
        <f t="shared" si="1"/>
        <v>"C:\Program Files (x86)\AstroGrep\AstroGrep.exe" /spath="%USERPROFILE%\AppData\Local\Temp\OnboardLogs" /stypes="*4008*201610251*" /stext=" 13:.+((SYSTEM_STATE.+slice.+state.+changed )|(ment ac)|(system.+state.+changed )|(\[timeout)|(PRM\|1\|D)|(kpr)|(kdp)|(\|lc)|(penalty))" /e /r /s</v>
      </c>
      <c r="U8" s="9" t="str">
        <f t="shared" si="2"/>
        <v>4008</v>
      </c>
      <c r="V8" s="36">
        <f t="shared" si="3"/>
        <v>42668.553946759261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arrival","project_id":79,"tracker_id":40,"status_id":1,"priority_id":2,"assigned_to_id":23,"start_date":"2016-10-25","description":"","custom_fields":[{"id":1,"name":"Subdivision","value":"EC"},{"id":4,"name":"Milepost","value":"2.735"},{"id":17,"name":"Train ID","value":"118-25"},{"id":16,"name":"Locomotive ID","value":"4008"},{"id":130,"name":"Impact","value":""},{"id":150,"name":"Time of Event (Mountain Time)","value":"07:17:41"},{"id":151,"name":"Denver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"%USERPROFILE%\AppData\Local\Temp\OnboardLogs"\RTDC4008\*4008*201610251* | grep -SE "((Enforcement Ac)|(PRM))" -</v>
      </c>
    </row>
    <row r="9" spans="1:29" s="1" customFormat="1" x14ac:dyDescent="0.25">
      <c r="A9" s="36">
        <v>42668.611898148149</v>
      </c>
      <c r="B9" s="31" t="s">
        <v>197</v>
      </c>
      <c r="C9" s="31" t="s">
        <v>441</v>
      </c>
      <c r="D9" s="31" t="s">
        <v>295</v>
      </c>
      <c r="E9" s="31" t="s">
        <v>155</v>
      </c>
      <c r="F9" s="47">
        <v>0</v>
      </c>
      <c r="G9" s="47">
        <v>430</v>
      </c>
      <c r="H9" s="47">
        <v>42951</v>
      </c>
      <c r="I9" s="47">
        <v>44037</v>
      </c>
      <c r="J9" s="31" t="s">
        <v>154</v>
      </c>
      <c r="K9" s="47">
        <v>42779</v>
      </c>
      <c r="L9" s="157" t="s">
        <v>50</v>
      </c>
      <c r="M9" s="158">
        <f t="shared" si="0"/>
        <v>-664.22400000000005</v>
      </c>
      <c r="N9" s="159" t="str">
        <f>VLOOKUP(C9,'Trips&amp;Operators'!$C$1:$E$99999,3,FALSE)</f>
        <v>BARTLETT</v>
      </c>
      <c r="O9" s="184" t="s">
        <v>237</v>
      </c>
      <c r="P9" s="160" t="s">
        <v>818</v>
      </c>
      <c r="Q9" s="31"/>
      <c r="R9" s="100" t="str">
        <f>VLOOKUP(C9,'Train Runs'!$A$13:$AE$10018,31,0)</f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S9" s="103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13:25:29-0600',mode:absolute,to:'2016-10-25 16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9" s="105" t="str">
        <f t="shared" si="1"/>
        <v>"C:\Program Files (x86)\AstroGrep\AstroGrep.exe" /spath="%USERPROFILE%\AppData\Local\Temp\OnboardLogs" /stypes="*4007*201610252*" /stext=" 20:.+((SYSTEM_STATE.+slice.+state.+changed )|(ment ac)|(system.+state.+changed )|(\[timeout)|(PRM\|1\|D)|(kpr)|(kdp)|(\|lc)|(penalty))" /e /r /s</v>
      </c>
      <c r="U9" s="9" t="str">
        <f t="shared" si="2"/>
        <v>4007</v>
      </c>
      <c r="V9" s="36">
        <f t="shared" si="3"/>
        <v>42668.861898148149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arrival","project_id":79,"tracker_id":40,"status_id":1,"priority_id":2,"assigned_to_id":23,"start_date":"2016-10-25","description":"","custom_fields":[{"id":1,"name":"Subdivision","value":"EC"},{"id":4,"name":"Milepost","value":"4.2779"},{"id":17,"name":"Train ID","value":"187-25"},{"id":16,"name":"Locomotive ID","value":"4007"},{"id":130,"name":"Impact","value":""},{"id":150,"name":"Time of Event (Mountain Time)","value":"14:41:08"},{"id":151,"name":"Denver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"%USERPROFILE%\AppData\Local\Temp\OnboardLogs"\RTDC4007\*4007*201610252* | grep -SE "((Enforcement Ac)|(PRM))" -</v>
      </c>
    </row>
    <row r="10" spans="1:29" s="1" customFormat="1" x14ac:dyDescent="0.25">
      <c r="A10" s="36">
        <v>42668.342858796299</v>
      </c>
      <c r="B10" s="31" t="s">
        <v>249</v>
      </c>
      <c r="C10" s="31" t="s">
        <v>423</v>
      </c>
      <c r="D10" s="31" t="s">
        <v>49</v>
      </c>
      <c r="E10" s="31" t="s">
        <v>155</v>
      </c>
      <c r="F10" s="47">
        <v>0</v>
      </c>
      <c r="G10" s="47">
        <v>36</v>
      </c>
      <c r="H10" s="47">
        <v>103453</v>
      </c>
      <c r="I10" s="47">
        <v>103576</v>
      </c>
      <c r="J10" s="31" t="s">
        <v>154</v>
      </c>
      <c r="K10" s="47">
        <v>103738</v>
      </c>
      <c r="L10" s="157" t="s">
        <v>50</v>
      </c>
      <c r="M10" s="158">
        <f t="shared" si="0"/>
        <v>85.536000000000001</v>
      </c>
      <c r="N10" s="159" t="str">
        <f>VLOOKUP(C10,'Trips&amp;Operators'!$C$1:$E$99999,3,FALSE)</f>
        <v>NELSON</v>
      </c>
      <c r="O10" s="184" t="s">
        <v>237</v>
      </c>
      <c r="P10" s="160" t="s">
        <v>819</v>
      </c>
      <c r="Q10" s="31"/>
      <c r="R10" s="100" t="str">
        <f>VLOOKUP(C10,'Train Runs'!$A$13:$AE$10018,31,0)</f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S10" s="103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https://search-rtdc-monitor-bjffxe2xuh6vdkpspy63sjmuny.us-east-1.es.amazonaws.com/_plugin/kibana/#/discover/Steve-Slow-Train-Analysis-(2080s-and-2083s)?_g=(refreshInterval:(display:Off,section:0,value:0),time:(from:'2016-10-25 06:39:44-0600',mode:absolute,to:'2016-10-25 09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0" s="105" t="str">
        <f t="shared" si="1"/>
        <v>"C:\Program Files (x86)\AstroGrep\AstroGrep.exe" /spath="%USERPROFILE%\AppData\Local\Temp\OnboardLogs" /stypes="*4042*201610251*" /stext=" 14:.+((SYSTEM_STATE.+slice.+state.+changed )|(ment ac)|(system.+state.+changed )|(\[timeout)|(PRM\|1\|D)|(kpr)|(kdp)|(\|lc)|(penalty))" /e /r /s</v>
      </c>
      <c r="U10" s="9" t="str">
        <f t="shared" si="2"/>
        <v>4042</v>
      </c>
      <c r="V10" s="36">
        <f t="shared" si="3"/>
        <v>42668.592858796299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{"issue":{"subject":"Form C","project_id":79,"tracker_id":40,"status_id":1,"priority_id":2,"assigned_to_id":23,"start_date":"2016-10-25","description":"","custom_fields":[{"id":1,"name":"Subdivision","value":"EC"},{"id":4,"name":"Milepost","value":"10.3738"},{"id":17,"name":"Train ID","value":"133-25"},{"id":16,"name":"Locomotive ID","value":"4042"},{"id":130,"name":"Impact","value":""},{"id":150,"name":"Time of Event (Mountain Time)","value":"08:13:43"},{"id":151,"name":"Denver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"%USERPROFILE%\AppData\Local\Temp\OnboardLogs"\RTDC4042\*4042*201610251* | grep -SE "((Enforcement Ac)|(PRM))" -</v>
      </c>
    </row>
    <row r="11" spans="1:29" s="1" customFormat="1" x14ac:dyDescent="0.25">
      <c r="A11" s="36">
        <v>42668.578263888892</v>
      </c>
      <c r="B11" s="31" t="s">
        <v>435</v>
      </c>
      <c r="C11" s="31" t="s">
        <v>436</v>
      </c>
      <c r="D11" s="31" t="s">
        <v>49</v>
      </c>
      <c r="E11" s="31" t="s">
        <v>155</v>
      </c>
      <c r="F11" s="47">
        <v>0</v>
      </c>
      <c r="G11" s="47">
        <v>743</v>
      </c>
      <c r="H11" s="47">
        <v>98946</v>
      </c>
      <c r="I11" s="47">
        <v>101932</v>
      </c>
      <c r="J11" s="31" t="s">
        <v>154</v>
      </c>
      <c r="K11" s="47">
        <v>103738</v>
      </c>
      <c r="L11" s="157" t="s">
        <v>50</v>
      </c>
      <c r="M11" s="158">
        <f t="shared" si="0"/>
        <v>953.56799999999998</v>
      </c>
      <c r="N11" s="159" t="str">
        <f>VLOOKUP(C11,'Trips&amp;Operators'!$C$1:$E$99999,3,FALSE)</f>
        <v>BONDS</v>
      </c>
      <c r="O11" s="184" t="s">
        <v>237</v>
      </c>
      <c r="P11" s="160" t="s">
        <v>818</v>
      </c>
      <c r="Q11" s="31"/>
      <c r="R11" s="100" t="str">
        <f>VLOOKUP(C11,'Train Runs'!$A$13:$AE$10018,31,0)</f>
        <v>aws s3 cp s3://rtdc.mdm.uploadarchive.raw/RTDC4031/ "%USERPROFILE%\AppData\Local\Temp\OnboardLogs"\RTDC4031\2016-10-25 --exclude "*" --recursive --include "*20161025*" &amp; "%USERPROFILE%\Documents\GitHub\mrs-test-scripts\Headless Mode &amp; Sideloading\WalkAndUnGZ.bat" "%USERPROFILE%\AppData\Local\Temp\OnboardLogs"\RTDC4031\2016-10-25 &amp; 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</v>
      </c>
      <c r="S11" s="103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12:23:43-0600',mode:absolute,to:'2016-10-25 15:10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1" s="105" t="str">
        <f t="shared" si="1"/>
        <v>"C:\Program Files (x86)\AstroGrep\AstroGrep.exe" /spath="%USERPROFILE%\AppData\Local\Temp\OnboardLogs" /stypes="*4031*201610251*" /stext=" 19:.+((SYSTEM_STATE.+slice.+state.+changed )|(ment ac)|(system.+state.+changed )|(\[timeout)|(PRM\|1\|D)|(kpr)|(kdp)|(\|lc)|(penalty))" /e /r /s</v>
      </c>
      <c r="U11" s="9" t="str">
        <f t="shared" si="2"/>
        <v>4031</v>
      </c>
      <c r="V11" s="36">
        <f t="shared" si="3"/>
        <v>42668.828263888892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arrival","project_id":79,"tracker_id":40,"status_id":1,"priority_id":2,"assigned_to_id":23,"start_date":"2016-10-25","description":"","custom_fields":[{"id":1,"name":"Subdivision","value":"EC"},{"id":4,"name":"Milepost","value":"10.3738"},{"id":17,"name":"Train ID","value":"179-25"},{"id":16,"name":"Locomotive ID","value":"4031"},{"id":130,"name":"Impact","value":""},{"id":150,"name":"Time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"%USERPROFILE%\AppData\Local\Temp\OnboardLogs"\RTDC4031\*4031*201610251* | grep -SE "((Enforcement Ac)|(PRM))" -</v>
      </c>
    </row>
    <row r="12" spans="1:29" s="1" customFormat="1" x14ac:dyDescent="0.25">
      <c r="A12" s="36">
        <v>42668.315034722225</v>
      </c>
      <c r="B12" s="31" t="s">
        <v>250</v>
      </c>
      <c r="C12" s="31" t="s">
        <v>420</v>
      </c>
      <c r="D12" s="31" t="s">
        <v>49</v>
      </c>
      <c r="E12" s="31" t="s">
        <v>238</v>
      </c>
      <c r="F12" s="47">
        <v>200</v>
      </c>
      <c r="G12" s="47">
        <v>395</v>
      </c>
      <c r="H12" s="47">
        <v>7126</v>
      </c>
      <c r="I12" s="47">
        <v>6019</v>
      </c>
      <c r="J12" s="31" t="s">
        <v>239</v>
      </c>
      <c r="K12" s="47">
        <v>5439</v>
      </c>
      <c r="L12" s="157" t="s">
        <v>51</v>
      </c>
      <c r="M12" s="158">
        <f t="shared" si="0"/>
        <v>306.24</v>
      </c>
      <c r="N12" s="159" t="str">
        <f>VLOOKUP(C12,'Trips&amp;Operators'!$C$1:$E$99999,3,FALSE)</f>
        <v>NELSON</v>
      </c>
      <c r="O12" s="184" t="s">
        <v>237</v>
      </c>
      <c r="P12" s="160"/>
      <c r="Q12" s="31"/>
      <c r="R12" s="100" t="str">
        <f>VLOOKUP(C12,'Train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12" s="103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https://search-rtdc-monitor-bjffxe2xuh6vdkpspy63sjmuny.us-east-1.es.amazonaws.com/_plugin/kibana/#/discover/Steve-Slow-Train-Analysis-(2080s-and-2083s)?_g=(refreshInterval:(display:Off,section:0,value:0),time:(from:'2016-10-25 05:47:18-0600',mode:absolute,to:'2016-10-25 08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5" t="str">
        <f t="shared" si="1"/>
        <v>"C:\Program Files (x86)\AstroGrep\AstroGrep.exe" /spath="%USERPROFILE%\AppData\Local\Temp\OnboardLogs" /stypes="*4041*201610251*" /stext=" 13:.+((SYSTEM_STATE.+slice.+state.+changed )|(ment ac)|(system.+state.+changed )|(\[timeout)|(PRM\|1\|D)|(kpr)|(kdp)|(\|lc)|(penalty))" /e /r /s</v>
      </c>
      <c r="U12" s="9" t="str">
        <f t="shared" si="2"/>
        <v>4041</v>
      </c>
      <c r="V12" s="36">
        <f t="shared" si="3"/>
        <v>42668.565034722225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{"issue":{"subject":"","project_id":79,"tracker_id":40,"status_id":1,"priority_id":2,"assigned_to_id":23,"start_date":"2016-10-25","description":"","custom_fields":[{"id":1,"name":"Subdivision","value":"EC"},{"id":4,"name":"Milepost","value":"0.5439"},{"id":17,"name":"Train ID","value":"120-25"},{"id":16,"name":"Locomotive ID","value":"4041"},{"id":130,"name":"Impact","value":""},{"id":150,"name":"Time of Event (Mountain Time)","value":"07:33:39"},{"id":151,"name":"Denver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"%USERPROFILE%\AppData\Local\Temp\OnboardLogs"\RTDC4041\*4041*201610251* | grep -SE "((Enforcement Ac)|(PRM))" -</v>
      </c>
    </row>
    <row r="13" spans="1:29" s="1" customFormat="1" x14ac:dyDescent="0.25">
      <c r="A13" s="36">
        <v>42668.416238425925</v>
      </c>
      <c r="B13" s="31" t="s">
        <v>297</v>
      </c>
      <c r="C13" s="31" t="s">
        <v>425</v>
      </c>
      <c r="D13" s="31" t="s">
        <v>49</v>
      </c>
      <c r="E13" s="31" t="s">
        <v>238</v>
      </c>
      <c r="F13" s="47">
        <v>300</v>
      </c>
      <c r="G13" s="47">
        <v>356</v>
      </c>
      <c r="H13" s="47">
        <v>22357</v>
      </c>
      <c r="I13" s="47">
        <v>21404</v>
      </c>
      <c r="J13" s="31" t="s">
        <v>239</v>
      </c>
      <c r="K13" s="47">
        <v>21848</v>
      </c>
      <c r="L13" s="157" t="s">
        <v>51</v>
      </c>
      <c r="M13" s="158">
        <f t="shared" si="0"/>
        <v>-234.43199999999999</v>
      </c>
      <c r="N13" s="159" t="str">
        <f>VLOOKUP(C13,'Trips&amp;Operators'!$C$1:$E$99999,3,FALSE)</f>
        <v>GEBRETEKLE</v>
      </c>
      <c r="O13" s="184" t="s">
        <v>237</v>
      </c>
      <c r="P13" s="160"/>
      <c r="Q13" s="31"/>
      <c r="R13" s="100" t="str">
        <f>VLOOKUP(C13,'Train Runs'!$A$13:$AE$10018,31,0)</f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S13" s="103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https://search-rtdc-monitor-bjffxe2xuh6vdkpspy63sjmuny.us-east-1.es.amazonaws.com/_plugin/kibana/#/discover/Steve-Slow-Train-Analysis-(2080s-and-2083s)?_g=(refreshInterval:(display:Off,section:0,value:0),time:(from:'2016-10-25 08:12:07-0600',mode:absolute,to:'2016-10-25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13" s="105" t="str">
        <f t="shared" si="1"/>
        <v>"C:\Program Files (x86)\AstroGrep\AstroGrep.exe" /spath="%USERPROFILE%\AppData\Local\Temp\OnboardLogs" /stypes="*4005*201610251*" /stext=" 15:.+((SYSTEM_STATE.+slice.+state.+changed )|(ment ac)|(system.+state.+changed )|(\[timeout)|(PRM\|1\|D)|(kpr)|(kdp)|(\|lc)|(penalty))" /e /r /s</v>
      </c>
      <c r="U13" s="9" t="str">
        <f t="shared" si="2"/>
        <v>4005</v>
      </c>
      <c r="V13" s="36">
        <f t="shared" si="3"/>
        <v>42668.666238425925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{"issue":{"subject":"","project_id":79,"tracker_id":40,"status_id":1,"priority_id":2,"assigned_to_id":23,"start_date":"2016-10-25","description":"","custom_fields":[{"id":1,"name":"Subdivision","value":"EC"},{"id":4,"name":"Milepost","value":"2.1848"},{"id":17,"name":"Train ID","value":"140-25"},{"id":16,"name":"Locomotive ID","value":"4005"},{"id":130,"name":"Impact","value":""},{"id":150,"name":"Time of Event (Mountain Time)","value":"09:59:23"},{"id":151,"name":"Denver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"%USERPROFILE%\AppData\Local\Temp\OnboardLogs"\RTDC4005\*4005*201610251* | grep -SE "((Enforcement Ac)|(PRM))" -</v>
      </c>
    </row>
    <row r="14" spans="1:29" s="1" customFormat="1" x14ac:dyDescent="0.25">
      <c r="A14" s="36">
        <v>42668.158032407409</v>
      </c>
      <c r="B14" s="31" t="s">
        <v>321</v>
      </c>
      <c r="C14" s="31" t="s">
        <v>408</v>
      </c>
      <c r="D14" s="31" t="s">
        <v>98</v>
      </c>
      <c r="E14" s="31" t="s">
        <v>238</v>
      </c>
      <c r="F14" s="47">
        <v>700</v>
      </c>
      <c r="G14" s="47">
        <v>767</v>
      </c>
      <c r="H14" s="47">
        <v>178888</v>
      </c>
      <c r="I14" s="47">
        <v>182358</v>
      </c>
      <c r="J14" s="31" t="s">
        <v>239</v>
      </c>
      <c r="K14" s="47">
        <v>161962</v>
      </c>
      <c r="L14" s="157" t="s">
        <v>50</v>
      </c>
      <c r="M14" s="158">
        <f t="shared" si="0"/>
        <v>-10769.088</v>
      </c>
      <c r="N14" s="159" t="str">
        <f>VLOOKUP(C14,'Trips&amp;Operators'!$C$1:$E$99999,3,FALSE)</f>
        <v>KILLION</v>
      </c>
      <c r="O14" s="184" t="s">
        <v>237</v>
      </c>
      <c r="P14" s="160"/>
      <c r="Q14" s="31"/>
      <c r="R14" s="100" t="str">
        <f>VLOOKUP(C14,'Train Runs'!$A$13:$AE$10018,31,0)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S14" s="103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02:16:22-0600',mode:absolute,to:'2016-10-25 04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/stypes="*4006*201610250*" /stext=" 09:.+((SYSTEM_STATE.+slice.+state.+changed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42668.408032407409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{"issue":{"subject":"","project_id":79,"tracker_id":40,"status_id":1,"priority_id":2,"assigned_to_id":23,"start_date":"2016-10-25","description":"","custom_fields":[{"id":1,"name":"Subdivision","value":"EC"},{"id":4,"name":"Milepost","value":"16.1962"},{"id":17,"name":"Train ID","value":"101-25"},{"id":16,"name":"Locomotive ID","value":"4006"},{"id":130,"name":"Impact","value":""},{"id":150,"name":"Time of Event (Mountain Time)","value":"03:47:34"},{"id":151,"name":"Denver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"%USERPROFILE%\AppData\Local\Temp\OnboardLogs"\RTDC4006\*4006*201610250* | grep -SE "((Enforcement Ac)|(PRM))" -</v>
      </c>
    </row>
    <row r="15" spans="1:29" s="1" customFormat="1" x14ac:dyDescent="0.25">
      <c r="A15" s="36">
        <v>42668.159583333334</v>
      </c>
      <c r="B15" s="31" t="s">
        <v>321</v>
      </c>
      <c r="C15" s="31" t="s">
        <v>408</v>
      </c>
      <c r="D15" s="31" t="s">
        <v>98</v>
      </c>
      <c r="E15" s="31" t="s">
        <v>238</v>
      </c>
      <c r="F15" s="47">
        <v>600</v>
      </c>
      <c r="G15" s="47">
        <v>660</v>
      </c>
      <c r="H15" s="47">
        <v>189783</v>
      </c>
      <c r="I15" s="47">
        <v>192600</v>
      </c>
      <c r="J15" s="31" t="s">
        <v>239</v>
      </c>
      <c r="K15" s="47">
        <v>183829</v>
      </c>
      <c r="L15" s="157" t="s">
        <v>50</v>
      </c>
      <c r="M15" s="158">
        <f t="shared" si="0"/>
        <v>-4631.0879999999997</v>
      </c>
      <c r="N15" s="159" t="str">
        <f>VLOOKUP(C15,'Trips&amp;Operators'!$C$1:$E$99999,3,FALSE)</f>
        <v>KILLION</v>
      </c>
      <c r="O15" s="184" t="s">
        <v>237</v>
      </c>
      <c r="P15" s="160"/>
      <c r="Q15" s="31"/>
      <c r="R15" s="100" t="str">
        <f>VLOOKUP(C15,'Train Runs'!$A$13:$AE$10018,31,0)</f>
        <v>aws s3 cp s3://rtdc.mdm.uploadarchive.raw/RTDC4006/ "%USERPROFILE%\AppData\Local\Temp\OnboardLogs"\RTDC4006\2016-10-25 --exclude "*" --recursive --include "*20161025*" &amp; "%USERPROFILE%\Documents\GitHub\mrs-test-scripts\Headless Mode &amp; Sideloading\WalkAndUnGZ.bat" "%USERPROFILE%\AppData\Local\Temp\OnboardLogs"\RTDC4006\2016-10-25 &amp; 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</v>
      </c>
      <c r="S15" s="103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02:16:22-0600',mode:absolute,to:'2016-10-25 04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5" s="105" t="str">
        <f t="shared" si="1"/>
        <v>"C:\Program Files (x86)\AstroGrep\AstroGrep.exe" /spath="%USERPROFILE%\AppData\Local\Temp\OnboardLogs" /stypes="*4006*201610250*" /stext=" 09:.+((SYSTEM_STATE.+slice.+state.+changed )|(ment ac)|(system.+state.+changed )|(\[timeout)|(PRM\|1\|D)|(kpr)|(kdp)|(\|lc)|(penalty))" /e /r /s</v>
      </c>
      <c r="U15" s="9" t="str">
        <f t="shared" si="2"/>
        <v>4006</v>
      </c>
      <c r="V15" s="36">
        <f t="shared" si="3"/>
        <v>42668.409583333334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{"issue":{"subject":"","project_id":79,"tracker_id":40,"status_id":1,"priority_id":2,"assigned_to_id":23,"start_date":"2016-10-25","description":"","custom_fields":[{"id":1,"name":"Subdivision","value":"EC"},{"id":4,"name":"Milepost","value":"18.3829"},{"id":17,"name":"Train ID","value":"101-25"},{"id":16,"name":"Locomotive ID","value":"4006"},{"id":130,"name":"Impact","value":""},{"id":150,"name":"Time of Event (Mountain Time)","value":"03:49:48"},{"id":151,"name":"Denver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"%USERPROFILE%\AppData\Local\Temp\OnboardLogs"\RTDC4006\*4006*201610250* | grep -SE "((Enforcement Ac)|(PRM))" -</v>
      </c>
    </row>
    <row r="16" spans="1:29" s="1" customFormat="1" x14ac:dyDescent="0.25">
      <c r="A16" s="36">
        <v>42668.560868055552</v>
      </c>
      <c r="B16" s="31" t="s">
        <v>347</v>
      </c>
      <c r="C16" s="31" t="s">
        <v>434</v>
      </c>
      <c r="D16" s="31" t="s">
        <v>49</v>
      </c>
      <c r="E16" s="31" t="s">
        <v>238</v>
      </c>
      <c r="F16" s="47">
        <v>150</v>
      </c>
      <c r="G16" s="47">
        <v>200</v>
      </c>
      <c r="H16" s="47">
        <v>229224</v>
      </c>
      <c r="I16" s="47">
        <v>228976</v>
      </c>
      <c r="J16" s="31" t="s">
        <v>239</v>
      </c>
      <c r="K16" s="47">
        <v>229055</v>
      </c>
      <c r="L16" s="157" t="s">
        <v>51</v>
      </c>
      <c r="M16" s="158">
        <f t="shared" si="0"/>
        <v>-41.712000000000003</v>
      </c>
      <c r="N16" s="159" t="str">
        <f>VLOOKUP(C16,'Trips&amp;Operators'!$C$1:$E$99999,3,FALSE)</f>
        <v>ROMERO</v>
      </c>
      <c r="O16" s="184" t="s">
        <v>237</v>
      </c>
      <c r="P16" s="160"/>
      <c r="Q16" s="31"/>
      <c r="R16" s="100" t="str">
        <f>VLOOKUP(C16,'Train Runs'!$A$13:$AE$10018,31,0)</f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S16" s="103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12:19:09-0600',mode:absolute,to:'2016-10-25 15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6" s="105" t="str">
        <f t="shared" si="1"/>
        <v>"C:\Program Files (x86)\AstroGrep\AstroGrep.exe" /spath="%USERPROFILE%\AppData\Local\Temp\OnboardLogs" /stypes="*4001*201610251*" /stext=" 19:.+((SYSTEM_STATE.+slice.+state.+changed )|(ment ac)|(system.+state.+changed )|(\[timeout)|(PRM\|1\|D)|(kpr)|(kdp)|(\|lc)|(penalty))" /e /r /s</v>
      </c>
      <c r="U16" s="9" t="str">
        <f t="shared" si="2"/>
        <v>4001</v>
      </c>
      <c r="V16" s="36">
        <f t="shared" si="3"/>
        <v>42668.810868055552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{"issue":{"subject":"","project_id":79,"tracker_id":40,"status_id":1,"priority_id":2,"assigned_to_id":23,"start_date":"2016-10-25","description":"","custom_fields":[{"id":1,"name":"Subdivision","value":"EC"},{"id":4,"name":"Milepost","value":"22.9055"},{"id":17,"name":"Train ID","value":"172-25"},{"id":16,"name":"Locomotive ID","value":"4001"},{"id":130,"name":"Impact","value":""},{"id":150,"name":"Time of Event (Mountain Time)","value":"13:27:39"},{"id":151,"name":"Denver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"%USERPROFILE%\AppData\Local\Temp\OnboardLogs"\RTDC4001\*4001*201610251* | grep -SE "((Enforcement Ac)|(PRM))" -</v>
      </c>
    </row>
    <row r="17" spans="1:30" s="1" customFormat="1" x14ac:dyDescent="0.25">
      <c r="A17" s="36">
        <v>42668.603067129632</v>
      </c>
      <c r="B17" s="31" t="s">
        <v>429</v>
      </c>
      <c r="C17" s="31" t="s">
        <v>439</v>
      </c>
      <c r="D17" s="31" t="s">
        <v>49</v>
      </c>
      <c r="E17" s="31" t="s">
        <v>238</v>
      </c>
      <c r="F17" s="47">
        <v>150</v>
      </c>
      <c r="G17" s="47">
        <v>200</v>
      </c>
      <c r="H17" s="47">
        <v>229345</v>
      </c>
      <c r="I17" s="47">
        <v>228951</v>
      </c>
      <c r="J17" s="31" t="s">
        <v>239</v>
      </c>
      <c r="K17" s="47">
        <v>229055</v>
      </c>
      <c r="L17" s="157" t="s">
        <v>51</v>
      </c>
      <c r="M17" s="158">
        <f t="shared" si="0"/>
        <v>-54.911999999999999</v>
      </c>
      <c r="N17" s="159" t="str">
        <f>VLOOKUP(C17,'Trips&amp;Operators'!$C$1:$E$99999,3,FALSE)</f>
        <v>BONDS</v>
      </c>
      <c r="O17" s="184" t="s">
        <v>237</v>
      </c>
      <c r="P17" s="160"/>
      <c r="Q17" s="31"/>
      <c r="R17" s="100" t="str">
        <f>VLOOKUP(C17,'Train Runs'!$A$13:$AE$10018,31,0)</f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S17" s="103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13:14:39-0600',mode:absolute,to:'2016-10-25 16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5" t="str">
        <f t="shared" si="1"/>
        <v>"C:\Program Files (x86)\AstroGrep\AstroGrep.exe" /spath="%USERPROFILE%\AppData\Local\Temp\OnboardLogs" /stypes="*4032*201610252*" /stext=" 20:.+((SYSTEM_STATE.+slice.+state.+changed )|(ment ac)|(system.+state.+changed )|(\[timeout)|(PRM\|1\|D)|(kpr)|(kdp)|(\|lc)|(penalty))" /e /r /s</v>
      </c>
      <c r="U17" s="9" t="str">
        <f t="shared" si="2"/>
        <v>4032</v>
      </c>
      <c r="V17" s="36">
        <f t="shared" si="3"/>
        <v>42668.853067129632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{"issue":{"subject":"","project_id":79,"tracker_id":40,"status_id":1,"priority_id":2,"assigned_to_id":23,"start_date":"2016-10-25","description":"","custom_fields":[{"id":1,"name":"Subdivision","value":"EC"},{"id":4,"name":"Milepost","value":"22.9055"},{"id":17,"name":"Train ID","value":"180-25"},{"id":16,"name":"Locomotive ID","value":"4032"},{"id":130,"name":"Impact","value":""},{"id":150,"name":"Time of Event (Mountain Time)","value":"14:28:25"},{"id":151,"name":"Denver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"%USERPROFILE%\AppData\Local\Temp\OnboardLogs"\RTDC4032\*4032*201610252* | grep -SE "((Enforcement Ac)|(PRM))" -</v>
      </c>
    </row>
    <row r="18" spans="1:30" s="1" customFormat="1" x14ac:dyDescent="0.25">
      <c r="A18" s="36">
        <v>42668.505266203705</v>
      </c>
      <c r="B18" s="31" t="s">
        <v>305</v>
      </c>
      <c r="C18" s="31" t="s">
        <v>433</v>
      </c>
      <c r="D18" s="31" t="s">
        <v>49</v>
      </c>
      <c r="E18" s="31" t="s">
        <v>238</v>
      </c>
      <c r="F18" s="47">
        <v>150</v>
      </c>
      <c r="G18" s="47">
        <v>244</v>
      </c>
      <c r="H18" s="47">
        <v>229700</v>
      </c>
      <c r="I18" s="47">
        <v>230501</v>
      </c>
      <c r="J18" s="31" t="s">
        <v>239</v>
      </c>
      <c r="K18" s="47">
        <v>230436</v>
      </c>
      <c r="L18" s="157" t="s">
        <v>50</v>
      </c>
      <c r="M18" s="158">
        <f t="shared" si="0"/>
        <v>-34.32</v>
      </c>
      <c r="N18" s="159" t="str">
        <f>VLOOKUP(C18,'Trips&amp;Operators'!$C$1:$E$99999,3,FALSE)</f>
        <v>JACKSON</v>
      </c>
      <c r="O18" s="184" t="s">
        <v>237</v>
      </c>
      <c r="P18" s="160"/>
      <c r="Q18" s="31"/>
      <c r="R18" s="100" t="str">
        <f>VLOOKUP(C18,'Train Runs'!$A$13:$AE$10018,31,0)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S18" s="103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https://search-rtdc-monitor-bjffxe2xuh6vdkpspy63sjmuny.us-east-1.es.amazonaws.com/_plugin/kibana/#/discover/Steve-Slow-Train-Analysis-(2080s-and-2083s)?_g=(refreshInterval:(display:Off,section:0,value:0),time:(from:'2016-10-25 10:29:08-0600',mode:absolute,to:'2016-10-25 13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8" s="105" t="str">
        <f t="shared" si="1"/>
        <v>"C:\Program Files (x86)\AstroGrep\AstroGrep.exe" /spath="%USERPROFILE%\AppData\Local\Temp\OnboardLogs" /stypes="*4027*201610251*" /stext=" 18:.+((SYSTEM_STATE.+slice.+state.+changed )|(ment ac)|(system.+state.+changed )|(\[timeout)|(PRM\|1\|D)|(kpr)|(kdp)|(\|lc)|(penalty))" /e /r /s</v>
      </c>
      <c r="U18" s="9" t="str">
        <f t="shared" si="2"/>
        <v>4027</v>
      </c>
      <c r="V18" s="36">
        <f t="shared" si="3"/>
        <v>42668.755266203705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{"issue":{"subject":"","project_id":79,"tracker_id":40,"status_id":1,"priority_id":2,"assigned_to_id":23,"start_date":"2016-10-25","description":"","custom_fields":[{"id":1,"name":"Subdivision","value":"EC"},{"id":4,"name":"Milepost","value":"23.0436"},{"id":17,"name":"Train ID","value":"163-25"},{"id":16,"name":"Locomotive ID","value":"4027"},{"id":130,"name":"Impact","value":""},{"id":150,"name":"Time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"%USERPROFILE%\AppData\Local\Temp\OnboardLogs"\RTDC4027\*4027*201610251* | grep -SE "((Enforcement Ac)|(PRM))" -</v>
      </c>
    </row>
    <row r="19" spans="1:30" s="1" customFormat="1" x14ac:dyDescent="0.25">
      <c r="A19" s="36">
        <v>42668.33488425926</v>
      </c>
      <c r="B19" s="31" t="s">
        <v>305</v>
      </c>
      <c r="C19" s="31" t="s">
        <v>421</v>
      </c>
      <c r="D19" s="31" t="s">
        <v>49</v>
      </c>
      <c r="E19" s="31" t="s">
        <v>241</v>
      </c>
      <c r="F19" s="47">
        <v>0</v>
      </c>
      <c r="G19" s="47">
        <v>179</v>
      </c>
      <c r="H19" s="47">
        <v>950</v>
      </c>
      <c r="I19" s="47">
        <v>1087</v>
      </c>
      <c r="J19" s="31" t="s">
        <v>242</v>
      </c>
      <c r="K19" s="47">
        <v>1692</v>
      </c>
      <c r="L19" s="157" t="s">
        <v>50</v>
      </c>
      <c r="M19" s="158">
        <f t="shared" si="0"/>
        <v>319.44</v>
      </c>
      <c r="N19" s="159" t="str">
        <f>VLOOKUP(C19,'Trips&amp;Operators'!$C$1:$E$99999,3,FALSE)</f>
        <v>SPECTOR</v>
      </c>
      <c r="O19" s="184" t="s">
        <v>237</v>
      </c>
      <c r="P19" s="160" t="s">
        <v>812</v>
      </c>
      <c r="Q19" s="31"/>
      <c r="R19" s="100" t="str">
        <f>VLOOKUP(C19,'Train Runs'!$A$13:$AE$10018,31,0)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S19" s="103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https://search-rtdc-monitor-bjffxe2xuh6vdkpspy63sjmuny.us-east-1.es.amazonaws.com/_plugin/kibana/#/discover/Steve-Slow-Train-Analysis-(2080s-and-2083s)?_g=(refreshInterval:(display:Off,section:0,value:0),time:(from:'2016-10-25 07:15:20-0600',mode:absolute,to:'2016-10-25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9" s="105" t="str">
        <f t="shared" si="1"/>
        <v>"C:\Program Files (x86)\AstroGrep\AstroGrep.exe" /spath="%USERPROFILE%\AppData\Local\Temp\OnboardLogs" /stypes="*4027*201610251*" /stext=" 14:.+((SYSTEM_STATE.+slice.+state.+changed )|(ment ac)|(system.+state.+changed )|(\[timeout)|(PRM\|1\|D)|(kpr)|(kdp)|(\|lc)|(penalty))" /e /r /s</v>
      </c>
      <c r="U19" s="9" t="str">
        <f t="shared" si="2"/>
        <v>4027</v>
      </c>
      <c r="V19" s="36">
        <f t="shared" si="3"/>
        <v>42668.58488425926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{"issue":{"subject":"DUS 2N stuck at STOP because 20N was also STOP","project_id":79,"tracker_id":40,"status_id":1,"priority_id":2,"assigned_to_id":23,"start_date":"2016-10-25","description":"","custom_fields":[{"id":1,"name":"Subdivision","value":"EC"},{"id":4,"name":"Milepost","value":"0.1692"},{"id":17,"name":"Train ID","value":"135-25"},{"id":16,"name":"Locomotive ID","value":"4027"},{"id":130,"name":"Impact","value":""},{"id":150,"name":"Time of Event (Mountain Time)","value":"08:02:14"},{"id":151,"name":"Denver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"%USERPROFILE%\AppData\Local\Temp\OnboardLogs"\RTDC4027\*4027*201610251* | grep -SE "((Enforcement Ac)|(PRM))" -</v>
      </c>
    </row>
    <row r="20" spans="1:30" x14ac:dyDescent="0.25">
      <c r="A20" s="36">
        <v>42668.27070601852</v>
      </c>
      <c r="B20" s="31" t="s">
        <v>297</v>
      </c>
      <c r="C20" s="31" t="s">
        <v>416</v>
      </c>
      <c r="D20" s="31" t="s">
        <v>49</v>
      </c>
      <c r="E20" s="31" t="s">
        <v>241</v>
      </c>
      <c r="F20" s="47">
        <v>0</v>
      </c>
      <c r="G20" s="47">
        <v>384</v>
      </c>
      <c r="H20" s="47">
        <v>41279</v>
      </c>
      <c r="I20" s="47">
        <v>40181</v>
      </c>
      <c r="J20" s="31" t="s">
        <v>242</v>
      </c>
      <c r="K20" s="47">
        <v>38656</v>
      </c>
      <c r="L20" s="157" t="s">
        <v>51</v>
      </c>
      <c r="M20" s="158">
        <f t="shared" si="0"/>
        <v>805.2</v>
      </c>
      <c r="N20" s="159" t="str">
        <f>VLOOKUP(C20,'Trips&amp;Operators'!$C$1:$E$99999,3,FALSE)</f>
        <v>GEBRETEKLE</v>
      </c>
      <c r="O20" s="184" t="s">
        <v>237</v>
      </c>
      <c r="P20" s="160" t="s">
        <v>823</v>
      </c>
      <c r="Q20" s="31"/>
      <c r="R20" s="100" t="str">
        <f>VLOOKUP(C20,'Train Runs'!$A$13:$AE$10018,31,0)</f>
        <v>aws s3 cp s3://rtdc.mdm.uploadarchive.raw/RTDC4005/ "%USERPROFILE%\AppData\Local\Temp\OnboardLogs"\RTDC4005\2016-10-25 --exclude "*" --recursive --include "*20161025*" &amp; "%USERPROFILE%\Documents\GitHub\mrs-test-scripts\Headless Mode &amp; Sideloading\WalkAndUnGZ.bat" "%USERPROFILE%\AppData\Local\Temp\OnboardLogs"\RTDC4005\2016-10-25 &amp; aws s3 cp s3://rtdc.mdm.uploadarchive.raw/RTDC4005/ "%USERPROFILE%\AppData\Local\Temp\OnboardLogs"\RTDC4005\2016-10-26 --exclude "*" --recursive --include "*20161026*" &amp; "%USERPROFILE%\Documents\GitHub\mrs-test-scripts\Headless Mode &amp; Sideloading\WalkAndUnGZ.bat" "%USERPROFILE%\AppData\Local\Temp\OnboardLogs"\RTDC4005\2016-10-26</v>
      </c>
      <c r="S20" s="103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04:44:14-0600',mode:absolute,to:'2016-10-25 07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20" s="105" t="str">
        <f t="shared" si="1"/>
        <v>"C:\Program Files (x86)\AstroGrep\AstroGrep.exe" /spath="%USERPROFILE%\AppData\Local\Temp\OnboardLogs" /stypes="*4005*201610251*" /stext=" 12:.+((SYSTEM_STATE.+slice.+state.+changed )|(ment ac)|(system.+state.+changed )|(\[timeout)|(PRM\|1\|D)|(kpr)|(kdp)|(\|lc)|(penalty))" /e /r /s</v>
      </c>
      <c r="U20" s="9" t="str">
        <f t="shared" si="2"/>
        <v>4005</v>
      </c>
      <c r="V20" s="36">
        <f t="shared" si="3"/>
        <v>42668.52070601852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{"issue":{"subject":"RESTRICTING aspect","project_id":79,"tracker_id":40,"status_id":1,"priority_id":2,"assigned_to_id":23,"start_date":"2016-10-25","description":"","custom_fields":[{"id":1,"name":"Subdivision","value":"EC"},{"id":4,"name":"Milepost","value":"3.8656"},{"id":17,"name":"Train ID","value":"112-25"},{"id":16,"name":"Locomotive ID","value":"4005"},{"id":130,"name":"Impact","value":""},{"id":150,"name":"Time of Event (Mountain Time)","value":"06:29:49"},{"id":151,"name":"Denver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"%USERPROFILE%\AppData\Local\Temp\OnboardLogs"\RTDC4005\*4005*201610251* | grep -SE "((Enforcement Ac)|(PRM))" -</v>
      </c>
      <c r="AD20" s="1"/>
    </row>
    <row r="21" spans="1:30" s="1" customFormat="1" x14ac:dyDescent="0.25">
      <c r="A21" s="36">
        <v>42668.808298611111</v>
      </c>
      <c r="B21" s="31" t="s">
        <v>250</v>
      </c>
      <c r="C21" s="31" t="s">
        <v>446</v>
      </c>
      <c r="D21" s="31" t="s">
        <v>49</v>
      </c>
      <c r="E21" s="31" t="s">
        <v>241</v>
      </c>
      <c r="F21" s="47">
        <v>0</v>
      </c>
      <c r="G21" s="47">
        <v>341</v>
      </c>
      <c r="H21" s="47">
        <v>128898</v>
      </c>
      <c r="I21" s="47">
        <v>128246</v>
      </c>
      <c r="J21" s="31" t="s">
        <v>242</v>
      </c>
      <c r="K21" s="47">
        <v>127587</v>
      </c>
      <c r="L21" s="157" t="s">
        <v>51</v>
      </c>
      <c r="M21" s="158">
        <f t="shared" si="0"/>
        <v>347.952</v>
      </c>
      <c r="N21" s="159" t="str">
        <f>VLOOKUP(C21,'Trips&amp;Operators'!$C$1:$E$99999,3,FALSE)</f>
        <v>YANAI</v>
      </c>
      <c r="O21" s="184" t="s">
        <v>237</v>
      </c>
      <c r="P21" s="160" t="s">
        <v>824</v>
      </c>
      <c r="Q21" s="31"/>
      <c r="R21" s="100" t="str">
        <f>VLOOKUP(C21,'Train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21" s="103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https://search-rtdc-monitor-bjffxe2xuh6vdkpspy63sjmuny.us-east-1.es.amazonaws.com/_plugin/kibana/#/discover/Steve-Slow-Train-Analysis-(2080s-and-2083s)?_g=(refreshInterval:(display:Off,section:0,value:0),time:(from:'2016-10-25 18:06:11-0600',mode:absolute,to:'2016-10-25 20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1" s="105" t="str">
        <f t="shared" si="1"/>
        <v>"C:\Program Files (x86)\AstroGrep\AstroGrep.exe" /spath="%USERPROFILE%\AppData\Local\Temp\OnboardLogs" /stypes="*4041*201610260*" /stext=" 01:.+((SYSTEM_STATE.+slice.+state.+changed )|(ment ac)|(system.+state.+changed )|(\[timeout)|(PRM\|1\|D)|(kpr)|(kdp)|(\|lc)|(penalty))" /e /r /s</v>
      </c>
      <c r="U21" s="9" t="str">
        <f t="shared" si="2"/>
        <v>4041</v>
      </c>
      <c r="V21" s="36">
        <f t="shared" si="3"/>
        <v>42669.058298611111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{"issue":{"subject":"40th 4S STOP, cleared afterward","project_id":79,"tracker_id":40,"status_id":1,"priority_id":2,"assigned_to_id":23,"start_date":"2016-10-25","description":"","custom_fields":[{"id":1,"name":"Subdivision","value":"EC"},{"id":4,"name":"Milepost","value":"12.7587"},{"id":17,"name":"Train ID","value":"218-25"},{"id":16,"name":"Locomotive ID","value":"4041"},{"id":130,"name":"Impact","value":""},{"id":150,"name":"Time of Event (Mountain Time)","value":"19:23:57"},{"id":151,"name":"Denver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"%USERPROFILE%\AppData\Local\Temp\OnboardLogs"\RTDC4041\*4041*201610260* | grep -SE "((Enforcement Ac)|(PRM))" -</v>
      </c>
    </row>
    <row r="22" spans="1:30" x14ac:dyDescent="0.25">
      <c r="A22" s="36">
        <v>42668.64329861111</v>
      </c>
      <c r="B22" s="31" t="s">
        <v>305</v>
      </c>
      <c r="C22" s="31" t="s">
        <v>442</v>
      </c>
      <c r="D22" s="31" t="s">
        <v>49</v>
      </c>
      <c r="E22" s="31" t="s">
        <v>241</v>
      </c>
      <c r="F22" s="47">
        <v>0</v>
      </c>
      <c r="G22" s="47">
        <v>776</v>
      </c>
      <c r="H22" s="47">
        <v>147994</v>
      </c>
      <c r="I22" s="47">
        <v>152325</v>
      </c>
      <c r="J22" s="31" t="s">
        <v>242</v>
      </c>
      <c r="K22" s="47">
        <v>155600</v>
      </c>
      <c r="L22" s="157" t="s">
        <v>50</v>
      </c>
      <c r="M22" s="158">
        <f t="shared" si="0"/>
        <v>1729.2</v>
      </c>
      <c r="N22" s="159" t="str">
        <f>VLOOKUP(C22,'Trips&amp;Operators'!$C$1:$E$99999,3,FALSE)</f>
        <v>JACKSON</v>
      </c>
      <c r="O22" s="184" t="s">
        <v>237</v>
      </c>
      <c r="P22" s="160" t="s">
        <v>828</v>
      </c>
      <c r="Q22" s="31"/>
      <c r="R22" s="100" t="str">
        <f>VLOOKUP(C22,'Train Runs'!$A$13:$AE$10018,31,0)</f>
        <v>aws s3 cp s3://rtdc.mdm.uploadarchive.raw/RTDC4027/ "%USERPROFILE%\AppData\Local\Temp\OnboardLogs"\RTDC4027\2016-10-25 --exclude "*" --recursive --include "*20161025*" &amp; "%USERPROFILE%\Documents\GitHub\mrs-test-scripts\Headless Mode &amp; Sideloading\WalkAndUnGZ.bat" "%USERPROFILE%\AppData\Local\Temp\OnboardLogs"\RTDC4027\2016-10-25 &amp; aws s3 cp s3://rtdc.mdm.uploadarchive.raw/RTDC4027/ "%USERPROFILE%\AppData\Local\Temp\OnboardLogs"\RTDC4027\2016-10-26 --exclude "*" --recursive --include "*20161026*" &amp; "%USERPROFILE%\Documents\GitHub\mrs-test-scripts\Headless Mode &amp; Sideloading\WalkAndUnGZ.bat" "%USERPROFILE%\AppData\Local\Temp\OnboardLogs"\RTDC4027\2016-10-26</v>
      </c>
      <c r="S22" s="103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13:54:34-0600',mode:absolute,to:'2016-10-25 16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2" s="105" t="str">
        <f t="shared" si="1"/>
        <v>"C:\Program Files (x86)\AstroGrep\AstroGrep.exe" /spath="%USERPROFILE%\AppData\Local\Temp\OnboardLogs" /stypes="*4027*201610252*" /stext=" 21:.+((SYSTEM_STATE.+slice.+state.+changed )|(ment ac)|(system.+state.+changed )|(\[timeout)|(PRM\|1\|D)|(kpr)|(kdp)|(\|lc)|(penalty))" /e /r /s</v>
      </c>
      <c r="U22" s="9" t="str">
        <f t="shared" si="2"/>
        <v>4027</v>
      </c>
      <c r="V22" s="36">
        <f t="shared" si="3"/>
        <v>42668.89329861111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{"issue":{"subject":"61st 2N STOP, cleared afterward","project_id":79,"tracker_id":40,"status_id":1,"priority_id":2,"assigned_to_id":23,"start_date":"2016-10-25","description":"","custom_fields":[{"id":1,"name":"Subdivision","value":"EC"},{"id":4,"name":"Milepost","value":"15.56"},{"id":17,"name":"Train ID","value":"191-25"},{"id":16,"name":"Locomotive ID","value":"4027"},{"id":130,"name":"Impact","value":""},{"id":150,"name":"Time of Event (Mountain Time)","value":"15:26:21"},{"id":151,"name":"Denver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"%USERPROFILE%\AppData\Local\Temp\OnboardLogs"\RTDC4027\*4027*201610252* | grep -SE "((Enforcement Ac)|(PRM))" -</v>
      </c>
      <c r="AD22" s="1"/>
    </row>
    <row r="23" spans="1:30" x14ac:dyDescent="0.25">
      <c r="A23" s="36">
        <v>42668.239687499998</v>
      </c>
      <c r="B23" s="31" t="s">
        <v>410</v>
      </c>
      <c r="C23" s="31" t="s">
        <v>411</v>
      </c>
      <c r="D23" s="31" t="s">
        <v>49</v>
      </c>
      <c r="E23" s="31" t="s">
        <v>241</v>
      </c>
      <c r="F23" s="47">
        <v>0</v>
      </c>
      <c r="G23" s="47">
        <v>671</v>
      </c>
      <c r="H23" s="47">
        <v>171019</v>
      </c>
      <c r="I23" s="47">
        <v>174311</v>
      </c>
      <c r="J23" s="31" t="s">
        <v>242</v>
      </c>
      <c r="K23" s="47">
        <v>175383</v>
      </c>
      <c r="L23" s="157" t="s">
        <v>50</v>
      </c>
      <c r="M23" s="158">
        <f t="shared" si="0"/>
        <v>566.01599999999996</v>
      </c>
      <c r="N23" s="159" t="str">
        <f>VLOOKUP(C23,'Trips&amp;Operators'!$C$1:$E$99999,3,FALSE)</f>
        <v>KILLION</v>
      </c>
      <c r="O23" s="184" t="s">
        <v>289</v>
      </c>
      <c r="P23" s="160" t="s">
        <v>809</v>
      </c>
      <c r="Q23" s="31"/>
      <c r="R23" s="100" t="str">
        <f>VLOOKUP(C23,'Train Runs'!$A$13:$AE$10018,31,0)</f>
        <v>aws s3 cp s3://rtdc.mdm.uploadarchive.raw/RTDC4046/ "%USERPROFILE%\AppData\Local\Temp\OnboardLogs"\RTDC4046\2016-10-25 --exclude "*" --recursive --include "*20161025*" &amp; "%USERPROFILE%\Documents\GitHub\mrs-test-scripts\Headless Mode &amp; Sideloading\WalkAndUnGZ.bat" "%USERPROFILE%\AppData\Local\Temp\OnboardLogs"\RTDC4046\2016-10-25 &amp; 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</v>
      </c>
      <c r="S23" s="103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https://search-rtdc-monitor-bjffxe2xuh6vdkpspy63sjmuny.us-east-1.es.amazonaws.com/_plugin/kibana/#/discover/Steve-Slow-Train-Analysis-(2080s-and-2083s)?_g=(refreshInterval:(display:Off,section:0,value:0),time:(from:'2016-10-25 03:56:30-0600',mode:absolute,to:'2016-10-25 06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3" s="105" t="str">
        <f t="shared" si="1"/>
        <v>"C:\Program Files (x86)\AstroGrep\AstroGrep.exe" /spath="%USERPROFILE%\AppData\Local\Temp\OnboardLogs" /stypes="*4046*201610251*" /stext=" 11:.+((SYSTEM_STATE.+slice.+state.+changed )|(ment ac)|(system.+state.+changed )|(\[timeout)|(PRM\|1\|D)|(kpr)|(kdp)|(\|lc)|(penalty))" /e /r /s</v>
      </c>
      <c r="U23" s="9" t="str">
        <f t="shared" si="2"/>
        <v>4046</v>
      </c>
      <c r="V23" s="36">
        <f t="shared" si="3"/>
        <v>42668.489687499998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{"issue":{"subject":"CP PENA ELXS failure?","project_id":79,"tracker_id":40,"status_id":1,"priority_id":2,"assigned_to_id":23,"start_date":"2016-10-25","description":"","custom_fields":[{"id":1,"name":"Subdivision","value":"EC"},{"id":4,"name":"Milepost","value":"17.5383"},{"id":17,"name":"Train ID","value":"113-25"},{"id":16,"name":"Locomotive ID","value":"4046"},{"id":130,"name":"Impact","value":""},{"id":150,"name":"Time of Event (Mountain Time)","value":"05:45:09"},{"id":151,"name":"Denver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"%USERPROFILE%\AppData\Local\Temp\OnboardLogs"\RTDC4046\*4046*201610251* | grep -SE "((Enforcement Ac)|(PRM))" -</v>
      </c>
      <c r="AD23" s="1"/>
    </row>
    <row r="24" spans="1:30" x14ac:dyDescent="0.25">
      <c r="A24" s="36">
        <v>42668.481458333335</v>
      </c>
      <c r="B24" s="31" t="s">
        <v>406</v>
      </c>
      <c r="C24" s="31" t="s">
        <v>431</v>
      </c>
      <c r="D24" s="31" t="s">
        <v>49</v>
      </c>
      <c r="E24" s="31" t="s">
        <v>241</v>
      </c>
      <c r="F24" s="47">
        <v>0</v>
      </c>
      <c r="G24" s="47">
        <v>332</v>
      </c>
      <c r="H24" s="47">
        <v>194103</v>
      </c>
      <c r="I24" s="47">
        <v>193200</v>
      </c>
      <c r="J24" s="31" t="s">
        <v>242</v>
      </c>
      <c r="K24" s="47">
        <v>191723</v>
      </c>
      <c r="L24" s="157" t="s">
        <v>51</v>
      </c>
      <c r="M24" s="158">
        <f t="shared" si="0"/>
        <v>779.85599999999999</v>
      </c>
      <c r="N24" s="159" t="str">
        <f>VLOOKUP(C24,'Trips&amp;Operators'!$C$1:$E$99999,3,FALSE)</f>
        <v>STARKS</v>
      </c>
      <c r="O24" s="184" t="s">
        <v>237</v>
      </c>
      <c r="P24" s="160" t="s">
        <v>825</v>
      </c>
      <c r="Q24" s="31"/>
      <c r="R24" s="100" t="str">
        <f>VLOOKUP(C24,'Train Runs'!$A$13:$AE$10018,31,0)</f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S24" s="103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https://search-rtdc-monitor-bjffxe2xuh6vdkpspy63sjmuny.us-east-1.es.amazonaws.com/_plugin/kibana/#/discover/Steve-Slow-Train-Analysis-(2080s-and-2083s)?_g=(refreshInterval:(display:Off,section:0,value:0),time:(from:'2016-10-25 10:14:28-0600',mode:absolute,to:'2016-10-25 13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 t="shared" si="1"/>
        <v>"C:\Program Files (x86)\AstroGrep\AstroGrep.exe" /spath="%USERPROFILE%\AppData\Local\Temp\OnboardLogs" /stypes="*4045*201610251*" /stext=" 17:.+((SYSTEM_STATE.+slice.+state.+changed )|(ment ac)|(system.+state.+changed )|(\[timeout)|(PRM\|1\|D)|(kpr)|(kdp)|(\|lc)|(penalty))" /e /r /s</v>
      </c>
      <c r="U24" s="9" t="str">
        <f t="shared" si="2"/>
        <v>4045</v>
      </c>
      <c r="V24" s="36">
        <f t="shared" si="3"/>
        <v>42668.731458333335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{"issue":{"subject":"Pena 4S STOP, cleared afterward","project_id":79,"tracker_id":40,"status_id":1,"priority_id":2,"assigned_to_id":23,"start_date":"2016-10-25","description":"","custom_fields":[{"id":1,"name":"Subdivision","value":"EC"},{"id":4,"name":"Milepost","value":"19.1723"},{"id":17,"name":"Train ID","value":"156-25"},{"id":16,"name":"Locomotive ID","value":"4045"},{"id":130,"name":"Impact","value":""},{"id":150,"name":"Time of Event (Mountain Time)","value":"11:33:18"},{"id":151,"name":"Denver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"%USERPROFILE%\AppData\Local\Temp\OnboardLogs"\RTDC4045\*4045*201610251* | grep -SE "((Enforcement Ac)|(PRM))" -</v>
      </c>
      <c r="AD24" s="1"/>
    </row>
    <row r="25" spans="1:30" ht="15" customHeight="1" x14ac:dyDescent="0.25">
      <c r="A25" s="36">
        <v>42668.584733796299</v>
      </c>
      <c r="B25" s="31" t="s">
        <v>250</v>
      </c>
      <c r="C25" s="31" t="s">
        <v>438</v>
      </c>
      <c r="D25" s="31" t="s">
        <v>49</v>
      </c>
      <c r="E25" s="31" t="s">
        <v>241</v>
      </c>
      <c r="F25" s="47">
        <v>0</v>
      </c>
      <c r="G25" s="47">
        <v>697</v>
      </c>
      <c r="H25" s="47">
        <v>197098</v>
      </c>
      <c r="I25" s="47">
        <v>194261</v>
      </c>
      <c r="J25" s="31" t="s">
        <v>242</v>
      </c>
      <c r="K25" s="47">
        <v>191723</v>
      </c>
      <c r="L25" s="157" t="s">
        <v>51</v>
      </c>
      <c r="M25" s="158">
        <f t="shared" si="0"/>
        <v>1340.0640000000001</v>
      </c>
      <c r="N25" s="159" t="str">
        <f>VLOOKUP(C25,'Trips&amp;Operators'!$C$1:$E$99999,3,FALSE)</f>
        <v>HOLCOMB</v>
      </c>
      <c r="O25" s="184" t="s">
        <v>237</v>
      </c>
      <c r="P25" s="160" t="s">
        <v>825</v>
      </c>
      <c r="Q25" s="31"/>
      <c r="R25" s="100" t="str">
        <f>VLOOKUP(C25,'Train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25" s="103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12:48:20-0600',mode:absolute,to:'2016-10-25 15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/stypes="*4041*201610252*" /stext=" 20:.+((SYSTEM_STATE.+slice.+state.+changed )|(ment ac)|(system.+state.+changed )|(\[timeout)|(PRM\|1\|D)|(kpr)|(kdp)|(\|lc)|(penalty))" /e /r /s</v>
      </c>
      <c r="U25" s="9" t="str">
        <f t="shared" si="2"/>
        <v>4041</v>
      </c>
      <c r="V25" s="36">
        <f t="shared" si="3"/>
        <v>42668.834733796299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{"issue":{"subject":"Pena 4S STOP, cleared afterward","project_id":79,"tracker_id":40,"status_id":1,"priority_id":2,"assigned_to_id":23,"start_date":"2016-10-25","description":"","custom_fields":[{"id":1,"name":"Subdivision","value":"EC"},{"id":4,"name":"Milepost","value":"19.1723"},{"id":17,"name":"Train ID","value":"176-25"},{"id":16,"name":"Locomotive ID","value":"4041"},{"id":130,"name":"Impact","value":""},{"id":150,"name":"Time of Event (Mountain Time)","value":"14:02:01"},{"id":151,"name":"Denver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"%USERPROFILE%\AppData\Local\Temp\OnboardLogs"\RTDC4041\*4041*201610252* | grep -SE "((Enforcement Ac)|(PRM))" -</v>
      </c>
      <c r="AD25" s="1"/>
    </row>
    <row r="26" spans="1:30" x14ac:dyDescent="0.25">
      <c r="A26" s="36">
        <v>42668.459293981483</v>
      </c>
      <c r="B26" s="31" t="s">
        <v>429</v>
      </c>
      <c r="C26" s="31" t="s">
        <v>430</v>
      </c>
      <c r="D26" s="31" t="s">
        <v>98</v>
      </c>
      <c r="E26" s="31" t="s">
        <v>241</v>
      </c>
      <c r="F26" s="47">
        <v>0</v>
      </c>
      <c r="G26" s="47">
        <v>653</v>
      </c>
      <c r="H26" s="47">
        <v>198238</v>
      </c>
      <c r="I26" s="47">
        <v>195850</v>
      </c>
      <c r="J26" s="31" t="s">
        <v>242</v>
      </c>
      <c r="K26" s="47">
        <v>198256</v>
      </c>
      <c r="L26" s="157" t="s">
        <v>51</v>
      </c>
      <c r="M26" s="158">
        <f t="shared" si="0"/>
        <v>-1270.3679999999999</v>
      </c>
      <c r="N26" s="159" t="str">
        <f>VLOOKUP(C26,'Trips&amp;Operators'!$C$1:$E$99999,3,FALSE)</f>
        <v>DAVIS</v>
      </c>
      <c r="O26" s="184" t="s">
        <v>289</v>
      </c>
      <c r="P26" s="160" t="s">
        <v>826</v>
      </c>
      <c r="Q26" s="31"/>
      <c r="R26" s="100" t="str">
        <f>VLOOKUP(C26,'Train Runs'!$A$13:$AE$10018,31,0)</f>
        <v>aws s3 cp s3://rtdc.mdm.uploadarchive.raw/RTDC4032/ "%USERPROFILE%\AppData\Local\Temp\OnboardLogs"\RTDC4032\2016-10-25 --exclude "*" --recursive --include "*20161025*" &amp; "%USERPROFILE%\Documents\GitHub\mrs-test-scripts\Headless Mode &amp; Sideloading\WalkAndUnGZ.bat" "%USERPROFILE%\AppData\Local\Temp\OnboardLogs"\RTDC4032\2016-10-25 &amp; 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</v>
      </c>
      <c r="S26" s="103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https://search-rtdc-monitor-bjffxe2xuh6vdkpspy63sjmuny.us-east-1.es.amazonaws.com/_plugin/kibana/#/discover/Steve-Slow-Train-Analysis-(2080s-and-2083s)?_g=(refreshInterval:(display:Off,section:0,value:0),time:(from:'2016-10-25 09:52:01-0600',mode:absolute,to:'2016-10-25 12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6" s="105" t="str">
        <f t="shared" si="1"/>
        <v>"C:\Program Files (x86)\AstroGrep\AstroGrep.exe" /spath="%USERPROFILE%\AppData\Local\Temp\OnboardLogs" /stypes="*4032*201610251*" /stext=" 17:.+((SYSTEM_STATE.+slice.+state.+changed )|(ment ac)|(system.+state.+changed )|(\[timeout)|(PRM\|1\|D)|(kpr)|(kdp)|(\|lc)|(penalty))" /e /r /s</v>
      </c>
      <c r="U26" s="9" t="str">
        <f t="shared" si="2"/>
        <v>4032</v>
      </c>
      <c r="V26" s="36">
        <f t="shared" si="3"/>
        <v>42668.709293981483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{"issue":{"subject":"Premature downgrade at EC1981RH 204-2T 2S","project_id":79,"tracker_id":40,"status_id":1,"priority_id":2,"assigned_to_id":23,"start_date":"2016-10-25","description":"EC1981RH 204-2T 2S downgraded from 120 to STOP &amp; PROCEED at 11:00:26. Anything out of the ordinary?","custom_fields":[{"id":1,"name":"Subdivision","value":"EC"},{"id":4,"name":"Milepost","value":"19.8256"},{"id":17,"name":"Train ID","value":"152-25"},{"id":16,"name":"Locomotive ID","value":"4032"},{"id":130,"name":"Impact","value":"Enforcement"},{"id":150,"name":"Time of Event (Mountain Time)","value":"11:01:23"},{"id":151,"name":"Denver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53" t="s">
        <v>827</v>
      </c>
      <c r="AA26" s="53" t="s">
        <v>126</v>
      </c>
      <c r="AB26" s="53" t="s">
        <v>131</v>
      </c>
      <c r="AC26" s="141" t="str">
        <f t="shared" si="7"/>
        <v>grep -hSE -A100 "Enforcement Action" "%USERPROFILE%\AppData\Local\Temp\OnboardLogs"\RTDC4032\*4032*201610251* | grep -SE "((Enforcement Ac)|(PRM))" -</v>
      </c>
      <c r="AD26" s="1"/>
    </row>
    <row r="27" spans="1:30" x14ac:dyDescent="0.25">
      <c r="A27" s="36">
        <v>42668.580729166664</v>
      </c>
      <c r="B27" s="31" t="s">
        <v>406</v>
      </c>
      <c r="C27" s="31" t="s">
        <v>437</v>
      </c>
      <c r="D27" s="31" t="s">
        <v>49</v>
      </c>
      <c r="E27" s="31" t="s">
        <v>243</v>
      </c>
      <c r="F27" s="47">
        <v>0</v>
      </c>
      <c r="G27" s="47">
        <v>49</v>
      </c>
      <c r="H27" s="47">
        <v>183</v>
      </c>
      <c r="I27" s="47">
        <v>147</v>
      </c>
      <c r="J27" s="31" t="s">
        <v>244</v>
      </c>
      <c r="K27" s="47">
        <v>1</v>
      </c>
      <c r="L27" s="157" t="s">
        <v>51</v>
      </c>
      <c r="M27" s="158">
        <f t="shared" si="0"/>
        <v>77.087999999999994</v>
      </c>
      <c r="N27" s="159" t="str">
        <f>VLOOKUP(C27,'Trips&amp;Operators'!$C$1:$E$99999,3,FALSE)</f>
        <v>CLARK</v>
      </c>
      <c r="O27" s="184" t="s">
        <v>237</v>
      </c>
      <c r="P27" s="160"/>
      <c r="Q27" s="31"/>
      <c r="R27" s="100" t="str">
        <f>VLOOKUP(C27,'Train Runs'!$A$13:$AE$10018,31,0)</f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S27" s="103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https://search-rtdc-monitor-bjffxe2xuh6vdkpspy63sjmuny.us-east-1.es.amazonaws.com/_plugin/kibana/#/discover/Steve-Slow-Train-Analysis-(2080s-and-2083s)?_g=(refreshInterval:(display:Off,section:0,value:0),time:(from:'2016-10-25 12:05:22-0600',mode:absolute,to:'2016-10-25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7" s="105" t="str">
        <f t="shared" si="1"/>
        <v>"C:\Program Files (x86)\AstroGrep\AstroGrep.exe" /spath="%USERPROFILE%\AppData\Local\Temp\OnboardLogs" /stypes="*4045*201610251*" /stext=" 19:.+((SYSTEM_STATE.+slice.+state.+changed )|(ment ac)|(system.+state.+changed )|(\[timeout)|(PRM\|1\|D)|(kpr)|(kdp)|(\|lc)|(penalty))" /e /r /s</v>
      </c>
      <c r="U27" s="9" t="str">
        <f t="shared" si="2"/>
        <v>4045</v>
      </c>
      <c r="V27" s="36">
        <f t="shared" si="3"/>
        <v>42668.830729166664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ID","value":"170-25"},{"id":16,"name":"Locomotive ID","value":"4045"},{"id":130,"name":"Impact","value":""},{"id":150,"name":"Time of Event (Mountain Time)","value":"13:56:15"},{"id":151,"name":"Denver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"%USERPROFILE%\AppData\Local\Temp\OnboardLogs"\RTDC4045\*4045*201610251* | grep -SE "((Enforcement Ac)|(PRM))" -</v>
      </c>
      <c r="AD27" s="1"/>
    </row>
    <row r="28" spans="1:30" x14ac:dyDescent="0.25">
      <c r="A28" s="36">
        <v>42668.71707175926</v>
      </c>
      <c r="B28" s="31" t="s">
        <v>193</v>
      </c>
      <c r="C28" s="31" t="s">
        <v>443</v>
      </c>
      <c r="D28" s="31" t="s">
        <v>49</v>
      </c>
      <c r="E28" s="31" t="s">
        <v>243</v>
      </c>
      <c r="F28" s="47">
        <v>0</v>
      </c>
      <c r="G28" s="47">
        <v>52</v>
      </c>
      <c r="H28" s="47">
        <v>174</v>
      </c>
      <c r="I28" s="47">
        <v>119</v>
      </c>
      <c r="J28" s="31" t="s">
        <v>244</v>
      </c>
      <c r="K28" s="47">
        <v>1</v>
      </c>
      <c r="L28" s="157" t="s">
        <v>51</v>
      </c>
      <c r="M28" s="158">
        <f t="shared" si="0"/>
        <v>62.304000000000002</v>
      </c>
      <c r="N28" s="159" t="str">
        <f>VLOOKUP(C28,'Trips&amp;Operators'!$C$1:$E$99999,3,FALSE)</f>
        <v>YOUNG</v>
      </c>
      <c r="O28" s="184" t="s">
        <v>237</v>
      </c>
      <c r="P28" s="160"/>
      <c r="Q28" s="31"/>
      <c r="R28" s="100" t="str">
        <f>VLOOKUP(C28,'Train Runs'!$A$13:$AE$10018,31,0)</f>
        <v>aws s3 cp s3://rtdc.mdm.uploadarchive.raw/RTDC4010/ "%USERPROFILE%\AppData\Local\Temp\OnboardLogs"\RTDC4010\2016-10-25 --exclude "*" --recursive --include "*20161025*" &amp; "%USERPROFILE%\Documents\GitHub\mrs-test-scripts\Headless Mode &amp; Sideloading\WalkAndUnGZ.bat" "%USERPROFILE%\AppData\Local\Temp\OnboardLogs"\RTDC4010\2016-10-25 &amp; 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</v>
      </c>
      <c r="S28" s="103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https://search-rtdc-monitor-bjffxe2xuh6vdkpspy63sjmuny.us-east-1.es.amazonaws.com/_plugin/kibana/#/discover/Steve-Slow-Train-Analysis-(2080s-and-2083s)?_g=(refreshInterval:(display:Off,section:0,value:0),time:(from:'2016-10-25 15:14:51-0600',mode:absolute,to:'2016-10-25 18:12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5" t="str">
        <f t="shared" si="1"/>
        <v>"C:\Program Files (x86)\AstroGrep\AstroGrep.exe" /spath="%USERPROFILE%\AppData\Local\Temp\OnboardLogs" /stypes="*4010*201610252*" /stext=" 23:.+((SYSTEM_STATE.+slice.+state.+changed )|(ment ac)|(system.+state.+changed )|(\[timeout)|(PRM\|1\|D)|(kpr)|(kdp)|(\|lc)|(penalty))" /e /r /s</v>
      </c>
      <c r="U28" s="9" t="str">
        <f t="shared" si="2"/>
        <v>4010</v>
      </c>
      <c r="V28" s="36">
        <f t="shared" si="3"/>
        <v>42668.96707175926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ID","value":"196-25"},{"id":16,"name":"Locomotive ID","value":"4010"},{"id":130,"name":"Impact","value":""},{"id":150,"name":"Time of Event (Mountain Time)","value":"17:12:35"},{"id":151,"name":"Denver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"%USERPROFILE%\AppData\Local\Temp\OnboardLogs"\RTDC4010\*4010*201610252* | grep -SE "((Enforcement Ac)|(PRM))" -</v>
      </c>
      <c r="AD28" s="1"/>
    </row>
    <row r="29" spans="1:30" x14ac:dyDescent="0.25">
      <c r="A29" s="36">
        <v>42668.732754629629</v>
      </c>
      <c r="B29" s="31" t="s">
        <v>347</v>
      </c>
      <c r="C29" s="31" t="s">
        <v>444</v>
      </c>
      <c r="D29" s="31" t="s">
        <v>49</v>
      </c>
      <c r="E29" s="31" t="s">
        <v>243</v>
      </c>
      <c r="F29" s="47">
        <v>0</v>
      </c>
      <c r="G29" s="47">
        <v>94</v>
      </c>
      <c r="H29" s="47">
        <v>360</v>
      </c>
      <c r="I29" s="47">
        <v>247</v>
      </c>
      <c r="J29" s="31" t="s">
        <v>244</v>
      </c>
      <c r="K29" s="47">
        <v>1</v>
      </c>
      <c r="L29" s="157" t="s">
        <v>51</v>
      </c>
      <c r="M29" s="158">
        <f t="shared" si="0"/>
        <v>129.88800000000001</v>
      </c>
      <c r="N29" s="159" t="str">
        <f>VLOOKUP(C29,'Trips&amp;Operators'!$C$1:$E$99999,3,FALSE)</f>
        <v>ROMERO</v>
      </c>
      <c r="O29" s="184" t="s">
        <v>237</v>
      </c>
      <c r="P29" s="160"/>
      <c r="Q29" s="31"/>
      <c r="R29" s="100" t="str">
        <f>VLOOKUP(C29,'Train Runs'!$A$13:$AE$10018,31,0)</f>
        <v>aws s3 cp s3://rtdc.mdm.uploadarchive.raw/RTDC4001/ "%USERPROFILE%\AppData\Local\Temp\OnboardLogs"\RTDC4001\2016-10-25 --exclude "*" --recursive --include "*20161025*" &amp; "%USERPROFILE%\Documents\GitHub\mrs-test-scripts\Headless Mode &amp; Sideloading\WalkAndUnGZ.bat" "%USERPROFILE%\AppData\Local\Temp\OnboardLogs"\RTDC4001\2016-10-25 &amp; 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</v>
      </c>
      <c r="S29" s="103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https://search-rtdc-monitor-bjffxe2xuh6vdkpspy63sjmuny.us-east-1.es.amazonaws.com/_plugin/kibana/#/discover/Steve-Slow-Train-Analysis-(2080s-and-2083s)?_g=(refreshInterval:(display:Off,section:0,value:0),time:(from:'2016-10-25 15:44:51-0600',mode:absolute,to:'2016-10-25 18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5" t="str">
        <f t="shared" si="1"/>
        <v>"C:\Program Files (x86)\AstroGrep\AstroGrep.exe" /spath="%USERPROFILE%\AppData\Local\Temp\OnboardLogs" /stypes="*4001*201610252*" /stext=" 23:.+((SYSTEM_STATE.+slice.+state.+changed )|(ment ac)|(system.+state.+changed )|(\[timeout)|(PRM\|1\|D)|(kpr)|(kdp)|(\|lc)|(penalty))" /e /r /s</v>
      </c>
      <c r="U29" s="9" t="str">
        <f t="shared" si="2"/>
        <v>4001</v>
      </c>
      <c r="V29" s="36">
        <f t="shared" si="3"/>
        <v>42668.982754629629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ID","value":"200-25"},{"id":16,"name":"Locomotive ID","value":"4001"},{"id":130,"name":"Impact","value":""},{"id":150,"name":"Time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"%USERPROFILE%\AppData\Local\Temp\OnboardLogs"\RTDC4001\*4001*201610252* | grep -SE "((Enforcement Ac)|(PRM))" -</v>
      </c>
      <c r="AD29" s="1"/>
    </row>
    <row r="30" spans="1:30" x14ac:dyDescent="0.25">
      <c r="A30" s="36">
        <v>42668.981678240743</v>
      </c>
      <c r="B30" s="31" t="s">
        <v>250</v>
      </c>
      <c r="C30" s="31" t="s">
        <v>447</v>
      </c>
      <c r="D30" s="31" t="s">
        <v>49</v>
      </c>
      <c r="E30" s="31" t="s">
        <v>243</v>
      </c>
      <c r="F30" s="47">
        <v>0</v>
      </c>
      <c r="G30" s="47">
        <v>70</v>
      </c>
      <c r="H30" s="47">
        <v>234</v>
      </c>
      <c r="I30" s="47">
        <v>167</v>
      </c>
      <c r="J30" s="31" t="s">
        <v>244</v>
      </c>
      <c r="K30" s="47">
        <v>1</v>
      </c>
      <c r="L30" s="157" t="s">
        <v>51</v>
      </c>
      <c r="M30" s="158">
        <f t="shared" si="0"/>
        <v>87.647999999999996</v>
      </c>
      <c r="N30" s="159" t="str">
        <f>VLOOKUP(C30,'Trips&amp;Operators'!$C$1:$E$99999,3,FALSE)</f>
        <v>YANAI</v>
      </c>
      <c r="O30" s="184" t="s">
        <v>237</v>
      </c>
      <c r="P30" s="160"/>
      <c r="Q30" s="31"/>
      <c r="R30" s="100" t="str">
        <f>VLOOKUP(C30,'Train Runs'!$A$13:$AE$10018,31,0)</f>
        <v>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 &amp; aws s3 cp s3://rtdc.mdm.uploadarchive.raw/RTDC4041/ "%USERPROFILE%\AppData\Local\Temp\OnboardLogs"\RTDC4041\2016-10-26 --exclude "*" --recursive --include "*20161026*" &amp; "%USERPROFILE%\Documents\GitHub\mrs-test-scripts\Headless Mode &amp; Sideloading\WalkAndUnGZ.bat" "%USERPROFILE%\AppData\Local\Temp\OnboardLogs"\RTDC4041\2016-10-26</v>
      </c>
      <c r="S30" s="103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https://search-rtdc-monitor-bjffxe2xuh6vdkpspy63sjmuny.us-east-1.es.amazonaws.com/_plugin/kibana/#/discover/Steve-Slow-Train-Analysis-(2080s-and-2083s)?_g=(refreshInterval:(display:Off,section:0,value:0),time:(from:'2016-10-25 21:51:04-0600',mode:absolute,to:'2016-10-26 00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5" t="str">
        <f t="shared" si="1"/>
        <v>"C:\Program Files (x86)\AstroGrep\AstroGrep.exe" /spath="%USERPROFILE%\AppData\Local\Temp\OnboardLogs" /stypes="*4041*201610260*" /stext=" 05:.+((SYSTEM_STATE.+slice.+state.+changed )|(ment ac)|(system.+state.+changed )|(\[timeout)|(PRM\|1\|D)|(kpr)|(kdp)|(\|lc)|(penalty))" /e /r /s</v>
      </c>
      <c r="U30" s="9" t="str">
        <f t="shared" si="2"/>
        <v>4041</v>
      </c>
      <c r="V30" s="36">
        <f t="shared" si="3"/>
        <v>42669.231678240743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{"issue":{"subject":"","project_id":79,"tracker_id":40,"status_id":1,"priority_id":2,"assigned_to_id":23,"start_date":"2016-10-25","description":"","custom_fields":[{"id":1,"name":"Subdivision","value":"EC"},{"id":4,"name":"Milepost","value":"0.0001"},{"id":17,"name":"Train ID","value":"234-25"},{"id":16,"name":"Locomotive ID","value":"4041"},{"id":130,"name":"Impact","value":""},{"id":150,"name":"Time of Event (Mountain Time)","value":"23:33:37"},{"id":151,"name":"Denver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"%USERPROFILE%\AppData\Local\Temp\OnboardLogs"\RTDC4041\*4041*201610260* | grep -SE "((Enforcement Ac)|(PRM))" -</v>
      </c>
      <c r="AD30" s="1"/>
    </row>
    <row r="31" spans="1:30" ht="15" customHeight="1" x14ac:dyDescent="0.25">
      <c r="A31" s="36">
        <v>42669.004108796296</v>
      </c>
      <c r="B31" s="31" t="s">
        <v>245</v>
      </c>
      <c r="C31" s="31" t="s">
        <v>448</v>
      </c>
      <c r="D31" s="31" t="s">
        <v>49</v>
      </c>
      <c r="E31" s="31" t="s">
        <v>243</v>
      </c>
      <c r="F31" s="47">
        <v>0</v>
      </c>
      <c r="G31" s="47">
        <v>39</v>
      </c>
      <c r="H31" s="47">
        <v>145</v>
      </c>
      <c r="I31" s="47">
        <v>118</v>
      </c>
      <c r="J31" s="31" t="s">
        <v>244</v>
      </c>
      <c r="K31" s="47">
        <v>1</v>
      </c>
      <c r="L31" s="157" t="s">
        <v>51</v>
      </c>
      <c r="M31" s="158">
        <f t="shared" si="0"/>
        <v>61.776000000000003</v>
      </c>
      <c r="N31" s="159" t="str">
        <f>VLOOKUP(C31,'Trips&amp;Operators'!$C$1:$E$99999,3,FALSE)</f>
        <v>DELGADO</v>
      </c>
      <c r="O31" s="184" t="s">
        <v>237</v>
      </c>
      <c r="P31" s="160"/>
      <c r="Q31" s="31"/>
      <c r="R31" s="100" t="str">
        <f>VLOOKUP(C31,'Train Runs'!$A$13:$AE$10018,31,0)</f>
        <v>aws s3 cp s3://rtdc.mdm.uploadarchive.raw/RTDC4028/ "%USERPROFILE%\AppData\Local\Temp\OnboardLogs"\RTDC4028\2016-10-25 --exclude "*" --recursive --include "*20161025*" &amp; "%USERPROFILE%\Documents\GitHub\mrs-test-scripts\Headless Mode &amp; Sideloading\WalkAndUnGZ.bat" "%USERPROFILE%\AppData\Local\Temp\OnboardLogs"\RTDC4028\2016-10-25 &amp; aws s3 cp s3://rtdc.mdm.uploadarchive.raw/RTDC4028/ "%USERPROFILE%\AppData\Local\Temp\OnboardLogs"\RTDC4028\2016-10-26 --exclude "*" --recursive --include "*20161026*" &amp; "%USERPROFILE%\Documents\GitHub\mrs-test-scripts\Headless Mode &amp; Sideloading\WalkAndUnGZ.bat" "%USERPROFILE%\AppData\Local\Temp\OnboardLogs"\RTDC4028\2016-10-26</v>
      </c>
      <c r="S31" s="103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https://search-rtdc-monitor-bjffxe2xuh6vdkpspy63sjmuny.us-east-1.es.amazonaws.com/_plugin/kibana/#/discover/Steve-Slow-Train-Analysis-(2080s-and-2083s)?_g=(refreshInterval:(display:Off,section:0,value:0),time:(from:'2016-10-25 22:21:09-0600',mode:absolute,to:'2016-10-26 01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1" s="105" t="str">
        <f t="shared" si="1"/>
        <v>"C:\Program Files (x86)\AstroGrep\AstroGrep.exe" /spath="%USERPROFILE%\AppData\Local\Temp\OnboardLogs" /stypes="*4028*201610260*" /stext=" 06:.+((SYSTEM_STATE.+slice.+state.+changed )|(ment ac)|(system.+state.+changed )|(\[timeout)|(PRM\|1\|D)|(kpr)|(kdp)|(\|lc)|(penalty))" /e /r /s</v>
      </c>
      <c r="U31" s="9" t="str">
        <f t="shared" si="2"/>
        <v>4028</v>
      </c>
      <c r="V31" s="36">
        <f t="shared" si="3"/>
        <v>42669.254108796296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ID","value":"236-25"},{"id":16,"name":"Locomotive ID","value":"4028"},{"id":130,"name":"Impact","value":""},{"id":150,"name":"Time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"%USERPROFILE%\AppData\Local\Temp\OnboardLogs"\RTDC4028\*4028*201610260* | grep -SE "((Enforcement Ac)|(PRM))" -</v>
      </c>
      <c r="AD31" s="1"/>
    </row>
    <row r="32" spans="1:30" x14ac:dyDescent="0.25">
      <c r="A32" s="36">
        <v>42669.045185185183</v>
      </c>
      <c r="B32" s="31" t="s">
        <v>347</v>
      </c>
      <c r="C32" s="31" t="s">
        <v>449</v>
      </c>
      <c r="D32" s="31" t="s">
        <v>49</v>
      </c>
      <c r="E32" s="31" t="s">
        <v>243</v>
      </c>
      <c r="F32" s="47">
        <v>0</v>
      </c>
      <c r="G32" s="47">
        <v>61</v>
      </c>
      <c r="H32" s="47">
        <v>225</v>
      </c>
      <c r="I32" s="47">
        <v>172</v>
      </c>
      <c r="J32" s="31" t="s">
        <v>244</v>
      </c>
      <c r="K32" s="47">
        <v>1</v>
      </c>
      <c r="L32" s="157" t="s">
        <v>51</v>
      </c>
      <c r="M32" s="158">
        <f t="shared" si="0"/>
        <v>90.287999999999997</v>
      </c>
      <c r="N32" s="159" t="str">
        <f>VLOOKUP(C32,'Trips&amp;Operators'!$C$1:$E$99999,3,FALSE)</f>
        <v>BERLING</v>
      </c>
      <c r="O32" s="184" t="s">
        <v>237</v>
      </c>
      <c r="P32" s="160"/>
      <c r="Q32" s="31"/>
      <c r="R32" s="100" t="str">
        <f>VLOOKUP(C32,'Train Runs'!$A$13:$AE$10018,31,0)</f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S32" s="103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https://search-rtdc-monitor-bjffxe2xuh6vdkpspy63sjmuny.us-east-1.es.amazonaws.com/_plugin/kibana/#/discover/Steve-Slow-Train-Analysis-(2080s-and-2083s)?_g=(refreshInterval:(display:Off,section:0,value:0),time:(from:'2016-10-25 23:19:30-0600',mode:absolute,to:'2016-10-26 02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2" s="105" t="str">
        <f t="shared" si="1"/>
        <v>"C:\Program Files (x86)\AstroGrep\AstroGrep.exe" /spath="%USERPROFILE%\AppData\Local\Temp\OnboardLogs" /stypes="*4001*201610260*" /stext=" 07:.+((SYSTEM_STATE.+slice.+state.+changed )|(ment ac)|(system.+state.+changed )|(\[timeout)|(PRM\|1\|D)|(kpr)|(kdp)|(\|lc)|(penalty))" /e /r /s</v>
      </c>
      <c r="U32" s="9" t="str">
        <f t="shared" si="2"/>
        <v>4001</v>
      </c>
      <c r="V32" s="36">
        <f t="shared" si="3"/>
        <v>42669.295185185183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ID","value":"240-25"},{"id":16,"name":"Locomotive ID","value":"4001"},{"id":130,"name":"Impact","value":""},{"id":150,"name":"Time of Event (Mountain Time)","value":"01:05:04"},{"id":151,"name":"Denver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"%USERPROFILE%\AppData\Local\Temp\OnboardLogs"\RTDC4001\*4001*201610260* | grep -SE "((Enforcement Ac)|(PRM))" -</v>
      </c>
      <c r="AD32" s="1"/>
    </row>
    <row r="33" spans="1:30" ht="15" customHeight="1" x14ac:dyDescent="0.25">
      <c r="A33" s="36">
        <v>42668.181979166664</v>
      </c>
      <c r="B33" s="31" t="s">
        <v>194</v>
      </c>
      <c r="C33" s="31" t="s">
        <v>409</v>
      </c>
      <c r="D33" s="31" t="s">
        <v>49</v>
      </c>
      <c r="E33" s="31" t="s">
        <v>243</v>
      </c>
      <c r="F33" s="47">
        <v>0</v>
      </c>
      <c r="G33" s="47">
        <v>39</v>
      </c>
      <c r="H33" s="47">
        <v>233378</v>
      </c>
      <c r="I33" s="47">
        <v>233412</v>
      </c>
      <c r="J33" s="31" t="s">
        <v>244</v>
      </c>
      <c r="K33" s="47">
        <v>233491</v>
      </c>
      <c r="L33" s="157" t="s">
        <v>50</v>
      </c>
      <c r="M33" s="158">
        <f t="shared" si="0"/>
        <v>41.712000000000003</v>
      </c>
      <c r="N33" s="159" t="str">
        <f>VLOOKUP(C33,'Trips&amp;Operators'!$C$1:$E$99999,3,FALSE)</f>
        <v>ACKERMAN</v>
      </c>
      <c r="O33" s="184" t="s">
        <v>237</v>
      </c>
      <c r="P33" s="160"/>
      <c r="Q33" s="31"/>
      <c r="R33" s="100" t="str">
        <f>VLOOKUP(C33,'Train Runs'!$A$13:$AE$10018,31,0)</f>
        <v>aws s3 cp s3://rtdc.mdm.uploadarchive.raw/RTDC4009/ "%USERPROFILE%\AppData\Local\Temp\OnboardLogs"\RTDC4009\2016-10-25 --exclude "*" --recursive --include "*20161025*" &amp; "%USERPROFILE%\Documents\GitHub\mrs-test-scripts\Headless Mode &amp; Sideloading\WalkAndUnGZ.bat" "%USERPROFILE%\AppData\Local\Temp\OnboardLogs"\RTDC4009\2016-10-25 &amp; 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</v>
      </c>
      <c r="S33" s="103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02:39:43-0600',mode:absolute,to:'2016-10-25 05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3" s="105" t="str">
        <f t="shared" si="1"/>
        <v>"C:\Program Files (x86)\AstroGrep\AstroGrep.exe" /spath="%USERPROFILE%\AppData\Local\Temp\OnboardLogs" /stypes="*4009*201610251*" /stext=" 10:.+((SYSTEM_STATE.+slice.+state.+changed )|(ment ac)|(system.+state.+changed )|(\[timeout)|(PRM\|1\|D)|(kpr)|(kdp)|(\|lc)|(penalty))" /e /r /s</v>
      </c>
      <c r="U33" s="9" t="str">
        <f t="shared" si="2"/>
        <v>4009</v>
      </c>
      <c r="V33" s="36">
        <f t="shared" si="3"/>
        <v>42668.431979166664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{"issue":{"subject":"","project_id":79,"tracker_id":40,"status_id":1,"priority_id":2,"assigned_to_id":23,"start_date":"2016-10-25","description":"","custom_fields":[{"id":1,"name":"Subdivision","value":"EC"},{"id":4,"name":"Milepost","value":"23.3491"},{"id":17,"name":"Train ID","value":"103-25"},{"id":16,"name":"Locomotive ID","value":"4009"},{"id":130,"name":"Impact","value":""},{"id":150,"name":"Time of Event (Mountain Time)","value":"04:22:03"},{"id":151,"name":"Denver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"%USERPROFILE%\AppData\Local\Temp\OnboardLogs"\RTDC4009\*4009*201610251* | grep -SE "((Enforcement Ac)|(PRM))" -</v>
      </c>
      <c r="AD33" s="1"/>
    </row>
    <row r="34" spans="1:30" x14ac:dyDescent="0.25">
      <c r="A34" s="36">
        <v>42668.266261574077</v>
      </c>
      <c r="B34" s="31" t="s">
        <v>197</v>
      </c>
      <c r="C34" s="31" t="s">
        <v>415</v>
      </c>
      <c r="D34" s="31" t="s">
        <v>49</v>
      </c>
      <c r="E34" s="31" t="s">
        <v>243</v>
      </c>
      <c r="F34" s="47">
        <v>0</v>
      </c>
      <c r="G34" s="47">
        <v>38</v>
      </c>
      <c r="H34" s="47">
        <v>233232</v>
      </c>
      <c r="I34" s="47">
        <v>233253</v>
      </c>
      <c r="J34" s="31" t="s">
        <v>244</v>
      </c>
      <c r="K34" s="47">
        <v>233491</v>
      </c>
      <c r="L34" s="157" t="s">
        <v>50</v>
      </c>
      <c r="M34" s="158">
        <f t="shared" si="0"/>
        <v>125.664</v>
      </c>
      <c r="N34" s="159" t="str">
        <f>VLOOKUP(C34,'Trips&amp;Operators'!$C$1:$E$99999,3,FALSE)</f>
        <v>BADERTSCHER</v>
      </c>
      <c r="O34" s="184" t="s">
        <v>237</v>
      </c>
      <c r="P34" s="160"/>
      <c r="Q34" s="31"/>
      <c r="R34" s="100" t="str">
        <f>VLOOKUP(C34,'Train Runs'!$A$13:$AE$10018,31,0)</f>
        <v>aws s3 cp s3://rtdc.mdm.uploadarchive.raw/RTDC4007/ "%USERPROFILE%\AppData\Local\Temp\OnboardLogs"\RTDC4007\2016-10-25 --exclude "*" --recursive --include "*20161025*" &amp; "%USERPROFILE%\Documents\GitHub\mrs-test-scripts\Headless Mode &amp; Sideloading\WalkAndUnGZ.bat" "%USERPROFILE%\AppData\Local\Temp\OnboardLogs"\RTDC4007\2016-10-25 &amp; 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</v>
      </c>
      <c r="S34" s="103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04:31:56-0600',mode:absolute,to:'2016-10-25 07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4" s="105" t="str">
        <f t="shared" si="1"/>
        <v>"C:\Program Files (x86)\AstroGrep\AstroGrep.exe" /spath="%USERPROFILE%\AppData\Local\Temp\OnboardLogs" /stypes="*4007*201610251*" /stext=" 12:.+((SYSTEM_STATE.+slice.+state.+changed )|(ment ac)|(system.+state.+changed )|(\[timeout)|(PRM\|1\|D)|(kpr)|(kdp)|(\|lc)|(penalty))" /e /r /s</v>
      </c>
      <c r="U34" s="9" t="str">
        <f t="shared" si="2"/>
        <v>4007</v>
      </c>
      <c r="V34" s="36">
        <f t="shared" si="3"/>
        <v>42668.516261574077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{"issue":{"subject":"","project_id":79,"tracker_id":40,"status_id":1,"priority_id":2,"assigned_to_id":23,"start_date":"2016-10-25","description":"","custom_fields":[{"id":1,"name":"Subdivision","value":"EC"},{"id":4,"name":"Milepost","value":"23.3491"},{"id":17,"name":"Train ID","value":"117-25"},{"id":16,"name":"Locomotive ID","value":"4007"},{"id":130,"name":"Impact","value":""},{"id":150,"name":"Time of Event (Mountain Time)","value":"06:23:25"},{"id":151,"name":"Denver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"%USERPROFILE%\AppData\Local\Temp\OnboardLogs"\RTDC4007\*4007*201610251* | grep -SE "((Enforcement Ac)|(PRM))" -</v>
      </c>
      <c r="AD34" s="1"/>
    </row>
    <row r="35" spans="1:30" x14ac:dyDescent="0.25">
      <c r="A35" s="36">
        <v>42668.281064814815</v>
      </c>
      <c r="B35" s="31" t="s">
        <v>249</v>
      </c>
      <c r="C35" s="31" t="s">
        <v>417</v>
      </c>
      <c r="D35" s="31" t="s">
        <v>49</v>
      </c>
      <c r="E35" s="31" t="s">
        <v>243</v>
      </c>
      <c r="F35" s="47">
        <v>0</v>
      </c>
      <c r="G35" s="47">
        <v>56</v>
      </c>
      <c r="H35" s="47">
        <v>233191</v>
      </c>
      <c r="I35" s="47">
        <v>233278</v>
      </c>
      <c r="J35" s="31" t="s">
        <v>244</v>
      </c>
      <c r="K35" s="47">
        <v>233491</v>
      </c>
      <c r="L35" s="157" t="s">
        <v>50</v>
      </c>
      <c r="M35" s="158">
        <f t="shared" si="0"/>
        <v>112.464</v>
      </c>
      <c r="N35" s="159" t="str">
        <f>VLOOKUP(C35,'Trips&amp;Operators'!$C$1:$E$99999,3,FALSE)</f>
        <v>NELSON</v>
      </c>
      <c r="O35" s="184" t="s">
        <v>237</v>
      </c>
      <c r="P35" s="160"/>
      <c r="Q35" s="31"/>
      <c r="R35" s="100" t="str">
        <f>VLOOKUP(C35,'Train Runs'!$A$13:$AE$10018,31,0)</f>
        <v>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 &amp; aws s3 cp s3://rtdc.mdm.uploadarchive.raw/RTDC4042/ "%USERPROFILE%\AppData\Local\Temp\OnboardLogs"\RTDC4042\2016-10-26 --exclude "*" --recursive --include "*20161026*" &amp; "%USERPROFILE%\Documents\GitHub\mrs-test-scripts\Headless Mode &amp; Sideloading\WalkAndUnGZ.bat" "%USERPROFILE%\AppData\Local\Temp\OnboardLogs"\RTDC4042\2016-10-26</v>
      </c>
      <c r="S35" s="103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04:59:45-0600',mode:absolute,to:'2016-10-25 07:44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 t="shared" si="1"/>
        <v>"C:\Program Files (x86)\AstroGrep\AstroGrep.exe" /spath="%USERPROFILE%\AppData\Local\Temp\OnboardLogs" /stypes="*4042*201610251*" /stext=" 12:.+((SYSTEM_STATE.+slice.+state.+changed )|(ment ac)|(system.+state.+changed )|(\[timeout)|(PRM\|1\|D)|(kpr)|(kdp)|(\|lc)|(penalty))" /e /r /s</v>
      </c>
      <c r="U35" s="9" t="str">
        <f t="shared" si="2"/>
        <v>4042</v>
      </c>
      <c r="V35" s="36">
        <f t="shared" si="3"/>
        <v>42668.531064814815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{"issue":{"subject":"","project_id":79,"tracker_id":40,"status_id":1,"priority_id":2,"assigned_to_id":23,"start_date":"2016-10-25","description":"","custom_fields":[{"id":1,"name":"Subdivision","value":"EC"},{"id":4,"name":"Milepost","value":"23.3491"},{"id":17,"name":"Train ID","value":"119-25"},{"id":16,"name":"Locomotive ID","value":"4042"},{"id":130,"name":"Impact","value":""},{"id":150,"name":"Time of Event (Mountain Time)","value":"06:44:44"},{"id":151,"name":"Denver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"%USERPROFILE%\AppData\Local\Temp\OnboardLogs"\RTDC4042\*4042*201610251* | grep -SE "((Enforcement Ac)|(PRM))" -</v>
      </c>
      <c r="AD35" s="1"/>
    </row>
    <row r="36" spans="1:30" x14ac:dyDescent="0.25">
      <c r="A36" s="36">
        <v>42668.334976851853</v>
      </c>
      <c r="B36" s="31" t="s">
        <v>258</v>
      </c>
      <c r="C36" s="31" t="s">
        <v>422</v>
      </c>
      <c r="D36" s="31" t="s">
        <v>49</v>
      </c>
      <c r="E36" s="31" t="s">
        <v>238</v>
      </c>
      <c r="F36" s="47">
        <v>150</v>
      </c>
      <c r="G36" s="47">
        <v>277</v>
      </c>
      <c r="H36" s="47">
        <v>56084</v>
      </c>
      <c r="I36" s="47">
        <v>56585</v>
      </c>
      <c r="J36" s="31" t="s">
        <v>239</v>
      </c>
      <c r="K36" s="47">
        <v>57008</v>
      </c>
      <c r="L36" s="157" t="s">
        <v>50</v>
      </c>
      <c r="M36" s="158">
        <f t="shared" si="0"/>
        <v>223.34399999999999</v>
      </c>
      <c r="N36" s="159" t="str">
        <f>VLOOKUP(C36,'Trips&amp;Operators'!$C$1:$E$99999,3,FALSE)</f>
        <v>STARKS</v>
      </c>
      <c r="O36" s="184" t="s">
        <v>237</v>
      </c>
      <c r="P36" s="160"/>
      <c r="Q36" s="31"/>
      <c r="R36" s="100" t="str">
        <f>VLOOKUP(C36,'Train Runs'!$A$13:$AE$10018,31,0)</f>
        <v>aws s3 cp s3://rtdc.mdm.uploadarchive.raw/RTDC4029/ "%USERPROFILE%\AppData\Local\Temp\OnboardLogs"\RTDC4029\2016-10-25 --exclude "*" --recursive --include "*20161025*" &amp; "%USERPROFILE%\Documents\GitHub\mrs-test-scripts\Headless Mode &amp; Sideloading\WalkAndUnGZ.bat" "%USERPROFILE%\AppData\Local\Temp\OnboardLogs"\RTDC4029\2016-10-25 &amp; 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</v>
      </c>
      <c r="S36" s="103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https://search-rtdc-monitor-bjffxe2xuh6vdkpspy63sjmuny.us-east-1.es.amazonaws.com/_plugin/kibana/#/discover/Steve-Slow-Train-Analysis-(2080s-and-2083s)?_g=(refreshInterval:(display:Off,section:0,value:0),time:(from:'2016-10-25 06:44:14-0600',mode:absolute,to:'2016-10-25 09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5" t="str">
        <f t="shared" si="1"/>
        <v>"C:\Program Files (x86)\AstroGrep\AstroGrep.exe" /spath="%USERPROFILE%\AppData\Local\Temp\OnboardLogs" /stypes="*4029*201610251*" /stext=" 14:.+((SYSTEM_STATE.+slice.+state.+changed )|(ment ac)|(system.+state.+changed )|(\[timeout)|(PRM\|1\|D)|(kpr)|(kdp)|(\|lc)|(penalty))" /e /r /s</v>
      </c>
      <c r="U36" s="9" t="str">
        <f t="shared" si="2"/>
        <v>4029</v>
      </c>
      <c r="V36" s="36">
        <f t="shared" si="3"/>
        <v>42668.584976851853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{"issue":{"subject":"","project_id":79,"tracker_id":40,"status_id":1,"priority_id":2,"assigned_to_id":23,"start_date":"2016-10-25","description":"","custom_fields":[{"id":1,"name":"Subdivision","value":"NW"},{"id":4,"name":"Milepost","value":"5.7008"},{"id":17,"name":"Train ID","value":"809-25"},{"id":16,"name":"Locomotive ID","value":"4029"},{"id":130,"name":"Impact","value":""},{"id":150,"name":"Time of Event (Mountain Time)","value":"08:02:22"},{"id":151,"name":"Denver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"%USERPROFILE%\AppData\Local\Temp\OnboardLogs"\RTDC4029\*4029*201610251* | grep -SE "((Enforcement Ac)|(PRM))" -</v>
      </c>
      <c r="AD36" s="1"/>
    </row>
    <row r="37" spans="1:30" x14ac:dyDescent="0.25">
      <c r="A37" s="36">
        <v>42668.438796296294</v>
      </c>
      <c r="B37" s="31" t="s">
        <v>263</v>
      </c>
      <c r="C37" s="31" t="s">
        <v>426</v>
      </c>
      <c r="D37" s="31" t="s">
        <v>49</v>
      </c>
      <c r="E37" s="31" t="s">
        <v>238</v>
      </c>
      <c r="F37" s="47">
        <v>150</v>
      </c>
      <c r="G37" s="47">
        <v>255</v>
      </c>
      <c r="H37" s="47">
        <v>56530</v>
      </c>
      <c r="I37" s="47">
        <v>56902</v>
      </c>
      <c r="J37" s="31" t="s">
        <v>239</v>
      </c>
      <c r="K37" s="47">
        <v>57008</v>
      </c>
      <c r="L37" s="157" t="s">
        <v>50</v>
      </c>
      <c r="M37" s="158">
        <f t="shared" si="0"/>
        <v>55.968000000000004</v>
      </c>
      <c r="N37" s="159" t="str">
        <f>VLOOKUP(C37,'Trips&amp;Operators'!$C$1:$E$99999,3,FALSE)</f>
        <v>LEVIN</v>
      </c>
      <c r="O37" s="184" t="s">
        <v>237</v>
      </c>
      <c r="P37" s="160"/>
      <c r="Q37" s="31"/>
      <c r="R37" s="100" t="str">
        <f>VLOOKUP(C37,'Train Runs'!$A$13:$AE$10018,31,0)</f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S37" s="103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https://search-rtdc-monitor-bjffxe2xuh6vdkpspy63sjmuny.us-east-1.es.amazonaws.com/_plugin/kibana/#/discover/Steve-Slow-Train-Analysis-(2080s-and-2083s)?_g=(refreshInterval:(display:Off,section:0,value:0),time:(from:'2016-10-25 09:18:27-0600',mode:absolute,to:'2016-10-25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7" s="105" t="str">
        <f t="shared" si="1"/>
        <v>"C:\Program Files (x86)\AstroGrep\AstroGrep.exe" /spath="%USERPROFILE%\AppData\Local\Temp\OnboardLogs" /stypes="*4053*201610251*" /stext=" 16:.+((SYSTEM_STATE.+slice.+state.+changed )|(ment ac)|(system.+state.+changed )|(\[timeout)|(PRM\|1\|D)|(kpr)|(kdp)|(\|lc)|(penalty))" /e /r /s</v>
      </c>
      <c r="U37" s="9" t="str">
        <f t="shared" si="2"/>
        <v>4053</v>
      </c>
      <c r="V37" s="36">
        <f t="shared" si="3"/>
        <v>42668.688796296294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{"issue":{"subject":"","project_id":79,"tracker_id":40,"status_id":1,"priority_id":2,"assigned_to_id":23,"start_date":"2016-10-25","description":"","custom_fields":[{"id":1,"name":"Subdivision","value":"NW"},{"id":4,"name":"Milepost","value":"5.7008"},{"id":17,"name":"Train ID","value":"815-25"},{"id":16,"name":"Locomotive ID","value":"4053"},{"id":130,"name":"Impact","value":""},{"id":150,"name":"Time of Event (Mountain Time)","value":"10:31:52"},{"id":151,"name":"Denver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"%USERPROFILE%\AppData\Local\Temp\OnboardLogs"\RTDC4053\*4053*201610251* | grep -SE "((Enforcement Ac)|(PRM))" -</v>
      </c>
      <c r="AD37" s="1"/>
    </row>
    <row r="38" spans="1:30" x14ac:dyDescent="0.25">
      <c r="A38" s="36">
        <v>42668.4846875</v>
      </c>
      <c r="B38" s="31" t="s">
        <v>262</v>
      </c>
      <c r="C38" s="31" t="s">
        <v>432</v>
      </c>
      <c r="D38" s="31" t="s">
        <v>98</v>
      </c>
      <c r="E38" s="31" t="s">
        <v>241</v>
      </c>
      <c r="F38" s="47">
        <v>0</v>
      </c>
      <c r="G38" s="47">
        <v>143</v>
      </c>
      <c r="H38" s="47">
        <v>58150</v>
      </c>
      <c r="I38" s="47">
        <v>57870</v>
      </c>
      <c r="J38" s="31" t="s">
        <v>242</v>
      </c>
      <c r="K38" s="47">
        <v>58472</v>
      </c>
      <c r="L38" s="157" t="s">
        <v>51</v>
      </c>
      <c r="M38" s="158">
        <f t="shared" si="0"/>
        <v>-317.85599999999999</v>
      </c>
      <c r="N38" s="159" t="str">
        <f>VLOOKUP(C38,'Trips&amp;Operators'!$C$1:$E$99999,3,FALSE)</f>
        <v>LEVIN</v>
      </c>
      <c r="O38" s="184" t="s">
        <v>237</v>
      </c>
      <c r="P38" s="160" t="s">
        <v>820</v>
      </c>
      <c r="Q38" s="31"/>
      <c r="R38" s="100" t="str">
        <f>VLOOKUP(C38,'Train Runs'!$A$13:$AE$10018,31,0)</f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S38" s="103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https://search-rtdc-monitor-bjffxe2xuh6vdkpspy63sjmuny.us-east-1.es.amazonaws.com/_plugin/kibana/#/discover/Steve-Slow-Train-Analysis-(2080s-and-2083s)?_g=(refreshInterval:(display:Off,section:0,value:0),time:(from:'2016-10-25 10:39:00-0600',mode:absolute,to:'2016-10-25 12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8" s="105" t="str">
        <f t="shared" si="1"/>
        <v>"C:\Program Files (x86)\AstroGrep\AstroGrep.exe" /spath="%USERPROFILE%\AppData\Local\Temp\OnboardLogs" /stypes="*4054*201610251*" /stext=" 17:.+((SYSTEM_STATE.+slice.+state.+changed )|(ment ac)|(system.+state.+changed )|(\[timeout)|(PRM\|1\|D)|(kpr)|(kdp)|(\|lc)|(penalty))" /e /r /s</v>
      </c>
      <c r="U38" s="9" t="str">
        <f t="shared" si="2"/>
        <v>4054</v>
      </c>
      <c r="V38" s="36">
        <f t="shared" si="3"/>
        <v>42668.7346875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{"issue":{"subject":"Went active too close to signal","project_id":79,"tracker_id":40,"status_id":1,"priority_id":2,"assigned_to_id":23,"start_date":"2016-10-25","description":"","custom_fields":[{"id":1,"name":"Subdivision","value":"NW"},{"id":4,"name":"Milepost","value":"5.8472"},{"id":17,"name":"Train ID","value":"818-25"},{"id":16,"name":"Locomotive ID","value":"4054"},{"id":130,"name":"Impact","value":""},{"id":150,"name":"Time of Event (Mountain Time)","value":"11:37:57"},{"id":151,"name":"Denver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"%USERPROFILE%\AppData\Local\Temp\OnboardLogs"\RTDC4054\*4054*201610251* | grep -SE "((Enforcement Ac)|(PRM))" -</v>
      </c>
      <c r="AD38" s="1"/>
    </row>
    <row r="39" spans="1:30" x14ac:dyDescent="0.25">
      <c r="A39" s="36">
        <v>42668.351759259262</v>
      </c>
      <c r="B39" s="31" t="s">
        <v>259</v>
      </c>
      <c r="C39" s="31" t="s">
        <v>424</v>
      </c>
      <c r="D39" s="31" t="s">
        <v>98</v>
      </c>
      <c r="E39" s="31" t="s">
        <v>243</v>
      </c>
      <c r="F39" s="47">
        <v>0</v>
      </c>
      <c r="G39" s="47">
        <v>11</v>
      </c>
      <c r="H39" s="47">
        <v>1</v>
      </c>
      <c r="I39" s="47">
        <v>0</v>
      </c>
      <c r="J39" s="31" t="s">
        <v>244</v>
      </c>
      <c r="K39" s="47">
        <v>1</v>
      </c>
      <c r="L39" s="157" t="s">
        <v>51</v>
      </c>
      <c r="M39" s="158">
        <f t="shared" si="0"/>
        <v>-0.52800000000000002</v>
      </c>
      <c r="N39" s="159" t="str">
        <f>VLOOKUP(C39,'Trips&amp;Operators'!$C$1:$E$99999,3,FALSE)</f>
        <v>STARKS</v>
      </c>
      <c r="O39" s="184" t="s">
        <v>237</v>
      </c>
      <c r="P39" s="160"/>
      <c r="Q39" s="31"/>
      <c r="R39" s="100" t="str">
        <f>VLOOKUP(C39,'Train Runs'!$A$13:$AE$10018,31,0)</f>
        <v>aws s3 cp s3://rtdc.mdm.uploadarchive.raw/RTDC4030/ "%USERPROFILE%\AppData\Local\Temp\OnboardLogs"\RTDC4030\2016-10-25 --exclude "*" --recursive --include "*20161025*" &amp; "%USERPROFILE%\Documents\GitHub\mrs-test-scripts\Headless Mode &amp; Sideloading\WalkAndUnGZ.bat" "%USERPROFILE%\AppData\Local\Temp\OnboardLogs"\RTDC4030\2016-10-25 &amp; 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</v>
      </c>
      <c r="S39" s="103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https://search-rtdc-monitor-bjffxe2xuh6vdkpspy63sjmuny.us-east-1.es.amazonaws.com/_plugin/kibana/#/discover/Steve-Slow-Train-Analysis-(2080s-and-2083s)?_g=(refreshInterval:(display:Off,section:0,value:0),time:(from:'2016-10-25 07:06:53-0600',mode:absolute,to:'2016-10-25 09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9" s="105" t="str">
        <f t="shared" si="1"/>
        <v>"C:\Program Files (x86)\AstroGrep\AstroGrep.exe" /spath="%USERPROFILE%\AppData\Local\Temp\OnboardLogs" /stypes="*4030*201610251*" /stext=" 14:.+((SYSTEM_STATE.+slice.+state.+changed )|(ment ac)|(system.+state.+changed )|(\[timeout)|(PRM\|1\|D)|(kpr)|(kdp)|(\|lc)|(penalty))" /e /r /s</v>
      </c>
      <c r="U39" s="9" t="str">
        <f t="shared" si="2"/>
        <v>4030</v>
      </c>
      <c r="V39" s="36">
        <f t="shared" si="3"/>
        <v>42668.601759259262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{"issue":{"subject":"","project_id":79,"tracker_id":40,"status_id":1,"priority_id":2,"assigned_to_id":23,"start_date":"2016-10-25","description":"","custom_fields":[{"id":1,"name":"Subdivision","value":"NW"},{"id":4,"name":"Milepost","value":"0.0001"},{"id":17,"name":"Train ID","value":"810-25"},{"id":16,"name":"Locomotive ID","value":"4030"},{"id":130,"name":"Impact","value":""},{"id":150,"name":"Time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"%USERPROFILE%\AppData\Local\Temp\OnboardLogs"\RTDC4030\*4030*201610251* | grep -SE "((Enforcement Ac)|(PRM))" -</v>
      </c>
      <c r="AD39" s="1"/>
    </row>
    <row r="40" spans="1:30" x14ac:dyDescent="0.25">
      <c r="A40" s="36">
        <v>42668.60796296296</v>
      </c>
      <c r="B40" s="31" t="s">
        <v>263</v>
      </c>
      <c r="C40" s="31" t="s">
        <v>440</v>
      </c>
      <c r="D40" s="31" t="s">
        <v>49</v>
      </c>
      <c r="E40" s="31" t="s">
        <v>243</v>
      </c>
      <c r="F40" s="47">
        <v>0</v>
      </c>
      <c r="G40" s="47">
        <v>42</v>
      </c>
      <c r="H40" s="47">
        <v>58961</v>
      </c>
      <c r="I40" s="47">
        <v>58984</v>
      </c>
      <c r="J40" s="31" t="s">
        <v>244</v>
      </c>
      <c r="K40" s="47">
        <v>59048</v>
      </c>
      <c r="L40" s="157" t="s">
        <v>50</v>
      </c>
      <c r="M40" s="158">
        <f t="shared" si="0"/>
        <v>33.792000000000002</v>
      </c>
      <c r="N40" s="159" t="str">
        <f>VLOOKUP(C40,'Trips&amp;Operators'!$C$1:$E$99999,3,FALSE)</f>
        <v>NICHOLSON</v>
      </c>
      <c r="O40" s="184" t="s">
        <v>237</v>
      </c>
      <c r="P40" s="160"/>
      <c r="Q40" s="31"/>
      <c r="R40" s="100" t="str">
        <f>VLOOKUP(C40,'Train Runs'!$A$13:$AE$10018,31,0)</f>
        <v>aws s3 cp s3://rtdc.mdm.uploadarchive.raw/RTDC4053/ "%USERPROFILE%\AppData\Local\Temp\OnboardLogs"\RTDC4053\2016-10-25 --exclude "*" --recursive --include "*20161025*" &amp; "%USERPROFILE%\Documents\GitHub\mrs-test-scripts\Headless Mode &amp; Sideloading\WalkAndUnGZ.bat" "%USERPROFILE%\AppData\Local\Temp\OnboardLogs"\RTDC4053\2016-10-25 &amp; 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</v>
      </c>
      <c r="S40" s="103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https://search-rtdc-monitor-bjffxe2xuh6vdkpspy63sjmuny.us-east-1.es.amazonaws.com/_plugin/kibana/#/discover/Steve-Slow-Train-Analysis-(2080s-and-2083s)?_g=(refreshInterval:(display:Off,section:0,value:0),time:(from:'2016-10-25 13:00:39-0600',mode:absolute,to:'2016-10-25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0" s="105" t="str">
        <f t="shared" si="1"/>
        <v>"C:\Program Files (x86)\AstroGrep\AstroGrep.exe" /spath="%USERPROFILE%\AppData\Local\Temp\OnboardLogs" /stypes="*4053*201610252*" /stext=" 20:.+((SYSTEM_STATE.+slice.+state.+changed )|(ment ac)|(system.+state.+changed )|(\[timeout)|(PRM\|1\|D)|(kpr)|(kdp)|(\|lc)|(penalty))" /e /r /s</v>
      </c>
      <c r="U40" s="9" t="str">
        <f t="shared" si="2"/>
        <v>4053</v>
      </c>
      <c r="V40" s="36">
        <f t="shared" si="3"/>
        <v>42668.85796296296</v>
      </c>
      <c r="W40" s="50" t="str">
        <f t="shared" si="4"/>
        <v>NW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{"issue":{"subject":"","project_id":79,"tracker_id":40,"status_id":1,"priority_id":2,"assigned_to_id":23,"start_date":"2016-10-25","description":"","custom_fields":[{"id":1,"name":"Subdivision","value":"NW"},{"id":4,"name":"Milepost","value":"5.9048"},{"id":17,"name":"Train ID","value":"823-25"},{"id":16,"name":"Locomotive ID","value":"4053"},{"id":130,"name":"Impact","value":""},{"id":150,"name":"Time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"%USERPROFILE%\AppData\Local\Temp\OnboardLogs"\RTDC4053\*4053*201610252* | grep -SE "((Enforcement Ac)|(PRM))" -</v>
      </c>
      <c r="AD40" s="1"/>
    </row>
    <row r="41" spans="1:30" x14ac:dyDescent="0.25">
      <c r="A41" s="36">
        <v>42668.243773148148</v>
      </c>
      <c r="B41" s="31" t="s">
        <v>262</v>
      </c>
      <c r="C41" s="31" t="s">
        <v>412</v>
      </c>
      <c r="D41" s="31" t="s">
        <v>49</v>
      </c>
      <c r="E41" s="31" t="s">
        <v>413</v>
      </c>
      <c r="F41" s="47">
        <v>0</v>
      </c>
      <c r="G41" s="47">
        <v>312</v>
      </c>
      <c r="H41" s="47">
        <v>15474</v>
      </c>
      <c r="I41" s="47">
        <v>14802</v>
      </c>
      <c r="J41" s="31" t="s">
        <v>414</v>
      </c>
      <c r="K41" s="47">
        <v>14177</v>
      </c>
      <c r="L41" s="157" t="s">
        <v>51</v>
      </c>
      <c r="M41" s="158">
        <f t="shared" si="0"/>
        <v>330</v>
      </c>
      <c r="N41" s="159" t="str">
        <f>VLOOKUP(C41,'Trips&amp;Operators'!$C$1:$E$99999,3,FALSE)</f>
        <v>LEVIN</v>
      </c>
      <c r="O41" s="184" t="s">
        <v>237</v>
      </c>
      <c r="P41" s="160"/>
      <c r="Q41" s="31"/>
      <c r="R41" s="100" t="str">
        <f>VLOOKUP(C41,'Train Runs'!$A$13:$AE$10018,31,0)</f>
        <v>aws s3 cp s3://rtdc.mdm.uploadarchive.raw/RTDC4054/ "%USERPROFILE%\AppData\Local\Temp\OnboardLogs"\RTDC4054\2016-10-25 --exclude "*" --recursive --include "*20161025*" &amp; "%USERPROFILE%\Documents\GitHub\mrs-test-scripts\Headless Mode &amp; Sideloading\WalkAndUnGZ.bat" "%USERPROFILE%\AppData\Local\Temp\OnboardLogs"\RTDC4054\2016-10-25 &amp; 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</v>
      </c>
      <c r="S41" s="103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https://search-rtdc-monitor-bjffxe2xuh6vdkpspy63sjmuny.us-east-1.es.amazonaws.com/_plugin/kibana/#/discover/Steve-Slow-Train-Analysis-(2080s-and-2083s)?_g=(refreshInterval:(display:Off,section:0,value:0),time:(from:'2016-10-25 04:45:24-0600',mode:absolute,to:'2016-10-25 06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1" s="105" t="str">
        <f t="shared" si="1"/>
        <v>"C:\Program Files (x86)\AstroGrep\AstroGrep.exe" /spath="%USERPROFILE%\AppData\Local\Temp\OnboardLogs" /stypes="*4054*201610251*" /stext=" 11:.+((SYSTEM_STATE.+slice.+state.+changed )|(ment ac)|(system.+state.+changed )|(\[timeout)|(PRM\|1\|D)|(kpr)|(kdp)|(\|lc)|(penalty))" /e /r /s</v>
      </c>
      <c r="U41" s="9" t="str">
        <f t="shared" si="2"/>
        <v>4054</v>
      </c>
      <c r="V41" s="36">
        <f t="shared" si="3"/>
        <v>42668.493773148148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{"issue":{"subject":"","project_id":79,"tracker_id":40,"status_id":1,"priority_id":2,"assigned_to_id":23,"start_date":"2016-10-25","description":"","custom_fields":[{"id":1,"name":"Subdivision","value":"Other"},{"id":4,"name":"Milepost","value":"1.4177"},{"id":17,"name":"Train ID","value":"902-25"},{"id":16,"name":"Locomotive ID","value":"4054"},{"id":130,"name":"Impact","value":""},{"id":150,"name":"Time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"%USERPROFILE%\AppData\Local\Temp\OnboardLogs"\RTDC4054\*4054*201610251* | grep -SE "((Enforcement Ac)|(PRM))" -</v>
      </c>
      <c r="AD41" s="1"/>
    </row>
    <row r="42" spans="1:30" x14ac:dyDescent="0.25">
      <c r="A42" s="36">
        <v>42668.133090277777</v>
      </c>
      <c r="B42" s="31" t="s">
        <v>406</v>
      </c>
      <c r="C42" s="31" t="s">
        <v>407</v>
      </c>
      <c r="D42" s="31" t="s">
        <v>49</v>
      </c>
      <c r="E42" s="31" t="s">
        <v>243</v>
      </c>
      <c r="F42" s="47">
        <v>0</v>
      </c>
      <c r="G42" s="47">
        <v>41</v>
      </c>
      <c r="H42" s="47">
        <v>161</v>
      </c>
      <c r="I42" s="47">
        <v>127</v>
      </c>
      <c r="J42" s="31" t="s">
        <v>244</v>
      </c>
      <c r="K42" s="47">
        <v>1</v>
      </c>
      <c r="L42" s="157" t="s">
        <v>51</v>
      </c>
      <c r="M42" s="158">
        <f t="shared" si="0"/>
        <v>66.528000000000006</v>
      </c>
      <c r="N42" s="159" t="str">
        <f>VLOOKUP(C42,'Trips&amp;Operators'!$C$1:$E$99999,3,FALSE)</f>
        <v>KILLION</v>
      </c>
      <c r="O42" s="184" t="s">
        <v>237</v>
      </c>
      <c r="P42" s="160"/>
      <c r="Q42" s="31"/>
      <c r="R42" s="100" t="str">
        <f>VLOOKUP(C42,'Train Runs'!$A$13:$AE$10018,31,0)</f>
        <v>aws s3 cp s3://rtdc.mdm.uploadarchive.raw/RTDC4045/ "%USERPROFILE%\AppData\Local\Temp\OnboardLogs"\RTDC4045\2016-10-25 --exclude "*" --recursive --include "*20161025*" &amp; "%USERPROFILE%\Documents\GitHub\mrs-test-scripts\Headless Mode &amp; Sideloading\WalkAndUnGZ.bat" "%USERPROFILE%\AppData\Local\Temp\OnboardLogs"\RTDC4045\2016-10-25 &amp; 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</v>
      </c>
      <c r="S42" s="103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https://search-rtdc-monitor-bjffxe2xuh6vdkpspy63sjmuny.us-east-1.es.amazonaws.com/_plugin/kibana/#/discover/Steve-Slow-Train-Analysis-(2080s-and-2083s)?_g=(refreshInterval:(display:Off,section:0,value:0),time:(from:'2016-10-25 02:00:54-0600',mode:absolute,to:'2016-10-25 04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1"/>
        <v>"C:\Program Files (x86)\AstroGrep\AstroGrep.exe" /spath="%USERPROFILE%\AppData\Local\Temp\OnboardLogs" /stypes="*4045*201610250*" /stext=" 09:.+((SYSTEM_STATE.+slice.+state.+changed )|(ment ac)|(system.+state.+changed )|(\[timeout)|(PRM\|1\|D)|(kpr)|(kdp)|(\|lc)|(penalty))" /e /r /s</v>
      </c>
      <c r="U42" s="9" t="str">
        <f t="shared" si="2"/>
        <v>4045</v>
      </c>
      <c r="V42" s="36">
        <f t="shared" si="3"/>
        <v>42668.383090277777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{"issue":{"subject":"","project_id":79,"tracker_id":40,"status_id":1,"priority_id":2,"assigned_to_id":23,"start_date":"2016-10-25","description":"","custom_fields":[{"id":1,"name":"Subdivision","value":"Other"},{"id":4,"name":"Milepost","value":"0.0001"},{"id":17,"name":"Train ID","value":"302-25"},{"id":16,"name":"Locomotive ID","value":"4045"},{"id":130,"name":"Impact","value":""},{"id":150,"name":"Time of Event (Mountain Time)","value":"03:11:39"},{"id":151,"name":"Denver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"%USERPROFILE%\AppData\Local\Temp\OnboardLogs"\RTDC4045\*4045*201610250* | grep -SE "((Enforcement Ac)|(PRM))" -</v>
      </c>
      <c r="AD42" s="1"/>
    </row>
    <row r="43" spans="1:30" x14ac:dyDescent="0.25">
      <c r="A43" s="36">
        <v>42668.743842592594</v>
      </c>
      <c r="B43" s="31" t="s">
        <v>304</v>
      </c>
      <c r="C43" s="31" t="s">
        <v>445</v>
      </c>
      <c r="D43" s="31" t="s">
        <v>49</v>
      </c>
      <c r="E43" s="31" t="s">
        <v>243</v>
      </c>
      <c r="F43" s="47">
        <v>0</v>
      </c>
      <c r="G43" s="47">
        <v>17</v>
      </c>
      <c r="H43" s="47">
        <v>867</v>
      </c>
      <c r="I43" s="47">
        <v>856</v>
      </c>
      <c r="J43" s="31" t="s">
        <v>244</v>
      </c>
      <c r="K43" s="47">
        <v>839</v>
      </c>
      <c r="L43" s="157" t="s">
        <v>51</v>
      </c>
      <c r="M43" s="158">
        <f t="shared" si="0"/>
        <v>8.9760000000000009</v>
      </c>
      <c r="N43" s="159" t="str">
        <f>VLOOKUP(C43,'Trips&amp;Operators'!$C$1:$E$99999,3,FALSE)</f>
        <v>MATTHEWS</v>
      </c>
      <c r="O43" s="184" t="s">
        <v>237</v>
      </c>
      <c r="P43" s="160"/>
      <c r="Q43" s="31"/>
      <c r="R43" s="100" t="str">
        <f>VLOOKUP(C43,'Train Runs'!$A$13:$AE$10018,31,0)</f>
        <v>aws s3 cp s3://rtdc.mdm.uploadarchive.raw/RTDC4013/ "%USERPROFILE%\AppData\Local\Temp\OnboardLogs"\RTDC4013\2016-10-25 --exclude "*" --recursive --include "*20161025*" &amp; "%USERPROFILE%\Documents\GitHub\mrs-test-scripts\Headless Mode &amp; Sideloading\WalkAndUnGZ.bat" "%USERPROFILE%\AppData\Local\Temp\OnboardLogs"\RTDC4013\2016-10-25 &amp; aws s3 cp s3://rtdc.mdm.uploadarchive.raw/RTDC4013/ "%USERPROFILE%\AppData\Local\Temp\OnboardLogs"\RTDC4013\2016-10-26 --exclude "*" --recursive --include "*20161026*" &amp; "%USERPROFILE%\Documents\GitHub\mrs-test-scripts\Headless Mode &amp; Sideloading\WalkAndUnGZ.bat" "%USERPROFILE%\AppData\Local\Temp\OnboardLogs"\RTDC4013\2016-10-26</v>
      </c>
      <c r="S43" s="103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https://search-rtdc-monitor-bjffxe2xuh6vdkpspy63sjmuny.us-east-1.es.amazonaws.com/_plugin/kibana/#/discover/Steve-Slow-Train-Analysis-(2080s-and-2083s)?_g=(refreshInterval:(display:Off,section:0,value:0),time:(from:'2016-10-25 16:26:41-0600',mode:absolute,to:'2016-10-25 18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3" s="105" t="str">
        <f t="shared" si="1"/>
        <v>"C:\Program Files (x86)\AstroGrep\AstroGrep.exe" /spath="%USERPROFILE%\AppData\Local\Temp\OnboardLogs" /stypes="*4013*201610252*" /stext=" 23:.+((SYSTEM_STATE.+slice.+state.+changed )|(ment ac)|(system.+state.+changed )|(\[timeout)|(PRM\|1\|D)|(kpr)|(kdp)|(\|lc)|(penalty))" /e /r /s</v>
      </c>
      <c r="U43" s="9" t="str">
        <f t="shared" si="2"/>
        <v>4013</v>
      </c>
      <c r="V43" s="36">
        <f t="shared" si="3"/>
        <v>42668.993842592594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{"issue":{"subject":"","project_id":79,"tracker_id":40,"status_id":1,"priority_id":2,"assigned_to_id":23,"start_date":"2016-10-25","description":"","custom_fields":[{"id":1,"name":"Subdivision","value":"Other"},{"id":4,"name":"Milepost","value":"0.0839"},{"id":17,"name":"Train ID","value":"56-25"},{"id":16,"name":"Locomotive ID","value":"4013"},{"id":130,"name":"Impact","value":""},{"id":150,"name":"Time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"%USERPROFILE%\AppData\Local\Temp\OnboardLogs"\RTDC4013\*4013*201610252* | grep -SE "((Enforcement Ac)|(PRM))" -</v>
      </c>
      <c r="AD43" s="1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</sheetData>
  <autoFilter ref="A6:AC36">
    <sortState ref="A7:AC43">
      <sortCondition ref="W7:W43"/>
      <sortCondition ref="E7:E43"/>
      <sortCondition ref="K7:K43"/>
      <sortCondition ref="F7:F4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3:O1048576">
    <cfRule type="cellIs" dxfId="11" priority="17" operator="equal">
      <formula>"Y"</formula>
    </cfRule>
  </conditionalFormatting>
  <conditionalFormatting sqref="O2:O3">
    <cfRule type="cellIs" dxfId="10" priority="8" operator="equal">
      <formula>"Y"</formula>
    </cfRule>
  </conditionalFormatting>
  <conditionalFormatting sqref="O7:O43">
    <cfRule type="cellIs" dxfId="9" priority="2" operator="equal">
      <formula>"Y"</formula>
    </cfRule>
  </conditionalFormatting>
  <conditionalFormatting sqref="A7:P43">
    <cfRule type="expression" dxfId="8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AB7:AB43</xm:sqref>
        </x14:dataValidation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2016-10-25</v>
      </c>
      <c r="C1" s="186"/>
      <c r="D1" s="186"/>
      <c r="E1" s="186"/>
      <c r="F1" s="186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-25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3" s="31" t="e">
        <f>VLOOKUP(B3,'Train Runs'!$A$13:$A$100015,1,FALSE)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-25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4" s="31" t="e">
        <f>VLOOKUP(B4,'Train Runs'!$A$13:$A$100015,1,FALSE)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-25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5" s="31" t="e">
        <f>VLOOKUP(B5,'Train Runs'!$A$13:$A$100015,1,FALSE)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-25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6" s="31" t="e">
        <f>VLOOKUP(B6,'Train Runs'!$A$13:$A$100015,1,FALSE)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-25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7" s="31" t="e">
        <f>VLOOKUP(B7,'Train Runs'!$A$13:$A$100015,1,FALSE)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-25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8" s="31" t="e">
        <f>VLOOKUP(B8,'Train Runs'!$A$13:$A$100015,1,FALSE)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-25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9" s="31" t="e">
        <f>VLOOKUP(B9,'Train Runs'!$A$13:$A$100015,1,FALSE)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-25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0" s="31" t="e">
        <f>VLOOKUP(B10,'Train Runs'!$A$13:$A$100015,1,FALSE)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-25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1" s="31" t="e">
        <f>VLOOKUP(B11,'Train Runs'!$A$13:$A$100015,1,FALSE)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-25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2" s="31" t="e">
        <f>VLOOKUP(B12,'Train Runs'!$A$13:$A$100015,1,FALSE)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-25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3" s="31" t="e">
        <f>VLOOKUP(B13,'Train Runs'!$A$13:$A$100015,1,FALSE)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-25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4" s="31" t="e">
        <f>VLOOKUP(B14,'Train Runs'!$A$13:$A$100015,1,FALSE)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-25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5" s="31" t="e">
        <f>VLOOKUP(B15,'Train Runs'!$A$13:$A$100015,1,FALSE)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-25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6" s="31" t="e">
        <f>VLOOKUP(B16,'Train Runs'!$A$13:$A$100015,1,FALSE)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42668.038576388892</v>
      </c>
      <c r="B2" s="21" t="s">
        <v>296</v>
      </c>
      <c r="C2" s="21" t="s">
        <v>357</v>
      </c>
      <c r="D2" s="21">
        <v>1800000</v>
      </c>
      <c r="E2" s="21" t="s">
        <v>208</v>
      </c>
      <c r="F2" s="21" t="str">
        <f t="shared" ref="F2:F65" si="0">B2</f>
        <v>rtdc.l.rtdc.4037:itc</v>
      </c>
      <c r="G2" s="8">
        <f t="shared" ref="G2:G65" si="1">A2</f>
        <v>42668.038576388892</v>
      </c>
    </row>
    <row r="3" spans="1:7" x14ac:dyDescent="0.25">
      <c r="A3" s="8">
        <v>42668.039560185185</v>
      </c>
      <c r="B3" s="21" t="s">
        <v>296</v>
      </c>
      <c r="C3" s="21" t="s">
        <v>357</v>
      </c>
      <c r="D3" s="21">
        <v>1800000</v>
      </c>
      <c r="E3" s="21" t="s">
        <v>208</v>
      </c>
      <c r="F3" s="21" t="str">
        <f t="shared" si="0"/>
        <v>rtdc.l.rtdc.4037:itc</v>
      </c>
      <c r="G3" s="8">
        <f t="shared" si="1"/>
        <v>42668.039560185185</v>
      </c>
    </row>
    <row r="4" spans="1:7" x14ac:dyDescent="0.25">
      <c r="A4" s="8">
        <v>42668.04855324074</v>
      </c>
      <c r="B4" s="21" t="s">
        <v>330</v>
      </c>
      <c r="C4" s="21" t="s">
        <v>358</v>
      </c>
      <c r="D4" s="21">
        <v>1810000</v>
      </c>
      <c r="E4" s="21" t="s">
        <v>298</v>
      </c>
      <c r="F4" s="21" t="str">
        <f t="shared" si="0"/>
        <v>rtdc.l.rtdc.4022:itc</v>
      </c>
      <c r="G4" s="8">
        <f t="shared" si="1"/>
        <v>42668.04855324074</v>
      </c>
    </row>
    <row r="5" spans="1:7" x14ac:dyDescent="0.25">
      <c r="A5" s="8">
        <v>42668.057812500003</v>
      </c>
      <c r="B5" s="21" t="s">
        <v>304</v>
      </c>
      <c r="C5" s="21" t="s">
        <v>359</v>
      </c>
      <c r="D5" s="21">
        <v>1230000</v>
      </c>
      <c r="E5" s="21" t="s">
        <v>213</v>
      </c>
      <c r="F5" s="21" t="str">
        <f t="shared" si="0"/>
        <v>rtdc.l.rtdc.4013:itc</v>
      </c>
      <c r="G5" s="8">
        <f t="shared" si="1"/>
        <v>42668.057812500003</v>
      </c>
    </row>
    <row r="6" spans="1:7" x14ac:dyDescent="0.25">
      <c r="A6" s="8">
        <v>42668.078263888892</v>
      </c>
      <c r="B6" s="21" t="s">
        <v>318</v>
      </c>
      <c r="C6" s="21" t="s">
        <v>360</v>
      </c>
      <c r="D6" s="21">
        <v>1800000</v>
      </c>
      <c r="E6" s="21" t="s">
        <v>208</v>
      </c>
      <c r="F6" s="21" t="str">
        <f t="shared" si="0"/>
        <v>rtdc.l.rtdc.4011:itc</v>
      </c>
      <c r="G6" s="8">
        <f t="shared" si="1"/>
        <v>42668.078263888892</v>
      </c>
    </row>
    <row r="7" spans="1:7" x14ac:dyDescent="0.25">
      <c r="A7" s="8">
        <v>42668.08902777778</v>
      </c>
      <c r="B7" s="21" t="s">
        <v>270</v>
      </c>
      <c r="C7" s="21" t="s">
        <v>361</v>
      </c>
      <c r="D7" s="21">
        <v>1230000</v>
      </c>
      <c r="E7" s="21" t="s">
        <v>213</v>
      </c>
      <c r="F7" s="21" t="str">
        <f t="shared" si="0"/>
        <v>rtdc.l.rtdc.4016:itc</v>
      </c>
      <c r="G7" s="8">
        <f t="shared" si="1"/>
        <v>42668.08902777778</v>
      </c>
    </row>
    <row r="8" spans="1:7" x14ac:dyDescent="0.25">
      <c r="A8" s="8">
        <v>42668.126203703701</v>
      </c>
      <c r="B8" s="21" t="s">
        <v>406</v>
      </c>
      <c r="C8" s="21" t="s">
        <v>407</v>
      </c>
      <c r="D8" s="21">
        <v>2030000</v>
      </c>
      <c r="E8" s="21" t="s">
        <v>349</v>
      </c>
      <c r="F8" s="21" t="str">
        <f t="shared" si="0"/>
        <v>rtdc.l.rtdc.4045:itc</v>
      </c>
      <c r="G8" s="8">
        <f t="shared" si="1"/>
        <v>42668.126203703701</v>
      </c>
    </row>
    <row r="9" spans="1:7" ht="15.75" thickBot="1" x14ac:dyDescent="0.3">
      <c r="A9" s="25">
        <v>42668.135312500002</v>
      </c>
      <c r="B9" s="21" t="s">
        <v>321</v>
      </c>
      <c r="C9" s="21" t="s">
        <v>408</v>
      </c>
      <c r="D9" s="21">
        <v>2030000</v>
      </c>
      <c r="E9" s="21" t="s">
        <v>349</v>
      </c>
      <c r="F9" s="21" t="str">
        <f t="shared" si="0"/>
        <v>rtdc.l.rtdc.4006:itc</v>
      </c>
      <c r="G9" s="8">
        <f t="shared" si="1"/>
        <v>42668.135312500002</v>
      </c>
    </row>
    <row r="10" spans="1:7" x14ac:dyDescent="0.25">
      <c r="A10" s="8">
        <v>42668.136666666665</v>
      </c>
      <c r="B10" s="21" t="s">
        <v>321</v>
      </c>
      <c r="C10" s="21" t="s">
        <v>408</v>
      </c>
      <c r="D10" s="21">
        <v>2030000</v>
      </c>
      <c r="E10" s="21" t="s">
        <v>349</v>
      </c>
      <c r="F10" s="21" t="str">
        <f t="shared" si="0"/>
        <v>rtdc.l.rtdc.4006:itc</v>
      </c>
      <c r="G10" s="8">
        <f t="shared" si="1"/>
        <v>42668.136666666665</v>
      </c>
    </row>
    <row r="11" spans="1:7" x14ac:dyDescent="0.25">
      <c r="A11" s="8">
        <v>42668.142974537041</v>
      </c>
      <c r="B11" s="21" t="s">
        <v>418</v>
      </c>
      <c r="C11" s="21" t="s">
        <v>450</v>
      </c>
      <c r="D11" s="21">
        <v>1260000</v>
      </c>
      <c r="E11" s="21" t="s">
        <v>319</v>
      </c>
      <c r="F11" s="21" t="str">
        <f t="shared" si="0"/>
        <v>rtdc.l.rtdc.4008:itc</v>
      </c>
      <c r="G11" s="8">
        <f t="shared" si="1"/>
        <v>42668.142974537041</v>
      </c>
    </row>
    <row r="12" spans="1:7" x14ac:dyDescent="0.25">
      <c r="A12" s="8">
        <v>42668.15384259259</v>
      </c>
      <c r="B12" s="21" t="s">
        <v>194</v>
      </c>
      <c r="C12" s="21" t="s">
        <v>409</v>
      </c>
      <c r="D12" s="21">
        <v>1260000</v>
      </c>
      <c r="E12" s="21" t="s">
        <v>319</v>
      </c>
      <c r="F12" s="21" t="str">
        <f t="shared" si="0"/>
        <v>rtdc.l.rtdc.4009:itc</v>
      </c>
      <c r="G12" s="8">
        <f t="shared" si="1"/>
        <v>42668.15384259259</v>
      </c>
    </row>
    <row r="13" spans="1:7" x14ac:dyDescent="0.25">
      <c r="A13" s="8">
        <v>42668.165231481478</v>
      </c>
      <c r="B13" s="21" t="s">
        <v>429</v>
      </c>
      <c r="C13" s="21" t="s">
        <v>451</v>
      </c>
      <c r="D13" s="21">
        <v>1190000</v>
      </c>
      <c r="E13" s="21" t="s">
        <v>348</v>
      </c>
      <c r="F13" s="21" t="str">
        <f t="shared" si="0"/>
        <v>rtdc.l.rtdc.4032:itc</v>
      </c>
      <c r="G13" s="8">
        <f t="shared" si="1"/>
        <v>42668.165231481478</v>
      </c>
    </row>
    <row r="14" spans="1:7" x14ac:dyDescent="0.25">
      <c r="A14" s="8">
        <v>42668.170543981483</v>
      </c>
      <c r="B14" s="21" t="s">
        <v>245</v>
      </c>
      <c r="C14" s="21" t="s">
        <v>452</v>
      </c>
      <c r="D14" s="21">
        <v>1090000</v>
      </c>
      <c r="E14" s="21" t="s">
        <v>350</v>
      </c>
      <c r="F14" s="21" t="str">
        <f t="shared" si="0"/>
        <v>rtdc.l.rtdc.4028:itc</v>
      </c>
      <c r="G14" s="8">
        <f t="shared" si="1"/>
        <v>42668.170543981483</v>
      </c>
    </row>
    <row r="15" spans="1:7" x14ac:dyDescent="0.25">
      <c r="A15" s="8">
        <v>42668.171157407407</v>
      </c>
      <c r="B15" s="21" t="s">
        <v>406</v>
      </c>
      <c r="C15" s="21" t="s">
        <v>453</v>
      </c>
      <c r="D15" s="21">
        <v>2030000</v>
      </c>
      <c r="E15" s="21" t="s">
        <v>349</v>
      </c>
      <c r="F15" s="21" t="str">
        <f t="shared" si="0"/>
        <v>rtdc.l.rtdc.4045:itc</v>
      </c>
      <c r="G15" s="8">
        <f t="shared" si="1"/>
        <v>42668.171157407407</v>
      </c>
    </row>
    <row r="16" spans="1:7" x14ac:dyDescent="0.25">
      <c r="A16" s="8">
        <v>42668.173206018517</v>
      </c>
      <c r="B16" s="21" t="s">
        <v>249</v>
      </c>
      <c r="C16" s="21" t="s">
        <v>454</v>
      </c>
      <c r="D16" s="21">
        <v>1190000</v>
      </c>
      <c r="E16" s="21" t="s">
        <v>348</v>
      </c>
      <c r="F16" s="21" t="str">
        <f t="shared" si="0"/>
        <v>rtdc.l.rtdc.4042:itc</v>
      </c>
      <c r="G16" s="8">
        <f t="shared" si="1"/>
        <v>42668.173206018517</v>
      </c>
    </row>
    <row r="17" spans="1:7" x14ac:dyDescent="0.25">
      <c r="A17" s="8">
        <v>42668.180775462963</v>
      </c>
      <c r="B17" s="21" t="s">
        <v>305</v>
      </c>
      <c r="C17" s="21" t="s">
        <v>455</v>
      </c>
      <c r="D17" s="21">
        <v>1090000</v>
      </c>
      <c r="E17" s="21" t="s">
        <v>350</v>
      </c>
      <c r="F17" s="21" t="str">
        <f t="shared" si="0"/>
        <v>rtdc.l.rtdc.4027:itc</v>
      </c>
      <c r="G17" s="8">
        <f t="shared" si="1"/>
        <v>42668.180775462963</v>
      </c>
    </row>
    <row r="18" spans="1:7" x14ac:dyDescent="0.25">
      <c r="A18" s="8">
        <v>42668.183969907404</v>
      </c>
      <c r="B18" s="21" t="s">
        <v>347</v>
      </c>
      <c r="C18" s="21" t="s">
        <v>456</v>
      </c>
      <c r="D18" s="21">
        <v>1990000</v>
      </c>
      <c r="E18" s="21" t="s">
        <v>306</v>
      </c>
      <c r="F18" s="21" t="str">
        <f t="shared" si="0"/>
        <v>rtdc.l.rtdc.4001:itc</v>
      </c>
      <c r="G18" s="8">
        <f t="shared" si="1"/>
        <v>42668.183969907404</v>
      </c>
    </row>
    <row r="19" spans="1:7" x14ac:dyDescent="0.25">
      <c r="A19" s="8">
        <v>42668.184699074074</v>
      </c>
      <c r="B19" s="21" t="s">
        <v>347</v>
      </c>
      <c r="C19" s="21" t="s">
        <v>456</v>
      </c>
      <c r="D19" s="21">
        <v>1990000</v>
      </c>
      <c r="E19" s="21" t="s">
        <v>306</v>
      </c>
      <c r="F19" s="21" t="str">
        <f t="shared" si="0"/>
        <v>rtdc.l.rtdc.4001:itc</v>
      </c>
      <c r="G19" s="8">
        <f t="shared" si="1"/>
        <v>42668.184699074074</v>
      </c>
    </row>
    <row r="20" spans="1:7" x14ac:dyDescent="0.25">
      <c r="A20" s="8">
        <v>42668.186423611114</v>
      </c>
      <c r="B20" s="21" t="s">
        <v>347</v>
      </c>
      <c r="C20" s="21" t="s">
        <v>456</v>
      </c>
      <c r="D20" s="21">
        <v>1990000</v>
      </c>
      <c r="E20" s="21" t="s">
        <v>306</v>
      </c>
      <c r="F20" s="21" t="str">
        <f t="shared" si="0"/>
        <v>rtdc.l.rtdc.4001:itc</v>
      </c>
      <c r="G20" s="8">
        <f t="shared" si="1"/>
        <v>42668.186423611114</v>
      </c>
    </row>
    <row r="21" spans="1:7" x14ac:dyDescent="0.25">
      <c r="A21" s="8">
        <v>42668.1874537037</v>
      </c>
      <c r="B21" s="21" t="s">
        <v>347</v>
      </c>
      <c r="C21" s="21" t="s">
        <v>456</v>
      </c>
      <c r="D21" s="21">
        <v>1990000</v>
      </c>
      <c r="E21" s="21" t="s">
        <v>306</v>
      </c>
      <c r="F21" s="21" t="str">
        <f t="shared" si="0"/>
        <v>rtdc.l.rtdc.4001:itc</v>
      </c>
      <c r="G21" s="8">
        <f t="shared" si="1"/>
        <v>42668.1874537037</v>
      </c>
    </row>
    <row r="22" spans="1:7" x14ac:dyDescent="0.25">
      <c r="A22" s="27">
        <v>42668.191145833334</v>
      </c>
      <c r="B22" s="21" t="s">
        <v>418</v>
      </c>
      <c r="C22" s="21" t="s">
        <v>457</v>
      </c>
      <c r="D22" s="21">
        <v>1260000</v>
      </c>
      <c r="E22" s="21" t="s">
        <v>319</v>
      </c>
      <c r="F22" s="21" t="str">
        <f t="shared" si="0"/>
        <v>rtdc.l.rtdc.4008:itc</v>
      </c>
      <c r="G22" s="8">
        <f t="shared" si="1"/>
        <v>42668.191145833334</v>
      </c>
    </row>
    <row r="23" spans="1:7" x14ac:dyDescent="0.25">
      <c r="A23" s="8">
        <v>42668.196597222224</v>
      </c>
      <c r="B23" s="21" t="s">
        <v>346</v>
      </c>
      <c r="C23" s="21" t="s">
        <v>458</v>
      </c>
      <c r="D23" s="21">
        <v>1990000</v>
      </c>
      <c r="E23" s="21" t="s">
        <v>306</v>
      </c>
      <c r="F23" s="21" t="str">
        <f t="shared" si="0"/>
        <v>rtdc.l.rtdc.4002:itc</v>
      </c>
      <c r="G23" s="8">
        <f t="shared" si="1"/>
        <v>42668.196597222224</v>
      </c>
    </row>
    <row r="24" spans="1:7" x14ac:dyDescent="0.25">
      <c r="A24" s="8">
        <v>42668.20416666667</v>
      </c>
      <c r="B24" s="21" t="s">
        <v>258</v>
      </c>
      <c r="C24" s="21" t="s">
        <v>459</v>
      </c>
      <c r="D24" s="21">
        <v>1110000</v>
      </c>
      <c r="E24" s="21" t="s">
        <v>329</v>
      </c>
      <c r="F24" s="21" t="str">
        <f t="shared" si="0"/>
        <v>rtdc.l.rtdc.4029:itc</v>
      </c>
      <c r="G24" s="8">
        <f t="shared" si="1"/>
        <v>42668.20416666667</v>
      </c>
    </row>
    <row r="25" spans="1:7" x14ac:dyDescent="0.25">
      <c r="A25" s="8">
        <v>42668.204340277778</v>
      </c>
      <c r="B25" s="21" t="s">
        <v>410</v>
      </c>
      <c r="C25" s="21" t="s">
        <v>411</v>
      </c>
      <c r="D25" s="21">
        <v>2030000</v>
      </c>
      <c r="E25" s="21" t="s">
        <v>349</v>
      </c>
      <c r="F25" s="21" t="str">
        <f t="shared" si="0"/>
        <v>rtdc.l.rtdc.4046:itc</v>
      </c>
      <c r="G25" s="8">
        <f t="shared" si="1"/>
        <v>42668.204340277778</v>
      </c>
    </row>
    <row r="26" spans="1:7" x14ac:dyDescent="0.25">
      <c r="A26" s="8">
        <v>42668.205000000002</v>
      </c>
      <c r="B26" s="21" t="s">
        <v>429</v>
      </c>
      <c r="C26" s="21" t="s">
        <v>460</v>
      </c>
      <c r="D26" s="21">
        <v>1190000</v>
      </c>
      <c r="E26" s="21" t="s">
        <v>348</v>
      </c>
      <c r="F26" s="21" t="str">
        <f t="shared" si="0"/>
        <v>rtdc.l.rtdc.4032:itc</v>
      </c>
      <c r="G26" s="8">
        <f t="shared" si="1"/>
        <v>42668.205000000002</v>
      </c>
    </row>
    <row r="27" spans="1:7" x14ac:dyDescent="0.25">
      <c r="A27" s="8">
        <v>42668.205057870371</v>
      </c>
      <c r="B27" s="21" t="s">
        <v>258</v>
      </c>
      <c r="C27" s="21" t="s">
        <v>459</v>
      </c>
      <c r="D27" s="21">
        <v>1110000</v>
      </c>
      <c r="E27" s="21" t="s">
        <v>329</v>
      </c>
      <c r="F27" s="21" t="str">
        <f t="shared" si="0"/>
        <v>rtdc.l.rtdc.4029:itc</v>
      </c>
      <c r="G27" s="8">
        <f t="shared" si="1"/>
        <v>42668.205057870371</v>
      </c>
    </row>
    <row r="28" spans="1:7" x14ac:dyDescent="0.25">
      <c r="A28" s="8">
        <v>42668.205335648148</v>
      </c>
      <c r="B28" s="21" t="s">
        <v>321</v>
      </c>
      <c r="C28" s="21" t="s">
        <v>461</v>
      </c>
      <c r="D28" s="21">
        <v>1100000</v>
      </c>
      <c r="E28" s="21" t="s">
        <v>462</v>
      </c>
      <c r="F28" s="21" t="str">
        <f t="shared" si="0"/>
        <v>rtdc.l.rtdc.4006:itc</v>
      </c>
      <c r="G28" s="8">
        <f t="shared" si="1"/>
        <v>42668.205335648148</v>
      </c>
    </row>
    <row r="29" spans="1:7" x14ac:dyDescent="0.25">
      <c r="A29" s="8">
        <v>42668.206307870372</v>
      </c>
      <c r="B29" s="21" t="s">
        <v>410</v>
      </c>
      <c r="C29" s="21" t="s">
        <v>411</v>
      </c>
      <c r="D29" s="21">
        <v>2030000</v>
      </c>
      <c r="E29" s="21" t="s">
        <v>349</v>
      </c>
      <c r="F29" s="21" t="str">
        <f t="shared" si="0"/>
        <v>rtdc.l.rtdc.4046:itc</v>
      </c>
      <c r="G29" s="8">
        <f t="shared" si="1"/>
        <v>42668.206307870372</v>
      </c>
    </row>
    <row r="30" spans="1:7" x14ac:dyDescent="0.25">
      <c r="A30" s="8">
        <v>42668.206550925926</v>
      </c>
      <c r="B30" s="21" t="s">
        <v>321</v>
      </c>
      <c r="C30" s="21" t="s">
        <v>461</v>
      </c>
      <c r="D30" s="21">
        <v>1100000</v>
      </c>
      <c r="E30" s="21" t="s">
        <v>462</v>
      </c>
      <c r="F30" s="21" t="str">
        <f t="shared" si="0"/>
        <v>rtdc.l.rtdc.4006:itc</v>
      </c>
      <c r="G30" s="8">
        <f t="shared" si="1"/>
        <v>42668.206550925926</v>
      </c>
    </row>
    <row r="31" spans="1:7" x14ac:dyDescent="0.25">
      <c r="A31" s="8">
        <v>42668.215833333335</v>
      </c>
      <c r="B31" s="21" t="s">
        <v>259</v>
      </c>
      <c r="C31" s="21" t="s">
        <v>463</v>
      </c>
      <c r="D31" s="21">
        <v>1110000</v>
      </c>
      <c r="E31" s="21" t="s">
        <v>329</v>
      </c>
      <c r="F31" s="21" t="str">
        <f t="shared" si="0"/>
        <v>rtdc.l.rtdc.4030:itc</v>
      </c>
      <c r="G31" s="8">
        <f t="shared" si="1"/>
        <v>42668.215833333335</v>
      </c>
    </row>
    <row r="32" spans="1:7" x14ac:dyDescent="0.25">
      <c r="A32" s="8">
        <v>42668.222939814812</v>
      </c>
      <c r="B32" s="21" t="s">
        <v>245</v>
      </c>
      <c r="C32" s="21" t="s">
        <v>464</v>
      </c>
      <c r="D32" s="21">
        <v>1090000</v>
      </c>
      <c r="E32" s="21" t="s">
        <v>350</v>
      </c>
      <c r="F32" s="21" t="str">
        <f t="shared" si="0"/>
        <v>rtdc.l.rtdc.4028:itc</v>
      </c>
      <c r="G32" s="8">
        <f t="shared" si="1"/>
        <v>42668.222939814812</v>
      </c>
    </row>
    <row r="33" spans="1:7" x14ac:dyDescent="0.25">
      <c r="A33" s="8">
        <v>42668.228020833332</v>
      </c>
      <c r="B33" s="21" t="s">
        <v>194</v>
      </c>
      <c r="C33" s="21" t="s">
        <v>465</v>
      </c>
      <c r="D33" s="21">
        <v>900000</v>
      </c>
      <c r="E33" s="21" t="s">
        <v>351</v>
      </c>
      <c r="F33" s="21" t="str">
        <f t="shared" si="0"/>
        <v>rtdc.l.rtdc.4009:itc</v>
      </c>
      <c r="G33" s="8">
        <f t="shared" si="1"/>
        <v>42668.228020833332</v>
      </c>
    </row>
    <row r="34" spans="1:7" x14ac:dyDescent="0.25">
      <c r="A34" s="8">
        <v>42668.231759259259</v>
      </c>
      <c r="B34" s="21" t="s">
        <v>197</v>
      </c>
      <c r="C34" s="21" t="s">
        <v>415</v>
      </c>
      <c r="D34" s="21">
        <v>2550000</v>
      </c>
      <c r="E34" s="21" t="s">
        <v>466</v>
      </c>
      <c r="F34" s="21" t="str">
        <f t="shared" si="0"/>
        <v>rtdc.l.rtdc.4007:itc</v>
      </c>
      <c r="G34" s="8">
        <f t="shared" si="1"/>
        <v>42668.231759259259</v>
      </c>
    </row>
    <row r="35" spans="1:7" x14ac:dyDescent="0.25">
      <c r="A35" s="8">
        <v>42668.235162037039</v>
      </c>
      <c r="B35" s="21" t="s">
        <v>347</v>
      </c>
      <c r="C35" s="21" t="s">
        <v>467</v>
      </c>
      <c r="D35" s="21">
        <v>1990000</v>
      </c>
      <c r="E35" s="21" t="s">
        <v>306</v>
      </c>
      <c r="F35" s="21" t="str">
        <f t="shared" si="0"/>
        <v>rtdc.l.rtdc.4001:itc</v>
      </c>
      <c r="G35" s="8">
        <f t="shared" si="1"/>
        <v>42668.235162037039</v>
      </c>
    </row>
    <row r="36" spans="1:7" x14ac:dyDescent="0.25">
      <c r="A36" s="8">
        <v>42668.239618055559</v>
      </c>
      <c r="B36" s="21" t="s">
        <v>297</v>
      </c>
      <c r="C36" s="21" t="s">
        <v>416</v>
      </c>
      <c r="D36" s="21">
        <v>1100000</v>
      </c>
      <c r="E36" s="21" t="s">
        <v>462</v>
      </c>
      <c r="F36" s="21" t="str">
        <f t="shared" si="0"/>
        <v>rtdc.l.rtdc.4005:itc</v>
      </c>
      <c r="G36" s="8">
        <f t="shared" si="1"/>
        <v>42668.239618055559</v>
      </c>
    </row>
    <row r="37" spans="1:7" x14ac:dyDescent="0.25">
      <c r="A37" s="8">
        <v>42668.240312499998</v>
      </c>
      <c r="B37" s="21" t="s">
        <v>262</v>
      </c>
      <c r="C37" s="21" t="s">
        <v>412</v>
      </c>
      <c r="D37" s="21">
        <v>1300000</v>
      </c>
      <c r="E37" s="21" t="s">
        <v>114</v>
      </c>
      <c r="F37" s="21" t="str">
        <f t="shared" si="0"/>
        <v>rtdc.l.rtdc.4054:itc</v>
      </c>
      <c r="G37" s="8">
        <f t="shared" si="1"/>
        <v>42668.240312499998</v>
      </c>
    </row>
    <row r="38" spans="1:7" x14ac:dyDescent="0.25">
      <c r="A38" s="8">
        <v>42668.242210648146</v>
      </c>
      <c r="B38" s="21" t="s">
        <v>258</v>
      </c>
      <c r="C38" s="21" t="s">
        <v>468</v>
      </c>
      <c r="D38" s="21">
        <v>1110000</v>
      </c>
      <c r="E38" s="21" t="s">
        <v>329</v>
      </c>
      <c r="F38" s="21" t="str">
        <f t="shared" si="0"/>
        <v>rtdc.l.rtdc.4029:itc</v>
      </c>
      <c r="G38" s="8">
        <f t="shared" si="1"/>
        <v>42668.242210648146</v>
      </c>
    </row>
    <row r="39" spans="1:7" x14ac:dyDescent="0.25">
      <c r="A39" s="8">
        <v>42668.247210648151</v>
      </c>
      <c r="B39" s="21" t="s">
        <v>347</v>
      </c>
      <c r="C39" s="21" t="s">
        <v>467</v>
      </c>
      <c r="D39" s="21">
        <v>1990000</v>
      </c>
      <c r="E39" s="21" t="s">
        <v>306</v>
      </c>
      <c r="F39" s="21" t="str">
        <f t="shared" si="0"/>
        <v>rtdc.l.rtdc.4001:itc</v>
      </c>
      <c r="G39" s="8">
        <f t="shared" si="1"/>
        <v>42668.247210648151</v>
      </c>
    </row>
    <row r="40" spans="1:7" x14ac:dyDescent="0.25">
      <c r="A40" s="8">
        <v>42668.25037037037</v>
      </c>
      <c r="B40" s="26" t="s">
        <v>249</v>
      </c>
      <c r="C40" s="21" t="s">
        <v>417</v>
      </c>
      <c r="D40" s="21">
        <v>2450000</v>
      </c>
      <c r="E40" s="21" t="s">
        <v>469</v>
      </c>
      <c r="F40" s="21" t="str">
        <f t="shared" si="0"/>
        <v>rtdc.l.rtdc.4042:itc</v>
      </c>
      <c r="G40" s="8">
        <f t="shared" si="1"/>
        <v>42668.25037037037</v>
      </c>
    </row>
    <row r="41" spans="1:7" x14ac:dyDescent="0.25">
      <c r="A41" s="8">
        <v>42668.25204861111</v>
      </c>
      <c r="B41" s="21" t="s">
        <v>406</v>
      </c>
      <c r="C41" s="21" t="s">
        <v>470</v>
      </c>
      <c r="D41" s="21">
        <v>2030000</v>
      </c>
      <c r="E41" s="21" t="s">
        <v>349</v>
      </c>
      <c r="F41" s="21" t="str">
        <f t="shared" si="0"/>
        <v>rtdc.l.rtdc.4045:itc</v>
      </c>
      <c r="G41" s="8">
        <f t="shared" si="1"/>
        <v>42668.25204861111</v>
      </c>
    </row>
    <row r="42" spans="1:7" x14ac:dyDescent="0.25">
      <c r="A42" s="8">
        <v>42668.254942129628</v>
      </c>
      <c r="B42" s="21" t="s">
        <v>259</v>
      </c>
      <c r="C42" s="21" t="s">
        <v>471</v>
      </c>
      <c r="D42" s="21">
        <v>1110000</v>
      </c>
      <c r="E42" s="21" t="s">
        <v>329</v>
      </c>
      <c r="F42" s="21" t="str">
        <f t="shared" si="0"/>
        <v>rtdc.l.rtdc.4030:itc</v>
      </c>
      <c r="G42" s="8">
        <f t="shared" si="1"/>
        <v>42668.254942129628</v>
      </c>
    </row>
    <row r="43" spans="1:7" x14ac:dyDescent="0.25">
      <c r="A43" s="8">
        <v>42668.258159722223</v>
      </c>
      <c r="B43" s="21" t="s">
        <v>305</v>
      </c>
      <c r="C43" s="21" t="s">
        <v>472</v>
      </c>
      <c r="D43" s="21">
        <v>1090000</v>
      </c>
      <c r="E43" s="21" t="s">
        <v>350</v>
      </c>
      <c r="F43" s="21" t="str">
        <f t="shared" si="0"/>
        <v>rtdc.l.rtdc.4027:itc</v>
      </c>
      <c r="G43" s="8">
        <f t="shared" si="1"/>
        <v>42668.258159722223</v>
      </c>
    </row>
    <row r="44" spans="1:7" x14ac:dyDescent="0.25">
      <c r="A44" s="8">
        <v>42668.260509259257</v>
      </c>
      <c r="B44" s="21" t="s">
        <v>263</v>
      </c>
      <c r="C44" s="21" t="s">
        <v>473</v>
      </c>
      <c r="D44" s="21">
        <v>1300000</v>
      </c>
      <c r="E44" s="21" t="s">
        <v>114</v>
      </c>
      <c r="F44" s="21" t="str">
        <f t="shared" si="0"/>
        <v>rtdc.l.rtdc.4053:itc</v>
      </c>
      <c r="G44" s="8">
        <f t="shared" si="1"/>
        <v>42668.260509259257</v>
      </c>
    </row>
    <row r="45" spans="1:7" x14ac:dyDescent="0.25">
      <c r="A45" s="8">
        <v>42668.266921296294</v>
      </c>
      <c r="B45" s="21" t="s">
        <v>193</v>
      </c>
      <c r="C45" s="21" t="s">
        <v>474</v>
      </c>
      <c r="D45" s="21">
        <v>900000</v>
      </c>
      <c r="E45" s="21" t="s">
        <v>351</v>
      </c>
      <c r="F45" s="21" t="str">
        <f t="shared" si="0"/>
        <v>rtdc.l.rtdc.4010:itc</v>
      </c>
      <c r="G45" s="8">
        <f t="shared" si="1"/>
        <v>42668.266921296294</v>
      </c>
    </row>
    <row r="46" spans="1:7" x14ac:dyDescent="0.25">
      <c r="A46" s="8">
        <v>42668.270104166666</v>
      </c>
      <c r="B46" s="21" t="s">
        <v>435</v>
      </c>
      <c r="C46" s="21" t="s">
        <v>475</v>
      </c>
      <c r="D46" s="21">
        <v>1240000</v>
      </c>
      <c r="E46" s="21" t="s">
        <v>354</v>
      </c>
      <c r="F46" s="21" t="str">
        <f t="shared" si="0"/>
        <v>rtdc.l.rtdc.4031:itc</v>
      </c>
      <c r="G46" s="8">
        <f t="shared" si="1"/>
        <v>42668.270104166666</v>
      </c>
    </row>
    <row r="47" spans="1:7" x14ac:dyDescent="0.25">
      <c r="A47" s="8">
        <v>42668.272881944446</v>
      </c>
      <c r="B47" s="21" t="s">
        <v>418</v>
      </c>
      <c r="C47" s="21" t="s">
        <v>419</v>
      </c>
      <c r="D47" s="21">
        <v>2550000</v>
      </c>
      <c r="E47" s="21" t="s">
        <v>466</v>
      </c>
      <c r="F47" s="21" t="str">
        <f t="shared" si="0"/>
        <v>rtdc.l.rtdc.4008:itc</v>
      </c>
      <c r="G47" s="8">
        <f t="shared" si="1"/>
        <v>42668.272881944446</v>
      </c>
    </row>
    <row r="48" spans="1:7" x14ac:dyDescent="0.25">
      <c r="A48" s="8">
        <v>42668.275335648148</v>
      </c>
      <c r="B48" s="21" t="s">
        <v>262</v>
      </c>
      <c r="C48" s="21" t="s">
        <v>476</v>
      </c>
      <c r="D48" s="21">
        <v>1300000</v>
      </c>
      <c r="E48" s="21" t="s">
        <v>114</v>
      </c>
      <c r="F48" s="21" t="str">
        <f t="shared" si="0"/>
        <v>rtdc.l.rtdc.4054:itc</v>
      </c>
      <c r="G48" s="8">
        <f t="shared" si="1"/>
        <v>42668.275335648148</v>
      </c>
    </row>
    <row r="49" spans="1:7" x14ac:dyDescent="0.25">
      <c r="A49" s="8">
        <v>42668.281585648147</v>
      </c>
      <c r="B49" s="21" t="s">
        <v>321</v>
      </c>
      <c r="C49" s="21" t="s">
        <v>477</v>
      </c>
      <c r="D49" s="21">
        <v>1100000</v>
      </c>
      <c r="E49" s="21" t="s">
        <v>462</v>
      </c>
      <c r="F49" s="21" t="str">
        <f t="shared" si="0"/>
        <v>rtdc.l.rtdc.4006:itc</v>
      </c>
      <c r="G49" s="8">
        <f t="shared" si="1"/>
        <v>42668.281585648147</v>
      </c>
    </row>
    <row r="50" spans="1:7" x14ac:dyDescent="0.25">
      <c r="A50" s="8">
        <v>42668.283020833333</v>
      </c>
      <c r="B50" s="21" t="s">
        <v>258</v>
      </c>
      <c r="C50" s="21" t="s">
        <v>478</v>
      </c>
      <c r="D50" s="21">
        <v>1110000</v>
      </c>
      <c r="E50" s="21" t="s">
        <v>329</v>
      </c>
      <c r="F50" s="21" t="str">
        <f t="shared" si="0"/>
        <v>rtdc.l.rtdc.4029:itc</v>
      </c>
      <c r="G50" s="8">
        <f t="shared" si="1"/>
        <v>42668.283020833333</v>
      </c>
    </row>
    <row r="51" spans="1:7" x14ac:dyDescent="0.25">
      <c r="A51" s="8">
        <v>42668.284074074072</v>
      </c>
      <c r="B51" s="21" t="s">
        <v>250</v>
      </c>
      <c r="C51" s="21" t="s">
        <v>420</v>
      </c>
      <c r="D51" s="21">
        <v>2450000</v>
      </c>
      <c r="E51" s="21" t="s">
        <v>469</v>
      </c>
      <c r="F51" s="21" t="str">
        <f t="shared" si="0"/>
        <v>rtdc.l.rtdc.4041:itc</v>
      </c>
      <c r="G51" s="8">
        <f t="shared" si="1"/>
        <v>42668.284074074072</v>
      </c>
    </row>
    <row r="52" spans="1:7" x14ac:dyDescent="0.25">
      <c r="A52" s="8">
        <v>42668.288437499999</v>
      </c>
      <c r="B52" s="21" t="s">
        <v>410</v>
      </c>
      <c r="C52" s="21" t="s">
        <v>479</v>
      </c>
      <c r="D52" s="21">
        <v>2030000</v>
      </c>
      <c r="E52" s="21" t="s">
        <v>349</v>
      </c>
      <c r="F52" s="21" t="str">
        <f t="shared" si="0"/>
        <v>rtdc.l.rtdc.4046:itc</v>
      </c>
      <c r="G52" s="8">
        <f t="shared" si="1"/>
        <v>42668.288437499999</v>
      </c>
    </row>
    <row r="53" spans="1:7" x14ac:dyDescent="0.25">
      <c r="A53" s="8">
        <v>42668.293252314812</v>
      </c>
      <c r="B53" s="21" t="s">
        <v>245</v>
      </c>
      <c r="C53" s="21" t="s">
        <v>480</v>
      </c>
      <c r="D53" s="21">
        <v>1090000</v>
      </c>
      <c r="E53" s="21" t="s">
        <v>350</v>
      </c>
      <c r="F53" s="21" t="str">
        <f t="shared" si="0"/>
        <v>rtdc.l.rtdc.4028:itc</v>
      </c>
      <c r="G53" s="8">
        <f t="shared" si="1"/>
        <v>42668.293252314812</v>
      </c>
    </row>
    <row r="54" spans="1:7" x14ac:dyDescent="0.25">
      <c r="A54" s="8">
        <v>42668.296238425923</v>
      </c>
      <c r="B54" s="21" t="s">
        <v>259</v>
      </c>
      <c r="C54" s="21" t="s">
        <v>481</v>
      </c>
      <c r="D54" s="21">
        <v>1110000</v>
      </c>
      <c r="E54" s="21" t="s">
        <v>329</v>
      </c>
      <c r="F54" s="21" t="str">
        <f t="shared" si="0"/>
        <v>rtdc.l.rtdc.4030:itc</v>
      </c>
      <c r="G54" s="8">
        <f t="shared" si="1"/>
        <v>42668.296238425923</v>
      </c>
    </row>
    <row r="55" spans="1:7" x14ac:dyDescent="0.25">
      <c r="A55" s="8">
        <v>42668.300127314818</v>
      </c>
      <c r="B55" s="21" t="s">
        <v>429</v>
      </c>
      <c r="C55" s="21" t="s">
        <v>482</v>
      </c>
      <c r="D55" s="21">
        <v>1240000</v>
      </c>
      <c r="E55" s="21" t="s">
        <v>354</v>
      </c>
      <c r="F55" s="21" t="str">
        <f t="shared" si="0"/>
        <v>rtdc.l.rtdc.4032:itc</v>
      </c>
      <c r="G55" s="8">
        <f t="shared" si="1"/>
        <v>42668.300127314818</v>
      </c>
    </row>
    <row r="56" spans="1:7" x14ac:dyDescent="0.25">
      <c r="A56" s="8">
        <v>42668.30133101852</v>
      </c>
      <c r="B56" s="21" t="s">
        <v>194</v>
      </c>
      <c r="C56" s="21" t="s">
        <v>474</v>
      </c>
      <c r="D56" s="21">
        <v>900000</v>
      </c>
      <c r="E56" s="21" t="s">
        <v>351</v>
      </c>
      <c r="F56" s="21" t="str">
        <f t="shared" si="0"/>
        <v>rtdc.l.rtdc.4009:itc</v>
      </c>
      <c r="G56" s="8">
        <f t="shared" si="1"/>
        <v>42668.30133101852</v>
      </c>
    </row>
    <row r="57" spans="1:7" x14ac:dyDescent="0.25">
      <c r="A57" s="8">
        <v>42668.302210648151</v>
      </c>
      <c r="B57" s="21" t="s">
        <v>263</v>
      </c>
      <c r="C57" s="21" t="s">
        <v>483</v>
      </c>
      <c r="D57" s="21">
        <v>1300000</v>
      </c>
      <c r="E57" s="21" t="s">
        <v>114</v>
      </c>
      <c r="F57" s="21" t="str">
        <f t="shared" si="0"/>
        <v>rtdc.l.rtdc.4053:itc</v>
      </c>
      <c r="G57" s="8">
        <f t="shared" si="1"/>
        <v>42668.302210648151</v>
      </c>
    </row>
    <row r="58" spans="1:7" x14ac:dyDescent="0.25">
      <c r="A58" s="8">
        <v>42668.308807870373</v>
      </c>
      <c r="B58" s="21" t="s">
        <v>297</v>
      </c>
      <c r="C58" s="21" t="s">
        <v>484</v>
      </c>
      <c r="D58" s="21">
        <v>1100000</v>
      </c>
      <c r="E58" s="21" t="s">
        <v>462</v>
      </c>
      <c r="F58" s="21" t="str">
        <f t="shared" si="0"/>
        <v>rtdc.l.rtdc.4005:itc</v>
      </c>
      <c r="G58" s="8">
        <f t="shared" si="1"/>
        <v>42668.308807870373</v>
      </c>
    </row>
    <row r="59" spans="1:7" x14ac:dyDescent="0.25">
      <c r="A59" s="8">
        <v>42668.311249999999</v>
      </c>
      <c r="B59" s="21" t="s">
        <v>194</v>
      </c>
      <c r="C59" s="21" t="s">
        <v>485</v>
      </c>
      <c r="D59" s="21">
        <v>2560000</v>
      </c>
      <c r="E59" s="21" t="s">
        <v>486</v>
      </c>
      <c r="F59" s="21" t="str">
        <f t="shared" si="0"/>
        <v>rtdc.l.rtdc.4009:itc</v>
      </c>
      <c r="G59" s="8">
        <f t="shared" si="1"/>
        <v>42668.311249999999</v>
      </c>
    </row>
    <row r="60" spans="1:7" x14ac:dyDescent="0.25">
      <c r="A60" s="8">
        <v>42668.311469907407</v>
      </c>
      <c r="B60" s="21" t="s">
        <v>197</v>
      </c>
      <c r="C60" s="21" t="s">
        <v>487</v>
      </c>
      <c r="D60" s="21">
        <v>2550000</v>
      </c>
      <c r="E60" s="21" t="s">
        <v>466</v>
      </c>
      <c r="F60" s="21" t="str">
        <f t="shared" si="0"/>
        <v>rtdc.l.rtdc.4007:itc</v>
      </c>
      <c r="G60" s="8">
        <f t="shared" si="1"/>
        <v>42668.311469907407</v>
      </c>
    </row>
    <row r="61" spans="1:7" x14ac:dyDescent="0.25">
      <c r="A61" s="8">
        <v>42668.316712962966</v>
      </c>
      <c r="B61" s="21" t="s">
        <v>262</v>
      </c>
      <c r="C61" s="21" t="s">
        <v>488</v>
      </c>
      <c r="D61" s="21">
        <v>1300000</v>
      </c>
      <c r="E61" s="21" t="s">
        <v>114</v>
      </c>
      <c r="F61" s="21" t="str">
        <f t="shared" si="0"/>
        <v>rtdc.l.rtdc.4054:itc</v>
      </c>
      <c r="G61" s="8">
        <f t="shared" si="1"/>
        <v>42668.316712962966</v>
      </c>
    </row>
    <row r="62" spans="1:7" x14ac:dyDescent="0.25">
      <c r="A62" s="8">
        <v>42668.320081018515</v>
      </c>
      <c r="B62" s="21" t="s">
        <v>249</v>
      </c>
      <c r="C62" s="21" t="s">
        <v>423</v>
      </c>
      <c r="D62" s="21">
        <v>2450000</v>
      </c>
      <c r="E62" s="21" t="s">
        <v>469</v>
      </c>
      <c r="F62" s="21" t="str">
        <f t="shared" si="0"/>
        <v>rtdc.l.rtdc.4042:itc</v>
      </c>
      <c r="G62" s="8">
        <f t="shared" si="1"/>
        <v>42668.320081018515</v>
      </c>
    </row>
    <row r="63" spans="1:7" x14ac:dyDescent="0.25">
      <c r="A63" s="8">
        <v>42668.322766203702</v>
      </c>
      <c r="B63" s="21" t="s">
        <v>258</v>
      </c>
      <c r="C63" s="21" t="s">
        <v>422</v>
      </c>
      <c r="D63" s="21">
        <v>1110000</v>
      </c>
      <c r="E63" s="21" t="s">
        <v>329</v>
      </c>
      <c r="F63" s="21" t="str">
        <f t="shared" si="0"/>
        <v>rtdc.l.rtdc.4029:itc</v>
      </c>
      <c r="G63" s="8">
        <f t="shared" si="1"/>
        <v>42668.322766203702</v>
      </c>
    </row>
    <row r="64" spans="1:7" x14ac:dyDescent="0.25">
      <c r="A64" s="27">
        <v>42668.32403935185</v>
      </c>
      <c r="B64" s="21" t="s">
        <v>406</v>
      </c>
      <c r="C64" s="21" t="s">
        <v>489</v>
      </c>
      <c r="D64" s="21">
        <v>2030000</v>
      </c>
      <c r="E64" s="21" t="s">
        <v>349</v>
      </c>
      <c r="F64" s="21" t="str">
        <f t="shared" si="0"/>
        <v>rtdc.l.rtdc.4045:itc</v>
      </c>
      <c r="G64" s="8">
        <f t="shared" si="1"/>
        <v>42668.32403935185</v>
      </c>
    </row>
    <row r="65" spans="1:7" x14ac:dyDescent="0.25">
      <c r="A65" s="8">
        <v>42668.329583333332</v>
      </c>
      <c r="B65" s="21" t="s">
        <v>305</v>
      </c>
      <c r="C65" s="21" t="s">
        <v>421</v>
      </c>
      <c r="D65" s="21">
        <v>1090000</v>
      </c>
      <c r="E65" s="21" t="s">
        <v>350</v>
      </c>
      <c r="F65" s="21" t="str">
        <f t="shared" si="0"/>
        <v>rtdc.l.rtdc.4027:itc</v>
      </c>
      <c r="G65" s="8">
        <f t="shared" si="1"/>
        <v>42668.329583333332</v>
      </c>
    </row>
    <row r="66" spans="1:7" x14ac:dyDescent="0.25">
      <c r="A66" s="8">
        <v>42668.338472222225</v>
      </c>
      <c r="B66" s="21" t="s">
        <v>259</v>
      </c>
      <c r="C66" s="21" t="s">
        <v>424</v>
      </c>
      <c r="D66" s="21">
        <v>1110000</v>
      </c>
      <c r="E66" s="21" t="s">
        <v>329</v>
      </c>
      <c r="F66" s="21" t="str">
        <f t="shared" ref="F66:F129" si="2">B66</f>
        <v>rtdc.l.rtdc.4030:itc</v>
      </c>
      <c r="G66" s="8">
        <f t="shared" ref="G66:G129" si="3">A66</f>
        <v>42668.338472222225</v>
      </c>
    </row>
    <row r="67" spans="1:7" x14ac:dyDescent="0.25">
      <c r="A67" s="8">
        <v>42668.34107638889</v>
      </c>
      <c r="B67" s="21" t="s">
        <v>435</v>
      </c>
      <c r="C67" s="21" t="s">
        <v>490</v>
      </c>
      <c r="D67" s="21">
        <v>1990000</v>
      </c>
      <c r="E67" s="21" t="s">
        <v>306</v>
      </c>
      <c r="F67" s="21" t="str">
        <f t="shared" si="2"/>
        <v>rtdc.l.rtdc.4031:itc</v>
      </c>
      <c r="G67" s="8">
        <f t="shared" si="3"/>
        <v>42668.34107638889</v>
      </c>
    </row>
    <row r="68" spans="1:7" x14ac:dyDescent="0.25">
      <c r="A68" s="8">
        <v>42668.342743055553</v>
      </c>
      <c r="B68" s="21" t="s">
        <v>193</v>
      </c>
      <c r="C68" s="21" t="s">
        <v>491</v>
      </c>
      <c r="D68" s="21">
        <v>2560000</v>
      </c>
      <c r="E68" s="21" t="s">
        <v>486</v>
      </c>
      <c r="F68" s="21" t="str">
        <f t="shared" si="2"/>
        <v>rtdc.l.rtdc.4010:itc</v>
      </c>
      <c r="G68" s="8">
        <f t="shared" si="3"/>
        <v>42668.342743055553</v>
      </c>
    </row>
    <row r="69" spans="1:7" x14ac:dyDescent="0.25">
      <c r="A69" s="8">
        <v>42668.344490740739</v>
      </c>
      <c r="B69" s="21" t="s">
        <v>305</v>
      </c>
      <c r="C69" s="21" t="s">
        <v>421</v>
      </c>
      <c r="D69" s="21">
        <v>1090000</v>
      </c>
      <c r="E69" s="21" t="s">
        <v>350</v>
      </c>
      <c r="F69" s="21" t="str">
        <f t="shared" si="2"/>
        <v>rtdc.l.rtdc.4027:itc</v>
      </c>
      <c r="G69" s="8">
        <f t="shared" si="3"/>
        <v>42668.344490740739</v>
      </c>
    </row>
    <row r="70" spans="1:7" x14ac:dyDescent="0.25">
      <c r="A70" s="8">
        <v>42668.345300925925</v>
      </c>
      <c r="B70" s="21" t="s">
        <v>263</v>
      </c>
      <c r="C70" s="21" t="s">
        <v>492</v>
      </c>
      <c r="D70" s="21">
        <v>1300000</v>
      </c>
      <c r="E70" s="21" t="s">
        <v>114</v>
      </c>
      <c r="F70" s="21" t="str">
        <f t="shared" si="2"/>
        <v>rtdc.l.rtdc.4053:itc</v>
      </c>
      <c r="G70" s="8">
        <f t="shared" si="3"/>
        <v>42668.345300925925</v>
      </c>
    </row>
    <row r="71" spans="1:7" x14ac:dyDescent="0.25">
      <c r="A71" s="8">
        <v>42668.347743055558</v>
      </c>
      <c r="B71" s="21" t="s">
        <v>418</v>
      </c>
      <c r="C71" s="21" t="s">
        <v>493</v>
      </c>
      <c r="D71" s="21">
        <v>1260000</v>
      </c>
      <c r="E71" s="21" t="s">
        <v>319</v>
      </c>
      <c r="F71" s="21" t="str">
        <f t="shared" si="2"/>
        <v>rtdc.l.rtdc.4008:itc</v>
      </c>
      <c r="G71" s="8">
        <f t="shared" si="3"/>
        <v>42668.347743055558</v>
      </c>
    </row>
    <row r="72" spans="1:7" x14ac:dyDescent="0.25">
      <c r="A72" s="8">
        <v>42668.350034722222</v>
      </c>
      <c r="B72" s="21" t="s">
        <v>321</v>
      </c>
      <c r="C72" s="21" t="s">
        <v>494</v>
      </c>
      <c r="D72" s="21">
        <v>1100000</v>
      </c>
      <c r="E72" s="21" t="s">
        <v>462</v>
      </c>
      <c r="F72" s="21" t="str">
        <f t="shared" si="2"/>
        <v>rtdc.l.rtdc.4006:itc</v>
      </c>
      <c r="G72" s="8">
        <f t="shared" si="3"/>
        <v>42668.350034722222</v>
      </c>
    </row>
    <row r="73" spans="1:7" x14ac:dyDescent="0.25">
      <c r="A73" s="8">
        <v>42668.358460648145</v>
      </c>
      <c r="B73" s="21" t="s">
        <v>262</v>
      </c>
      <c r="C73" s="21" t="s">
        <v>495</v>
      </c>
      <c r="D73" s="21">
        <v>1300000</v>
      </c>
      <c r="E73" s="21" t="s">
        <v>114</v>
      </c>
      <c r="F73" s="21" t="str">
        <f t="shared" si="2"/>
        <v>rtdc.l.rtdc.4054:itc</v>
      </c>
      <c r="G73" s="8">
        <f t="shared" si="3"/>
        <v>42668.358460648145</v>
      </c>
    </row>
    <row r="74" spans="1:7" x14ac:dyDescent="0.25">
      <c r="A74" s="8">
        <v>42668.359293981484</v>
      </c>
      <c r="B74" s="21" t="s">
        <v>250</v>
      </c>
      <c r="C74" s="21" t="s">
        <v>496</v>
      </c>
      <c r="D74" s="21">
        <v>2450000</v>
      </c>
      <c r="E74" s="21" t="s">
        <v>469</v>
      </c>
      <c r="F74" s="21" t="str">
        <f t="shared" si="2"/>
        <v>rtdc.l.rtdc.4041:itc</v>
      </c>
      <c r="G74" s="8">
        <f t="shared" si="3"/>
        <v>42668.359293981484</v>
      </c>
    </row>
    <row r="75" spans="1:7" x14ac:dyDescent="0.25">
      <c r="A75" s="8">
        <v>42668.369363425925</v>
      </c>
      <c r="B75" s="21" t="s">
        <v>410</v>
      </c>
      <c r="C75" s="21" t="s">
        <v>497</v>
      </c>
      <c r="D75" s="21">
        <v>2030000</v>
      </c>
      <c r="E75" s="21" t="s">
        <v>349</v>
      </c>
      <c r="F75" s="21" t="str">
        <f t="shared" si="2"/>
        <v>rtdc.l.rtdc.4046:itc</v>
      </c>
      <c r="G75" s="8">
        <f t="shared" si="3"/>
        <v>42668.369363425925</v>
      </c>
    </row>
    <row r="76" spans="1:7" x14ac:dyDescent="0.25">
      <c r="A76" s="8">
        <v>42668.370208333334</v>
      </c>
      <c r="B76" s="21" t="s">
        <v>245</v>
      </c>
      <c r="C76" s="21" t="s">
        <v>498</v>
      </c>
      <c r="D76" s="21">
        <v>1090000</v>
      </c>
      <c r="E76" s="21" t="s">
        <v>350</v>
      </c>
      <c r="F76" s="21" t="str">
        <f t="shared" si="2"/>
        <v>rtdc.l.rtdc.4028:itc</v>
      </c>
      <c r="G76" s="8">
        <f t="shared" si="3"/>
        <v>42668.370208333334</v>
      </c>
    </row>
    <row r="77" spans="1:7" x14ac:dyDescent="0.25">
      <c r="A77" s="8">
        <v>42668.376273148147</v>
      </c>
      <c r="B77" s="21" t="s">
        <v>346</v>
      </c>
      <c r="C77" s="21" t="s">
        <v>499</v>
      </c>
      <c r="D77" s="21">
        <v>1360000</v>
      </c>
      <c r="E77" s="21" t="s">
        <v>500</v>
      </c>
      <c r="F77" s="21" t="str">
        <f t="shared" si="2"/>
        <v>rtdc.l.rtdc.4002:itc</v>
      </c>
      <c r="G77" s="8">
        <f t="shared" si="3"/>
        <v>42668.376273148147</v>
      </c>
    </row>
    <row r="78" spans="1:7" x14ac:dyDescent="0.25">
      <c r="A78" s="8">
        <v>42668.37903935185</v>
      </c>
      <c r="B78" s="21" t="s">
        <v>429</v>
      </c>
      <c r="C78" s="21" t="s">
        <v>501</v>
      </c>
      <c r="D78" s="21">
        <v>1990000</v>
      </c>
      <c r="E78" s="21" t="s">
        <v>306</v>
      </c>
      <c r="F78" s="21" t="str">
        <f t="shared" si="2"/>
        <v>rtdc.l.rtdc.4032:itc</v>
      </c>
      <c r="G78" s="8">
        <f t="shared" si="3"/>
        <v>42668.37903935185</v>
      </c>
    </row>
    <row r="79" spans="1:7" x14ac:dyDescent="0.25">
      <c r="A79" s="8">
        <v>42668.383530092593</v>
      </c>
      <c r="B79" s="21" t="s">
        <v>197</v>
      </c>
      <c r="C79" s="21" t="s">
        <v>493</v>
      </c>
      <c r="D79" s="21">
        <v>1260000</v>
      </c>
      <c r="E79" s="21" t="s">
        <v>319</v>
      </c>
      <c r="F79" s="21" t="str">
        <f t="shared" si="2"/>
        <v>rtdc.l.rtdc.4007:itc</v>
      </c>
      <c r="G79" s="8">
        <f t="shared" si="3"/>
        <v>42668.383530092593</v>
      </c>
    </row>
    <row r="80" spans="1:7" x14ac:dyDescent="0.25">
      <c r="A80" s="8">
        <v>42668.383969907409</v>
      </c>
      <c r="B80" s="21" t="s">
        <v>297</v>
      </c>
      <c r="C80" s="21" t="s">
        <v>425</v>
      </c>
      <c r="D80" s="21">
        <v>1100000</v>
      </c>
      <c r="E80" s="21" t="s">
        <v>462</v>
      </c>
      <c r="F80" s="21" t="str">
        <f t="shared" si="2"/>
        <v>rtdc.l.rtdc.4005:itc</v>
      </c>
      <c r="G80" s="8">
        <f t="shared" si="3"/>
        <v>42668.383969907409</v>
      </c>
    </row>
    <row r="81" spans="1:7" x14ac:dyDescent="0.25">
      <c r="A81" s="8">
        <v>42668.385578703703</v>
      </c>
      <c r="B81" s="21" t="s">
        <v>197</v>
      </c>
      <c r="C81" s="21" t="s">
        <v>502</v>
      </c>
      <c r="D81" s="21">
        <v>2550000</v>
      </c>
      <c r="E81" s="21" t="s">
        <v>466</v>
      </c>
      <c r="F81" s="21" t="str">
        <f t="shared" si="2"/>
        <v>rtdc.l.rtdc.4007:itc</v>
      </c>
      <c r="G81" s="8">
        <f t="shared" si="3"/>
        <v>42668.385578703703</v>
      </c>
    </row>
    <row r="82" spans="1:7" x14ac:dyDescent="0.25">
      <c r="A82" s="8">
        <v>42668.387337962966</v>
      </c>
      <c r="B82" s="21" t="s">
        <v>263</v>
      </c>
      <c r="C82" s="21" t="s">
        <v>503</v>
      </c>
      <c r="D82" s="21">
        <v>1300000</v>
      </c>
      <c r="E82" s="21" t="s">
        <v>114</v>
      </c>
      <c r="F82" s="21" t="str">
        <f t="shared" si="2"/>
        <v>rtdc.l.rtdc.4053:itc</v>
      </c>
      <c r="G82" s="8">
        <f t="shared" si="3"/>
        <v>42668.387337962966</v>
      </c>
    </row>
    <row r="83" spans="1:7" x14ac:dyDescent="0.25">
      <c r="A83" s="8">
        <v>42668.39503472222</v>
      </c>
      <c r="B83" s="21" t="s">
        <v>249</v>
      </c>
      <c r="C83" s="21" t="s">
        <v>504</v>
      </c>
      <c r="D83" s="21">
        <v>2450000</v>
      </c>
      <c r="E83" s="21" t="s">
        <v>469</v>
      </c>
      <c r="F83" s="21" t="str">
        <f t="shared" si="2"/>
        <v>rtdc.l.rtdc.4042:itc</v>
      </c>
      <c r="G83" s="8">
        <f t="shared" si="3"/>
        <v>42668.39503472222</v>
      </c>
    </row>
    <row r="84" spans="1:7" x14ac:dyDescent="0.25">
      <c r="A84" s="8">
        <v>42668.399837962963</v>
      </c>
      <c r="B84" s="21" t="s">
        <v>406</v>
      </c>
      <c r="C84" s="21" t="s">
        <v>505</v>
      </c>
      <c r="D84" s="21">
        <v>2030000</v>
      </c>
      <c r="E84" s="21" t="s">
        <v>349</v>
      </c>
      <c r="F84" s="21" t="str">
        <f t="shared" si="2"/>
        <v>rtdc.l.rtdc.4045:itc</v>
      </c>
      <c r="G84" s="8">
        <f t="shared" si="3"/>
        <v>42668.399837962963</v>
      </c>
    </row>
    <row r="85" spans="1:7" x14ac:dyDescent="0.25">
      <c r="A85" s="8">
        <v>42668.400682870371</v>
      </c>
      <c r="B85" s="21" t="s">
        <v>262</v>
      </c>
      <c r="C85" s="21" t="s">
        <v>506</v>
      </c>
      <c r="D85" s="21">
        <v>1300000</v>
      </c>
      <c r="E85" s="21" t="s">
        <v>114</v>
      </c>
      <c r="F85" s="21" t="str">
        <f t="shared" si="2"/>
        <v>rtdc.l.rtdc.4054:itc</v>
      </c>
      <c r="G85" s="8">
        <f t="shared" si="3"/>
        <v>42668.400682870371</v>
      </c>
    </row>
    <row r="86" spans="1:7" x14ac:dyDescent="0.25">
      <c r="A86" s="8">
        <v>42668.410011574073</v>
      </c>
      <c r="B86" s="21" t="s">
        <v>305</v>
      </c>
      <c r="C86" s="21" t="s">
        <v>507</v>
      </c>
      <c r="D86" s="21">
        <v>1090000</v>
      </c>
      <c r="E86" s="21" t="s">
        <v>350</v>
      </c>
      <c r="F86" s="21" t="str">
        <f t="shared" si="2"/>
        <v>rtdc.l.rtdc.4027:itc</v>
      </c>
      <c r="G86" s="8">
        <f t="shared" si="3"/>
        <v>42668.410011574073</v>
      </c>
    </row>
    <row r="87" spans="1:7" x14ac:dyDescent="0.25">
      <c r="A87" s="8">
        <v>42668.41202546296</v>
      </c>
      <c r="B87" s="21" t="s">
        <v>347</v>
      </c>
      <c r="C87" s="21" t="s">
        <v>508</v>
      </c>
      <c r="D87" s="21">
        <v>1360000</v>
      </c>
      <c r="E87" s="21" t="s">
        <v>500</v>
      </c>
      <c r="F87" s="21" t="str">
        <f t="shared" si="2"/>
        <v>rtdc.l.rtdc.4001:itc</v>
      </c>
      <c r="G87" s="8">
        <f t="shared" si="3"/>
        <v>42668.41202546296</v>
      </c>
    </row>
    <row r="88" spans="1:7" x14ac:dyDescent="0.25">
      <c r="A88" s="8">
        <v>42668.415266203701</v>
      </c>
      <c r="B88" s="21" t="s">
        <v>435</v>
      </c>
      <c r="C88" s="21" t="s">
        <v>509</v>
      </c>
      <c r="D88" s="21">
        <v>1990000</v>
      </c>
      <c r="E88" s="21" t="s">
        <v>306</v>
      </c>
      <c r="F88" s="21" t="str">
        <f t="shared" si="2"/>
        <v>rtdc.l.rtdc.4031:itc</v>
      </c>
      <c r="G88" s="8">
        <f t="shared" si="3"/>
        <v>42668.415266203701</v>
      </c>
    </row>
    <row r="89" spans="1:7" x14ac:dyDescent="0.25">
      <c r="A89" s="8">
        <v>42668.417928240742</v>
      </c>
      <c r="B89" s="21" t="s">
        <v>418</v>
      </c>
      <c r="C89" s="21" t="s">
        <v>510</v>
      </c>
      <c r="D89" s="21">
        <v>2550000</v>
      </c>
      <c r="E89" s="21" t="s">
        <v>466</v>
      </c>
      <c r="F89" s="21" t="str">
        <f t="shared" si="2"/>
        <v>rtdc.l.rtdc.4008:itc</v>
      </c>
      <c r="G89" s="8">
        <f t="shared" si="3"/>
        <v>42668.417928240742</v>
      </c>
    </row>
    <row r="90" spans="1:7" x14ac:dyDescent="0.25">
      <c r="A90" s="8">
        <v>42668.42292824074</v>
      </c>
      <c r="B90" s="21" t="s">
        <v>321</v>
      </c>
      <c r="C90" s="21" t="s">
        <v>427</v>
      </c>
      <c r="D90" s="21">
        <v>1100000</v>
      </c>
      <c r="E90" s="21" t="s">
        <v>462</v>
      </c>
      <c r="F90" s="21" t="str">
        <f t="shared" si="2"/>
        <v>rtdc.l.rtdc.4006:itc</v>
      </c>
      <c r="G90" s="8">
        <f t="shared" si="3"/>
        <v>42668.42292824074</v>
      </c>
    </row>
    <row r="91" spans="1:7" x14ac:dyDescent="0.25">
      <c r="A91" s="8">
        <v>42668.429884259262</v>
      </c>
      <c r="B91" s="21" t="s">
        <v>263</v>
      </c>
      <c r="C91" s="21" t="s">
        <v>426</v>
      </c>
      <c r="D91" s="21">
        <v>1300000</v>
      </c>
      <c r="E91" s="21" t="s">
        <v>114</v>
      </c>
      <c r="F91" s="21" t="str">
        <f t="shared" si="2"/>
        <v>rtdc.l.rtdc.4053:itc</v>
      </c>
      <c r="G91" s="8">
        <f t="shared" si="3"/>
        <v>42668.429884259262</v>
      </c>
    </row>
    <row r="92" spans="1:7" x14ac:dyDescent="0.25">
      <c r="A92" s="8">
        <v>42668.434317129628</v>
      </c>
      <c r="B92" s="21" t="s">
        <v>250</v>
      </c>
      <c r="C92" s="21" t="s">
        <v>511</v>
      </c>
      <c r="D92" s="21">
        <v>2450000</v>
      </c>
      <c r="E92" s="21" t="s">
        <v>469</v>
      </c>
      <c r="F92" s="21" t="str">
        <f t="shared" si="2"/>
        <v>rtdc.l.rtdc.4041:itc</v>
      </c>
      <c r="G92" s="8">
        <f t="shared" si="3"/>
        <v>42668.434317129628</v>
      </c>
    </row>
    <row r="93" spans="1:7" x14ac:dyDescent="0.25">
      <c r="A93" s="8">
        <v>42668.435289351852</v>
      </c>
      <c r="B93" s="21" t="s">
        <v>410</v>
      </c>
      <c r="C93" s="21" t="s">
        <v>512</v>
      </c>
      <c r="D93" s="21">
        <v>1110000</v>
      </c>
      <c r="E93" s="21" t="s">
        <v>329</v>
      </c>
      <c r="F93" s="21" t="str">
        <f t="shared" si="2"/>
        <v>rtdc.l.rtdc.4046:itc</v>
      </c>
      <c r="G93" s="8">
        <f t="shared" si="3"/>
        <v>42668.435289351852</v>
      </c>
    </row>
    <row r="94" spans="1:7" x14ac:dyDescent="0.25">
      <c r="A94" s="8">
        <v>42668.442430555559</v>
      </c>
      <c r="B94" s="21" t="s">
        <v>262</v>
      </c>
      <c r="C94" s="21" t="s">
        <v>513</v>
      </c>
      <c r="D94" s="21">
        <v>1300000</v>
      </c>
      <c r="E94" s="21" t="s">
        <v>114</v>
      </c>
      <c r="F94" s="21" t="str">
        <f t="shared" si="2"/>
        <v>rtdc.l.rtdc.4054:itc</v>
      </c>
      <c r="G94" s="8">
        <f t="shared" si="3"/>
        <v>42668.442430555559</v>
      </c>
    </row>
    <row r="95" spans="1:7" x14ac:dyDescent="0.25">
      <c r="A95" s="8">
        <v>42668.443807870368</v>
      </c>
      <c r="B95" s="21" t="s">
        <v>245</v>
      </c>
      <c r="C95" s="21" t="s">
        <v>514</v>
      </c>
      <c r="D95" s="21">
        <v>1090000</v>
      </c>
      <c r="E95" s="21" t="s">
        <v>350</v>
      </c>
      <c r="F95" s="21" t="str">
        <f t="shared" si="2"/>
        <v>rtdc.l.rtdc.4028:itc</v>
      </c>
      <c r="G95" s="8">
        <f t="shared" si="3"/>
        <v>42668.443807870368</v>
      </c>
    </row>
    <row r="96" spans="1:7" x14ac:dyDescent="0.25">
      <c r="A96" s="8">
        <v>42668.444363425922</v>
      </c>
      <c r="B96" s="21" t="s">
        <v>346</v>
      </c>
      <c r="C96" s="21" t="s">
        <v>515</v>
      </c>
      <c r="D96" s="21">
        <v>2560000</v>
      </c>
      <c r="E96" s="21" t="s">
        <v>486</v>
      </c>
      <c r="F96" s="21" t="str">
        <f t="shared" si="2"/>
        <v>rtdc.l.rtdc.4002:itc</v>
      </c>
      <c r="G96" s="8">
        <f t="shared" si="3"/>
        <v>42668.444363425922</v>
      </c>
    </row>
    <row r="97" spans="1:7" x14ac:dyDescent="0.25">
      <c r="A97" s="8">
        <v>42668.453240740739</v>
      </c>
      <c r="B97" s="21" t="s">
        <v>429</v>
      </c>
      <c r="C97" s="21" t="s">
        <v>430</v>
      </c>
      <c r="D97" s="21">
        <v>1990000</v>
      </c>
      <c r="E97" s="21" t="s">
        <v>306</v>
      </c>
      <c r="F97" s="21" t="str">
        <f t="shared" si="2"/>
        <v>rtdc.l.rtdc.4032:itc</v>
      </c>
      <c r="G97" s="8">
        <f t="shared" si="3"/>
        <v>42668.453240740739</v>
      </c>
    </row>
    <row r="98" spans="1:7" x14ac:dyDescent="0.25">
      <c r="A98" s="8">
        <v>42668.454432870371</v>
      </c>
      <c r="B98" s="21" t="s">
        <v>197</v>
      </c>
      <c r="C98" s="21" t="s">
        <v>516</v>
      </c>
      <c r="D98" s="21">
        <v>1280000</v>
      </c>
      <c r="E98" s="21" t="s">
        <v>320</v>
      </c>
      <c r="F98" s="21" t="str">
        <f t="shared" si="2"/>
        <v>rtdc.l.rtdc.4007:itc</v>
      </c>
      <c r="G98" s="8">
        <f t="shared" si="3"/>
        <v>42668.454432870371</v>
      </c>
    </row>
    <row r="99" spans="1:7" x14ac:dyDescent="0.25">
      <c r="A99" s="8">
        <v>42668.45689814815</v>
      </c>
      <c r="B99" s="21" t="s">
        <v>297</v>
      </c>
      <c r="C99" s="21" t="s">
        <v>517</v>
      </c>
      <c r="D99" s="21">
        <v>1100000</v>
      </c>
      <c r="E99" s="21" t="s">
        <v>462</v>
      </c>
      <c r="F99" s="21" t="str">
        <f t="shared" si="2"/>
        <v>rtdc.l.rtdc.4005:itc</v>
      </c>
      <c r="G99" s="8">
        <f t="shared" si="3"/>
        <v>42668.45689814815</v>
      </c>
    </row>
    <row r="100" spans="1:7" x14ac:dyDescent="0.25">
      <c r="A100" s="8">
        <v>42668.460439814815</v>
      </c>
      <c r="B100" s="21" t="s">
        <v>328</v>
      </c>
      <c r="C100" s="21" t="s">
        <v>518</v>
      </c>
      <c r="D100" s="21">
        <v>1540000</v>
      </c>
      <c r="E100" s="21" t="s">
        <v>356</v>
      </c>
      <c r="F100" s="21" t="str">
        <f t="shared" si="2"/>
        <v>rtdc.l.rtdc.4021:itc</v>
      </c>
      <c r="G100" s="8">
        <f t="shared" si="3"/>
        <v>42668.460439814815</v>
      </c>
    </row>
    <row r="101" spans="1:7" x14ac:dyDescent="0.25">
      <c r="A101" s="8">
        <v>42668.468194444446</v>
      </c>
      <c r="B101" s="21" t="s">
        <v>249</v>
      </c>
      <c r="C101" s="21" t="s">
        <v>519</v>
      </c>
      <c r="D101" s="21">
        <v>2420000</v>
      </c>
      <c r="E101" s="21" t="s">
        <v>520</v>
      </c>
      <c r="F101" s="21" t="str">
        <f t="shared" si="2"/>
        <v>rtdc.l.rtdc.4042:itc</v>
      </c>
      <c r="G101" s="8">
        <f t="shared" si="3"/>
        <v>42668.468194444446</v>
      </c>
    </row>
    <row r="102" spans="1:7" x14ac:dyDescent="0.25">
      <c r="A102" s="8">
        <v>42668.468842592592</v>
      </c>
      <c r="B102" s="21" t="s">
        <v>406</v>
      </c>
      <c r="C102" s="21" t="s">
        <v>431</v>
      </c>
      <c r="D102" s="21">
        <v>1110000</v>
      </c>
      <c r="E102" s="21" t="s">
        <v>329</v>
      </c>
      <c r="F102" s="21" t="str">
        <f t="shared" si="2"/>
        <v>rtdc.l.rtdc.4045:itc</v>
      </c>
      <c r="G102" s="8">
        <f t="shared" si="3"/>
        <v>42668.468842592592</v>
      </c>
    </row>
    <row r="103" spans="1:7" x14ac:dyDescent="0.25">
      <c r="A103" s="8">
        <v>42668.470729166664</v>
      </c>
      <c r="B103" s="21" t="s">
        <v>263</v>
      </c>
      <c r="C103" s="21" t="s">
        <v>521</v>
      </c>
      <c r="D103" s="21">
        <v>1300000</v>
      </c>
      <c r="E103" s="21" t="s">
        <v>114</v>
      </c>
      <c r="F103" s="21" t="str">
        <f t="shared" si="2"/>
        <v>rtdc.l.rtdc.4053:itc</v>
      </c>
      <c r="G103" s="8">
        <f t="shared" si="3"/>
        <v>42668.470729166664</v>
      </c>
    </row>
    <row r="104" spans="1:7" x14ac:dyDescent="0.25">
      <c r="A104" s="8">
        <v>42668.479247685187</v>
      </c>
      <c r="B104" s="21" t="s">
        <v>305</v>
      </c>
      <c r="C104" s="21" t="s">
        <v>433</v>
      </c>
      <c r="D104" s="21">
        <v>970000</v>
      </c>
      <c r="E104" s="21" t="s">
        <v>522</v>
      </c>
      <c r="F104" s="21" t="str">
        <f t="shared" si="2"/>
        <v>rtdc.l.rtdc.4027:itc</v>
      </c>
      <c r="G104" s="8">
        <f t="shared" si="3"/>
        <v>42668.479247685187</v>
      </c>
    </row>
    <row r="105" spans="1:7" x14ac:dyDescent="0.25">
      <c r="A105" s="8">
        <v>42668.47928240741</v>
      </c>
      <c r="B105" s="21" t="s">
        <v>271</v>
      </c>
      <c r="C105" s="21" t="s">
        <v>523</v>
      </c>
      <c r="D105" s="21">
        <v>1140000</v>
      </c>
      <c r="E105" s="21" t="s">
        <v>290</v>
      </c>
      <c r="F105" s="21" t="str">
        <f t="shared" si="2"/>
        <v>rtdc.l.rtdc.4015:itc</v>
      </c>
      <c r="G105" s="8">
        <f t="shared" si="3"/>
        <v>42668.47928240741</v>
      </c>
    </row>
    <row r="106" spans="1:7" x14ac:dyDescent="0.25">
      <c r="A106" s="8">
        <v>42668.483680555553</v>
      </c>
      <c r="B106" s="21" t="s">
        <v>262</v>
      </c>
      <c r="C106" s="21" t="s">
        <v>432</v>
      </c>
      <c r="D106" s="21">
        <v>1300000</v>
      </c>
      <c r="E106" s="21" t="s">
        <v>114</v>
      </c>
      <c r="F106" s="21" t="str">
        <f t="shared" si="2"/>
        <v>rtdc.l.rtdc.4054:itc</v>
      </c>
      <c r="G106" s="8">
        <f t="shared" si="3"/>
        <v>42668.483680555553</v>
      </c>
    </row>
    <row r="107" spans="1:7" x14ac:dyDescent="0.25">
      <c r="A107" s="8">
        <v>42668.485856481479</v>
      </c>
      <c r="B107" s="21" t="s">
        <v>262</v>
      </c>
      <c r="C107" s="21" t="s">
        <v>432</v>
      </c>
      <c r="D107" s="21">
        <v>1300000</v>
      </c>
      <c r="E107" s="21" t="s">
        <v>114</v>
      </c>
      <c r="F107" s="21" t="str">
        <f t="shared" si="2"/>
        <v>rtdc.l.rtdc.4054:itc</v>
      </c>
      <c r="G107" s="8">
        <f t="shared" si="3"/>
        <v>42668.485856481479</v>
      </c>
    </row>
    <row r="108" spans="1:7" x14ac:dyDescent="0.25">
      <c r="A108" s="8">
        <v>42668.48709490741</v>
      </c>
      <c r="B108" s="21" t="s">
        <v>347</v>
      </c>
      <c r="C108" s="21" t="s">
        <v>524</v>
      </c>
      <c r="D108" s="21">
        <v>2560000</v>
      </c>
      <c r="E108" s="21" t="s">
        <v>486</v>
      </c>
      <c r="F108" s="21" t="str">
        <f t="shared" si="2"/>
        <v>rtdc.l.rtdc.4001:itc</v>
      </c>
      <c r="G108" s="8">
        <f t="shared" si="3"/>
        <v>42668.48709490741</v>
      </c>
    </row>
    <row r="109" spans="1:7" x14ac:dyDescent="0.25">
      <c r="A109" s="8">
        <v>42668.489201388889</v>
      </c>
      <c r="B109" s="21" t="s">
        <v>418</v>
      </c>
      <c r="C109" s="21" t="s">
        <v>525</v>
      </c>
      <c r="D109" s="21">
        <v>1280000</v>
      </c>
      <c r="E109" s="21" t="s">
        <v>320</v>
      </c>
      <c r="F109" s="21" t="str">
        <f t="shared" si="2"/>
        <v>rtdc.l.rtdc.4008:itc</v>
      </c>
      <c r="G109" s="8">
        <f t="shared" si="3"/>
        <v>42668.489201388889</v>
      </c>
    </row>
    <row r="110" spans="1:7" x14ac:dyDescent="0.25">
      <c r="A110" s="8">
        <v>42668.492685185185</v>
      </c>
      <c r="B110" s="21" t="s">
        <v>435</v>
      </c>
      <c r="C110" s="21" t="s">
        <v>526</v>
      </c>
      <c r="D110" s="21">
        <v>940000</v>
      </c>
      <c r="E110" s="21" t="s">
        <v>353</v>
      </c>
      <c r="F110" s="21" t="str">
        <f t="shared" si="2"/>
        <v>rtdc.l.rtdc.4031:itc</v>
      </c>
      <c r="G110" s="8">
        <f t="shared" si="3"/>
        <v>42668.492685185185</v>
      </c>
    </row>
    <row r="111" spans="1:7" x14ac:dyDescent="0.25">
      <c r="A111" s="8">
        <v>42668.494340277779</v>
      </c>
      <c r="B111" s="21" t="s">
        <v>270</v>
      </c>
      <c r="C111" s="21" t="s">
        <v>527</v>
      </c>
      <c r="D111" s="21">
        <v>1990000</v>
      </c>
      <c r="E111" s="21" t="s">
        <v>306</v>
      </c>
      <c r="F111" s="21" t="str">
        <f t="shared" si="2"/>
        <v>rtdc.l.rtdc.4016:itc</v>
      </c>
      <c r="G111" s="8">
        <f t="shared" si="3"/>
        <v>42668.494340277779</v>
      </c>
    </row>
    <row r="112" spans="1:7" x14ac:dyDescent="0.25">
      <c r="A112" s="8">
        <v>42668.498831018522</v>
      </c>
      <c r="B112" s="21" t="s">
        <v>321</v>
      </c>
      <c r="C112" s="21" t="s">
        <v>528</v>
      </c>
      <c r="D112" s="21">
        <v>1140000</v>
      </c>
      <c r="E112" s="21" t="s">
        <v>290</v>
      </c>
      <c r="F112" s="21" t="str">
        <f t="shared" si="2"/>
        <v>rtdc.l.rtdc.4006:itc</v>
      </c>
      <c r="G112" s="8">
        <f t="shared" si="3"/>
        <v>42668.498831018522</v>
      </c>
    </row>
    <row r="113" spans="1:7" x14ac:dyDescent="0.25">
      <c r="A113" s="8">
        <v>42668.505393518521</v>
      </c>
      <c r="B113" s="21" t="s">
        <v>250</v>
      </c>
      <c r="C113" s="21" t="s">
        <v>529</v>
      </c>
      <c r="D113" s="21">
        <v>2420000</v>
      </c>
      <c r="E113" s="21" t="s">
        <v>520</v>
      </c>
      <c r="F113" s="21" t="str">
        <f t="shared" si="2"/>
        <v>rtdc.l.rtdc.4041:itc</v>
      </c>
      <c r="G113" s="8">
        <f t="shared" si="3"/>
        <v>42668.505393518521</v>
      </c>
    </row>
    <row r="114" spans="1:7" x14ac:dyDescent="0.25">
      <c r="A114" s="8">
        <v>42668.508587962962</v>
      </c>
      <c r="B114" s="21" t="s">
        <v>410</v>
      </c>
      <c r="C114" s="21" t="s">
        <v>530</v>
      </c>
      <c r="D114" s="21">
        <v>930000</v>
      </c>
      <c r="E114" s="21" t="s">
        <v>307</v>
      </c>
      <c r="F114" s="21" t="str">
        <f t="shared" si="2"/>
        <v>rtdc.l.rtdc.4046:itc</v>
      </c>
      <c r="G114" s="8">
        <f t="shared" si="3"/>
        <v>42668.508587962962</v>
      </c>
    </row>
    <row r="115" spans="1:7" x14ac:dyDescent="0.25">
      <c r="A115" s="8">
        <v>42668.511354166665</v>
      </c>
      <c r="B115" s="21" t="s">
        <v>263</v>
      </c>
      <c r="C115" s="21" t="s">
        <v>531</v>
      </c>
      <c r="D115" s="21">
        <v>1300000</v>
      </c>
      <c r="E115" s="21" t="s">
        <v>114</v>
      </c>
      <c r="F115" s="21" t="str">
        <f t="shared" si="2"/>
        <v>rtdc.l.rtdc.4053:itc</v>
      </c>
      <c r="G115" s="8">
        <f t="shared" si="3"/>
        <v>42668.511354166665</v>
      </c>
    </row>
    <row r="116" spans="1:7" x14ac:dyDescent="0.25">
      <c r="A116" s="8">
        <v>42668.513379629629</v>
      </c>
      <c r="B116" s="21" t="s">
        <v>330</v>
      </c>
      <c r="C116" s="21" t="s">
        <v>532</v>
      </c>
      <c r="D116" s="21">
        <v>1100000</v>
      </c>
      <c r="E116" s="21" t="s">
        <v>462</v>
      </c>
      <c r="F116" s="21" t="str">
        <f t="shared" si="2"/>
        <v>rtdc.l.rtdc.4022:itc</v>
      </c>
      <c r="G116" s="8">
        <f t="shared" si="3"/>
        <v>42668.513379629629</v>
      </c>
    </row>
    <row r="117" spans="1:7" x14ac:dyDescent="0.25">
      <c r="A117" s="8">
        <v>42668.516631944447</v>
      </c>
      <c r="B117" s="21" t="s">
        <v>245</v>
      </c>
      <c r="C117" s="21" t="s">
        <v>533</v>
      </c>
      <c r="D117" s="21">
        <v>970000</v>
      </c>
      <c r="E117" s="21" t="s">
        <v>522</v>
      </c>
      <c r="F117" s="21" t="str">
        <f t="shared" si="2"/>
        <v>rtdc.l.rtdc.4028:itc</v>
      </c>
      <c r="G117" s="8">
        <f t="shared" si="3"/>
        <v>42668.516631944447</v>
      </c>
    </row>
    <row r="118" spans="1:7" x14ac:dyDescent="0.25">
      <c r="A118" s="8">
        <v>42668.522152777776</v>
      </c>
      <c r="B118" s="21" t="s">
        <v>346</v>
      </c>
      <c r="C118" s="21" t="s">
        <v>534</v>
      </c>
      <c r="D118" s="21">
        <v>2470000</v>
      </c>
      <c r="E118" s="21" t="s">
        <v>535</v>
      </c>
      <c r="F118" s="21" t="str">
        <f t="shared" si="2"/>
        <v>rtdc.l.rtdc.4002:itc</v>
      </c>
      <c r="G118" s="8">
        <f t="shared" si="3"/>
        <v>42668.522152777776</v>
      </c>
    </row>
    <row r="119" spans="1:7" x14ac:dyDescent="0.25">
      <c r="A119" s="8">
        <v>42668.523402777777</v>
      </c>
      <c r="B119" s="21" t="s">
        <v>429</v>
      </c>
      <c r="C119" s="21" t="s">
        <v>536</v>
      </c>
      <c r="D119" s="21">
        <v>940000</v>
      </c>
      <c r="E119" s="21" t="s">
        <v>353</v>
      </c>
      <c r="F119" s="21" t="str">
        <f t="shared" si="2"/>
        <v>rtdc.l.rtdc.4032:itc</v>
      </c>
      <c r="G119" s="8">
        <f t="shared" si="3"/>
        <v>42668.523402777777</v>
      </c>
    </row>
    <row r="120" spans="1:7" x14ac:dyDescent="0.25">
      <c r="A120" s="8">
        <v>42668.525451388887</v>
      </c>
      <c r="B120" s="21" t="s">
        <v>262</v>
      </c>
      <c r="C120" s="21" t="s">
        <v>537</v>
      </c>
      <c r="D120" s="21">
        <v>1300000</v>
      </c>
      <c r="E120" s="21" t="s">
        <v>114</v>
      </c>
      <c r="F120" s="21" t="str">
        <f t="shared" si="2"/>
        <v>rtdc.l.rtdc.4054:itc</v>
      </c>
      <c r="G120" s="8">
        <f t="shared" si="3"/>
        <v>42668.525451388887</v>
      </c>
    </row>
    <row r="121" spans="1:7" x14ac:dyDescent="0.25">
      <c r="A121" s="8">
        <v>42668.527407407404</v>
      </c>
      <c r="B121" s="21" t="s">
        <v>197</v>
      </c>
      <c r="C121" s="21" t="s">
        <v>538</v>
      </c>
      <c r="D121" s="21">
        <v>1280000</v>
      </c>
      <c r="E121" s="21" t="s">
        <v>320</v>
      </c>
      <c r="F121" s="21" t="str">
        <f t="shared" si="2"/>
        <v>rtdc.l.rtdc.4007:itc</v>
      </c>
      <c r="G121" s="8">
        <f t="shared" si="3"/>
        <v>42668.527407407404</v>
      </c>
    </row>
    <row r="122" spans="1:7" x14ac:dyDescent="0.25">
      <c r="A122" s="8">
        <v>42668.5315625</v>
      </c>
      <c r="B122" s="26" t="s">
        <v>297</v>
      </c>
      <c r="C122" s="21" t="s">
        <v>539</v>
      </c>
      <c r="D122" s="21">
        <v>1140000</v>
      </c>
      <c r="E122" s="21" t="s">
        <v>290</v>
      </c>
      <c r="F122" s="21" t="str">
        <f t="shared" si="2"/>
        <v>rtdc.l.rtdc.4005:itc</v>
      </c>
      <c r="G122" s="8">
        <f t="shared" si="3"/>
        <v>42668.5315625</v>
      </c>
    </row>
    <row r="123" spans="1:7" x14ac:dyDescent="0.25">
      <c r="A123" s="8">
        <v>42668.540393518517</v>
      </c>
      <c r="B123" s="21" t="s">
        <v>249</v>
      </c>
      <c r="C123" s="21" t="s">
        <v>540</v>
      </c>
      <c r="D123" s="21">
        <v>2420000</v>
      </c>
      <c r="E123" s="21" t="s">
        <v>520</v>
      </c>
      <c r="F123" s="21" t="str">
        <f t="shared" si="2"/>
        <v>rtdc.l.rtdc.4042:itc</v>
      </c>
      <c r="G123" s="8">
        <f t="shared" si="3"/>
        <v>42668.540393518517</v>
      </c>
    </row>
    <row r="124" spans="1:7" x14ac:dyDescent="0.25">
      <c r="A124" s="8">
        <v>42668.545925925922</v>
      </c>
      <c r="B124" s="21" t="s">
        <v>406</v>
      </c>
      <c r="C124" s="21" t="s">
        <v>437</v>
      </c>
      <c r="D124" s="21">
        <v>930000</v>
      </c>
      <c r="E124" s="21" t="s">
        <v>307</v>
      </c>
      <c r="F124" s="21" t="str">
        <f t="shared" si="2"/>
        <v>rtdc.l.rtdc.4045:itc</v>
      </c>
      <c r="G124" s="8">
        <f t="shared" si="3"/>
        <v>42668.545925925922</v>
      </c>
    </row>
    <row r="125" spans="1:7" x14ac:dyDescent="0.25">
      <c r="A125" s="8">
        <v>42668.547615740739</v>
      </c>
      <c r="B125" s="21" t="s">
        <v>263</v>
      </c>
      <c r="C125" s="21" t="s">
        <v>541</v>
      </c>
      <c r="D125" s="21">
        <v>2460000</v>
      </c>
      <c r="E125" s="21" t="s">
        <v>542</v>
      </c>
      <c r="F125" s="21" t="str">
        <f t="shared" si="2"/>
        <v>rtdc.l.rtdc.4053:itc</v>
      </c>
      <c r="G125" s="8">
        <f t="shared" si="3"/>
        <v>42668.547615740739</v>
      </c>
    </row>
    <row r="126" spans="1:7" x14ac:dyDescent="0.25">
      <c r="A126" s="8">
        <v>42668.549884259257</v>
      </c>
      <c r="B126" s="21" t="s">
        <v>305</v>
      </c>
      <c r="C126" s="21" t="s">
        <v>543</v>
      </c>
      <c r="D126" s="21">
        <v>970000</v>
      </c>
      <c r="E126" s="21" t="s">
        <v>522</v>
      </c>
      <c r="F126" s="21" t="str">
        <f t="shared" si="2"/>
        <v>rtdc.l.rtdc.4027:itc</v>
      </c>
      <c r="G126" s="8">
        <f t="shared" si="3"/>
        <v>42668.549884259257</v>
      </c>
    </row>
    <row r="127" spans="1:7" x14ac:dyDescent="0.25">
      <c r="A127" s="8">
        <v>42668.555625000001</v>
      </c>
      <c r="B127" s="21" t="s">
        <v>347</v>
      </c>
      <c r="C127" s="21" t="s">
        <v>434</v>
      </c>
      <c r="D127" s="21">
        <v>2470000</v>
      </c>
      <c r="E127" s="21" t="s">
        <v>535</v>
      </c>
      <c r="F127" s="21" t="str">
        <f t="shared" si="2"/>
        <v>rtdc.l.rtdc.4001:itc</v>
      </c>
      <c r="G127" s="8">
        <f t="shared" si="3"/>
        <v>42668.555625000001</v>
      </c>
    </row>
    <row r="128" spans="1:7" x14ac:dyDescent="0.25">
      <c r="A128" s="8">
        <v>42668.558749999997</v>
      </c>
      <c r="B128" s="21" t="s">
        <v>435</v>
      </c>
      <c r="C128" s="21" t="s">
        <v>436</v>
      </c>
      <c r="D128" s="21">
        <v>940000</v>
      </c>
      <c r="E128" s="21" t="s">
        <v>353</v>
      </c>
      <c r="F128" s="21" t="str">
        <f t="shared" si="2"/>
        <v>rtdc.l.rtdc.4031:itc</v>
      </c>
      <c r="G128" s="8">
        <f t="shared" si="3"/>
        <v>42668.558749999997</v>
      </c>
    </row>
    <row r="129" spans="1:7" x14ac:dyDescent="0.25">
      <c r="A129" s="8">
        <v>42668.560706018521</v>
      </c>
      <c r="B129" s="21" t="s">
        <v>418</v>
      </c>
      <c r="C129" s="21" t="s">
        <v>544</v>
      </c>
      <c r="D129" s="21">
        <v>1280000</v>
      </c>
      <c r="E129" s="21" t="s">
        <v>320</v>
      </c>
      <c r="F129" s="21" t="str">
        <f t="shared" si="2"/>
        <v>rtdc.l.rtdc.4008:itc</v>
      </c>
      <c r="G129" s="8">
        <f t="shared" si="3"/>
        <v>42668.560706018521</v>
      </c>
    </row>
    <row r="130" spans="1:7" x14ac:dyDescent="0.25">
      <c r="A130" s="8">
        <v>42668.569548611114</v>
      </c>
      <c r="B130" s="21" t="s">
        <v>262</v>
      </c>
      <c r="C130" s="21" t="s">
        <v>545</v>
      </c>
      <c r="D130" s="21">
        <v>2460000</v>
      </c>
      <c r="E130" s="21" t="s">
        <v>542</v>
      </c>
      <c r="F130" s="21" t="str">
        <f t="shared" ref="F130:F193" si="4">B130</f>
        <v>rtdc.l.rtdc.4054:itc</v>
      </c>
      <c r="G130" s="8">
        <f t="shared" ref="G130:G193" si="5">A130</f>
        <v>42668.569548611114</v>
      </c>
    </row>
    <row r="131" spans="1:7" x14ac:dyDescent="0.25">
      <c r="A131" s="8">
        <v>42668.569895833331</v>
      </c>
      <c r="B131" s="21" t="s">
        <v>321</v>
      </c>
      <c r="C131" s="21" t="s">
        <v>546</v>
      </c>
      <c r="D131" s="21">
        <v>1140000</v>
      </c>
      <c r="E131" s="21" t="s">
        <v>290</v>
      </c>
      <c r="F131" s="21" t="str">
        <f t="shared" si="4"/>
        <v>rtdc.l.rtdc.4006:itc</v>
      </c>
      <c r="G131" s="8">
        <f t="shared" si="5"/>
        <v>42668.569895833331</v>
      </c>
    </row>
    <row r="132" spans="1:7" x14ac:dyDescent="0.25">
      <c r="A132" s="8">
        <v>42668.575555555559</v>
      </c>
      <c r="B132" s="21" t="s">
        <v>250</v>
      </c>
      <c r="C132" s="21" t="s">
        <v>438</v>
      </c>
      <c r="D132" s="21">
        <v>2420000</v>
      </c>
      <c r="E132" s="21" t="s">
        <v>520</v>
      </c>
      <c r="F132" s="21" t="str">
        <f t="shared" si="4"/>
        <v>rtdc.l.rtdc.4041:itc</v>
      </c>
      <c r="G132" s="8">
        <f t="shared" si="5"/>
        <v>42668.575555555559</v>
      </c>
    </row>
    <row r="133" spans="1:7" x14ac:dyDescent="0.25">
      <c r="A133" s="8">
        <v>42668.581319444442</v>
      </c>
      <c r="B133" s="21" t="s">
        <v>245</v>
      </c>
      <c r="C133" s="21" t="s">
        <v>547</v>
      </c>
      <c r="D133" s="21">
        <v>970000</v>
      </c>
      <c r="E133" s="21" t="s">
        <v>522</v>
      </c>
      <c r="F133" s="21" t="str">
        <f t="shared" si="4"/>
        <v>rtdc.l.rtdc.4028:itc</v>
      </c>
      <c r="G133" s="8">
        <f t="shared" si="5"/>
        <v>42668.581319444442</v>
      </c>
    </row>
    <row r="134" spans="1:7" x14ac:dyDescent="0.25">
      <c r="A134" s="8">
        <v>42668.582199074073</v>
      </c>
      <c r="B134" s="21" t="s">
        <v>410</v>
      </c>
      <c r="C134" s="21" t="s">
        <v>548</v>
      </c>
      <c r="D134" s="21">
        <v>930000</v>
      </c>
      <c r="E134" s="21" t="s">
        <v>307</v>
      </c>
      <c r="F134" s="21" t="str">
        <f t="shared" si="4"/>
        <v>rtdc.l.rtdc.4046:itc</v>
      </c>
      <c r="G134" s="8">
        <f t="shared" si="5"/>
        <v>42668.582199074073</v>
      </c>
    </row>
    <row r="135" spans="1:7" x14ac:dyDescent="0.25">
      <c r="A135" s="8">
        <v>42668.584409722222</v>
      </c>
      <c r="B135" s="21" t="s">
        <v>263</v>
      </c>
      <c r="C135" s="21" t="s">
        <v>440</v>
      </c>
      <c r="D135" s="21">
        <v>2460000</v>
      </c>
      <c r="E135" s="21" t="s">
        <v>542</v>
      </c>
      <c r="F135" s="21" t="str">
        <f t="shared" si="4"/>
        <v>rtdc.l.rtdc.4053:itc</v>
      </c>
      <c r="G135" s="8">
        <f t="shared" si="5"/>
        <v>42668.584409722222</v>
      </c>
    </row>
    <row r="136" spans="1:7" x14ac:dyDescent="0.25">
      <c r="A136" s="8">
        <v>42668.590844907405</v>
      </c>
      <c r="B136" s="21" t="s">
        <v>346</v>
      </c>
      <c r="C136" s="21" t="s">
        <v>549</v>
      </c>
      <c r="D136" s="21">
        <v>2470000</v>
      </c>
      <c r="E136" s="21" t="s">
        <v>535</v>
      </c>
      <c r="F136" s="21" t="str">
        <f t="shared" si="4"/>
        <v>rtdc.l.rtdc.4002:itc</v>
      </c>
      <c r="G136" s="8">
        <f t="shared" si="5"/>
        <v>42668.590844907405</v>
      </c>
    </row>
    <row r="137" spans="1:7" x14ac:dyDescent="0.25">
      <c r="A137" s="8">
        <v>42668.594108796293</v>
      </c>
      <c r="B137" s="21" t="s">
        <v>429</v>
      </c>
      <c r="C137" s="21" t="s">
        <v>439</v>
      </c>
      <c r="D137" s="21">
        <v>940000</v>
      </c>
      <c r="E137" s="21" t="s">
        <v>353</v>
      </c>
      <c r="F137" s="21" t="str">
        <f t="shared" si="4"/>
        <v>rtdc.l.rtdc.4032:itc</v>
      </c>
      <c r="G137" s="8">
        <f t="shared" si="5"/>
        <v>42668.594108796293</v>
      </c>
    </row>
    <row r="138" spans="1:7" x14ac:dyDescent="0.25">
      <c r="A138" s="8">
        <v>42668.601377314815</v>
      </c>
      <c r="B138" s="21" t="s">
        <v>197</v>
      </c>
      <c r="C138" s="21" t="s">
        <v>441</v>
      </c>
      <c r="D138" s="21">
        <v>1280000</v>
      </c>
      <c r="E138" s="21" t="s">
        <v>320</v>
      </c>
      <c r="F138" s="21" t="str">
        <f t="shared" si="4"/>
        <v>rtdc.l.rtdc.4007:itc</v>
      </c>
      <c r="G138" s="8">
        <f t="shared" si="5"/>
        <v>42668.601377314815</v>
      </c>
    </row>
    <row r="139" spans="1:7" x14ac:dyDescent="0.25">
      <c r="A139" s="8">
        <v>42668.604907407411</v>
      </c>
      <c r="B139" s="21" t="s">
        <v>297</v>
      </c>
      <c r="C139" s="21" t="s">
        <v>550</v>
      </c>
      <c r="D139" s="21">
        <v>1140000</v>
      </c>
      <c r="E139" s="21" t="s">
        <v>290</v>
      </c>
      <c r="F139" s="21" t="str">
        <f t="shared" si="4"/>
        <v>rtdc.l.rtdc.4005:itc</v>
      </c>
      <c r="G139" s="8">
        <f t="shared" si="5"/>
        <v>42668.604907407411</v>
      </c>
    </row>
    <row r="140" spans="1:7" x14ac:dyDescent="0.25">
      <c r="A140" s="8">
        <v>42668.610185185185</v>
      </c>
      <c r="B140" s="21" t="s">
        <v>262</v>
      </c>
      <c r="C140" s="21" t="s">
        <v>551</v>
      </c>
      <c r="D140" s="21">
        <v>2460000</v>
      </c>
      <c r="E140" s="21" t="s">
        <v>542</v>
      </c>
      <c r="F140" s="21" t="str">
        <f t="shared" si="4"/>
        <v>rtdc.l.rtdc.4054:itc</v>
      </c>
      <c r="G140" s="8">
        <f t="shared" si="5"/>
        <v>42668.610185185185</v>
      </c>
    </row>
    <row r="141" spans="1:7" x14ac:dyDescent="0.25">
      <c r="A141" s="8">
        <v>42668.615648148145</v>
      </c>
      <c r="B141" s="21" t="s">
        <v>249</v>
      </c>
      <c r="C141" s="21" t="s">
        <v>552</v>
      </c>
      <c r="D141" s="21">
        <v>2420000</v>
      </c>
      <c r="E141" s="21" t="s">
        <v>520</v>
      </c>
      <c r="F141" s="21" t="str">
        <f t="shared" si="4"/>
        <v>rtdc.l.rtdc.4042:itc</v>
      </c>
      <c r="G141" s="8">
        <f t="shared" si="5"/>
        <v>42668.615648148145</v>
      </c>
    </row>
    <row r="142" spans="1:7" x14ac:dyDescent="0.25">
      <c r="A142" s="8">
        <v>42668.621550925927</v>
      </c>
      <c r="B142" s="21" t="s">
        <v>406</v>
      </c>
      <c r="C142" s="21" t="s">
        <v>553</v>
      </c>
      <c r="D142" s="21">
        <v>930000</v>
      </c>
      <c r="E142" s="21" t="s">
        <v>307</v>
      </c>
      <c r="F142" s="21" t="str">
        <f t="shared" si="4"/>
        <v>rtdc.l.rtdc.4045:itc</v>
      </c>
      <c r="G142" s="8">
        <f t="shared" si="5"/>
        <v>42668.621550925927</v>
      </c>
    </row>
    <row r="143" spans="1:7" x14ac:dyDescent="0.25">
      <c r="A143" s="8">
        <v>42668.622013888889</v>
      </c>
      <c r="B143" s="21" t="s">
        <v>305</v>
      </c>
      <c r="C143" s="21" t="s">
        <v>442</v>
      </c>
      <c r="D143" s="21">
        <v>970000</v>
      </c>
      <c r="E143" s="21" t="s">
        <v>522</v>
      </c>
      <c r="F143" s="21" t="str">
        <f t="shared" si="4"/>
        <v>rtdc.l.rtdc.4027:itc</v>
      </c>
      <c r="G143" s="8">
        <f t="shared" si="5"/>
        <v>42668.622013888889</v>
      </c>
    </row>
    <row r="144" spans="1:7" x14ac:dyDescent="0.25">
      <c r="A144" s="8">
        <v>42668.624189814815</v>
      </c>
      <c r="B144" s="21" t="s">
        <v>263</v>
      </c>
      <c r="C144" s="21" t="s">
        <v>554</v>
      </c>
      <c r="D144" s="21">
        <v>2460000</v>
      </c>
      <c r="E144" s="21" t="s">
        <v>542</v>
      </c>
      <c r="F144" s="21" t="str">
        <f t="shared" si="4"/>
        <v>rtdc.l.rtdc.4053:itc</v>
      </c>
      <c r="G144" s="8">
        <f t="shared" si="5"/>
        <v>42668.624189814815</v>
      </c>
    </row>
    <row r="145" spans="1:7" x14ac:dyDescent="0.25">
      <c r="A145" s="8">
        <v>42668.629328703704</v>
      </c>
      <c r="B145" s="21" t="s">
        <v>347</v>
      </c>
      <c r="C145" s="21" t="s">
        <v>555</v>
      </c>
      <c r="D145" s="21">
        <v>2470000</v>
      </c>
      <c r="E145" s="21" t="s">
        <v>535</v>
      </c>
      <c r="F145" s="21" t="str">
        <f t="shared" si="4"/>
        <v>rtdc.l.rtdc.4001:itc</v>
      </c>
      <c r="G145" s="8">
        <f t="shared" si="5"/>
        <v>42668.629328703704</v>
      </c>
    </row>
    <row r="146" spans="1:7" x14ac:dyDescent="0.25">
      <c r="A146" s="8">
        <v>42668.63212962963</v>
      </c>
      <c r="B146" s="21" t="s">
        <v>435</v>
      </c>
      <c r="C146" s="21" t="s">
        <v>556</v>
      </c>
      <c r="D146" s="21">
        <v>940000</v>
      </c>
      <c r="E146" s="21" t="s">
        <v>353</v>
      </c>
      <c r="F146" s="21" t="str">
        <f t="shared" si="4"/>
        <v>rtdc.l.rtdc.4031:itc</v>
      </c>
      <c r="G146" s="8">
        <f t="shared" si="5"/>
        <v>42668.63212962963</v>
      </c>
    </row>
    <row r="147" spans="1:7" x14ac:dyDescent="0.25">
      <c r="A147" s="8">
        <v>42668.633043981485</v>
      </c>
      <c r="B147" s="21" t="s">
        <v>418</v>
      </c>
      <c r="C147" s="21" t="s">
        <v>557</v>
      </c>
      <c r="D147" s="21">
        <v>1280000</v>
      </c>
      <c r="E147" s="21" t="s">
        <v>320</v>
      </c>
      <c r="F147" s="21" t="str">
        <f t="shared" si="4"/>
        <v>rtdc.l.rtdc.4008:itc</v>
      </c>
      <c r="G147" s="8">
        <f t="shared" si="5"/>
        <v>42668.633043981485</v>
      </c>
    </row>
    <row r="148" spans="1:7" x14ac:dyDescent="0.25">
      <c r="A148" s="8">
        <v>42668.646747685183</v>
      </c>
      <c r="B148" s="21" t="s">
        <v>194</v>
      </c>
      <c r="C148" s="21" t="s">
        <v>558</v>
      </c>
      <c r="D148" s="21">
        <v>1140000</v>
      </c>
      <c r="E148" s="21" t="s">
        <v>290</v>
      </c>
      <c r="F148" s="21" t="str">
        <f t="shared" si="4"/>
        <v>rtdc.l.rtdc.4009:itc</v>
      </c>
      <c r="G148" s="8">
        <f t="shared" si="5"/>
        <v>42668.646747685183</v>
      </c>
    </row>
    <row r="149" spans="1:7" x14ac:dyDescent="0.25">
      <c r="A149" s="8">
        <v>42668.649201388886</v>
      </c>
      <c r="B149" s="21" t="s">
        <v>250</v>
      </c>
      <c r="C149" s="21" t="s">
        <v>559</v>
      </c>
      <c r="D149" s="21">
        <v>2420000</v>
      </c>
      <c r="E149" s="21" t="s">
        <v>520</v>
      </c>
      <c r="F149" s="21" t="str">
        <f t="shared" si="4"/>
        <v>rtdc.l.rtdc.4041:itc</v>
      </c>
      <c r="G149" s="8">
        <f t="shared" si="5"/>
        <v>42668.649201388886</v>
      </c>
    </row>
    <row r="150" spans="1:7" x14ac:dyDescent="0.25">
      <c r="A150" s="8">
        <v>42668.651296296295</v>
      </c>
      <c r="B150" s="21" t="s">
        <v>262</v>
      </c>
      <c r="C150" s="21" t="s">
        <v>560</v>
      </c>
      <c r="D150" s="21">
        <v>2460000</v>
      </c>
      <c r="E150" s="21" t="s">
        <v>542</v>
      </c>
      <c r="F150" s="21" t="str">
        <f t="shared" si="4"/>
        <v>rtdc.l.rtdc.4054:itc</v>
      </c>
      <c r="G150" s="8">
        <f t="shared" si="5"/>
        <v>42668.651296296295</v>
      </c>
    </row>
    <row r="151" spans="1:7" x14ac:dyDescent="0.25">
      <c r="A151" s="8">
        <v>42668.65252314815</v>
      </c>
      <c r="B151" s="21" t="s">
        <v>258</v>
      </c>
      <c r="C151" s="21" t="s">
        <v>561</v>
      </c>
      <c r="D151" s="21">
        <v>2280000</v>
      </c>
      <c r="E151" s="21" t="s">
        <v>355</v>
      </c>
      <c r="F151" s="21" t="str">
        <f t="shared" si="4"/>
        <v>rtdc.l.rtdc.4029:itc</v>
      </c>
      <c r="G151" s="8">
        <f t="shared" si="5"/>
        <v>42668.65252314815</v>
      </c>
    </row>
    <row r="152" spans="1:7" x14ac:dyDescent="0.25">
      <c r="A152" s="8">
        <v>42668.653634259259</v>
      </c>
      <c r="B152" s="21" t="s">
        <v>258</v>
      </c>
      <c r="C152" s="21" t="s">
        <v>561</v>
      </c>
      <c r="D152" s="21">
        <v>2280000</v>
      </c>
      <c r="E152" s="21" t="s">
        <v>355</v>
      </c>
      <c r="F152" s="21" t="str">
        <f t="shared" si="4"/>
        <v>rtdc.l.rtdc.4029:itc</v>
      </c>
      <c r="G152" s="8">
        <f t="shared" si="5"/>
        <v>42668.653634259259</v>
      </c>
    </row>
    <row r="153" spans="1:7" x14ac:dyDescent="0.25">
      <c r="A153" s="8">
        <v>42668.653831018521</v>
      </c>
      <c r="B153" s="21" t="s">
        <v>245</v>
      </c>
      <c r="C153" s="21" t="s">
        <v>562</v>
      </c>
      <c r="D153" s="21">
        <v>970000</v>
      </c>
      <c r="E153" s="21" t="s">
        <v>522</v>
      </c>
      <c r="F153" s="21" t="str">
        <f t="shared" si="4"/>
        <v>rtdc.l.rtdc.4028:itc</v>
      </c>
      <c r="G153" s="8">
        <f t="shared" si="5"/>
        <v>42668.653831018521</v>
      </c>
    </row>
    <row r="154" spans="1:7" x14ac:dyDescent="0.25">
      <c r="A154" s="8">
        <v>42668.656527777777</v>
      </c>
      <c r="B154" s="21" t="s">
        <v>258</v>
      </c>
      <c r="C154" s="21" t="s">
        <v>561</v>
      </c>
      <c r="D154" s="21">
        <v>2280000</v>
      </c>
      <c r="E154" s="21" t="s">
        <v>355</v>
      </c>
      <c r="F154" s="21" t="str">
        <f t="shared" si="4"/>
        <v>rtdc.l.rtdc.4029:itc</v>
      </c>
      <c r="G154" s="8">
        <f t="shared" si="5"/>
        <v>42668.656527777777</v>
      </c>
    </row>
    <row r="155" spans="1:7" x14ac:dyDescent="0.25">
      <c r="A155" s="8">
        <v>42668.658078703702</v>
      </c>
      <c r="B155" s="21" t="s">
        <v>321</v>
      </c>
      <c r="C155" s="21" t="s">
        <v>563</v>
      </c>
      <c r="D155" s="21">
        <v>930000</v>
      </c>
      <c r="E155" s="21" t="s">
        <v>307</v>
      </c>
      <c r="F155" s="21" t="str">
        <f t="shared" si="4"/>
        <v>rtdc.l.rtdc.4006:itc</v>
      </c>
      <c r="G155" s="8">
        <f t="shared" si="5"/>
        <v>42668.658078703702</v>
      </c>
    </row>
    <row r="156" spans="1:7" x14ac:dyDescent="0.25">
      <c r="A156" s="8">
        <v>42668.659259259257</v>
      </c>
      <c r="B156" s="21" t="s">
        <v>258</v>
      </c>
      <c r="C156" s="21" t="s">
        <v>561</v>
      </c>
      <c r="D156" s="21">
        <v>2280000</v>
      </c>
      <c r="E156" s="21" t="s">
        <v>355</v>
      </c>
      <c r="F156" s="21" t="str">
        <f t="shared" si="4"/>
        <v>rtdc.l.rtdc.4029:itc</v>
      </c>
      <c r="G156" s="8">
        <f t="shared" si="5"/>
        <v>42668.659259259257</v>
      </c>
    </row>
    <row r="157" spans="1:7" x14ac:dyDescent="0.25">
      <c r="A157" s="8">
        <v>42668.664004629631</v>
      </c>
      <c r="B157" s="21" t="s">
        <v>258</v>
      </c>
      <c r="C157" s="21" t="s">
        <v>561</v>
      </c>
      <c r="D157" s="21">
        <v>2280000</v>
      </c>
      <c r="E157" s="21" t="s">
        <v>355</v>
      </c>
      <c r="F157" s="21" t="str">
        <f t="shared" si="4"/>
        <v>rtdc.l.rtdc.4029:itc</v>
      </c>
      <c r="G157" s="8">
        <f t="shared" si="5"/>
        <v>42668.664004629631</v>
      </c>
    </row>
    <row r="158" spans="1:7" x14ac:dyDescent="0.25">
      <c r="A158" s="8">
        <v>42668.665138888886</v>
      </c>
      <c r="B158" s="21" t="s">
        <v>346</v>
      </c>
      <c r="C158" s="21" t="s">
        <v>564</v>
      </c>
      <c r="D158" s="21">
        <v>2470000</v>
      </c>
      <c r="E158" s="21" t="s">
        <v>535</v>
      </c>
      <c r="F158" s="21" t="str">
        <f t="shared" si="4"/>
        <v>rtdc.l.rtdc.4002:itc</v>
      </c>
      <c r="G158" s="8">
        <f t="shared" si="5"/>
        <v>42668.665138888886</v>
      </c>
    </row>
    <row r="159" spans="1:7" x14ac:dyDescent="0.25">
      <c r="A159" s="8">
        <v>42668.666701388887</v>
      </c>
      <c r="B159" s="21" t="s">
        <v>263</v>
      </c>
      <c r="C159" s="21" t="s">
        <v>565</v>
      </c>
      <c r="D159" s="21">
        <v>2460000</v>
      </c>
      <c r="E159" s="21" t="s">
        <v>542</v>
      </c>
      <c r="F159" s="21" t="str">
        <f t="shared" si="4"/>
        <v>rtdc.l.rtdc.4053:itc</v>
      </c>
      <c r="G159" s="8">
        <f t="shared" si="5"/>
        <v>42668.666701388887</v>
      </c>
    </row>
    <row r="160" spans="1:7" x14ac:dyDescent="0.25">
      <c r="A160" s="8">
        <v>42668.667557870373</v>
      </c>
      <c r="B160" s="21" t="s">
        <v>429</v>
      </c>
      <c r="C160" s="21" t="s">
        <v>566</v>
      </c>
      <c r="D160" s="21">
        <v>940000</v>
      </c>
      <c r="E160" s="21" t="s">
        <v>353</v>
      </c>
      <c r="F160" s="21" t="str">
        <f t="shared" si="4"/>
        <v>rtdc.l.rtdc.4032:itc</v>
      </c>
      <c r="G160" s="8">
        <f t="shared" si="5"/>
        <v>42668.667557870373</v>
      </c>
    </row>
    <row r="161" spans="1:7" x14ac:dyDescent="0.25">
      <c r="A161" s="8">
        <v>42668.66983796296</v>
      </c>
      <c r="B161" s="21" t="s">
        <v>429</v>
      </c>
      <c r="C161" s="21" t="s">
        <v>566</v>
      </c>
      <c r="D161" s="21">
        <v>940000</v>
      </c>
      <c r="E161" s="21" t="s">
        <v>353</v>
      </c>
      <c r="F161" s="21" t="str">
        <f t="shared" si="4"/>
        <v>rtdc.l.rtdc.4032:itc</v>
      </c>
      <c r="G161" s="8">
        <f t="shared" si="5"/>
        <v>42668.66983796296</v>
      </c>
    </row>
    <row r="162" spans="1:7" x14ac:dyDescent="0.25">
      <c r="A162" s="8">
        <v>42668.670844907407</v>
      </c>
      <c r="B162" s="21" t="s">
        <v>429</v>
      </c>
      <c r="C162" s="21" t="s">
        <v>567</v>
      </c>
      <c r="D162" s="21">
        <v>940000</v>
      </c>
      <c r="E162" s="21" t="s">
        <v>353</v>
      </c>
      <c r="F162" s="21" t="str">
        <f t="shared" si="4"/>
        <v>rtdc.l.rtdc.4032:itc</v>
      </c>
      <c r="G162" s="8">
        <f t="shared" si="5"/>
        <v>42668.670844907407</v>
      </c>
    </row>
    <row r="163" spans="1:7" x14ac:dyDescent="0.25">
      <c r="A163" s="8">
        <v>42668.672766203701</v>
      </c>
      <c r="B163" s="21" t="s">
        <v>197</v>
      </c>
      <c r="C163" s="21" t="s">
        <v>568</v>
      </c>
      <c r="D163" s="21">
        <v>1280000</v>
      </c>
      <c r="E163" s="21" t="s">
        <v>320</v>
      </c>
      <c r="F163" s="21" t="str">
        <f t="shared" si="4"/>
        <v>rtdc.l.rtdc.4007:itc</v>
      </c>
      <c r="G163" s="8">
        <f t="shared" si="5"/>
        <v>42668.672766203701</v>
      </c>
    </row>
    <row r="164" spans="1:7" x14ac:dyDescent="0.25">
      <c r="A164" s="8">
        <v>42668.674618055556</v>
      </c>
      <c r="B164" s="21" t="s">
        <v>259</v>
      </c>
      <c r="C164" s="21" t="s">
        <v>569</v>
      </c>
      <c r="D164" s="21">
        <v>2280000</v>
      </c>
      <c r="E164" s="21" t="s">
        <v>355</v>
      </c>
      <c r="F164" s="21" t="str">
        <f t="shared" si="4"/>
        <v>rtdc.l.rtdc.4030:itc</v>
      </c>
      <c r="G164" s="8">
        <f t="shared" si="5"/>
        <v>42668.674618055556</v>
      </c>
    </row>
    <row r="165" spans="1:7" x14ac:dyDescent="0.25">
      <c r="A165" s="8">
        <v>42668.67769675926</v>
      </c>
      <c r="B165" s="21" t="s">
        <v>193</v>
      </c>
      <c r="C165" s="21" t="s">
        <v>443</v>
      </c>
      <c r="D165" s="21">
        <v>1140000</v>
      </c>
      <c r="E165" s="21" t="s">
        <v>290</v>
      </c>
      <c r="F165" s="21" t="str">
        <f t="shared" si="4"/>
        <v>rtdc.l.rtdc.4010:itc</v>
      </c>
      <c r="G165" s="8">
        <f t="shared" si="5"/>
        <v>42668.67769675926</v>
      </c>
    </row>
    <row r="166" spans="1:7" x14ac:dyDescent="0.25">
      <c r="A166" s="8">
        <v>42668.685601851852</v>
      </c>
      <c r="B166" s="21" t="s">
        <v>249</v>
      </c>
      <c r="C166" s="21" t="s">
        <v>570</v>
      </c>
      <c r="D166" s="21">
        <v>2420000</v>
      </c>
      <c r="E166" s="21" t="s">
        <v>520</v>
      </c>
      <c r="F166" s="21" t="str">
        <f t="shared" si="4"/>
        <v>rtdc.l.rtdc.4042:itc</v>
      </c>
      <c r="G166" s="8">
        <f t="shared" si="5"/>
        <v>42668.685601851852</v>
      </c>
    </row>
    <row r="167" spans="1:7" x14ac:dyDescent="0.25">
      <c r="A167" s="8">
        <v>42668.691365740742</v>
      </c>
      <c r="B167" s="21" t="s">
        <v>297</v>
      </c>
      <c r="C167" s="21" t="s">
        <v>571</v>
      </c>
      <c r="D167" s="21">
        <v>930000</v>
      </c>
      <c r="E167" s="21" t="s">
        <v>307</v>
      </c>
      <c r="F167" s="21" t="str">
        <f t="shared" si="4"/>
        <v>rtdc.l.rtdc.4005:itc</v>
      </c>
      <c r="G167" s="8">
        <f t="shared" si="5"/>
        <v>42668.691365740742</v>
      </c>
    </row>
    <row r="168" spans="1:7" x14ac:dyDescent="0.25">
      <c r="A168" s="8">
        <v>42668.693622685183</v>
      </c>
      <c r="B168" s="21" t="s">
        <v>262</v>
      </c>
      <c r="C168" s="21" t="s">
        <v>572</v>
      </c>
      <c r="D168" s="21">
        <v>2460000</v>
      </c>
      <c r="E168" s="21" t="s">
        <v>542</v>
      </c>
      <c r="F168" s="21" t="str">
        <f t="shared" si="4"/>
        <v>rtdc.l.rtdc.4054:itc</v>
      </c>
      <c r="G168" s="8">
        <f t="shared" si="5"/>
        <v>42668.693622685183</v>
      </c>
    </row>
    <row r="169" spans="1:7" x14ac:dyDescent="0.25">
      <c r="A169" s="8">
        <v>42668.697766203702</v>
      </c>
      <c r="B169" s="21" t="s">
        <v>258</v>
      </c>
      <c r="C169" s="21" t="s">
        <v>573</v>
      </c>
      <c r="D169" s="21">
        <v>2280000</v>
      </c>
      <c r="E169" s="21" t="s">
        <v>355</v>
      </c>
      <c r="F169" s="21" t="str">
        <f t="shared" si="4"/>
        <v>rtdc.l.rtdc.4029:itc</v>
      </c>
      <c r="G169" s="8">
        <f t="shared" si="5"/>
        <v>42668.697766203702</v>
      </c>
    </row>
    <row r="170" spans="1:7" x14ac:dyDescent="0.25">
      <c r="A170" s="8">
        <v>42668.698206018518</v>
      </c>
      <c r="B170" s="21" t="s">
        <v>347</v>
      </c>
      <c r="C170" s="21" t="s">
        <v>444</v>
      </c>
      <c r="D170" s="21">
        <v>2470000</v>
      </c>
      <c r="E170" s="21" t="s">
        <v>535</v>
      </c>
      <c r="F170" s="21" t="str">
        <f t="shared" si="4"/>
        <v>rtdc.l.rtdc.4001:itc</v>
      </c>
      <c r="G170" s="8">
        <f t="shared" si="5"/>
        <v>42668.698206018518</v>
      </c>
    </row>
    <row r="171" spans="1:7" x14ac:dyDescent="0.25">
      <c r="A171" s="8">
        <v>42668.698252314818</v>
      </c>
      <c r="B171" s="21" t="s">
        <v>305</v>
      </c>
      <c r="C171" s="21" t="s">
        <v>574</v>
      </c>
      <c r="D171" s="21">
        <v>970000</v>
      </c>
      <c r="E171" s="21" t="s">
        <v>522</v>
      </c>
      <c r="F171" s="21" t="str">
        <f t="shared" si="4"/>
        <v>rtdc.l.rtdc.4027:itc</v>
      </c>
      <c r="G171" s="8">
        <f t="shared" si="5"/>
        <v>42668.698252314818</v>
      </c>
    </row>
    <row r="172" spans="1:7" x14ac:dyDescent="0.25">
      <c r="A172" s="8">
        <v>42668.704398148147</v>
      </c>
      <c r="B172" s="21" t="s">
        <v>262</v>
      </c>
      <c r="C172" s="21" t="s">
        <v>572</v>
      </c>
      <c r="D172" s="21">
        <v>2460000</v>
      </c>
      <c r="E172" s="21" t="s">
        <v>542</v>
      </c>
      <c r="F172" s="21" t="str">
        <f t="shared" si="4"/>
        <v>rtdc.l.rtdc.4054:itc</v>
      </c>
      <c r="G172" s="8">
        <f t="shared" si="5"/>
        <v>42668.704398148147</v>
      </c>
    </row>
    <row r="173" spans="1:7" x14ac:dyDescent="0.25">
      <c r="A173" s="8">
        <v>42668.70648148148</v>
      </c>
      <c r="B173" s="21" t="s">
        <v>418</v>
      </c>
      <c r="C173" s="21" t="s">
        <v>575</v>
      </c>
      <c r="D173" s="21">
        <v>1280000</v>
      </c>
      <c r="E173" s="21" t="s">
        <v>320</v>
      </c>
      <c r="F173" s="21" t="str">
        <f t="shared" si="4"/>
        <v>rtdc.l.rtdc.4008:itc</v>
      </c>
      <c r="G173" s="8">
        <f t="shared" si="5"/>
        <v>42668.70648148148</v>
      </c>
    </row>
    <row r="174" spans="1:7" x14ac:dyDescent="0.25">
      <c r="A174" s="8">
        <v>42668.707662037035</v>
      </c>
      <c r="B174" s="21" t="s">
        <v>435</v>
      </c>
      <c r="C174" s="21" t="s">
        <v>566</v>
      </c>
      <c r="D174" s="21">
        <v>940000</v>
      </c>
      <c r="E174" s="21" t="s">
        <v>353</v>
      </c>
      <c r="F174" s="21" t="str">
        <f t="shared" si="4"/>
        <v>rtdc.l.rtdc.4031:itc</v>
      </c>
      <c r="G174" s="8">
        <f t="shared" si="5"/>
        <v>42668.707662037035</v>
      </c>
    </row>
    <row r="175" spans="1:7" x14ac:dyDescent="0.25">
      <c r="A175" s="8">
        <v>42668.714050925926</v>
      </c>
      <c r="B175" s="21" t="s">
        <v>259</v>
      </c>
      <c r="C175" s="21" t="s">
        <v>576</v>
      </c>
      <c r="D175" s="21">
        <v>2280000</v>
      </c>
      <c r="E175" s="21" t="s">
        <v>355</v>
      </c>
      <c r="F175" s="21" t="str">
        <f t="shared" si="4"/>
        <v>rtdc.l.rtdc.4030:itc</v>
      </c>
      <c r="G175" s="8">
        <f t="shared" si="5"/>
        <v>42668.714050925926</v>
      </c>
    </row>
    <row r="176" spans="1:7" x14ac:dyDescent="0.25">
      <c r="A176" s="8">
        <v>42668.715960648151</v>
      </c>
      <c r="B176" s="21" t="s">
        <v>263</v>
      </c>
      <c r="C176" s="21" t="s">
        <v>577</v>
      </c>
      <c r="D176" s="21">
        <v>2460000</v>
      </c>
      <c r="E176" s="21" t="s">
        <v>542</v>
      </c>
      <c r="F176" s="21" t="str">
        <f t="shared" si="4"/>
        <v>rtdc.l.rtdc.4053:itc</v>
      </c>
      <c r="G176" s="8">
        <f t="shared" si="5"/>
        <v>42668.715960648151</v>
      </c>
    </row>
    <row r="177" spans="1:7" x14ac:dyDescent="0.25">
      <c r="A177" s="8">
        <v>42668.71943287037</v>
      </c>
      <c r="B177" s="21" t="s">
        <v>194</v>
      </c>
      <c r="C177" s="21" t="s">
        <v>578</v>
      </c>
      <c r="D177" s="21">
        <v>1180000</v>
      </c>
      <c r="E177" s="21" t="s">
        <v>189</v>
      </c>
      <c r="F177" s="21" t="str">
        <f t="shared" si="4"/>
        <v>rtdc.l.rtdc.4009:itc</v>
      </c>
      <c r="G177" s="8">
        <f t="shared" si="5"/>
        <v>42668.71943287037</v>
      </c>
    </row>
    <row r="178" spans="1:7" x14ac:dyDescent="0.25">
      <c r="A178" s="8">
        <v>42668.720729166664</v>
      </c>
      <c r="B178" s="21" t="s">
        <v>410</v>
      </c>
      <c r="C178" s="21" t="s">
        <v>579</v>
      </c>
      <c r="D178" s="21">
        <v>2150000</v>
      </c>
      <c r="E178" s="21" t="s">
        <v>352</v>
      </c>
      <c r="F178" s="21" t="str">
        <f t="shared" si="4"/>
        <v>rtdc.l.rtdc.4046:itc</v>
      </c>
      <c r="G178" s="8">
        <f t="shared" si="5"/>
        <v>42668.720729166664</v>
      </c>
    </row>
    <row r="179" spans="1:7" x14ac:dyDescent="0.25">
      <c r="A179" s="8">
        <v>42668.722002314818</v>
      </c>
      <c r="B179" s="21" t="s">
        <v>250</v>
      </c>
      <c r="C179" s="21" t="s">
        <v>580</v>
      </c>
      <c r="D179" s="21">
        <v>2420000</v>
      </c>
      <c r="E179" s="21" t="s">
        <v>520</v>
      </c>
      <c r="F179" s="21" t="str">
        <f t="shared" si="4"/>
        <v>rtdc.l.rtdc.4041:itc</v>
      </c>
      <c r="G179" s="8">
        <f t="shared" si="5"/>
        <v>42668.722002314818</v>
      </c>
    </row>
    <row r="180" spans="1:7" x14ac:dyDescent="0.25">
      <c r="A180" s="8">
        <v>42668.727418981478</v>
      </c>
      <c r="B180" s="21" t="s">
        <v>304</v>
      </c>
      <c r="C180" s="21" t="s">
        <v>445</v>
      </c>
      <c r="D180" s="21">
        <v>150000</v>
      </c>
      <c r="E180" s="21" t="s">
        <v>265</v>
      </c>
      <c r="F180" s="21" t="str">
        <f t="shared" si="4"/>
        <v>rtdc.l.rtdc.4013:itc</v>
      </c>
      <c r="G180" s="8">
        <f t="shared" si="5"/>
        <v>42668.727418981478</v>
      </c>
    </row>
    <row r="181" spans="1:7" x14ac:dyDescent="0.25">
      <c r="A181" s="8">
        <v>42668.729131944441</v>
      </c>
      <c r="B181" s="21" t="s">
        <v>321</v>
      </c>
      <c r="C181" s="21" t="s">
        <v>581</v>
      </c>
      <c r="D181" s="21">
        <v>1140000</v>
      </c>
      <c r="E181" s="21" t="s">
        <v>290</v>
      </c>
      <c r="F181" s="21" t="str">
        <f t="shared" si="4"/>
        <v>rtdc.l.rtdc.4006:itc</v>
      </c>
      <c r="G181" s="8">
        <f t="shared" si="5"/>
        <v>42668.729131944441</v>
      </c>
    </row>
    <row r="182" spans="1:7" x14ac:dyDescent="0.25">
      <c r="A182" s="8">
        <v>42668.731423611112</v>
      </c>
      <c r="B182" s="21" t="s">
        <v>245</v>
      </c>
      <c r="C182" s="21" t="s">
        <v>582</v>
      </c>
      <c r="D182" s="21">
        <v>970000</v>
      </c>
      <c r="E182" s="21" t="s">
        <v>522</v>
      </c>
      <c r="F182" s="21" t="str">
        <f t="shared" si="4"/>
        <v>rtdc.l.rtdc.4028:itc</v>
      </c>
      <c r="G182" s="8">
        <f t="shared" si="5"/>
        <v>42668.731423611112</v>
      </c>
    </row>
    <row r="183" spans="1:7" x14ac:dyDescent="0.25">
      <c r="A183" s="8">
        <v>42668.734606481485</v>
      </c>
      <c r="B183" s="21" t="s">
        <v>262</v>
      </c>
      <c r="C183" s="21" t="s">
        <v>583</v>
      </c>
      <c r="D183" s="21">
        <v>2460000</v>
      </c>
      <c r="E183" s="21" t="s">
        <v>542</v>
      </c>
      <c r="F183" s="21" t="str">
        <f t="shared" si="4"/>
        <v>rtdc.l.rtdc.4054:itc</v>
      </c>
      <c r="G183" s="8">
        <f t="shared" si="5"/>
        <v>42668.734606481485</v>
      </c>
    </row>
    <row r="184" spans="1:7" x14ac:dyDescent="0.25">
      <c r="A184" s="8">
        <v>42668.735960648148</v>
      </c>
      <c r="B184" s="21" t="s">
        <v>346</v>
      </c>
      <c r="C184" s="21" t="s">
        <v>584</v>
      </c>
      <c r="D184" s="21">
        <v>2350000</v>
      </c>
      <c r="E184" s="21" t="s">
        <v>260</v>
      </c>
      <c r="F184" s="21" t="str">
        <f t="shared" si="4"/>
        <v>rtdc.l.rtdc.4002:itc</v>
      </c>
      <c r="G184" s="8">
        <f t="shared" si="5"/>
        <v>42668.735960648148</v>
      </c>
    </row>
    <row r="185" spans="1:7" x14ac:dyDescent="0.25">
      <c r="A185" s="8">
        <v>42668.737962962965</v>
      </c>
      <c r="B185" s="21" t="s">
        <v>429</v>
      </c>
      <c r="C185" s="21" t="s">
        <v>585</v>
      </c>
      <c r="D185" s="21">
        <v>940000</v>
      </c>
      <c r="E185" s="21" t="s">
        <v>353</v>
      </c>
      <c r="F185" s="21" t="str">
        <f t="shared" si="4"/>
        <v>rtdc.l.rtdc.4032:itc</v>
      </c>
      <c r="G185" s="8">
        <f t="shared" si="5"/>
        <v>42668.737962962965</v>
      </c>
    </row>
    <row r="186" spans="1:7" x14ac:dyDescent="0.25">
      <c r="A186" s="8">
        <v>42668.740266203706</v>
      </c>
      <c r="B186" s="21" t="s">
        <v>258</v>
      </c>
      <c r="C186" s="21" t="s">
        <v>586</v>
      </c>
      <c r="D186" s="21">
        <v>2280000</v>
      </c>
      <c r="E186" s="21" t="s">
        <v>355</v>
      </c>
      <c r="F186" s="21" t="str">
        <f t="shared" si="4"/>
        <v>rtdc.l.rtdc.4029:itc</v>
      </c>
      <c r="G186" s="8">
        <f t="shared" si="5"/>
        <v>42668.740266203706</v>
      </c>
    </row>
    <row r="187" spans="1:7" x14ac:dyDescent="0.25">
      <c r="A187" s="8">
        <v>42668.748287037037</v>
      </c>
      <c r="B187" s="21" t="s">
        <v>197</v>
      </c>
      <c r="C187" s="21" t="s">
        <v>587</v>
      </c>
      <c r="D187" s="21">
        <v>2470000</v>
      </c>
      <c r="E187" s="21" t="s">
        <v>535</v>
      </c>
      <c r="F187" s="21" t="str">
        <f t="shared" si="4"/>
        <v>rtdc.l.rtdc.4007:itc</v>
      </c>
      <c r="G187" s="8">
        <f t="shared" si="5"/>
        <v>42668.748287037037</v>
      </c>
    </row>
    <row r="188" spans="1:7" x14ac:dyDescent="0.25">
      <c r="A188" s="8">
        <v>42668.749837962961</v>
      </c>
      <c r="B188" s="21" t="s">
        <v>263</v>
      </c>
      <c r="C188" s="21" t="s">
        <v>588</v>
      </c>
      <c r="D188" s="21">
        <v>2460000</v>
      </c>
      <c r="E188" s="21" t="s">
        <v>542</v>
      </c>
      <c r="F188" s="21" t="str">
        <f t="shared" si="4"/>
        <v>rtdc.l.rtdc.4053:itc</v>
      </c>
      <c r="G188" s="8">
        <f t="shared" si="5"/>
        <v>42668.749837962961</v>
      </c>
    </row>
    <row r="189" spans="1:7" x14ac:dyDescent="0.25">
      <c r="A189" s="8">
        <v>42668.754224537035</v>
      </c>
      <c r="B189" s="21" t="s">
        <v>193</v>
      </c>
      <c r="C189" s="21" t="s">
        <v>589</v>
      </c>
      <c r="D189" s="21">
        <v>1180000</v>
      </c>
      <c r="E189" s="21" t="s">
        <v>189</v>
      </c>
      <c r="F189" s="21" t="str">
        <f t="shared" si="4"/>
        <v>rtdc.l.rtdc.4010:itc</v>
      </c>
      <c r="G189" s="8">
        <f t="shared" si="5"/>
        <v>42668.754224537035</v>
      </c>
    </row>
    <row r="190" spans="1:7" x14ac:dyDescent="0.25">
      <c r="A190" s="8">
        <v>42668.755752314813</v>
      </c>
      <c r="B190" s="21" t="s">
        <v>259</v>
      </c>
      <c r="C190" s="21" t="s">
        <v>590</v>
      </c>
      <c r="D190" s="21">
        <v>2280000</v>
      </c>
      <c r="E190" s="21" t="s">
        <v>355</v>
      </c>
      <c r="F190" s="21" t="str">
        <f t="shared" si="4"/>
        <v>rtdc.l.rtdc.4030:itc</v>
      </c>
      <c r="G190" s="8">
        <f t="shared" si="5"/>
        <v>42668.755752314813</v>
      </c>
    </row>
    <row r="191" spans="1:7" x14ac:dyDescent="0.25">
      <c r="A191" s="8">
        <v>42668.75818287037</v>
      </c>
      <c r="B191" s="21" t="s">
        <v>249</v>
      </c>
      <c r="C191" s="21" t="s">
        <v>591</v>
      </c>
      <c r="D191" s="21">
        <v>1230000</v>
      </c>
      <c r="E191" s="21" t="s">
        <v>213</v>
      </c>
      <c r="F191" s="21" t="str">
        <f t="shared" si="4"/>
        <v>rtdc.l.rtdc.4042:itc</v>
      </c>
      <c r="G191" s="8">
        <f t="shared" si="5"/>
        <v>42668.75818287037</v>
      </c>
    </row>
    <row r="192" spans="1:7" x14ac:dyDescent="0.25">
      <c r="A192" s="8">
        <v>42668.762858796297</v>
      </c>
      <c r="B192" s="21" t="s">
        <v>297</v>
      </c>
      <c r="C192" s="21" t="s">
        <v>592</v>
      </c>
      <c r="D192" s="21">
        <v>1140000</v>
      </c>
      <c r="E192" s="21" t="s">
        <v>290</v>
      </c>
      <c r="F192" s="21" t="str">
        <f t="shared" si="4"/>
        <v>rtdc.l.rtdc.4005:itc</v>
      </c>
      <c r="G192" s="8">
        <f t="shared" si="5"/>
        <v>42668.762858796297</v>
      </c>
    </row>
    <row r="193" spans="1:7" x14ac:dyDescent="0.25">
      <c r="A193" s="8">
        <v>42668.769386574073</v>
      </c>
      <c r="B193" s="21" t="s">
        <v>305</v>
      </c>
      <c r="C193" s="21" t="s">
        <v>593</v>
      </c>
      <c r="D193" s="21">
        <v>2370000</v>
      </c>
      <c r="E193" s="21" t="s">
        <v>264</v>
      </c>
      <c r="F193" s="21" t="str">
        <f t="shared" si="4"/>
        <v>rtdc.l.rtdc.4027:itc</v>
      </c>
      <c r="G193" s="8">
        <f t="shared" si="5"/>
        <v>42668.769386574073</v>
      </c>
    </row>
    <row r="194" spans="1:7" x14ac:dyDescent="0.25">
      <c r="A194" s="8">
        <v>42668.772511574076</v>
      </c>
      <c r="B194" s="21" t="s">
        <v>347</v>
      </c>
      <c r="C194" s="21" t="s">
        <v>594</v>
      </c>
      <c r="D194" s="21">
        <v>2350000</v>
      </c>
      <c r="E194" s="21" t="s">
        <v>260</v>
      </c>
      <c r="F194" s="21" t="str">
        <f t="shared" ref="F194:F235" si="6">B194</f>
        <v>rtdc.l.rtdc.4001:itc</v>
      </c>
      <c r="G194" s="8">
        <f t="shared" ref="G194:G235" si="7">A194</f>
        <v>42668.772511574076</v>
      </c>
    </row>
    <row r="195" spans="1:7" x14ac:dyDescent="0.25">
      <c r="A195" s="8">
        <v>42668.776458333334</v>
      </c>
      <c r="B195" s="21" t="s">
        <v>262</v>
      </c>
      <c r="C195" s="21" t="s">
        <v>595</v>
      </c>
      <c r="D195" s="21">
        <v>2460000</v>
      </c>
      <c r="E195" s="21" t="s">
        <v>542</v>
      </c>
      <c r="F195" s="21" t="str">
        <f t="shared" si="6"/>
        <v>rtdc.l.rtdc.4054:itc</v>
      </c>
      <c r="G195" s="8">
        <f t="shared" si="7"/>
        <v>42668.776458333334</v>
      </c>
    </row>
    <row r="196" spans="1:7" x14ac:dyDescent="0.25">
      <c r="A196" s="8">
        <v>42668.778692129628</v>
      </c>
      <c r="B196" s="21" t="s">
        <v>435</v>
      </c>
      <c r="C196" s="21" t="s">
        <v>596</v>
      </c>
      <c r="D196" s="21">
        <v>940000</v>
      </c>
      <c r="E196" s="21" t="s">
        <v>353</v>
      </c>
      <c r="F196" s="21" t="str">
        <f t="shared" si="6"/>
        <v>rtdc.l.rtdc.4031:itc</v>
      </c>
      <c r="G196" s="8">
        <f t="shared" si="7"/>
        <v>42668.778692129628</v>
      </c>
    </row>
    <row r="197" spans="1:7" x14ac:dyDescent="0.25">
      <c r="A197" s="8">
        <v>42668.783506944441</v>
      </c>
      <c r="B197" s="21" t="s">
        <v>258</v>
      </c>
      <c r="C197" s="21" t="s">
        <v>597</v>
      </c>
      <c r="D197" s="21">
        <v>2280000</v>
      </c>
      <c r="E197" s="21" t="s">
        <v>355</v>
      </c>
      <c r="F197" s="21" t="str">
        <f t="shared" si="6"/>
        <v>rtdc.l.rtdc.4029:itc</v>
      </c>
      <c r="G197" s="8">
        <f t="shared" si="7"/>
        <v>42668.783506944441</v>
      </c>
    </row>
    <row r="198" spans="1:7" x14ac:dyDescent="0.25">
      <c r="A198" s="8">
        <v>42668.786724537036</v>
      </c>
      <c r="B198" s="21" t="s">
        <v>418</v>
      </c>
      <c r="C198" s="21" t="s">
        <v>598</v>
      </c>
      <c r="D198" s="21">
        <v>2470000</v>
      </c>
      <c r="E198" s="21" t="s">
        <v>535</v>
      </c>
      <c r="F198" s="21" t="str">
        <f t="shared" si="6"/>
        <v>rtdc.l.rtdc.4008:itc</v>
      </c>
      <c r="G198" s="8">
        <f t="shared" si="7"/>
        <v>42668.786724537036</v>
      </c>
    </row>
    <row r="199" spans="1:7" x14ac:dyDescent="0.25">
      <c r="A199" s="8">
        <v>42668.78943287037</v>
      </c>
      <c r="B199" s="21" t="s">
        <v>194</v>
      </c>
      <c r="C199" s="21" t="s">
        <v>599</v>
      </c>
      <c r="D199" s="21">
        <v>1180000</v>
      </c>
      <c r="E199" s="21" t="s">
        <v>189</v>
      </c>
      <c r="F199" s="21" t="str">
        <f t="shared" si="6"/>
        <v>rtdc.l.rtdc.4009:itc</v>
      </c>
      <c r="G199" s="8">
        <f t="shared" si="7"/>
        <v>42668.78943287037</v>
      </c>
    </row>
    <row r="200" spans="1:7" x14ac:dyDescent="0.25">
      <c r="A200" s="8">
        <v>42668.792638888888</v>
      </c>
      <c r="B200" s="21" t="s">
        <v>263</v>
      </c>
      <c r="C200" s="21" t="s">
        <v>600</v>
      </c>
      <c r="D200" s="21">
        <v>2460000</v>
      </c>
      <c r="E200" s="21" t="s">
        <v>542</v>
      </c>
      <c r="F200" s="21" t="str">
        <f t="shared" si="6"/>
        <v>rtdc.l.rtdc.4053:itc</v>
      </c>
      <c r="G200" s="8">
        <f t="shared" si="7"/>
        <v>42668.792638888888</v>
      </c>
    </row>
    <row r="201" spans="1:7" x14ac:dyDescent="0.25">
      <c r="A201" s="8">
        <v>42668.796516203707</v>
      </c>
      <c r="B201" s="21" t="s">
        <v>250</v>
      </c>
      <c r="C201" s="21" t="s">
        <v>446</v>
      </c>
      <c r="D201" s="21">
        <v>1230000</v>
      </c>
      <c r="E201" s="21" t="s">
        <v>213</v>
      </c>
      <c r="F201" s="21" t="str">
        <f t="shared" si="6"/>
        <v>rtdc.l.rtdc.4041:itc</v>
      </c>
      <c r="G201" s="8">
        <f t="shared" si="7"/>
        <v>42668.796516203707</v>
      </c>
    </row>
    <row r="202" spans="1:7" x14ac:dyDescent="0.25">
      <c r="A202" s="27">
        <v>42668.798414351855</v>
      </c>
      <c r="B202" s="21" t="s">
        <v>259</v>
      </c>
      <c r="C202" s="21" t="s">
        <v>601</v>
      </c>
      <c r="D202" s="21">
        <v>2280000</v>
      </c>
      <c r="E202" s="21" t="s">
        <v>355</v>
      </c>
      <c r="F202" s="21" t="str">
        <f t="shared" si="6"/>
        <v>rtdc.l.rtdc.4030:itc</v>
      </c>
      <c r="G202" s="8">
        <f t="shared" si="7"/>
        <v>42668.798414351855</v>
      </c>
    </row>
    <row r="203" spans="1:7" x14ac:dyDescent="0.25">
      <c r="A203" s="8">
        <v>42668.801006944443</v>
      </c>
      <c r="B203" s="21" t="s">
        <v>321</v>
      </c>
      <c r="C203" s="21" t="s">
        <v>602</v>
      </c>
      <c r="D203" s="21">
        <v>1140000</v>
      </c>
      <c r="E203" s="21" t="s">
        <v>290</v>
      </c>
      <c r="F203" s="21" t="str">
        <f t="shared" si="6"/>
        <v>rtdc.l.rtdc.4006:itc</v>
      </c>
      <c r="G203" s="8">
        <f t="shared" si="7"/>
        <v>42668.801006944443</v>
      </c>
    </row>
    <row r="204" spans="1:7" x14ac:dyDescent="0.25">
      <c r="A204" s="8">
        <v>42668.80572916667</v>
      </c>
      <c r="B204" s="21" t="s">
        <v>245</v>
      </c>
      <c r="C204" s="21" t="s">
        <v>603</v>
      </c>
      <c r="D204" s="21">
        <v>2370000</v>
      </c>
      <c r="E204" s="21" t="s">
        <v>264</v>
      </c>
      <c r="F204" s="21" t="str">
        <f t="shared" si="6"/>
        <v>rtdc.l.rtdc.4028:itc</v>
      </c>
      <c r="G204" s="8">
        <f t="shared" si="7"/>
        <v>42668.80572916667</v>
      </c>
    </row>
    <row r="205" spans="1:7" x14ac:dyDescent="0.25">
      <c r="A205" s="8">
        <v>42668.808969907404</v>
      </c>
      <c r="B205" s="21" t="s">
        <v>346</v>
      </c>
      <c r="C205" s="21" t="s">
        <v>604</v>
      </c>
      <c r="D205" s="21">
        <v>2350000</v>
      </c>
      <c r="E205" s="21" t="s">
        <v>260</v>
      </c>
      <c r="F205" s="21" t="str">
        <f t="shared" si="6"/>
        <v>rtdc.l.rtdc.4002:itc</v>
      </c>
      <c r="G205" s="8">
        <f t="shared" si="7"/>
        <v>42668.808969907404</v>
      </c>
    </row>
    <row r="206" spans="1:7" x14ac:dyDescent="0.25">
      <c r="A206" s="8">
        <v>42668.818194444444</v>
      </c>
      <c r="B206" s="21" t="s">
        <v>197</v>
      </c>
      <c r="C206" s="21" t="s">
        <v>605</v>
      </c>
      <c r="D206" s="21">
        <v>2470000</v>
      </c>
      <c r="E206" s="21" t="s">
        <v>535</v>
      </c>
      <c r="F206" s="21" t="str">
        <f t="shared" si="6"/>
        <v>rtdc.l.rtdc.4007:itc</v>
      </c>
      <c r="G206" s="8">
        <f t="shared" si="7"/>
        <v>42668.818194444444</v>
      </c>
    </row>
    <row r="207" spans="1:7" x14ac:dyDescent="0.25">
      <c r="A207" s="8">
        <v>42668.818194444444</v>
      </c>
      <c r="B207" s="21" t="s">
        <v>262</v>
      </c>
      <c r="C207" s="21" t="s">
        <v>606</v>
      </c>
      <c r="D207" s="21">
        <v>2460000</v>
      </c>
      <c r="E207" s="21" t="s">
        <v>542</v>
      </c>
      <c r="F207" s="21" t="str">
        <f t="shared" si="6"/>
        <v>rtdc.l.rtdc.4054:itc</v>
      </c>
      <c r="G207" s="8">
        <f t="shared" si="7"/>
        <v>42668.818194444444</v>
      </c>
    </row>
    <row r="208" spans="1:7" x14ac:dyDescent="0.25">
      <c r="A208" s="8">
        <v>42668.826307870368</v>
      </c>
      <c r="B208" s="21" t="s">
        <v>193</v>
      </c>
      <c r="C208" s="21" t="s">
        <v>607</v>
      </c>
      <c r="D208" s="21">
        <v>1180000</v>
      </c>
      <c r="E208" s="21" t="s">
        <v>189</v>
      </c>
      <c r="F208" s="21" t="str">
        <f t="shared" si="6"/>
        <v>rtdc.l.rtdc.4010:itc</v>
      </c>
      <c r="G208" s="8">
        <f t="shared" si="7"/>
        <v>42668.826307870368</v>
      </c>
    </row>
    <row r="209" spans="1:7" x14ac:dyDescent="0.25">
      <c r="A209" s="8">
        <v>42668.830150462964</v>
      </c>
      <c r="B209" s="21" t="s">
        <v>249</v>
      </c>
      <c r="C209" s="21" t="s">
        <v>608</v>
      </c>
      <c r="D209" s="21">
        <v>1230000</v>
      </c>
      <c r="E209" s="21" t="s">
        <v>213</v>
      </c>
      <c r="F209" s="21" t="str">
        <f t="shared" si="6"/>
        <v>rtdc.l.rtdc.4042:itc</v>
      </c>
      <c r="G209" s="8">
        <f t="shared" si="7"/>
        <v>42668.830150462964</v>
      </c>
    </row>
    <row r="210" spans="1:7" x14ac:dyDescent="0.25">
      <c r="A210" s="8">
        <v>42668.838622685187</v>
      </c>
      <c r="B210" s="21" t="s">
        <v>263</v>
      </c>
      <c r="C210" s="21" t="s">
        <v>609</v>
      </c>
      <c r="D210" s="21">
        <v>2460000</v>
      </c>
      <c r="E210" s="21" t="s">
        <v>542</v>
      </c>
      <c r="F210" s="21" t="str">
        <f t="shared" si="6"/>
        <v>rtdc.l.rtdc.4053:itc</v>
      </c>
      <c r="G210" s="8">
        <f t="shared" si="7"/>
        <v>42668.838622685187</v>
      </c>
    </row>
    <row r="211" spans="1:7" x14ac:dyDescent="0.25">
      <c r="A211" s="8">
        <v>42668.844293981485</v>
      </c>
      <c r="B211" s="21" t="s">
        <v>347</v>
      </c>
      <c r="C211" s="21" t="s">
        <v>610</v>
      </c>
      <c r="D211" s="21">
        <v>2350000</v>
      </c>
      <c r="E211" s="21" t="s">
        <v>260</v>
      </c>
      <c r="F211" s="21" t="str">
        <f t="shared" si="6"/>
        <v>rtdc.l.rtdc.4001:itc</v>
      </c>
      <c r="G211" s="8">
        <f t="shared" si="7"/>
        <v>42668.844293981485</v>
      </c>
    </row>
    <row r="212" spans="1:7" x14ac:dyDescent="0.25">
      <c r="A212" s="8">
        <v>42668.848935185182</v>
      </c>
      <c r="B212" s="21" t="s">
        <v>305</v>
      </c>
      <c r="C212" s="21" t="s">
        <v>611</v>
      </c>
      <c r="D212" s="21">
        <v>2370000</v>
      </c>
      <c r="E212" s="21" t="s">
        <v>264</v>
      </c>
      <c r="F212" s="21" t="str">
        <f t="shared" si="6"/>
        <v>rtdc.l.rtdc.4027:itc</v>
      </c>
      <c r="G212" s="8">
        <f t="shared" si="7"/>
        <v>42668.848935185182</v>
      </c>
    </row>
    <row r="213" spans="1:7" x14ac:dyDescent="0.25">
      <c r="A213" s="8">
        <v>42668.8593287037</v>
      </c>
      <c r="B213" s="21" t="s">
        <v>262</v>
      </c>
      <c r="C213" s="21" t="s">
        <v>612</v>
      </c>
      <c r="D213" s="21">
        <v>2460000</v>
      </c>
      <c r="E213" s="21" t="s">
        <v>542</v>
      </c>
      <c r="F213" s="21" t="str">
        <f t="shared" si="6"/>
        <v>rtdc.l.rtdc.4054:itc</v>
      </c>
      <c r="G213" s="8">
        <f t="shared" si="7"/>
        <v>42668.8593287037</v>
      </c>
    </row>
    <row r="214" spans="1:7" x14ac:dyDescent="0.25">
      <c r="A214" s="8">
        <v>42668.869131944448</v>
      </c>
      <c r="B214" s="21" t="s">
        <v>250</v>
      </c>
      <c r="C214" s="21" t="s">
        <v>613</v>
      </c>
      <c r="D214" s="21">
        <v>1230000</v>
      </c>
      <c r="E214" s="21" t="s">
        <v>213</v>
      </c>
      <c r="F214" s="21" t="str">
        <f t="shared" si="6"/>
        <v>rtdc.l.rtdc.4041:itc</v>
      </c>
      <c r="G214" s="8">
        <f t="shared" si="7"/>
        <v>42668.869131944448</v>
      </c>
    </row>
    <row r="215" spans="1:7" x14ac:dyDescent="0.25">
      <c r="A215" s="8">
        <v>42668.872025462966</v>
      </c>
      <c r="B215" s="21" t="s">
        <v>194</v>
      </c>
      <c r="C215" s="21" t="s">
        <v>614</v>
      </c>
      <c r="D215" s="21">
        <v>1180000</v>
      </c>
      <c r="E215" s="21" t="s">
        <v>189</v>
      </c>
      <c r="F215" s="21" t="str">
        <f t="shared" si="6"/>
        <v>rtdc.l.rtdc.4009:itc</v>
      </c>
      <c r="G215" s="8">
        <f t="shared" si="7"/>
        <v>42668.872025462966</v>
      </c>
    </row>
    <row r="216" spans="1:7" x14ac:dyDescent="0.25">
      <c r="A216" s="8">
        <v>42668.877766203703</v>
      </c>
      <c r="B216" s="21" t="s">
        <v>263</v>
      </c>
      <c r="C216" s="21" t="s">
        <v>615</v>
      </c>
      <c r="D216" s="21">
        <v>2280000</v>
      </c>
      <c r="E216" s="21" t="s">
        <v>355</v>
      </c>
      <c r="F216" s="21" t="str">
        <f t="shared" si="6"/>
        <v>rtdc.l.rtdc.4053:itc</v>
      </c>
      <c r="G216" s="8">
        <f t="shared" si="7"/>
        <v>42668.877766203703</v>
      </c>
    </row>
    <row r="217" spans="1:7" x14ac:dyDescent="0.25">
      <c r="A217" s="8">
        <v>42668.889050925929</v>
      </c>
      <c r="B217" s="21" t="s">
        <v>245</v>
      </c>
      <c r="C217" s="21" t="s">
        <v>616</v>
      </c>
      <c r="D217" s="21">
        <v>2370000</v>
      </c>
      <c r="E217" s="21" t="s">
        <v>264</v>
      </c>
      <c r="F217" s="21" t="str">
        <f t="shared" si="6"/>
        <v>rtdc.l.rtdc.4028:itc</v>
      </c>
      <c r="G217" s="8">
        <f t="shared" si="7"/>
        <v>42668.889050925929</v>
      </c>
    </row>
    <row r="218" spans="1:7" x14ac:dyDescent="0.25">
      <c r="A218" s="8">
        <v>42668.89167824074</v>
      </c>
      <c r="B218" s="21" t="s">
        <v>346</v>
      </c>
      <c r="C218" s="21" t="s">
        <v>617</v>
      </c>
      <c r="D218" s="21">
        <v>2350000</v>
      </c>
      <c r="E218" s="21" t="s">
        <v>260</v>
      </c>
      <c r="F218" s="21" t="str">
        <f t="shared" si="6"/>
        <v>rtdc.l.rtdc.4002:itc</v>
      </c>
      <c r="G218" s="8">
        <f t="shared" si="7"/>
        <v>42668.89167824074</v>
      </c>
    </row>
    <row r="219" spans="1:7" x14ac:dyDescent="0.25">
      <c r="A219" s="8">
        <v>42668.901377314818</v>
      </c>
      <c r="B219" s="21" t="s">
        <v>249</v>
      </c>
      <c r="C219" s="21" t="s">
        <v>618</v>
      </c>
      <c r="D219" s="21">
        <v>1230000</v>
      </c>
      <c r="E219" s="21" t="s">
        <v>213</v>
      </c>
      <c r="F219" s="21" t="str">
        <f t="shared" si="6"/>
        <v>rtdc.l.rtdc.4042:itc</v>
      </c>
      <c r="G219" s="8">
        <f t="shared" si="7"/>
        <v>42668.901377314818</v>
      </c>
    </row>
    <row r="220" spans="1:7" x14ac:dyDescent="0.25">
      <c r="A220" s="8">
        <v>42668.901689814818</v>
      </c>
      <c r="B220" s="21" t="s">
        <v>262</v>
      </c>
      <c r="C220" s="21" t="s">
        <v>619</v>
      </c>
      <c r="D220" s="21">
        <v>2280000</v>
      </c>
      <c r="E220" s="21" t="s">
        <v>355</v>
      </c>
      <c r="F220" s="21" t="str">
        <f t="shared" si="6"/>
        <v>rtdc.l.rtdc.4054:itc</v>
      </c>
      <c r="G220" s="8">
        <f t="shared" si="7"/>
        <v>42668.901689814818</v>
      </c>
    </row>
    <row r="221" spans="1:7" x14ac:dyDescent="0.25">
      <c r="A221" s="8">
        <v>42668.907141203701</v>
      </c>
      <c r="B221" s="21" t="s">
        <v>193</v>
      </c>
      <c r="C221" s="21" t="s">
        <v>620</v>
      </c>
      <c r="D221" s="21">
        <v>1180000</v>
      </c>
      <c r="E221" s="21" t="s">
        <v>189</v>
      </c>
      <c r="F221" s="21" t="str">
        <f t="shared" si="6"/>
        <v>rtdc.l.rtdc.4010:itc</v>
      </c>
      <c r="G221" s="8">
        <f t="shared" si="7"/>
        <v>42668.907141203701</v>
      </c>
    </row>
    <row r="222" spans="1:7" x14ac:dyDescent="0.25">
      <c r="A222" s="8">
        <v>42668.917511574073</v>
      </c>
      <c r="B222" s="21" t="s">
        <v>263</v>
      </c>
      <c r="C222" s="21" t="s">
        <v>621</v>
      </c>
      <c r="D222" s="21">
        <v>2280000</v>
      </c>
      <c r="E222" s="21" t="s">
        <v>355</v>
      </c>
      <c r="F222" s="21" t="str">
        <f t="shared" si="6"/>
        <v>rtdc.l.rtdc.4053:itc</v>
      </c>
      <c r="G222" s="8">
        <f t="shared" si="7"/>
        <v>42668.917511574073</v>
      </c>
    </row>
    <row r="223" spans="1:7" x14ac:dyDescent="0.25">
      <c r="A223" s="8">
        <v>42668.929166666669</v>
      </c>
      <c r="B223" s="21" t="s">
        <v>305</v>
      </c>
      <c r="C223" s="21" t="s">
        <v>622</v>
      </c>
      <c r="D223" s="21">
        <v>2370000</v>
      </c>
      <c r="E223" s="21" t="s">
        <v>264</v>
      </c>
      <c r="F223" s="21" t="str">
        <f t="shared" si="6"/>
        <v>rtdc.l.rtdc.4027:itc</v>
      </c>
      <c r="G223" s="8">
        <f t="shared" si="7"/>
        <v>42668.929166666669</v>
      </c>
    </row>
    <row r="224" spans="1:7" x14ac:dyDescent="0.25">
      <c r="A224" s="8">
        <v>42668.929305555554</v>
      </c>
      <c r="B224" t="s">
        <v>347</v>
      </c>
      <c r="C224" t="s">
        <v>623</v>
      </c>
      <c r="D224">
        <v>2350000</v>
      </c>
      <c r="E224" t="s">
        <v>260</v>
      </c>
      <c r="F224" s="21" t="str">
        <f t="shared" si="6"/>
        <v>rtdc.l.rtdc.4001:itc</v>
      </c>
      <c r="G224" s="8">
        <f t="shared" si="7"/>
        <v>42668.929305555554</v>
      </c>
    </row>
    <row r="225" spans="1:7" x14ac:dyDescent="0.25">
      <c r="A225" s="8">
        <v>42668.943877314814</v>
      </c>
      <c r="B225" t="s">
        <v>262</v>
      </c>
      <c r="C225" t="s">
        <v>624</v>
      </c>
      <c r="D225">
        <v>2280000</v>
      </c>
      <c r="E225" t="s">
        <v>355</v>
      </c>
      <c r="F225" s="21" t="str">
        <f t="shared" si="6"/>
        <v>rtdc.l.rtdc.4054:itc</v>
      </c>
      <c r="G225" s="8">
        <f t="shared" si="7"/>
        <v>42668.943877314814</v>
      </c>
    </row>
    <row r="226" spans="1:7" x14ac:dyDescent="0.25">
      <c r="A226" s="8">
        <v>42668.952418981484</v>
      </c>
      <c r="B226" t="s">
        <v>250</v>
      </c>
      <c r="C226" t="s">
        <v>447</v>
      </c>
      <c r="D226">
        <v>1230000</v>
      </c>
      <c r="E226" t="s">
        <v>213</v>
      </c>
      <c r="F226" s="21" t="str">
        <f t="shared" si="6"/>
        <v>rtdc.l.rtdc.4041:itc</v>
      </c>
      <c r="G226" s="8">
        <f t="shared" si="7"/>
        <v>42668.952418981484</v>
      </c>
    </row>
    <row r="227" spans="1:7" x14ac:dyDescent="0.25">
      <c r="A227" s="8">
        <v>42668.954456018517</v>
      </c>
      <c r="B227" t="s">
        <v>194</v>
      </c>
      <c r="C227" t="s">
        <v>625</v>
      </c>
      <c r="D227">
        <v>1180000</v>
      </c>
      <c r="E227" t="s">
        <v>189</v>
      </c>
      <c r="F227" s="21" t="str">
        <f t="shared" si="6"/>
        <v>rtdc.l.rtdc.4009:itc</v>
      </c>
      <c r="G227" s="8">
        <f t="shared" si="7"/>
        <v>42668.954456018517</v>
      </c>
    </row>
    <row r="228" spans="1:7" x14ac:dyDescent="0.25">
      <c r="A228" s="8">
        <v>42668.973298611112</v>
      </c>
      <c r="B228" t="s">
        <v>245</v>
      </c>
      <c r="C228" t="s">
        <v>448</v>
      </c>
      <c r="D228">
        <v>2370000</v>
      </c>
      <c r="E228" t="s">
        <v>264</v>
      </c>
      <c r="F228" s="21" t="str">
        <f t="shared" si="6"/>
        <v>rtdc.l.rtdc.4028:itc</v>
      </c>
      <c r="G228" s="8">
        <f t="shared" si="7"/>
        <v>42668.973298611112</v>
      </c>
    </row>
    <row r="229" spans="1:7" x14ac:dyDescent="0.25">
      <c r="A229" s="8">
        <v>42668.973657407405</v>
      </c>
      <c r="B229" t="s">
        <v>346</v>
      </c>
      <c r="C229" t="s">
        <v>626</v>
      </c>
      <c r="D229">
        <v>2350000</v>
      </c>
      <c r="E229" t="s">
        <v>260</v>
      </c>
      <c r="F229" s="21" t="str">
        <f t="shared" si="6"/>
        <v>rtdc.l.rtdc.4002:itc</v>
      </c>
      <c r="G229" s="8">
        <f t="shared" si="7"/>
        <v>42668.973657407405</v>
      </c>
    </row>
    <row r="230" spans="1:7" x14ac:dyDescent="0.25">
      <c r="A230" s="8">
        <v>42668.983124999999</v>
      </c>
      <c r="B230" t="s">
        <v>249</v>
      </c>
      <c r="C230" t="s">
        <v>627</v>
      </c>
      <c r="D230">
        <v>1230000</v>
      </c>
      <c r="E230" t="s">
        <v>213</v>
      </c>
      <c r="F230" s="21" t="str">
        <f t="shared" si="6"/>
        <v>rtdc.l.rtdc.4042:itc</v>
      </c>
      <c r="G230" s="8">
        <f t="shared" si="7"/>
        <v>42668.983124999999</v>
      </c>
    </row>
    <row r="231" spans="1:7" x14ac:dyDescent="0.25">
      <c r="A231" s="8">
        <v>42668.993043981478</v>
      </c>
      <c r="B231" t="s">
        <v>193</v>
      </c>
      <c r="C231" t="s">
        <v>628</v>
      </c>
      <c r="D231">
        <v>1180000</v>
      </c>
      <c r="E231" t="s">
        <v>189</v>
      </c>
      <c r="F231" s="21" t="str">
        <f t="shared" si="6"/>
        <v>rtdc.l.rtdc.4010:itc</v>
      </c>
      <c r="G231" s="8">
        <f t="shared" si="7"/>
        <v>42668.993043981478</v>
      </c>
    </row>
    <row r="232" spans="1:7" x14ac:dyDescent="0.25">
      <c r="A232" s="8">
        <v>42669.01394675926</v>
      </c>
      <c r="B232" t="s">
        <v>347</v>
      </c>
      <c r="C232" t="s">
        <v>449</v>
      </c>
      <c r="D232">
        <v>2350000</v>
      </c>
      <c r="E232" t="s">
        <v>260</v>
      </c>
      <c r="F232" s="21" t="str">
        <f t="shared" si="6"/>
        <v>rtdc.l.rtdc.4001:itc</v>
      </c>
      <c r="G232" s="8">
        <f t="shared" si="7"/>
        <v>42669.01394675926</v>
      </c>
    </row>
    <row r="233" spans="1:7" x14ac:dyDescent="0.25">
      <c r="A233" s="8">
        <v>42669.016979166663</v>
      </c>
      <c r="B233" t="s">
        <v>305</v>
      </c>
      <c r="C233" t="s">
        <v>629</v>
      </c>
      <c r="D233">
        <v>2370000</v>
      </c>
      <c r="E233" t="s">
        <v>264</v>
      </c>
      <c r="F233" s="21" t="str">
        <f t="shared" si="6"/>
        <v>rtdc.l.rtdc.4027:itc</v>
      </c>
      <c r="G233" s="8">
        <f t="shared" si="7"/>
        <v>42669.016979166663</v>
      </c>
    </row>
    <row r="234" spans="1:7" x14ac:dyDescent="0.25">
      <c r="A234" s="8">
        <v>42669.028703703705</v>
      </c>
      <c r="B234" t="s">
        <v>194</v>
      </c>
      <c r="C234" t="s">
        <v>630</v>
      </c>
      <c r="D234">
        <v>1180000</v>
      </c>
      <c r="E234" t="s">
        <v>189</v>
      </c>
      <c r="F234" s="21" t="str">
        <f t="shared" si="6"/>
        <v>rtdc.l.rtdc.4009:itc</v>
      </c>
      <c r="G234" s="8">
        <f t="shared" si="7"/>
        <v>42669.028703703705</v>
      </c>
    </row>
    <row r="235" spans="1:7" x14ac:dyDescent="0.25">
      <c r="A235" s="8">
        <v>42669.036111111112</v>
      </c>
      <c r="B235" t="s">
        <v>250</v>
      </c>
      <c r="C235" t="s">
        <v>631</v>
      </c>
      <c r="D235">
        <v>1230000</v>
      </c>
      <c r="E235" t="s">
        <v>213</v>
      </c>
      <c r="F235" s="21" t="str">
        <f t="shared" si="6"/>
        <v>rtdc.l.rtdc.4041:itc</v>
      </c>
      <c r="G235" s="8">
        <f t="shared" si="7"/>
        <v>42669.036111111112</v>
      </c>
    </row>
    <row r="236" spans="1:7" x14ac:dyDescent="0.25">
      <c r="A236" s="8">
        <v>42669.047858796293</v>
      </c>
      <c r="B236" t="s">
        <v>346</v>
      </c>
      <c r="C236" t="s">
        <v>632</v>
      </c>
      <c r="D236">
        <v>2350000</v>
      </c>
      <c r="E236" t="s">
        <v>260</v>
      </c>
      <c r="F236" s="21" t="str">
        <f t="shared" ref="F236:F265" si="8">B236</f>
        <v>rtdc.l.rtdc.4002:itc</v>
      </c>
      <c r="G236" s="8">
        <f t="shared" ref="G236:G265" si="9">A236</f>
        <v>42669.047858796293</v>
      </c>
    </row>
    <row r="237" spans="1:7" x14ac:dyDescent="0.25">
      <c r="A237" s="8">
        <v>42669.054270833331</v>
      </c>
      <c r="B237" t="s">
        <v>245</v>
      </c>
      <c r="C237" t="s">
        <v>633</v>
      </c>
      <c r="D237">
        <v>2370000</v>
      </c>
      <c r="E237" t="s">
        <v>264</v>
      </c>
      <c r="F237" s="21" t="str">
        <f t="shared" si="8"/>
        <v>rtdc.l.rtdc.4028:itc</v>
      </c>
      <c r="G237" s="8">
        <f t="shared" si="9"/>
        <v>42669.054270833331</v>
      </c>
    </row>
    <row r="238" spans="1:7" x14ac:dyDescent="0.25">
      <c r="A238" s="8">
        <v>42669.067465277774</v>
      </c>
      <c r="B238" t="s">
        <v>249</v>
      </c>
      <c r="C238" t="s">
        <v>634</v>
      </c>
      <c r="D238">
        <v>1230000</v>
      </c>
      <c r="E238" t="s">
        <v>213</v>
      </c>
      <c r="F238" s="21" t="str">
        <f t="shared" si="8"/>
        <v>rtdc.l.rtdc.4042:itc</v>
      </c>
      <c r="G238" s="8">
        <f t="shared" si="9"/>
        <v>42669.067465277774</v>
      </c>
    </row>
    <row r="239" spans="1:7" x14ac:dyDescent="0.25">
      <c r="A239" s="8">
        <v>42669.105868055558</v>
      </c>
      <c r="B239" t="s">
        <v>157</v>
      </c>
      <c r="C239" t="s">
        <v>635</v>
      </c>
      <c r="D239">
        <v>780000</v>
      </c>
      <c r="E239" t="s">
        <v>636</v>
      </c>
      <c r="F239" s="21" t="str">
        <f t="shared" si="8"/>
        <v>rtdc.l.rtdc.4051:itc</v>
      </c>
      <c r="G239" s="8">
        <f t="shared" si="9"/>
        <v>42669.105868055558</v>
      </c>
    </row>
    <row r="240" spans="1:7" x14ac:dyDescent="0.25">
      <c r="A240" s="8">
        <v>42661.949745370373</v>
      </c>
      <c r="B240" t="s">
        <v>258</v>
      </c>
      <c r="C240" t="s">
        <v>274</v>
      </c>
      <c r="D240">
        <v>1800000</v>
      </c>
      <c r="E240" t="s">
        <v>208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258</v>
      </c>
      <c r="C241" t="s">
        <v>275</v>
      </c>
      <c r="D241">
        <v>1800000</v>
      </c>
      <c r="E241" t="s">
        <v>208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240</v>
      </c>
      <c r="C242" t="s">
        <v>276</v>
      </c>
      <c r="D242">
        <v>1230000</v>
      </c>
      <c r="E242" t="s">
        <v>213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245</v>
      </c>
      <c r="C243" t="s">
        <v>277</v>
      </c>
      <c r="D243">
        <v>110000</v>
      </c>
      <c r="E243" t="s">
        <v>273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212</v>
      </c>
      <c r="C244" t="s">
        <v>272</v>
      </c>
      <c r="D244">
        <v>150000</v>
      </c>
      <c r="E244" t="s">
        <v>265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278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259</v>
      </c>
      <c r="C246" t="s">
        <v>279</v>
      </c>
      <c r="D246">
        <v>1800000</v>
      </c>
      <c r="E246" t="s">
        <v>208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270</v>
      </c>
      <c r="C247" t="s">
        <v>280</v>
      </c>
      <c r="D247">
        <v>2350000</v>
      </c>
      <c r="E247" t="s">
        <v>260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210</v>
      </c>
      <c r="C248" t="s">
        <v>281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282</v>
      </c>
      <c r="D249">
        <v>1230000</v>
      </c>
      <c r="E249" t="s">
        <v>213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282</v>
      </c>
      <c r="D250">
        <v>1230000</v>
      </c>
      <c r="E250" t="s">
        <v>213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258</v>
      </c>
      <c r="C251" t="s">
        <v>283</v>
      </c>
      <c r="D251">
        <v>1800000</v>
      </c>
      <c r="E251" t="s">
        <v>208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271</v>
      </c>
      <c r="C252" t="s">
        <v>284</v>
      </c>
      <c r="D252">
        <v>2350000</v>
      </c>
      <c r="E252" t="s">
        <v>260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285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270</v>
      </c>
      <c r="C254" t="s">
        <v>286</v>
      </c>
      <c r="D254">
        <v>2350000</v>
      </c>
      <c r="E254" t="s">
        <v>260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206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206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205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207</v>
      </c>
      <c r="C258" t="s">
        <v>203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204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199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198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200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201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198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198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198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198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198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202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198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198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198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637</v>
      </c>
      <c r="K1" s="179" t="s">
        <v>169</v>
      </c>
      <c r="L1" s="179" t="s">
        <v>167</v>
      </c>
      <c r="M1" s="179" t="s">
        <v>162</v>
      </c>
      <c r="N1" s="179" t="s">
        <v>172</v>
      </c>
      <c r="O1" s="179" t="s">
        <v>166</v>
      </c>
      <c r="P1" s="179" t="s">
        <v>173</v>
      </c>
      <c r="Q1" s="179" t="s">
        <v>170</v>
      </c>
    </row>
    <row r="2" spans="1:17" x14ac:dyDescent="0.25">
      <c r="A2" s="165">
        <v>54.08</v>
      </c>
      <c r="B2" s="165">
        <v>0.59</v>
      </c>
      <c r="C2" s="165">
        <v>31.67</v>
      </c>
      <c r="D2" s="8">
        <v>42668</v>
      </c>
      <c r="E2" s="165">
        <v>0.42</v>
      </c>
      <c r="F2" s="165" t="s">
        <v>331</v>
      </c>
      <c r="G2" s="165">
        <v>247.85</v>
      </c>
      <c r="H2" s="165">
        <v>0</v>
      </c>
      <c r="I2" s="165">
        <v>0</v>
      </c>
      <c r="J2" s="165"/>
      <c r="K2" s="165">
        <v>1015.91</v>
      </c>
      <c r="L2" s="165" t="s">
        <v>211</v>
      </c>
      <c r="M2" s="165">
        <v>54.08</v>
      </c>
      <c r="N2" s="165">
        <v>1477375200</v>
      </c>
      <c r="O2" s="165">
        <v>6.15</v>
      </c>
      <c r="P2" s="165">
        <v>210</v>
      </c>
      <c r="Q2" s="165">
        <v>1.79</v>
      </c>
    </row>
    <row r="3" spans="1:17" x14ac:dyDescent="0.25">
      <c r="A3" s="165">
        <v>52.48</v>
      </c>
      <c r="B3" s="165">
        <v>0.52</v>
      </c>
      <c r="C3" s="165">
        <v>32.049999999999997</v>
      </c>
      <c r="D3" s="8">
        <v>42668.041666666664</v>
      </c>
      <c r="E3" s="165">
        <v>0.46</v>
      </c>
      <c r="F3" s="165" t="s">
        <v>331</v>
      </c>
      <c r="G3" s="165">
        <v>248.09</v>
      </c>
      <c r="H3" s="165">
        <v>0</v>
      </c>
      <c r="I3" s="165">
        <v>0</v>
      </c>
      <c r="J3" s="165"/>
      <c r="K3" s="165">
        <v>1015.83</v>
      </c>
      <c r="L3" s="165" t="s">
        <v>211</v>
      </c>
      <c r="M3" s="165">
        <v>52.48</v>
      </c>
      <c r="N3" s="165">
        <v>1477378800</v>
      </c>
      <c r="O3" s="165">
        <v>6.71</v>
      </c>
      <c r="P3" s="165">
        <v>242</v>
      </c>
      <c r="Q3" s="165">
        <v>2.37</v>
      </c>
    </row>
    <row r="4" spans="1:17" x14ac:dyDescent="0.25">
      <c r="A4" s="165">
        <v>51.98</v>
      </c>
      <c r="B4" s="165">
        <v>0.44</v>
      </c>
      <c r="C4" s="165">
        <v>32.409999999999997</v>
      </c>
      <c r="D4" s="8">
        <v>42668.083333333336</v>
      </c>
      <c r="E4" s="165">
        <v>0.47</v>
      </c>
      <c r="F4" s="165" t="s">
        <v>331</v>
      </c>
      <c r="G4" s="165">
        <v>248.32</v>
      </c>
      <c r="H4" s="165">
        <v>0</v>
      </c>
      <c r="I4" s="165">
        <v>0</v>
      </c>
      <c r="J4" s="165"/>
      <c r="K4" s="165">
        <v>1015.76</v>
      </c>
      <c r="L4" s="165" t="s">
        <v>211</v>
      </c>
      <c r="M4" s="165">
        <v>51.98</v>
      </c>
      <c r="N4" s="165">
        <v>1477382400</v>
      </c>
      <c r="O4" s="165">
        <v>5.6</v>
      </c>
      <c r="P4" s="165">
        <v>224</v>
      </c>
      <c r="Q4" s="165">
        <v>2.2200000000000002</v>
      </c>
    </row>
    <row r="5" spans="1:17" x14ac:dyDescent="0.25">
      <c r="A5" s="165">
        <v>50.1</v>
      </c>
      <c r="B5" s="165">
        <v>0.4</v>
      </c>
      <c r="C5" s="165">
        <v>31.35</v>
      </c>
      <c r="D5" s="8">
        <v>42668.125</v>
      </c>
      <c r="E5" s="165">
        <v>0.48</v>
      </c>
      <c r="F5" s="165" t="s">
        <v>331</v>
      </c>
      <c r="G5" s="165">
        <v>248.55</v>
      </c>
      <c r="H5" s="165">
        <v>0</v>
      </c>
      <c r="I5" s="165">
        <v>0</v>
      </c>
      <c r="J5" s="165"/>
      <c r="K5" s="165">
        <v>1015.7</v>
      </c>
      <c r="L5" s="165" t="s">
        <v>211</v>
      </c>
      <c r="M5" s="165">
        <v>50.1</v>
      </c>
      <c r="N5" s="165">
        <v>1477386000</v>
      </c>
      <c r="O5" s="165">
        <v>4.78</v>
      </c>
      <c r="P5" s="165">
        <v>231</v>
      </c>
      <c r="Q5" s="165">
        <v>2.17</v>
      </c>
    </row>
    <row r="6" spans="1:17" x14ac:dyDescent="0.25">
      <c r="A6" s="165">
        <v>49.51</v>
      </c>
      <c r="B6" s="165">
        <v>0.44</v>
      </c>
      <c r="C6" s="165">
        <v>30.77</v>
      </c>
      <c r="D6" s="8">
        <v>42668.166666666664</v>
      </c>
      <c r="E6" s="165">
        <v>0.48</v>
      </c>
      <c r="F6" s="165" t="s">
        <v>331</v>
      </c>
      <c r="G6" s="165">
        <v>248.98</v>
      </c>
      <c r="H6" s="165">
        <v>0</v>
      </c>
      <c r="I6" s="165">
        <v>0</v>
      </c>
      <c r="J6" s="165"/>
      <c r="K6" s="165">
        <v>1015.44</v>
      </c>
      <c r="L6" s="165" t="s">
        <v>211</v>
      </c>
      <c r="M6" s="165">
        <v>49.51</v>
      </c>
      <c r="N6" s="165">
        <v>1477389600</v>
      </c>
      <c r="O6" s="165">
        <v>4.38</v>
      </c>
      <c r="P6" s="165">
        <v>228</v>
      </c>
      <c r="Q6" s="165">
        <v>1.65</v>
      </c>
    </row>
    <row r="7" spans="1:17" x14ac:dyDescent="0.25">
      <c r="A7" s="165">
        <v>50.08</v>
      </c>
      <c r="B7" s="165">
        <v>0.54</v>
      </c>
      <c r="C7" s="165">
        <v>31.8</v>
      </c>
      <c r="D7" s="8">
        <v>42668.208333333336</v>
      </c>
      <c r="E7" s="165">
        <v>0.49</v>
      </c>
      <c r="F7" s="165" t="s">
        <v>331</v>
      </c>
      <c r="G7" s="165">
        <v>249.44</v>
      </c>
      <c r="H7" s="165">
        <v>0</v>
      </c>
      <c r="I7" s="165">
        <v>0</v>
      </c>
      <c r="J7" s="165"/>
      <c r="K7" s="165">
        <v>1015.16</v>
      </c>
      <c r="L7" s="165" t="s">
        <v>211</v>
      </c>
      <c r="M7" s="165">
        <v>50.08</v>
      </c>
      <c r="N7" s="165">
        <v>1477393200</v>
      </c>
      <c r="O7" s="165">
        <v>5.01</v>
      </c>
      <c r="P7" s="165">
        <v>214</v>
      </c>
      <c r="Q7" s="165">
        <v>2.16</v>
      </c>
    </row>
    <row r="8" spans="1:17" x14ac:dyDescent="0.25">
      <c r="A8" s="165">
        <v>52.09</v>
      </c>
      <c r="B8" s="165">
        <v>0.6</v>
      </c>
      <c r="C8" s="165">
        <v>31.49</v>
      </c>
      <c r="D8" s="8">
        <v>42668.25</v>
      </c>
      <c r="E8" s="165">
        <v>0.45</v>
      </c>
      <c r="F8" s="165" t="s">
        <v>331</v>
      </c>
      <c r="G8" s="165">
        <v>249.65</v>
      </c>
      <c r="H8" s="165">
        <v>0</v>
      </c>
      <c r="I8" s="165">
        <v>0</v>
      </c>
      <c r="J8" s="165"/>
      <c r="K8" s="165">
        <v>1015.06</v>
      </c>
      <c r="L8" s="165" t="s">
        <v>332</v>
      </c>
      <c r="M8" s="165">
        <v>52.09</v>
      </c>
      <c r="N8" s="165">
        <v>1477396800</v>
      </c>
      <c r="O8" s="165">
        <v>4.5599999999999996</v>
      </c>
      <c r="P8" s="165">
        <v>227</v>
      </c>
      <c r="Q8" s="165">
        <v>2.92</v>
      </c>
    </row>
    <row r="9" spans="1:17" x14ac:dyDescent="0.25">
      <c r="A9" s="165">
        <v>52.65</v>
      </c>
      <c r="B9" s="165">
        <v>0.54</v>
      </c>
      <c r="C9" s="165">
        <v>32.56</v>
      </c>
      <c r="D9" s="8">
        <v>42668.291666666664</v>
      </c>
      <c r="E9" s="165">
        <v>0.46</v>
      </c>
      <c r="F9" s="165" t="s">
        <v>331</v>
      </c>
      <c r="G9" s="165">
        <v>249.21</v>
      </c>
      <c r="H9" s="165">
        <v>0</v>
      </c>
      <c r="I9" s="165">
        <v>0</v>
      </c>
      <c r="J9" s="165"/>
      <c r="K9" s="165">
        <v>1015.24</v>
      </c>
      <c r="L9" s="165" t="s">
        <v>211</v>
      </c>
      <c r="M9" s="165">
        <v>52.65</v>
      </c>
      <c r="N9" s="165">
        <v>1477400400</v>
      </c>
      <c r="O9" s="165">
        <v>3.55</v>
      </c>
      <c r="P9" s="165">
        <v>224</v>
      </c>
      <c r="Q9" s="165">
        <v>2.0499999999999998</v>
      </c>
    </row>
    <row r="10" spans="1:17" x14ac:dyDescent="0.25">
      <c r="A10" s="165">
        <v>54.55</v>
      </c>
      <c r="B10" s="165">
        <v>0.44</v>
      </c>
      <c r="C10" s="165">
        <v>34.119999999999997</v>
      </c>
      <c r="D10" s="8">
        <v>42668.333333333336</v>
      </c>
      <c r="E10" s="165">
        <v>0.46</v>
      </c>
      <c r="F10" s="165" t="s">
        <v>308</v>
      </c>
      <c r="G10" s="165">
        <v>248.52</v>
      </c>
      <c r="H10" s="165">
        <v>0</v>
      </c>
      <c r="I10" s="165">
        <v>0</v>
      </c>
      <c r="J10" s="165"/>
      <c r="K10" s="165">
        <v>1015.51</v>
      </c>
      <c r="L10" s="165" t="s">
        <v>211</v>
      </c>
      <c r="M10" s="165">
        <v>54.55</v>
      </c>
      <c r="N10" s="165">
        <v>1477404000</v>
      </c>
      <c r="O10" s="165">
        <v>3.11</v>
      </c>
      <c r="P10" s="165">
        <v>186</v>
      </c>
      <c r="Q10" s="165">
        <v>1.1000000000000001</v>
      </c>
    </row>
    <row r="11" spans="1:17" x14ac:dyDescent="0.25">
      <c r="A11" s="165">
        <v>55.87</v>
      </c>
      <c r="B11" s="165">
        <v>0.4</v>
      </c>
      <c r="C11" s="165">
        <v>34.909999999999997</v>
      </c>
      <c r="D11" s="8">
        <v>42668.375</v>
      </c>
      <c r="E11" s="165">
        <v>0.45</v>
      </c>
      <c r="F11" s="165" t="s">
        <v>308</v>
      </c>
      <c r="G11" s="165">
        <v>248.45</v>
      </c>
      <c r="H11" s="165">
        <v>0</v>
      </c>
      <c r="I11" s="165">
        <v>0</v>
      </c>
      <c r="J11" s="165"/>
      <c r="K11" s="165">
        <v>1015.69</v>
      </c>
      <c r="L11" s="165" t="s">
        <v>211</v>
      </c>
      <c r="M11" s="165">
        <v>55.87</v>
      </c>
      <c r="N11" s="165">
        <v>1477407600</v>
      </c>
      <c r="O11" s="165">
        <v>2.92</v>
      </c>
      <c r="P11" s="165">
        <v>218</v>
      </c>
      <c r="Q11" s="165">
        <v>1.46</v>
      </c>
    </row>
    <row r="12" spans="1:17" x14ac:dyDescent="0.25">
      <c r="A12" s="165">
        <v>59.55</v>
      </c>
      <c r="B12" s="165">
        <v>0.47</v>
      </c>
      <c r="C12" s="165">
        <v>35.93</v>
      </c>
      <c r="D12" s="8">
        <v>42668.416666666664</v>
      </c>
      <c r="E12" s="165">
        <v>0.41</v>
      </c>
      <c r="F12" s="165" t="s">
        <v>308</v>
      </c>
      <c r="G12" s="165">
        <v>249.73</v>
      </c>
      <c r="H12" s="165">
        <v>0</v>
      </c>
      <c r="I12" s="165">
        <v>0</v>
      </c>
      <c r="J12" s="165"/>
      <c r="K12" s="165">
        <v>1015.48</v>
      </c>
      <c r="L12" s="165" t="s">
        <v>211</v>
      </c>
      <c r="M12" s="165">
        <v>59.55</v>
      </c>
      <c r="N12" s="165">
        <v>1477411200</v>
      </c>
      <c r="O12" s="165">
        <v>2.85</v>
      </c>
      <c r="P12" s="165">
        <v>249</v>
      </c>
      <c r="Q12" s="165">
        <v>1.67</v>
      </c>
    </row>
    <row r="13" spans="1:17" x14ac:dyDescent="0.25">
      <c r="A13" s="165">
        <v>62.21</v>
      </c>
      <c r="B13" s="165">
        <v>0.62</v>
      </c>
      <c r="C13" s="165">
        <v>37.53</v>
      </c>
      <c r="D13" s="8">
        <v>42668.458333333336</v>
      </c>
      <c r="E13" s="165">
        <v>0.4</v>
      </c>
      <c r="F13" s="165" t="s">
        <v>308</v>
      </c>
      <c r="G13" s="165">
        <v>251.63</v>
      </c>
      <c r="H13" s="165">
        <v>0</v>
      </c>
      <c r="I13" s="165">
        <v>0</v>
      </c>
      <c r="J13" s="165"/>
      <c r="K13" s="165">
        <v>1015.09</v>
      </c>
      <c r="L13" s="165" t="s">
        <v>332</v>
      </c>
      <c r="M13" s="165">
        <v>62.21</v>
      </c>
      <c r="N13" s="165">
        <v>1477414800</v>
      </c>
      <c r="O13" s="165">
        <v>2.85</v>
      </c>
      <c r="P13" s="165">
        <v>270</v>
      </c>
      <c r="Q13" s="165">
        <v>1.65</v>
      </c>
    </row>
    <row r="14" spans="1:17" x14ac:dyDescent="0.25">
      <c r="A14" s="165">
        <v>64.27</v>
      </c>
      <c r="B14" s="165">
        <v>0.71</v>
      </c>
      <c r="C14" s="165">
        <v>37.25</v>
      </c>
      <c r="D14" s="8">
        <v>42668.5</v>
      </c>
      <c r="E14" s="165">
        <v>0.37</v>
      </c>
      <c r="F14" s="165" t="s">
        <v>308</v>
      </c>
      <c r="G14" s="165">
        <v>252.97</v>
      </c>
      <c r="H14" s="165">
        <v>0</v>
      </c>
      <c r="I14" s="165">
        <v>0</v>
      </c>
      <c r="J14" s="165"/>
      <c r="K14" s="165">
        <v>1014.7</v>
      </c>
      <c r="L14" s="165" t="s">
        <v>332</v>
      </c>
      <c r="M14" s="165">
        <v>64.27</v>
      </c>
      <c r="N14" s="165">
        <v>1477418400</v>
      </c>
      <c r="O14" s="165">
        <v>2.88</v>
      </c>
      <c r="P14" s="165">
        <v>298</v>
      </c>
      <c r="Q14" s="165">
        <v>0.89</v>
      </c>
    </row>
    <row r="15" spans="1:17" x14ac:dyDescent="0.25">
      <c r="A15" s="165">
        <v>66.849999999999994</v>
      </c>
      <c r="B15" s="165">
        <v>0.62</v>
      </c>
      <c r="C15" s="165">
        <v>38.11</v>
      </c>
      <c r="D15" s="8">
        <v>42668.541666666664</v>
      </c>
      <c r="E15" s="165">
        <v>0.35</v>
      </c>
      <c r="F15" s="165" t="s">
        <v>308</v>
      </c>
      <c r="G15" s="165">
        <v>253.3</v>
      </c>
      <c r="H15" s="165">
        <v>1.5E-3</v>
      </c>
      <c r="I15" s="165">
        <v>0.03</v>
      </c>
      <c r="J15" s="165" t="s">
        <v>638</v>
      </c>
      <c r="K15" s="165">
        <v>1014.27</v>
      </c>
      <c r="L15" s="165" t="s">
        <v>332</v>
      </c>
      <c r="M15" s="165">
        <v>66.849999999999994</v>
      </c>
      <c r="N15" s="165">
        <v>1477422000</v>
      </c>
      <c r="O15" s="165">
        <v>2.89</v>
      </c>
      <c r="P15" s="165">
        <v>49</v>
      </c>
      <c r="Q15" s="165">
        <v>1.86</v>
      </c>
    </row>
    <row r="16" spans="1:17" x14ac:dyDescent="0.25">
      <c r="A16" s="165">
        <v>68.84</v>
      </c>
      <c r="B16" s="165">
        <v>0.47</v>
      </c>
      <c r="C16" s="165">
        <v>38.159999999999997</v>
      </c>
      <c r="D16" s="8">
        <v>42668.583333333336</v>
      </c>
      <c r="E16" s="165">
        <v>0.32</v>
      </c>
      <c r="F16" s="165" t="s">
        <v>308</v>
      </c>
      <c r="G16" s="165">
        <v>253.07</v>
      </c>
      <c r="H16" s="165">
        <v>2.5000000000000001E-3</v>
      </c>
      <c r="I16" s="165">
        <v>0.08</v>
      </c>
      <c r="J16" s="165" t="s">
        <v>638</v>
      </c>
      <c r="K16" s="165">
        <v>1013.86</v>
      </c>
      <c r="L16" s="165" t="s">
        <v>211</v>
      </c>
      <c r="M16" s="165">
        <v>68.84</v>
      </c>
      <c r="N16" s="165">
        <v>1477425600</v>
      </c>
      <c r="O16" s="165">
        <v>2.91</v>
      </c>
      <c r="P16" s="165">
        <v>57</v>
      </c>
      <c r="Q16" s="165">
        <v>2.64</v>
      </c>
    </row>
    <row r="17" spans="1:17" x14ac:dyDescent="0.25">
      <c r="A17" s="165">
        <v>71.900000000000006</v>
      </c>
      <c r="B17" s="165">
        <v>0.37</v>
      </c>
      <c r="C17" s="165">
        <v>39.18</v>
      </c>
      <c r="D17" s="8">
        <v>42668.625</v>
      </c>
      <c r="E17" s="165">
        <v>0.3</v>
      </c>
      <c r="F17" s="165" t="s">
        <v>308</v>
      </c>
      <c r="G17" s="165">
        <v>252.32</v>
      </c>
      <c r="H17" s="165">
        <v>3.0000000000000001E-3</v>
      </c>
      <c r="I17" s="165">
        <v>0.1</v>
      </c>
      <c r="J17" s="165" t="s">
        <v>638</v>
      </c>
      <c r="K17" s="165">
        <v>1013.77</v>
      </c>
      <c r="L17" s="165" t="s">
        <v>211</v>
      </c>
      <c r="M17" s="165">
        <v>71.900000000000006</v>
      </c>
      <c r="N17" s="165">
        <v>1477429200</v>
      </c>
      <c r="O17" s="165">
        <v>2.87</v>
      </c>
      <c r="P17" s="165">
        <v>35</v>
      </c>
      <c r="Q17" s="165">
        <v>3</v>
      </c>
    </row>
    <row r="18" spans="1:17" x14ac:dyDescent="0.25">
      <c r="A18" s="165">
        <v>71.66</v>
      </c>
      <c r="B18" s="165">
        <v>0.32</v>
      </c>
      <c r="C18" s="165">
        <v>37.729999999999997</v>
      </c>
      <c r="D18" s="8">
        <v>42668.666666666664</v>
      </c>
      <c r="E18" s="165">
        <v>0.28999999999999998</v>
      </c>
      <c r="F18" s="165" t="s">
        <v>308</v>
      </c>
      <c r="G18" s="165">
        <v>250.69</v>
      </c>
      <c r="H18" s="165">
        <v>2.3E-3</v>
      </c>
      <c r="I18" s="165">
        <v>7.0000000000000007E-2</v>
      </c>
      <c r="J18" s="165" t="s">
        <v>638</v>
      </c>
      <c r="K18" s="165">
        <v>1014.17</v>
      </c>
      <c r="L18" s="165" t="s">
        <v>211</v>
      </c>
      <c r="M18" s="165">
        <v>71.66</v>
      </c>
      <c r="N18" s="165">
        <v>1477432800</v>
      </c>
      <c r="O18" s="165">
        <v>2.9</v>
      </c>
      <c r="P18" s="165">
        <v>33</v>
      </c>
      <c r="Q18" s="165">
        <v>4.2</v>
      </c>
    </row>
    <row r="19" spans="1:17" x14ac:dyDescent="0.25">
      <c r="A19" s="165">
        <v>69.040000000000006</v>
      </c>
      <c r="B19" s="165">
        <v>0.23</v>
      </c>
      <c r="C19" s="165">
        <v>38.03</v>
      </c>
      <c r="D19" s="8">
        <v>42668.708333333336</v>
      </c>
      <c r="E19" s="165">
        <v>0.32</v>
      </c>
      <c r="F19" s="165" t="s">
        <v>639</v>
      </c>
      <c r="G19" s="165">
        <v>248.54</v>
      </c>
      <c r="H19" s="165">
        <v>1.1999999999999999E-3</v>
      </c>
      <c r="I19" s="165">
        <v>0.02</v>
      </c>
      <c r="J19" s="165" t="s">
        <v>638</v>
      </c>
      <c r="K19" s="165">
        <v>1014.89</v>
      </c>
      <c r="L19" s="165" t="s">
        <v>247</v>
      </c>
      <c r="M19" s="165">
        <v>69.040000000000006</v>
      </c>
      <c r="N19" s="165">
        <v>1477436400</v>
      </c>
      <c r="O19" s="165">
        <v>5.1100000000000003</v>
      </c>
      <c r="P19" s="165">
        <v>337</v>
      </c>
      <c r="Q19" s="165">
        <v>5.32</v>
      </c>
    </row>
    <row r="20" spans="1:17" x14ac:dyDescent="0.25">
      <c r="A20" s="165">
        <v>66.08</v>
      </c>
      <c r="B20" s="165">
        <v>0.22</v>
      </c>
      <c r="C20" s="165">
        <v>36.729999999999997</v>
      </c>
      <c r="D20" s="8">
        <v>42668.75</v>
      </c>
      <c r="E20" s="165">
        <v>0.34</v>
      </c>
      <c r="F20" s="165" t="s">
        <v>639</v>
      </c>
      <c r="G20" s="165">
        <v>247.08</v>
      </c>
      <c r="H20" s="165">
        <v>0</v>
      </c>
      <c r="I20" s="165">
        <v>0</v>
      </c>
      <c r="J20" s="165"/>
      <c r="K20" s="165">
        <v>1015.72</v>
      </c>
      <c r="L20" s="165" t="s">
        <v>247</v>
      </c>
      <c r="M20" s="165">
        <v>66.08</v>
      </c>
      <c r="N20" s="165">
        <v>1477440000</v>
      </c>
      <c r="O20" s="165">
        <v>5.35</v>
      </c>
      <c r="P20" s="165">
        <v>338</v>
      </c>
      <c r="Q20" s="165">
        <v>4.58</v>
      </c>
    </row>
    <row r="21" spans="1:17" x14ac:dyDescent="0.25">
      <c r="A21" s="165">
        <v>62.85</v>
      </c>
      <c r="B21" s="165">
        <v>0.3</v>
      </c>
      <c r="C21" s="165">
        <v>36.5</v>
      </c>
      <c r="D21" s="8">
        <v>42668.791666666664</v>
      </c>
      <c r="E21" s="165">
        <v>0.37</v>
      </c>
      <c r="F21" s="165" t="s">
        <v>331</v>
      </c>
      <c r="G21" s="165">
        <v>247.06</v>
      </c>
      <c r="H21" s="165">
        <v>1.1999999999999999E-3</v>
      </c>
      <c r="I21" s="165">
        <v>0.02</v>
      </c>
      <c r="J21" s="165" t="s">
        <v>638</v>
      </c>
      <c r="K21" s="165">
        <v>1016.32</v>
      </c>
      <c r="L21" s="165" t="s">
        <v>211</v>
      </c>
      <c r="M21" s="165">
        <v>62.85</v>
      </c>
      <c r="N21" s="165">
        <v>1477443600</v>
      </c>
      <c r="O21" s="165">
        <v>5.85</v>
      </c>
      <c r="P21" s="165">
        <v>319</v>
      </c>
      <c r="Q21" s="165">
        <v>4.8</v>
      </c>
    </row>
    <row r="22" spans="1:17" x14ac:dyDescent="0.25">
      <c r="A22" s="165">
        <v>60.4</v>
      </c>
      <c r="B22" s="165">
        <v>0.21</v>
      </c>
      <c r="C22" s="165">
        <v>36.340000000000003</v>
      </c>
      <c r="D22" s="8">
        <v>42668.833333333336</v>
      </c>
      <c r="E22" s="165">
        <v>0.41</v>
      </c>
      <c r="F22" s="165" t="s">
        <v>246</v>
      </c>
      <c r="G22" s="165">
        <v>247.72</v>
      </c>
      <c r="H22" s="165">
        <v>3.3E-3</v>
      </c>
      <c r="I22" s="165">
        <v>0.12</v>
      </c>
      <c r="J22" s="165" t="s">
        <v>638</v>
      </c>
      <c r="K22" s="165">
        <v>1017.28</v>
      </c>
      <c r="L22" s="165" t="s">
        <v>247</v>
      </c>
      <c r="M22" s="165">
        <v>60.4</v>
      </c>
      <c r="N22" s="165">
        <v>1477447200</v>
      </c>
      <c r="O22" s="165">
        <v>6.66</v>
      </c>
      <c r="P22" s="165">
        <v>287</v>
      </c>
      <c r="Q22" s="165">
        <v>2.61</v>
      </c>
    </row>
    <row r="23" spans="1:17" x14ac:dyDescent="0.25">
      <c r="A23" s="165">
        <v>58.09</v>
      </c>
      <c r="B23" s="165">
        <v>0.14000000000000001</v>
      </c>
      <c r="C23" s="165">
        <v>35.68</v>
      </c>
      <c r="D23" s="8">
        <v>42668.875</v>
      </c>
      <c r="E23" s="165">
        <v>0.43</v>
      </c>
      <c r="F23" s="165" t="s">
        <v>246</v>
      </c>
      <c r="G23" s="165">
        <v>248.04</v>
      </c>
      <c r="H23" s="165">
        <v>0</v>
      </c>
      <c r="I23" s="165">
        <v>0</v>
      </c>
      <c r="J23" s="165"/>
      <c r="K23" s="165">
        <v>1018.23</v>
      </c>
      <c r="L23" s="165" t="s">
        <v>247</v>
      </c>
      <c r="M23" s="165">
        <v>58.09</v>
      </c>
      <c r="N23" s="165">
        <v>1477450800</v>
      </c>
      <c r="O23" s="165">
        <v>7.74</v>
      </c>
      <c r="P23" s="165">
        <v>253</v>
      </c>
      <c r="Q23" s="165">
        <v>2.39</v>
      </c>
    </row>
    <row r="24" spans="1:17" x14ac:dyDescent="0.25">
      <c r="A24" s="165">
        <v>55.88</v>
      </c>
      <c r="B24" s="165">
        <v>0.18</v>
      </c>
      <c r="C24" s="165">
        <v>35.270000000000003</v>
      </c>
      <c r="D24" s="8">
        <v>42668.916666666664</v>
      </c>
      <c r="E24" s="165">
        <v>0.46</v>
      </c>
      <c r="F24" s="165" t="s">
        <v>246</v>
      </c>
      <c r="G24" s="165">
        <v>247.66</v>
      </c>
      <c r="H24" s="165">
        <v>0</v>
      </c>
      <c r="I24" s="165">
        <v>0</v>
      </c>
      <c r="J24" s="165"/>
      <c r="K24" s="165">
        <v>1018.94</v>
      </c>
      <c r="L24" s="165" t="s">
        <v>247</v>
      </c>
      <c r="M24" s="165">
        <v>55.88</v>
      </c>
      <c r="N24" s="165">
        <v>1477454400</v>
      </c>
      <c r="O24" s="165">
        <v>6.72</v>
      </c>
      <c r="P24" s="165">
        <v>227</v>
      </c>
      <c r="Q24" s="165">
        <v>2.95</v>
      </c>
    </row>
    <row r="25" spans="1:17" x14ac:dyDescent="0.25">
      <c r="A25" s="165">
        <v>54.65</v>
      </c>
      <c r="B25" s="165">
        <v>0.17</v>
      </c>
      <c r="C25" s="165">
        <v>36.03</v>
      </c>
      <c r="D25" s="8">
        <v>42668.958333333336</v>
      </c>
      <c r="E25" s="165">
        <v>0.49</v>
      </c>
      <c r="F25" s="165" t="s">
        <v>246</v>
      </c>
      <c r="G25" s="165">
        <v>246.93</v>
      </c>
      <c r="H25" s="165">
        <v>0</v>
      </c>
      <c r="I25" s="165">
        <v>0</v>
      </c>
      <c r="J25" s="165"/>
      <c r="K25" s="165">
        <v>1019.54</v>
      </c>
      <c r="L25" s="165" t="s">
        <v>247</v>
      </c>
      <c r="M25" s="165">
        <v>54.65</v>
      </c>
      <c r="N25" s="165">
        <v>1477458000</v>
      </c>
      <c r="O25" s="165">
        <v>6.92</v>
      </c>
      <c r="P25" s="165">
        <v>216</v>
      </c>
      <c r="Q25" s="165">
        <v>2.09</v>
      </c>
    </row>
    <row r="26" spans="1:17" x14ac:dyDescent="0.25">
      <c r="A26" s="165">
        <v>50.82</v>
      </c>
      <c r="B26" s="165">
        <v>0.15</v>
      </c>
      <c r="C26" s="165">
        <v>34.78</v>
      </c>
      <c r="D26" s="8">
        <v>42669</v>
      </c>
      <c r="E26" s="165">
        <v>0.54</v>
      </c>
      <c r="F26" s="165" t="s">
        <v>246</v>
      </c>
      <c r="G26" s="165">
        <v>245.88</v>
      </c>
      <c r="H26" s="165">
        <v>0</v>
      </c>
      <c r="I26" s="165">
        <v>0</v>
      </c>
      <c r="J26" s="165"/>
      <c r="K26" s="165">
        <v>1020.22</v>
      </c>
      <c r="L26" s="165" t="s">
        <v>247</v>
      </c>
      <c r="M26" s="165">
        <v>50.82</v>
      </c>
      <c r="N26" s="165">
        <v>1477461600</v>
      </c>
      <c r="O26" s="165">
        <v>7.56</v>
      </c>
      <c r="P26" s="165">
        <v>202</v>
      </c>
      <c r="Q26" s="165">
        <v>1.79</v>
      </c>
    </row>
    <row r="27" spans="1:17" x14ac:dyDescent="0.25">
      <c r="A27" s="165">
        <v>48.9</v>
      </c>
      <c r="B27" s="165">
        <v>0.1</v>
      </c>
      <c r="C27" s="165">
        <v>34.659999999999997</v>
      </c>
      <c r="D27" s="8">
        <v>42669.041666666664</v>
      </c>
      <c r="E27" s="165">
        <v>0.57999999999999996</v>
      </c>
      <c r="F27" s="165" t="s">
        <v>246</v>
      </c>
      <c r="G27" s="165">
        <v>244.2</v>
      </c>
      <c r="H27" s="165">
        <v>0</v>
      </c>
      <c r="I27" s="165">
        <v>0</v>
      </c>
      <c r="J27" s="165"/>
      <c r="K27" s="165">
        <v>1021.23</v>
      </c>
      <c r="L27" s="165" t="s">
        <v>247</v>
      </c>
      <c r="M27" s="165">
        <v>48.9</v>
      </c>
      <c r="N27" s="165">
        <v>1477465200</v>
      </c>
      <c r="O27" s="165">
        <v>7.94</v>
      </c>
      <c r="P27" s="165">
        <v>204</v>
      </c>
      <c r="Q27" s="165">
        <v>2.12</v>
      </c>
    </row>
    <row r="28" spans="1:17" x14ac:dyDescent="0.25">
      <c r="A28" s="165">
        <v>47.91</v>
      </c>
      <c r="B28" s="165">
        <v>7.0000000000000007E-2</v>
      </c>
      <c r="C28" s="165">
        <v>35.130000000000003</v>
      </c>
      <c r="D28" s="8">
        <v>42669.083333333336</v>
      </c>
      <c r="E28" s="165">
        <v>0.61</v>
      </c>
      <c r="F28" s="165" t="s">
        <v>246</v>
      </c>
      <c r="G28" s="165">
        <v>242.51</v>
      </c>
      <c r="H28" s="165">
        <v>0</v>
      </c>
      <c r="I28" s="165">
        <v>0</v>
      </c>
      <c r="J28" s="165"/>
      <c r="K28" s="165">
        <v>1022.27</v>
      </c>
      <c r="L28" s="165" t="s">
        <v>247</v>
      </c>
      <c r="M28" s="165">
        <v>47.91</v>
      </c>
      <c r="N28" s="165">
        <v>1477468800</v>
      </c>
      <c r="O28" s="165">
        <v>7.16</v>
      </c>
      <c r="P28" s="165">
        <v>181</v>
      </c>
      <c r="Q28" s="165">
        <v>2.08</v>
      </c>
    </row>
    <row r="29" spans="1:17" x14ac:dyDescent="0.25">
      <c r="A29" s="165">
        <v>45.3</v>
      </c>
      <c r="B29" s="165">
        <v>0.06</v>
      </c>
      <c r="C29" s="165">
        <v>33.97</v>
      </c>
      <c r="D29" s="8">
        <v>42669.125</v>
      </c>
      <c r="E29" s="165">
        <v>0.62</v>
      </c>
      <c r="F29" s="165" t="s">
        <v>246</v>
      </c>
      <c r="G29" s="165">
        <v>240.83</v>
      </c>
      <c r="H29" s="165">
        <v>0</v>
      </c>
      <c r="I29" s="165">
        <v>0</v>
      </c>
      <c r="J29" s="165"/>
      <c r="K29" s="165">
        <v>1023.2</v>
      </c>
      <c r="L29" s="165" t="s">
        <v>247</v>
      </c>
      <c r="M29" s="165">
        <v>46.18</v>
      </c>
      <c r="N29" s="165">
        <v>1477472400</v>
      </c>
      <c r="O29" s="165">
        <v>6.34</v>
      </c>
      <c r="P29" s="165">
        <v>206</v>
      </c>
      <c r="Q29" s="165">
        <v>3.05</v>
      </c>
    </row>
    <row r="31" spans="1:17" x14ac:dyDescent="0.25">
      <c r="A31" s="136" t="s">
        <v>248</v>
      </c>
    </row>
    <row r="33" spans="1:1" x14ac:dyDescent="0.25">
      <c r="A33" s="136" t="s">
        <v>209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1"/>
  <sheetViews>
    <sheetView topLeftCell="A8"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42668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255</v>
      </c>
      <c r="J17" s="33"/>
      <c r="K17" s="34"/>
      <c r="L17" s="34"/>
    </row>
    <row r="18" spans="3:13" x14ac:dyDescent="0.25">
      <c r="C18" t="s">
        <v>792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793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794</v>
      </c>
      <c r="J20" t="s">
        <v>87</v>
      </c>
      <c r="M20" s="68" t="s">
        <v>190</v>
      </c>
    </row>
    <row r="21" spans="3:13" x14ac:dyDescent="0.25">
      <c r="C21" t="s">
        <v>795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796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797</v>
      </c>
      <c r="J23" s="29" t="s">
        <v>95</v>
      </c>
      <c r="K23" s="21"/>
      <c r="M23" s="69">
        <v>-6</v>
      </c>
    </row>
    <row r="24" spans="3:13" x14ac:dyDescent="0.25">
      <c r="C24" t="s">
        <v>798</v>
      </c>
      <c r="J24" s="21" t="s">
        <v>109</v>
      </c>
      <c r="K24" s="21"/>
      <c r="M24" s="68" t="s">
        <v>111</v>
      </c>
    </row>
    <row r="25" spans="3:13" x14ac:dyDescent="0.25">
      <c r="C25" t="s">
        <v>799</v>
      </c>
      <c r="J25" t="s">
        <v>152</v>
      </c>
      <c r="M25" s="68" t="b">
        <v>1</v>
      </c>
    </row>
    <row r="26" spans="3:13" x14ac:dyDescent="0.25">
      <c r="C26" t="s">
        <v>800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C:\Users\stu\Documents\GitHub\eaglep3-reporting\EC\2016-10-25-refined-times.txt</v>
      </c>
    </row>
    <row r="27" spans="3:13" x14ac:dyDescent="0.25">
      <c r="C27" t="s">
        <v>801</v>
      </c>
      <c r="J27" t="s">
        <v>214</v>
      </c>
      <c r="M27" s="68" t="str">
        <f>"C:\Users\stu\Documents\GitHub\eaglep3-reporting\EC\"&amp;TEXT(A2,"YYYY-MM-DD")&amp;"-Enforcements.txt"</f>
        <v>C:\Users\stu\Documents\GitHub\eaglep3-reporting\EC\2016-10-25-Enforcements.txt</v>
      </c>
    </row>
    <row r="28" spans="3:13" x14ac:dyDescent="0.25">
      <c r="C28" t="s">
        <v>802</v>
      </c>
      <c r="J28" t="s">
        <v>215</v>
      </c>
      <c r="M28" s="106" t="str">
        <f>"C:\Users\stu\Documents\GitHub\eaglep3-reporting\EC\"&amp;TEXT(A2,"YYYY-MM-DD")&amp;"-Runs-Refined.txt"</f>
        <v>C:\Users\stu\Documents\GitHub\eaglep3-reporting\EC\2016-10-25-Runs-Refined.txt</v>
      </c>
    </row>
    <row r="29" spans="3:13" x14ac:dyDescent="0.25">
      <c r="C29" t="s">
        <v>803</v>
      </c>
      <c r="J29" t="s">
        <v>216</v>
      </c>
      <c r="M29" s="106" t="str">
        <f>"C:\Users\stu\Documents\GitHub\eaglep3-reporting\EC\"&amp;TEXT(A2,"YYYY-MM-DD")&amp;"-Trips.txt"</f>
        <v>C:\Users\stu\Documents\GitHub\eaglep3-reporting\EC\2016-10-25-Trips.txt</v>
      </c>
    </row>
    <row r="30" spans="3:13" x14ac:dyDescent="0.25">
      <c r="C30" t="s">
        <v>804</v>
      </c>
      <c r="J30" t="s">
        <v>217</v>
      </c>
      <c r="M30" s="106" t="str">
        <f>"C:\Users\stu\Documents\GitHub\eaglep3-reporting\EC\"&amp;TEXT(A2,"YYYY-MM-DD")&amp;"-Weather.txt"</f>
        <v>C:\Users\stu\Documents\GitHub\eaglep3-reporting\EC\2016-10-25-Weather.txt</v>
      </c>
    </row>
    <row r="31" spans="3:13" x14ac:dyDescent="0.25">
      <c r="C31" t="s">
        <v>805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2016-10-26T14:07:57Z</dcterms:modified>
</cp:coreProperties>
</file>