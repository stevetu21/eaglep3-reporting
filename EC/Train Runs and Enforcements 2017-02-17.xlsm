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Enforcements!$A$6:$AC$47</definedName>
    <definedName name="_xlnm._FilterDatabase" localSheetId="2" hidden="1">'Missing Trips'!$A$2:$J$119</definedName>
    <definedName name="_xlnm._FilterDatabase" localSheetId="0" hidden="1">'Train Runs'!$A$12:$AG$233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3" i="9" l="1"/>
  <c r="C63" i="9"/>
  <c r="B64" i="9"/>
  <c r="C64" i="9"/>
  <c r="A11" i="1" l="1"/>
  <c r="X15" i="1" l="1"/>
  <c r="X16" i="1"/>
  <c r="K14" i="1"/>
  <c r="L14" i="1"/>
  <c r="M14" i="1"/>
  <c r="N14" i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S28" i="3" s="1"/>
  <c r="Y18" i="1"/>
  <c r="Z18" i="1"/>
  <c r="AB18" i="1"/>
  <c r="AC18" i="1"/>
  <c r="AD18" i="1"/>
  <c r="X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A21" i="1" s="1"/>
  <c r="AB21" i="1"/>
  <c r="AC21" i="1"/>
  <c r="AD21" i="1"/>
  <c r="AG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P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X25" i="1"/>
  <c r="Y25" i="1"/>
  <c r="Z25" i="1"/>
  <c r="AA25" i="1" s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S11" i="3" s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G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X45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G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I47" i="1" s="1"/>
  <c r="AE47" i="1"/>
  <c r="R16" i="3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R22" i="3" s="1"/>
  <c r="AF48" i="1"/>
  <c r="AH48" i="1"/>
  <c r="AM48" i="1"/>
  <c r="AN48" i="1"/>
  <c r="K49" i="1"/>
  <c r="L49" i="1"/>
  <c r="M49" i="1"/>
  <c r="N49" i="1" s="1"/>
  <c r="V49" i="1"/>
  <c r="Y49" i="1"/>
  <c r="AA49" i="1" s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P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X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AA60" i="1" s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 s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P75" i="1" s="1"/>
  <c r="V75" i="1"/>
  <c r="S24" i="3" s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I77" i="1" s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/>
  <c r="V82" i="1"/>
  <c r="S9" i="3" s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X85" i="1"/>
  <c r="Y85" i="1"/>
  <c r="Z85" i="1"/>
  <c r="AB85" i="1"/>
  <c r="AC85" i="1"/>
  <c r="AD85" i="1"/>
  <c r="T85" i="1" s="1"/>
  <c r="AE85" i="1"/>
  <c r="AF85" i="1"/>
  <c r="AG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AA93" i="1" s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R13" i="3" s="1"/>
  <c r="AF94" i="1"/>
  <c r="AH94" i="1"/>
  <c r="AM94" i="1"/>
  <c r="AN94" i="1"/>
  <c r="K95" i="1"/>
  <c r="L95" i="1"/>
  <c r="M95" i="1"/>
  <c r="N95" i="1" s="1"/>
  <c r="V95" i="1"/>
  <c r="S18" i="3" s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AA105" i="1" s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R20" i="3" s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A115" i="1" s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S21" i="3" s="1"/>
  <c r="Y117" i="1"/>
  <c r="Z117" i="1"/>
  <c r="AA117" i="1" s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I120" i="1" s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G123" i="1"/>
  <c r="AI123" i="1" s="1"/>
  <c r="AH123" i="1"/>
  <c r="AM123" i="1"/>
  <c r="AN123" i="1"/>
  <c r="K124" i="1"/>
  <c r="L124" i="1"/>
  <c r="M124" i="1"/>
  <c r="N124" i="1" s="1"/>
  <c r="T124" i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S33" i="3" s="1"/>
  <c r="Y125" i="1"/>
  <c r="AA125" i="1" s="1"/>
  <c r="Z125" i="1"/>
  <c r="AB125" i="1"/>
  <c r="AC125" i="1"/>
  <c r="AD125" i="1"/>
  <c r="X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R8" i="3" s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A133" i="1" s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A137" i="1" s="1"/>
  <c r="W137" i="1" s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T141" i="1"/>
  <c r="V141" i="1"/>
  <c r="Y141" i="1"/>
  <c r="Z141" i="1"/>
  <c r="AI141" i="1" s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R12" i="3" s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A144" i="1" s="1"/>
  <c r="AB144" i="1"/>
  <c r="AC144" i="1"/>
  <c r="AD144" i="1"/>
  <c r="AE144" i="1"/>
  <c r="AF144" i="1"/>
  <c r="AH144" i="1"/>
  <c r="AM144" i="1"/>
  <c r="AN144" i="1"/>
  <c r="K145" i="1"/>
  <c r="L145" i="1"/>
  <c r="M145" i="1"/>
  <c r="N145" i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P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P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60" i="1"/>
  <c r="AM160" i="1"/>
  <c r="AN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T210" i="1"/>
  <c r="V210" i="1"/>
  <c r="Y210" i="1"/>
  <c r="Z210" i="1"/>
  <c r="AA210" i="1"/>
  <c r="AB210" i="1"/>
  <c r="AC210" i="1"/>
  <c r="AD210" i="1"/>
  <c r="AG210" i="1" s="1"/>
  <c r="AE210" i="1"/>
  <c r="AF210" i="1"/>
  <c r="AH163" i="1"/>
  <c r="AM163" i="1"/>
  <c r="AN163" i="1"/>
  <c r="K211" i="1"/>
  <c r="L211" i="1"/>
  <c r="M211" i="1"/>
  <c r="N211" i="1" s="1"/>
  <c r="T211" i="1"/>
  <c r="V211" i="1"/>
  <c r="Y211" i="1"/>
  <c r="Z211" i="1"/>
  <c r="AB211" i="1"/>
  <c r="AC211" i="1"/>
  <c r="AD211" i="1"/>
  <c r="X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A217" i="1" s="1"/>
  <c r="AB217" i="1"/>
  <c r="AC217" i="1"/>
  <c r="AD217" i="1"/>
  <c r="AG217" i="1" s="1"/>
  <c r="AE217" i="1"/>
  <c r="AF217" i="1"/>
  <c r="AH170" i="1"/>
  <c r="AM170" i="1"/>
  <c r="AN170" i="1"/>
  <c r="K218" i="1"/>
  <c r="L218" i="1"/>
  <c r="M218" i="1"/>
  <c r="N218" i="1"/>
  <c r="V218" i="1"/>
  <c r="Y218" i="1"/>
  <c r="Z218" i="1"/>
  <c r="AB218" i="1"/>
  <c r="AC218" i="1"/>
  <c r="AD218" i="1"/>
  <c r="AG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A230" i="1" s="1"/>
  <c r="AB230" i="1"/>
  <c r="AC230" i="1"/>
  <c r="AD230" i="1"/>
  <c r="AG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7" i="1"/>
  <c r="AM177" i="1"/>
  <c r="AN177" i="1"/>
  <c r="K232" i="1"/>
  <c r="L232" i="1"/>
  <c r="M232" i="1"/>
  <c r="N232" i="1"/>
  <c r="V232" i="1"/>
  <c r="Y232" i="1"/>
  <c r="Z232" i="1"/>
  <c r="AB232" i="1"/>
  <c r="AC232" i="1"/>
  <c r="AD232" i="1"/>
  <c r="AG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9" i="1"/>
  <c r="AM179" i="1"/>
  <c r="AN179" i="1"/>
  <c r="K162" i="1"/>
  <c r="L162" i="1"/>
  <c r="M162" i="1"/>
  <c r="N162" i="1" s="1"/>
  <c r="V162" i="1"/>
  <c r="X162" i="1"/>
  <c r="Y162" i="1"/>
  <c r="Z162" i="1"/>
  <c r="AB162" i="1"/>
  <c r="AC162" i="1"/>
  <c r="AD162" i="1"/>
  <c r="T162" i="1" s="1"/>
  <c r="AE162" i="1"/>
  <c r="AF162" i="1"/>
  <c r="AG162" i="1"/>
  <c r="AH180" i="1"/>
  <c r="AM180" i="1"/>
  <c r="AN180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81" i="1"/>
  <c r="AM181" i="1"/>
  <c r="AN181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2" i="1"/>
  <c r="AM182" i="1"/>
  <c r="AN182" i="1"/>
  <c r="K165" i="1"/>
  <c r="L165" i="1"/>
  <c r="M165" i="1"/>
  <c r="N165" i="1" s="1"/>
  <c r="V165" i="1"/>
  <c r="Y165" i="1"/>
  <c r="Z165" i="1"/>
  <c r="AA165" i="1" s="1"/>
  <c r="AB165" i="1"/>
  <c r="AC165" i="1"/>
  <c r="AD165" i="1"/>
  <c r="T165" i="1" s="1"/>
  <c r="AE165" i="1"/>
  <c r="AF165" i="1"/>
  <c r="AH183" i="1"/>
  <c r="AM183" i="1"/>
  <c r="AN183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4" i="1"/>
  <c r="AM184" i="1"/>
  <c r="AN184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5" i="1"/>
  <c r="AM185" i="1"/>
  <c r="AN185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86" i="1"/>
  <c r="AM186" i="1"/>
  <c r="AN186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87" i="1"/>
  <c r="AM187" i="1"/>
  <c r="AN187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188" i="1"/>
  <c r="AM188" i="1"/>
  <c r="AN188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89" i="1"/>
  <c r="AM189" i="1"/>
  <c r="AN189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90" i="1"/>
  <c r="AM190" i="1"/>
  <c r="AN190" i="1"/>
  <c r="K173" i="1"/>
  <c r="L173" i="1"/>
  <c r="M173" i="1"/>
  <c r="N173" i="1" s="1"/>
  <c r="V173" i="1"/>
  <c r="S35" i="3" s="1"/>
  <c r="Y173" i="1"/>
  <c r="Z173" i="1"/>
  <c r="AB173" i="1"/>
  <c r="AC173" i="1"/>
  <c r="AD173" i="1"/>
  <c r="T173" i="1" s="1"/>
  <c r="AE173" i="1"/>
  <c r="AF173" i="1"/>
  <c r="AH191" i="1"/>
  <c r="AM191" i="1"/>
  <c r="AN191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2" i="1"/>
  <c r="AM192" i="1"/>
  <c r="AN19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3" i="1"/>
  <c r="AM193" i="1"/>
  <c r="AN193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4" i="1"/>
  <c r="AM194" i="1"/>
  <c r="AN19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5" i="1"/>
  <c r="AM195" i="1"/>
  <c r="AN195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6" i="1"/>
  <c r="AM196" i="1"/>
  <c r="AN196" i="1"/>
  <c r="K179" i="1"/>
  <c r="L179" i="1"/>
  <c r="M179" i="1"/>
  <c r="N179" i="1" s="1"/>
  <c r="T179" i="1"/>
  <c r="V179" i="1"/>
  <c r="Y179" i="1"/>
  <c r="Z179" i="1"/>
  <c r="AB179" i="1"/>
  <c r="AC179" i="1"/>
  <c r="AD179" i="1"/>
  <c r="X179" i="1" s="1"/>
  <c r="AE179" i="1"/>
  <c r="AF179" i="1"/>
  <c r="AH197" i="1"/>
  <c r="AM197" i="1"/>
  <c r="AN197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8" i="1"/>
  <c r="AM198" i="1"/>
  <c r="AN19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9" i="1"/>
  <c r="AM199" i="1"/>
  <c r="AN199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0" i="1"/>
  <c r="AM200" i="1"/>
  <c r="AN200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1" i="1"/>
  <c r="AM201" i="1"/>
  <c r="AN201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2" i="1"/>
  <c r="AM202" i="1"/>
  <c r="AN20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3" i="1"/>
  <c r="AM203" i="1"/>
  <c r="AN203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4" i="1"/>
  <c r="AM204" i="1"/>
  <c r="AN204" i="1"/>
  <c r="K187" i="1"/>
  <c r="L187" i="1"/>
  <c r="M187" i="1"/>
  <c r="N187" i="1" s="1"/>
  <c r="V187" i="1"/>
  <c r="Y187" i="1"/>
  <c r="Z187" i="1"/>
  <c r="AB187" i="1"/>
  <c r="AC187" i="1"/>
  <c r="AD187" i="1"/>
  <c r="X187" i="1" s="1"/>
  <c r="AE187" i="1"/>
  <c r="AF187" i="1"/>
  <c r="AH205" i="1"/>
  <c r="AM205" i="1"/>
  <c r="AN205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06" i="1"/>
  <c r="AM206" i="1"/>
  <c r="AN206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07" i="1"/>
  <c r="AM207" i="1"/>
  <c r="AN207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08" i="1"/>
  <c r="AM208" i="1"/>
  <c r="AN208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09" i="1"/>
  <c r="AM209" i="1"/>
  <c r="AN209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0" i="1"/>
  <c r="AM210" i="1"/>
  <c r="AN210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1" i="1"/>
  <c r="AM211" i="1"/>
  <c r="AN211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2" i="1"/>
  <c r="AM212" i="1"/>
  <c r="AN212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3" i="1"/>
  <c r="AM213" i="1"/>
  <c r="AN213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14" i="1"/>
  <c r="AM214" i="1"/>
  <c r="AN214" i="1"/>
  <c r="K197" i="1"/>
  <c r="L197" i="1"/>
  <c r="M197" i="1"/>
  <c r="N197" i="1" s="1"/>
  <c r="V197" i="1"/>
  <c r="S38" i="3" s="1"/>
  <c r="Y197" i="1"/>
  <c r="Z197" i="1"/>
  <c r="AB197" i="1"/>
  <c r="AC197" i="1"/>
  <c r="AD197" i="1"/>
  <c r="AE197" i="1"/>
  <c r="AF197" i="1"/>
  <c r="AH215" i="1"/>
  <c r="AM215" i="1"/>
  <c r="AN215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6" i="1"/>
  <c r="AM216" i="1"/>
  <c r="AN216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17" i="1"/>
  <c r="AM217" i="1"/>
  <c r="AN217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18" i="1"/>
  <c r="AM218" i="1"/>
  <c r="AN21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9" i="1"/>
  <c r="AM219" i="1"/>
  <c r="AN219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0" i="1"/>
  <c r="AM220" i="1"/>
  <c r="AN220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1" i="1"/>
  <c r="AM221" i="1"/>
  <c r="AN221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22" i="1"/>
  <c r="AM222" i="1"/>
  <c r="AN22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3" i="1"/>
  <c r="AM223" i="1"/>
  <c r="AN223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24" i="1"/>
  <c r="AM224" i="1"/>
  <c r="AN224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25" i="1"/>
  <c r="AM225" i="1"/>
  <c r="AN225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226" i="1"/>
  <c r="AM226" i="1"/>
  <c r="AN226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7" i="1"/>
  <c r="AM227" i="1"/>
  <c r="AN227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28" i="1"/>
  <c r="AM228" i="1"/>
  <c r="AN228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9" i="1"/>
  <c r="AM229" i="1"/>
  <c r="AN229" i="1"/>
  <c r="K224" i="1"/>
  <c r="L224" i="1"/>
  <c r="M224" i="1"/>
  <c r="N224" i="1" s="1"/>
  <c r="V224" i="1"/>
  <c r="S40" i="3" s="1"/>
  <c r="Y224" i="1"/>
  <c r="Z224" i="1"/>
  <c r="AB224" i="1"/>
  <c r="AC224" i="1"/>
  <c r="AD224" i="1"/>
  <c r="AG224" i="1" s="1"/>
  <c r="AE224" i="1"/>
  <c r="R40" i="3" s="1"/>
  <c r="AF224" i="1"/>
  <c r="AH230" i="1"/>
  <c r="AM230" i="1"/>
  <c r="AN230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31" i="1"/>
  <c r="AM231" i="1"/>
  <c r="AN231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32" i="1"/>
  <c r="AM232" i="1"/>
  <c r="AN232" i="1"/>
  <c r="K227" i="1"/>
  <c r="L227" i="1"/>
  <c r="M227" i="1"/>
  <c r="N227" i="1" s="1"/>
  <c r="T227" i="1"/>
  <c r="V227" i="1"/>
  <c r="Y227" i="1"/>
  <c r="Z227" i="1"/>
  <c r="AB227" i="1"/>
  <c r="AC227" i="1"/>
  <c r="AD227" i="1"/>
  <c r="AG227" i="1" s="1"/>
  <c r="AE227" i="1"/>
  <c r="AF227" i="1"/>
  <c r="AH233" i="1"/>
  <c r="AM233" i="1"/>
  <c r="AN233" i="1"/>
  <c r="M37" i="3"/>
  <c r="R37" i="3"/>
  <c r="S37" i="3"/>
  <c r="U37" i="3"/>
  <c r="T37" i="3" s="1"/>
  <c r="V37" i="3"/>
  <c r="W37" i="3"/>
  <c r="X37" i="3"/>
  <c r="AC37" i="3"/>
  <c r="M7" i="3"/>
  <c r="R7" i="3"/>
  <c r="S7" i="3"/>
  <c r="U7" i="3"/>
  <c r="V7" i="3"/>
  <c r="W7" i="3"/>
  <c r="X7" i="3"/>
  <c r="M28" i="3"/>
  <c r="R28" i="3"/>
  <c r="U28" i="3"/>
  <c r="AC28" i="3" s="1"/>
  <c r="V28" i="3"/>
  <c r="W28" i="3"/>
  <c r="X28" i="3"/>
  <c r="M36" i="3"/>
  <c r="R36" i="3"/>
  <c r="S36" i="3"/>
  <c r="U36" i="3"/>
  <c r="AC36" i="3" s="1"/>
  <c r="V36" i="3"/>
  <c r="W36" i="3"/>
  <c r="X36" i="3"/>
  <c r="M34" i="3"/>
  <c r="R34" i="3"/>
  <c r="S34" i="3"/>
  <c r="U34" i="3"/>
  <c r="V34" i="3"/>
  <c r="W34" i="3"/>
  <c r="Y34" i="3" s="1"/>
  <c r="X34" i="3"/>
  <c r="M29" i="3"/>
  <c r="R29" i="3"/>
  <c r="S29" i="3"/>
  <c r="U29" i="3"/>
  <c r="AC29" i="3" s="1"/>
  <c r="V29" i="3"/>
  <c r="W29" i="3"/>
  <c r="Y29" i="3" s="1"/>
  <c r="X29" i="3"/>
  <c r="M30" i="3"/>
  <c r="S30" i="3"/>
  <c r="U30" i="3"/>
  <c r="AC30" i="3" s="1"/>
  <c r="V30" i="3"/>
  <c r="W30" i="3"/>
  <c r="X30" i="3"/>
  <c r="M31" i="3"/>
  <c r="S31" i="3"/>
  <c r="U31" i="3"/>
  <c r="T31" i="3" s="1"/>
  <c r="V31" i="3"/>
  <c r="W31" i="3"/>
  <c r="X31" i="3"/>
  <c r="AC31" i="3"/>
  <c r="M11" i="3"/>
  <c r="R11" i="3"/>
  <c r="U11" i="3"/>
  <c r="AD11" i="3" s="1"/>
  <c r="V11" i="3"/>
  <c r="W11" i="3"/>
  <c r="X11" i="3"/>
  <c r="Y11" i="3"/>
  <c r="M16" i="3"/>
  <c r="S16" i="3"/>
  <c r="U16" i="3"/>
  <c r="AC16" i="3" s="1"/>
  <c r="V16" i="3"/>
  <c r="W16" i="3"/>
  <c r="X16" i="3"/>
  <c r="M35" i="3"/>
  <c r="R35" i="3"/>
  <c r="U35" i="3"/>
  <c r="AC35" i="3" s="1"/>
  <c r="V35" i="3"/>
  <c r="W35" i="3"/>
  <c r="X35" i="3"/>
  <c r="M10" i="3"/>
  <c r="R10" i="3"/>
  <c r="S10" i="3"/>
  <c r="U10" i="3"/>
  <c r="T10" i="3" s="1"/>
  <c r="V10" i="3"/>
  <c r="W10" i="3"/>
  <c r="Y10" i="3" s="1"/>
  <c r="X10" i="3"/>
  <c r="AC10" i="3"/>
  <c r="M22" i="3"/>
  <c r="S22" i="3"/>
  <c r="U22" i="3"/>
  <c r="V22" i="3"/>
  <c r="W22" i="3"/>
  <c r="X22" i="3"/>
  <c r="M26" i="3"/>
  <c r="R26" i="3"/>
  <c r="S26" i="3"/>
  <c r="U26" i="3"/>
  <c r="AC26" i="3" s="1"/>
  <c r="V26" i="3"/>
  <c r="W26" i="3"/>
  <c r="X26" i="3"/>
  <c r="M9" i="3"/>
  <c r="R9" i="3"/>
  <c r="U9" i="3"/>
  <c r="AC9" i="3" s="1"/>
  <c r="V9" i="3"/>
  <c r="W9" i="3"/>
  <c r="X9" i="3"/>
  <c r="M24" i="3"/>
  <c r="R24" i="3"/>
  <c r="U24" i="3"/>
  <c r="T24" i="3" s="1"/>
  <c r="V24" i="3"/>
  <c r="W24" i="3"/>
  <c r="X24" i="3"/>
  <c r="AC24" i="3"/>
  <c r="M17" i="3"/>
  <c r="R17" i="3"/>
  <c r="S17" i="3"/>
  <c r="U17" i="3"/>
  <c r="V17" i="3"/>
  <c r="W17" i="3"/>
  <c r="X17" i="3"/>
  <c r="M13" i="3"/>
  <c r="S13" i="3"/>
  <c r="U13" i="3"/>
  <c r="AC13" i="3" s="1"/>
  <c r="V13" i="3"/>
  <c r="W13" i="3"/>
  <c r="Y13" i="3" s="1"/>
  <c r="X13" i="3"/>
  <c r="M18" i="3"/>
  <c r="R18" i="3"/>
  <c r="U18" i="3"/>
  <c r="AC18" i="3" s="1"/>
  <c r="V18" i="3"/>
  <c r="W18" i="3"/>
  <c r="X18" i="3"/>
  <c r="M40" i="3"/>
  <c r="U40" i="3"/>
  <c r="T40" i="3" s="1"/>
  <c r="V40" i="3"/>
  <c r="W40" i="3"/>
  <c r="X40" i="3"/>
  <c r="AC40" i="3"/>
  <c r="M15" i="3"/>
  <c r="R15" i="3"/>
  <c r="S15" i="3"/>
  <c r="U15" i="3"/>
  <c r="AD29" i="3" s="1"/>
  <c r="V15" i="3"/>
  <c r="W15" i="3"/>
  <c r="Y15" i="3" s="1"/>
  <c r="X15" i="3"/>
  <c r="AC15" i="3"/>
  <c r="M20" i="3"/>
  <c r="S20" i="3"/>
  <c r="U20" i="3"/>
  <c r="AC20" i="3" s="1"/>
  <c r="V20" i="3"/>
  <c r="W20" i="3"/>
  <c r="X20" i="3"/>
  <c r="M21" i="3"/>
  <c r="R21" i="3"/>
  <c r="T21" i="3"/>
  <c r="U21" i="3"/>
  <c r="AC21" i="3" s="1"/>
  <c r="V21" i="3"/>
  <c r="W21" i="3"/>
  <c r="X21" i="3"/>
  <c r="M32" i="3"/>
  <c r="R32" i="3"/>
  <c r="U32" i="3"/>
  <c r="T32" i="3" s="1"/>
  <c r="V32" i="3"/>
  <c r="W32" i="3"/>
  <c r="X32" i="3"/>
  <c r="AC32" i="3"/>
  <c r="M38" i="3"/>
  <c r="R38" i="3"/>
  <c r="U38" i="3"/>
  <c r="AD38" i="3" s="1"/>
  <c r="V38" i="3"/>
  <c r="W38" i="3"/>
  <c r="X38" i="3"/>
  <c r="M8" i="3"/>
  <c r="S8" i="3"/>
  <c r="U8" i="3"/>
  <c r="AC8" i="3" s="1"/>
  <c r="V8" i="3"/>
  <c r="W8" i="3"/>
  <c r="Y8" i="3" s="1"/>
  <c r="X8" i="3"/>
  <c r="M41" i="3"/>
  <c r="R41" i="3"/>
  <c r="S41" i="3"/>
  <c r="U41" i="3"/>
  <c r="AC41" i="3" s="1"/>
  <c r="V41" i="3"/>
  <c r="W41" i="3"/>
  <c r="Y41" i="3" s="1"/>
  <c r="X41" i="3"/>
  <c r="M19" i="3"/>
  <c r="R19" i="3"/>
  <c r="S19" i="3"/>
  <c r="U19" i="3"/>
  <c r="AD19" i="3" s="1"/>
  <c r="V19" i="3"/>
  <c r="W19" i="3"/>
  <c r="X19" i="3"/>
  <c r="AC19" i="3"/>
  <c r="M33" i="3"/>
  <c r="R33" i="3"/>
  <c r="U33" i="3"/>
  <c r="V33" i="3"/>
  <c r="W33" i="3"/>
  <c r="X33" i="3"/>
  <c r="AC33" i="3"/>
  <c r="M39" i="3"/>
  <c r="R39" i="3"/>
  <c r="S39" i="3"/>
  <c r="U39" i="3"/>
  <c r="AC39" i="3" s="1"/>
  <c r="V39" i="3"/>
  <c r="W39" i="3"/>
  <c r="X39" i="3"/>
  <c r="M12" i="3"/>
  <c r="S12" i="3"/>
  <c r="U12" i="3"/>
  <c r="AC12" i="3" s="1"/>
  <c r="V12" i="3"/>
  <c r="W12" i="3"/>
  <c r="X12" i="3"/>
  <c r="M14" i="3"/>
  <c r="R14" i="3"/>
  <c r="S14" i="3"/>
  <c r="U14" i="3"/>
  <c r="V14" i="3"/>
  <c r="W14" i="3"/>
  <c r="Y14" i="3" s="1"/>
  <c r="X14" i="3"/>
  <c r="AC14" i="3"/>
  <c r="M25" i="3"/>
  <c r="R25" i="3"/>
  <c r="S25" i="3"/>
  <c r="U25" i="3"/>
  <c r="V25" i="3"/>
  <c r="W25" i="3"/>
  <c r="Y25" i="3" s="1"/>
  <c r="X25" i="3"/>
  <c r="M23" i="3"/>
  <c r="R23" i="3"/>
  <c r="S23" i="3"/>
  <c r="U23" i="3"/>
  <c r="AC23" i="3" s="1"/>
  <c r="V23" i="3"/>
  <c r="W23" i="3"/>
  <c r="X23" i="3"/>
  <c r="AG14" i="1" l="1"/>
  <c r="S32" i="3"/>
  <c r="AA204" i="1"/>
  <c r="T204" i="1"/>
  <c r="X200" i="1"/>
  <c r="AI196" i="1"/>
  <c r="AA196" i="1"/>
  <c r="AG186" i="1"/>
  <c r="AA185" i="1"/>
  <c r="AA181" i="1"/>
  <c r="AA179" i="1"/>
  <c r="AA174" i="1"/>
  <c r="W174" i="1" s="1"/>
  <c r="AI168" i="1"/>
  <c r="AA229" i="1"/>
  <c r="AA158" i="1"/>
  <c r="X134" i="1"/>
  <c r="AG131" i="1"/>
  <c r="U131" i="1" s="1"/>
  <c r="S131" i="1" s="1"/>
  <c r="AA124" i="1"/>
  <c r="W124" i="1" s="1"/>
  <c r="AA112" i="1"/>
  <c r="AA110" i="1"/>
  <c r="AA108" i="1"/>
  <c r="W108" i="1" s="1"/>
  <c r="AA104" i="1"/>
  <c r="AA87" i="1"/>
  <c r="AA84" i="1"/>
  <c r="W84" i="1" s="1"/>
  <c r="AG60" i="1"/>
  <c r="AI60" i="1" s="1"/>
  <c r="AA47" i="1"/>
  <c r="AA42" i="1"/>
  <c r="AA39" i="1"/>
  <c r="AA29" i="1"/>
  <c r="W29" i="1" s="1"/>
  <c r="AA19" i="1"/>
  <c r="AA17" i="1"/>
  <c r="Y33" i="3"/>
  <c r="Y22" i="3"/>
  <c r="AD39" i="3"/>
  <c r="Y39" i="3"/>
  <c r="Y17" i="3"/>
  <c r="T187" i="1"/>
  <c r="X29" i="1"/>
  <c r="AD36" i="3"/>
  <c r="AE38" i="3"/>
  <c r="Y36" i="3"/>
  <c r="AA207" i="1"/>
  <c r="X204" i="1"/>
  <c r="AA187" i="1"/>
  <c r="W187" i="1" s="1"/>
  <c r="AA186" i="1"/>
  <c r="W186" i="1" s="1"/>
  <c r="X174" i="1"/>
  <c r="AA172" i="1"/>
  <c r="AA164" i="1"/>
  <c r="W164" i="1" s="1"/>
  <c r="AA228" i="1"/>
  <c r="W228" i="1" s="1"/>
  <c r="AA219" i="1"/>
  <c r="AG215" i="1"/>
  <c r="AI215" i="1" s="1"/>
  <c r="AA145" i="1"/>
  <c r="W145" i="1" s="1"/>
  <c r="AA107" i="1"/>
  <c r="AA99" i="1"/>
  <c r="AA80" i="1"/>
  <c r="AA70" i="1"/>
  <c r="AI52" i="1"/>
  <c r="AG42" i="1"/>
  <c r="AA33" i="1"/>
  <c r="AA28" i="1"/>
  <c r="AA20" i="1"/>
  <c r="AI16" i="1"/>
  <c r="T225" i="1"/>
  <c r="AG225" i="1"/>
  <c r="AI225" i="1" s="1"/>
  <c r="R31" i="3"/>
  <c r="R30" i="3"/>
  <c r="T219" i="1"/>
  <c r="AG219" i="1"/>
  <c r="AI219" i="1" s="1"/>
  <c r="T117" i="1"/>
  <c r="U117" i="1" s="1"/>
  <c r="S117" i="1" s="1"/>
  <c r="X117" i="1"/>
  <c r="AG117" i="1"/>
  <c r="AI117" i="1" s="1"/>
  <c r="T113" i="1"/>
  <c r="U113" i="1" s="1"/>
  <c r="S113" i="1" s="1"/>
  <c r="X113" i="1"/>
  <c r="AG113" i="1"/>
  <c r="T76" i="1"/>
  <c r="AG76" i="1"/>
  <c r="T72" i="1"/>
  <c r="AG72" i="1"/>
  <c r="AI72" i="1" s="1"/>
  <c r="T62" i="1"/>
  <c r="X62" i="1"/>
  <c r="AG62" i="1"/>
  <c r="AI62" i="1" s="1"/>
  <c r="T127" i="1"/>
  <c r="AG127" i="1"/>
  <c r="AA116" i="1"/>
  <c r="W116" i="1" s="1"/>
  <c r="AI116" i="1"/>
  <c r="T101" i="1"/>
  <c r="X101" i="1"/>
  <c r="AG101" i="1"/>
  <c r="U101" i="1" s="1"/>
  <c r="S101" i="1" s="1"/>
  <c r="T33" i="1"/>
  <c r="X33" i="1"/>
  <c r="AG73" i="1"/>
  <c r="X73" i="1"/>
  <c r="AG63" i="1"/>
  <c r="AI63" i="1" s="1"/>
  <c r="X63" i="1"/>
  <c r="AA189" i="1"/>
  <c r="AA91" i="1"/>
  <c r="AA83" i="1"/>
  <c r="AA16" i="1"/>
  <c r="AD40" i="3"/>
  <c r="AE36" i="3"/>
  <c r="Y37" i="3"/>
  <c r="AG201" i="1"/>
  <c r="AG194" i="1"/>
  <c r="AA178" i="1"/>
  <c r="AI176" i="1"/>
  <c r="AA173" i="1"/>
  <c r="X230" i="1"/>
  <c r="X212" i="1"/>
  <c r="AG211" i="1"/>
  <c r="AI211" i="1" s="1"/>
  <c r="X150" i="1"/>
  <c r="AA150" i="1"/>
  <c r="AI145" i="1"/>
  <c r="AA111" i="1"/>
  <c r="AA97" i="1"/>
  <c r="AA92" i="1"/>
  <c r="W92" i="1" s="1"/>
  <c r="AA78" i="1"/>
  <c r="W78" i="1" s="1"/>
  <c r="AG74" i="1"/>
  <c r="X74" i="1"/>
  <c r="AG68" i="1"/>
  <c r="W68" i="1" s="1"/>
  <c r="AA45" i="1"/>
  <c r="W45" i="1" s="1"/>
  <c r="X34" i="1"/>
  <c r="X17" i="1"/>
  <c r="X220" i="1"/>
  <c r="AA160" i="1"/>
  <c r="AA142" i="1"/>
  <c r="X66" i="1"/>
  <c r="AE31" i="3"/>
  <c r="Y7" i="3"/>
  <c r="AD35" i="3"/>
  <c r="AD31" i="3"/>
  <c r="AD28" i="3"/>
  <c r="AE28" i="3"/>
  <c r="Y16" i="3"/>
  <c r="Y31" i="3"/>
  <c r="Y28" i="3"/>
  <c r="X224" i="1"/>
  <c r="AI208" i="1"/>
  <c r="AI217" i="1"/>
  <c r="AA199" i="1"/>
  <c r="AG198" i="1"/>
  <c r="U198" i="1" s="1"/>
  <c r="S198" i="1" s="1"/>
  <c r="X198" i="1"/>
  <c r="AA190" i="1"/>
  <c r="AG187" i="1"/>
  <c r="AI184" i="1"/>
  <c r="AI180" i="1"/>
  <c r="AG179" i="1"/>
  <c r="W179" i="1" s="1"/>
  <c r="X171" i="1"/>
  <c r="AG170" i="1"/>
  <c r="W170" i="1" s="1"/>
  <c r="AA166" i="1"/>
  <c r="AA215" i="1"/>
  <c r="W215" i="1" s="1"/>
  <c r="AA213" i="1"/>
  <c r="AA155" i="1"/>
  <c r="W155" i="1" s="1"/>
  <c r="AA153" i="1"/>
  <c r="W153" i="1" s="1"/>
  <c r="AA149" i="1"/>
  <c r="W149" i="1" s="1"/>
  <c r="AG135" i="1"/>
  <c r="AG122" i="1"/>
  <c r="U122" i="1" s="1"/>
  <c r="S122" i="1" s="1"/>
  <c r="AA96" i="1"/>
  <c r="W96" i="1" s="1"/>
  <c r="AA88" i="1"/>
  <c r="X84" i="1"/>
  <c r="AA76" i="1"/>
  <c r="W76" i="1" s="1"/>
  <c r="T66" i="1"/>
  <c r="X49" i="1"/>
  <c r="T48" i="1"/>
  <c r="AI45" i="1"/>
  <c r="AA41" i="1"/>
  <c r="AG25" i="1"/>
  <c r="AI25" i="1" s="1"/>
  <c r="AA152" i="1"/>
  <c r="W152" i="1" s="1"/>
  <c r="AA224" i="1"/>
  <c r="T224" i="1"/>
  <c r="AA223" i="1"/>
  <c r="AG221" i="1"/>
  <c r="AI221" i="1" s="1"/>
  <c r="AA208" i="1"/>
  <c r="AI204" i="1"/>
  <c r="AA200" i="1"/>
  <c r="W200" i="1" s="1"/>
  <c r="T200" i="1"/>
  <c r="U194" i="1"/>
  <c r="T190" i="1"/>
  <c r="U190" i="1" s="1"/>
  <c r="S190" i="1" s="1"/>
  <c r="X160" i="1"/>
  <c r="X145" i="1"/>
  <c r="AA132" i="1"/>
  <c r="X122" i="1"/>
  <c r="AA103" i="1"/>
  <c r="U74" i="1"/>
  <c r="AA71" i="1"/>
  <c r="X71" i="1"/>
  <c r="AA65" i="1"/>
  <c r="W65" i="1" s="1"/>
  <c r="T58" i="1"/>
  <c r="AA56" i="1"/>
  <c r="AA48" i="1"/>
  <c r="W48" i="1" s="1"/>
  <c r="AA43" i="1"/>
  <c r="U42" i="1"/>
  <c r="AG38" i="1"/>
  <c r="X38" i="1"/>
  <c r="AA37" i="1"/>
  <c r="W37" i="1" s="1"/>
  <c r="AA32" i="1"/>
  <c r="AG30" i="1"/>
  <c r="U30" i="1" s="1"/>
  <c r="S30" i="1" s="1"/>
  <c r="X30" i="1"/>
  <c r="AA24" i="1"/>
  <c r="T18" i="1"/>
  <c r="AG17" i="1"/>
  <c r="AI17" i="1" s="1"/>
  <c r="U227" i="1"/>
  <c r="S227" i="1" s="1"/>
  <c r="AA197" i="1"/>
  <c r="AA193" i="1"/>
  <c r="W193" i="1" s="1"/>
  <c r="AA182" i="1"/>
  <c r="W182" i="1" s="1"/>
  <c r="AG178" i="1"/>
  <c r="U178" i="1" s="1"/>
  <c r="S178" i="1" s="1"/>
  <c r="AA177" i="1"/>
  <c r="AA171" i="1"/>
  <c r="T171" i="1"/>
  <c r="AA169" i="1"/>
  <c r="AA163" i="1"/>
  <c r="T163" i="1"/>
  <c r="AA233" i="1"/>
  <c r="AA220" i="1"/>
  <c r="T220" i="1"/>
  <c r="AA218" i="1"/>
  <c r="AG216" i="1"/>
  <c r="U216" i="1" s="1"/>
  <c r="S216" i="1" s="1"/>
  <c r="X216" i="1"/>
  <c r="AA212" i="1"/>
  <c r="T212" i="1"/>
  <c r="AA159" i="1"/>
  <c r="W159" i="1" s="1"/>
  <c r="AG157" i="1"/>
  <c r="U157" i="1" s="1"/>
  <c r="S157" i="1" s="1"/>
  <c r="AG156" i="1"/>
  <c r="AI156" i="1" s="1"/>
  <c r="X156" i="1"/>
  <c r="AA148" i="1"/>
  <c r="AG138" i="1"/>
  <c r="U138" i="1" s="1"/>
  <c r="S138" i="1" s="1"/>
  <c r="X138" i="1"/>
  <c r="AI137" i="1"/>
  <c r="AA134" i="1"/>
  <c r="AA128" i="1"/>
  <c r="AA121" i="1"/>
  <c r="W121" i="1" s="1"/>
  <c r="X112" i="1"/>
  <c r="AA81" i="1"/>
  <c r="W81" i="1" s="1"/>
  <c r="X67" i="1"/>
  <c r="T55" i="1"/>
  <c r="X50" i="1"/>
  <c r="W47" i="1"/>
  <c r="AG26" i="1"/>
  <c r="AI26" i="1" s="1"/>
  <c r="X26" i="1"/>
  <c r="X21" i="1"/>
  <c r="T16" i="1"/>
  <c r="U16" i="1" s="1"/>
  <c r="S16" i="1" s="1"/>
  <c r="W190" i="1"/>
  <c r="AA102" i="1"/>
  <c r="AA100" i="1"/>
  <c r="W100" i="1" s="1"/>
  <c r="AA95" i="1"/>
  <c r="X89" i="1"/>
  <c r="AA89" i="1"/>
  <c r="AA72" i="1"/>
  <c r="W72" i="1" s="1"/>
  <c r="AG66" i="1"/>
  <c r="AI66" i="1" s="1"/>
  <c r="AA62" i="1"/>
  <c r="W62" i="1" s="1"/>
  <c r="X61" i="1"/>
  <c r="AG58" i="1"/>
  <c r="U58" i="1" s="1"/>
  <c r="X57" i="1"/>
  <c r="AG56" i="1"/>
  <c r="AI56" i="1" s="1"/>
  <c r="AA55" i="1"/>
  <c r="X55" i="1"/>
  <c r="AA54" i="1"/>
  <c r="AA51" i="1"/>
  <c r="AG46" i="1"/>
  <c r="X46" i="1"/>
  <c r="X41" i="1"/>
  <c r="AG18" i="1"/>
  <c r="AI18" i="1" s="1"/>
  <c r="X227" i="1"/>
  <c r="T208" i="1"/>
  <c r="AG205" i="1"/>
  <c r="AI205" i="1" s="1"/>
  <c r="AA203" i="1"/>
  <c r="W203" i="1" s="1"/>
  <c r="X191" i="1"/>
  <c r="AA188" i="1"/>
  <c r="AA180" i="1"/>
  <c r="W180" i="1" s="1"/>
  <c r="X175" i="1"/>
  <c r="AG171" i="1"/>
  <c r="AG163" i="1"/>
  <c r="AA162" i="1"/>
  <c r="W162" i="1" s="1"/>
  <c r="X231" i="1"/>
  <c r="AG220" i="1"/>
  <c r="AA216" i="1"/>
  <c r="AA214" i="1"/>
  <c r="W214" i="1" s="1"/>
  <c r="AG212" i="1"/>
  <c r="U212" i="1" s="1"/>
  <c r="S212" i="1" s="1"/>
  <c r="AA157" i="1"/>
  <c r="AA154" i="1"/>
  <c r="AI149" i="1"/>
  <c r="X146" i="1"/>
  <c r="AA146" i="1"/>
  <c r="AG143" i="1"/>
  <c r="AA141" i="1"/>
  <c r="W141" i="1" s="1"/>
  <c r="AA136" i="1"/>
  <c r="AA129" i="1"/>
  <c r="W129" i="1" s="1"/>
  <c r="AA123" i="1"/>
  <c r="W123" i="1" s="1"/>
  <c r="T120" i="1"/>
  <c r="AA114" i="1"/>
  <c r="AG109" i="1"/>
  <c r="X109" i="1"/>
  <c r="X104" i="1"/>
  <c r="X97" i="1"/>
  <c r="X96" i="1"/>
  <c r="AA86" i="1"/>
  <c r="W80" i="1"/>
  <c r="AI76" i="1"/>
  <c r="T71" i="1"/>
  <c r="T65" i="1"/>
  <c r="U65" i="1" s="1"/>
  <c r="S65" i="1" s="1"/>
  <c r="AA64" i="1"/>
  <c r="W16" i="1"/>
  <c r="X207" i="1"/>
  <c r="T195" i="1"/>
  <c r="U195" i="1" s="1"/>
  <c r="S195" i="1" s="1"/>
  <c r="X195" i="1"/>
  <c r="AG195" i="1"/>
  <c r="W166" i="1"/>
  <c r="W230" i="1"/>
  <c r="AI129" i="1"/>
  <c r="X223" i="1"/>
  <c r="AA227" i="1"/>
  <c r="W227" i="1" s="1"/>
  <c r="X226" i="1"/>
  <c r="AG223" i="1"/>
  <c r="X222" i="1"/>
  <c r="AG207" i="1"/>
  <c r="U207" i="1" s="1"/>
  <c r="S207" i="1" s="1"/>
  <c r="X206" i="1"/>
  <c r="T203" i="1"/>
  <c r="AI200" i="1"/>
  <c r="W196" i="1"/>
  <c r="AI227" i="1"/>
  <c r="X208" i="1"/>
  <c r="U203" i="1"/>
  <c r="S203" i="1" s="1"/>
  <c r="X203" i="1"/>
  <c r="X202" i="1"/>
  <c r="T202" i="1"/>
  <c r="X199" i="1"/>
  <c r="AG199" i="1"/>
  <c r="T199" i="1"/>
  <c r="AG197" i="1"/>
  <c r="T197" i="1"/>
  <c r="W133" i="1"/>
  <c r="AI121" i="1"/>
  <c r="AA226" i="1"/>
  <c r="T226" i="1"/>
  <c r="AA225" i="1"/>
  <c r="W225" i="1" s="1"/>
  <c r="AA222" i="1"/>
  <c r="T222" i="1"/>
  <c r="AA221" i="1"/>
  <c r="AA206" i="1"/>
  <c r="T206" i="1"/>
  <c r="AA205" i="1"/>
  <c r="AI133" i="1"/>
  <c r="X182" i="1"/>
  <c r="U179" i="1"/>
  <c r="T174" i="1"/>
  <c r="U174" i="1" s="1"/>
  <c r="S174" i="1" s="1"/>
  <c r="W171" i="1"/>
  <c r="U170" i="1"/>
  <c r="S170" i="1" s="1"/>
  <c r="X166" i="1"/>
  <c r="U163" i="1"/>
  <c r="T230" i="1"/>
  <c r="U230" i="1" s="1"/>
  <c r="S230" i="1" s="1"/>
  <c r="W220" i="1"/>
  <c r="W216" i="1"/>
  <c r="U215" i="1"/>
  <c r="S215" i="1" s="1"/>
  <c r="W212" i="1"/>
  <c r="T150" i="1"/>
  <c r="T133" i="1"/>
  <c r="U133" i="1" s="1"/>
  <c r="S133" i="1" s="1"/>
  <c r="AA122" i="1"/>
  <c r="X121" i="1"/>
  <c r="AI21" i="1"/>
  <c r="AA202" i="1"/>
  <c r="AA201" i="1"/>
  <c r="W201" i="1" s="1"/>
  <c r="AA195" i="1"/>
  <c r="W195" i="1" s="1"/>
  <c r="AA192" i="1"/>
  <c r="X190" i="1"/>
  <c r="X186" i="1"/>
  <c r="AG183" i="1"/>
  <c r="U183" i="1" s="1"/>
  <c r="S183" i="1" s="1"/>
  <c r="X183" i="1"/>
  <c r="AA176" i="1"/>
  <c r="W176" i="1" s="1"/>
  <c r="AA175" i="1"/>
  <c r="T175" i="1"/>
  <c r="X170" i="1"/>
  <c r="AG167" i="1"/>
  <c r="U167" i="1" s="1"/>
  <c r="S167" i="1" s="1"/>
  <c r="X167" i="1"/>
  <c r="AA232" i="1"/>
  <c r="W232" i="1" s="1"/>
  <c r="AA231" i="1"/>
  <c r="T231" i="1"/>
  <c r="X219" i="1"/>
  <c r="X215" i="1"/>
  <c r="AG161" i="1"/>
  <c r="U161" i="1" s="1"/>
  <c r="S161" i="1" s="1"/>
  <c r="X161" i="1"/>
  <c r="T160" i="1"/>
  <c r="T159" i="1"/>
  <c r="U159" i="1" s="1"/>
  <c r="S159" i="1" s="1"/>
  <c r="X155" i="1"/>
  <c r="AG154" i="1"/>
  <c r="X154" i="1"/>
  <c r="AI153" i="1"/>
  <c r="AG150" i="1"/>
  <c r="T149" i="1"/>
  <c r="T146" i="1"/>
  <c r="AG142" i="1"/>
  <c r="W142" i="1" s="1"/>
  <c r="X142" i="1"/>
  <c r="U141" i="1"/>
  <c r="AA140" i="1"/>
  <c r="AA138" i="1"/>
  <c r="W138" i="1" s="1"/>
  <c r="T137" i="1"/>
  <c r="U137" i="1" s="1"/>
  <c r="S137" i="1" s="1"/>
  <c r="T134" i="1"/>
  <c r="AG130" i="1"/>
  <c r="AI130" i="1" s="1"/>
  <c r="X130" i="1"/>
  <c r="T125" i="1"/>
  <c r="U26" i="1"/>
  <c r="S26" i="1" s="1"/>
  <c r="T182" i="1"/>
  <c r="U182" i="1" s="1"/>
  <c r="S182" i="1" s="1"/>
  <c r="T166" i="1"/>
  <c r="U166" i="1" s="1"/>
  <c r="S166" i="1" s="1"/>
  <c r="U162" i="1"/>
  <c r="S162" i="1" s="1"/>
  <c r="AI172" i="1"/>
  <c r="AI164" i="1"/>
  <c r="T129" i="1"/>
  <c r="U129" i="1" s="1"/>
  <c r="S129" i="1" s="1"/>
  <c r="T121" i="1"/>
  <c r="U121" i="1" s="1"/>
  <c r="S121" i="1" s="1"/>
  <c r="AI29" i="1"/>
  <c r="AA198" i="1"/>
  <c r="AA194" i="1"/>
  <c r="W194" i="1" s="1"/>
  <c r="AA184" i="1"/>
  <c r="AA183" i="1"/>
  <c r="X178" i="1"/>
  <c r="AG175" i="1"/>
  <c r="AA168" i="1"/>
  <c r="W168" i="1" s="1"/>
  <c r="AA167" i="1"/>
  <c r="AG231" i="1"/>
  <c r="T218" i="1"/>
  <c r="T214" i="1"/>
  <c r="U214" i="1" s="1"/>
  <c r="S214" i="1" s="1"/>
  <c r="AA211" i="1"/>
  <c r="W211" i="1" s="1"/>
  <c r="AA209" i="1"/>
  <c r="W209" i="1" s="1"/>
  <c r="AA161" i="1"/>
  <c r="AG160" i="1"/>
  <c r="AI160" i="1" s="1"/>
  <c r="AA156" i="1"/>
  <c r="T153" i="1"/>
  <c r="AA151" i="1"/>
  <c r="AG146" i="1"/>
  <c r="W146" i="1" s="1"/>
  <c r="T145" i="1"/>
  <c r="AG139" i="1"/>
  <c r="AG134" i="1"/>
  <c r="U134" i="1" s="1"/>
  <c r="S134" i="1" s="1"/>
  <c r="AA130" i="1"/>
  <c r="U127" i="1"/>
  <c r="AG126" i="1"/>
  <c r="X126" i="1"/>
  <c r="AG125" i="1"/>
  <c r="W125" i="1" s="1"/>
  <c r="AI124" i="1"/>
  <c r="U109" i="1"/>
  <c r="W21" i="1"/>
  <c r="T116" i="1"/>
  <c r="U116" i="1" s="1"/>
  <c r="S116" i="1" s="1"/>
  <c r="AA109" i="1"/>
  <c r="W109" i="1" s="1"/>
  <c r="AG105" i="1"/>
  <c r="X105" i="1"/>
  <c r="T100" i="1"/>
  <c r="U100" i="1" s="1"/>
  <c r="S100" i="1" s="1"/>
  <c r="AA98" i="1"/>
  <c r="AG93" i="1"/>
  <c r="U93" i="1" s="1"/>
  <c r="X93" i="1"/>
  <c r="T92" i="1"/>
  <c r="AA90" i="1"/>
  <c r="T89" i="1"/>
  <c r="AG81" i="1"/>
  <c r="U81" i="1" s="1"/>
  <c r="S81" i="1" s="1"/>
  <c r="X81" i="1"/>
  <c r="T80" i="1"/>
  <c r="AG78" i="1"/>
  <c r="AI78" i="1" s="1"/>
  <c r="X78" i="1"/>
  <c r="AA75" i="1"/>
  <c r="W75" i="1" s="1"/>
  <c r="T75" i="1"/>
  <c r="AA74" i="1"/>
  <c r="W74" i="1" s="1"/>
  <c r="T70" i="1"/>
  <c r="AA69" i="1"/>
  <c r="W69" i="1" s="1"/>
  <c r="T69" i="1"/>
  <c r="AA59" i="1"/>
  <c r="T59" i="1"/>
  <c r="U59" i="1" s="1"/>
  <c r="S59" i="1" s="1"/>
  <c r="AA58" i="1"/>
  <c r="T54" i="1"/>
  <c r="AA53" i="1"/>
  <c r="T53" i="1"/>
  <c r="U53" i="1" s="1"/>
  <c r="S53" i="1" s="1"/>
  <c r="AA50" i="1"/>
  <c r="T49" i="1"/>
  <c r="U46" i="1"/>
  <c r="S46" i="1" s="1"/>
  <c r="AA35" i="1"/>
  <c r="T34" i="1"/>
  <c r="AG33" i="1"/>
  <c r="W33" i="1" s="1"/>
  <c r="AG22" i="1"/>
  <c r="U22" i="1" s="1"/>
  <c r="S22" i="1" s="1"/>
  <c r="X22" i="1"/>
  <c r="T17" i="1"/>
  <c r="U17" i="1" s="1"/>
  <c r="S17" i="1" s="1"/>
  <c r="T108" i="1"/>
  <c r="U108" i="1" s="1"/>
  <c r="S108" i="1" s="1"/>
  <c r="T97" i="1"/>
  <c r="T88" i="1"/>
  <c r="U88" i="1" s="1"/>
  <c r="S88" i="1" s="1"/>
  <c r="T41" i="1"/>
  <c r="U37" i="1"/>
  <c r="S37" i="1" s="1"/>
  <c r="T21" i="1"/>
  <c r="U21" i="1" s="1"/>
  <c r="S21" i="1" s="1"/>
  <c r="AA15" i="1"/>
  <c r="AA120" i="1"/>
  <c r="W120" i="1" s="1"/>
  <c r="AA119" i="1"/>
  <c r="W119" i="1" s="1"/>
  <c r="X116" i="1"/>
  <c r="AA113" i="1"/>
  <c r="T112" i="1"/>
  <c r="AA106" i="1"/>
  <c r="X100" i="1"/>
  <c r="AG97" i="1"/>
  <c r="AI97" i="1" s="1"/>
  <c r="T96" i="1"/>
  <c r="AA94" i="1"/>
  <c r="X92" i="1"/>
  <c r="AG89" i="1"/>
  <c r="T84" i="1"/>
  <c r="AA82" i="1"/>
  <c r="X80" i="1"/>
  <c r="X79" i="1"/>
  <c r="T77" i="1"/>
  <c r="X75" i="1"/>
  <c r="AG70" i="1"/>
  <c r="X70" i="1"/>
  <c r="X69" i="1"/>
  <c r="AA67" i="1"/>
  <c r="W67" i="1" s="1"/>
  <c r="T67" i="1"/>
  <c r="AA66" i="1"/>
  <c r="AG64" i="1"/>
  <c r="AA61" i="1"/>
  <c r="W61" i="1" s="1"/>
  <c r="T61" i="1"/>
  <c r="X59" i="1"/>
  <c r="AG54" i="1"/>
  <c r="W54" i="1" s="1"/>
  <c r="X54" i="1"/>
  <c r="X53" i="1"/>
  <c r="AA52" i="1"/>
  <c r="W52" i="1" s="1"/>
  <c r="AG49" i="1"/>
  <c r="AI49" i="1" s="1"/>
  <c r="AI48" i="1"/>
  <c r="AA44" i="1"/>
  <c r="AG41" i="1"/>
  <c r="AI41" i="1" s="1"/>
  <c r="U38" i="1"/>
  <c r="S38" i="1" s="1"/>
  <c r="X37" i="1"/>
  <c r="AG34" i="1"/>
  <c r="T29" i="1"/>
  <c r="U29" i="1" s="1"/>
  <c r="S29" i="1" s="1"/>
  <c r="AA27" i="1"/>
  <c r="AA26" i="1"/>
  <c r="W26" i="1" s="1"/>
  <c r="AA23" i="1"/>
  <c r="X108" i="1"/>
  <c r="T104" i="1"/>
  <c r="U104" i="1" s="1"/>
  <c r="S104" i="1" s="1"/>
  <c r="X88" i="1"/>
  <c r="AA77" i="1"/>
  <c r="W77" i="1" s="1"/>
  <c r="AI74" i="1"/>
  <c r="AA73" i="1"/>
  <c r="W73" i="1" s="1"/>
  <c r="T73" i="1"/>
  <c r="AI68" i="1"/>
  <c r="X65" i="1"/>
  <c r="AA63" i="1"/>
  <c r="W63" i="1" s="1"/>
  <c r="T63" i="1"/>
  <c r="AI58" i="1"/>
  <c r="AA57" i="1"/>
  <c r="W57" i="1" s="1"/>
  <c r="T57" i="1"/>
  <c r="U57" i="1" s="1"/>
  <c r="S57" i="1" s="1"/>
  <c r="AA46" i="1"/>
  <c r="W46" i="1" s="1"/>
  <c r="U45" i="1"/>
  <c r="S45" i="1" s="1"/>
  <c r="X42" i="1"/>
  <c r="AI37" i="1"/>
  <c r="AA31" i="1"/>
  <c r="W224" i="1"/>
  <c r="W208" i="1"/>
  <c r="W204" i="1"/>
  <c r="U200" i="1"/>
  <c r="S200" i="1" s="1"/>
  <c r="AI218" i="1"/>
  <c r="U208" i="1"/>
  <c r="S208" i="1" s="1"/>
  <c r="U204" i="1"/>
  <c r="S204" i="1" s="1"/>
  <c r="U224" i="1"/>
  <c r="S224" i="1" s="1"/>
  <c r="AI230" i="1"/>
  <c r="U221" i="1"/>
  <c r="S221" i="1" s="1"/>
  <c r="U205" i="1"/>
  <c r="S205" i="1" s="1"/>
  <c r="U201" i="1"/>
  <c r="S201" i="1" s="1"/>
  <c r="AI214" i="1"/>
  <c r="AI212" i="1"/>
  <c r="S194" i="1"/>
  <c r="X193" i="1"/>
  <c r="T192" i="1"/>
  <c r="X192" i="1"/>
  <c r="T191" i="1"/>
  <c r="AI194" i="1"/>
  <c r="AI178" i="1"/>
  <c r="W210" i="1"/>
  <c r="AI159" i="1"/>
  <c r="W158" i="1"/>
  <c r="AG226" i="1"/>
  <c r="AI226" i="1" s="1"/>
  <c r="X225" i="1"/>
  <c r="AG222" i="1"/>
  <c r="W222" i="1" s="1"/>
  <c r="X221" i="1"/>
  <c r="AG206" i="1"/>
  <c r="X205" i="1"/>
  <c r="AG202" i="1"/>
  <c r="X201" i="1"/>
  <c r="AI216" i="1"/>
  <c r="X197" i="1"/>
  <c r="T196" i="1"/>
  <c r="U196" i="1" s="1"/>
  <c r="S196" i="1" s="1"/>
  <c r="X196" i="1"/>
  <c r="AG192" i="1"/>
  <c r="AI192" i="1" s="1"/>
  <c r="AG191" i="1"/>
  <c r="AG188" i="1"/>
  <c r="AI188" i="1" s="1"/>
  <c r="T188" i="1"/>
  <c r="X188" i="1"/>
  <c r="U186" i="1"/>
  <c r="S186" i="1" s="1"/>
  <c r="W184" i="1"/>
  <c r="AI182" i="1"/>
  <c r="W218" i="1"/>
  <c r="AI163" i="1"/>
  <c r="U210" i="1"/>
  <c r="S210" i="1" s="1"/>
  <c r="AI158" i="1"/>
  <c r="AI213" i="1"/>
  <c r="W172" i="1"/>
  <c r="AI186" i="1"/>
  <c r="AI171" i="1"/>
  <c r="U218" i="1"/>
  <c r="S218" i="1" s="1"/>
  <c r="W217" i="1"/>
  <c r="AI167" i="1"/>
  <c r="W213" i="1"/>
  <c r="AI162" i="1"/>
  <c r="U197" i="1"/>
  <c r="S197" i="1" s="1"/>
  <c r="X194" i="1"/>
  <c r="T193" i="1"/>
  <c r="U193" i="1" s="1"/>
  <c r="S193" i="1" s="1"/>
  <c r="AA191" i="1"/>
  <c r="T189" i="1"/>
  <c r="X189" i="1"/>
  <c r="AG189" i="1"/>
  <c r="AI190" i="1"/>
  <c r="AI174" i="1"/>
  <c r="AI170" i="1"/>
  <c r="AI166" i="1"/>
  <c r="AI152" i="1"/>
  <c r="AG185" i="1"/>
  <c r="X184" i="1"/>
  <c r="T184" i="1"/>
  <c r="U184" i="1" s="1"/>
  <c r="S184" i="1" s="1"/>
  <c r="AI201" i="1"/>
  <c r="AG181" i="1"/>
  <c r="AI181" i="1" s="1"/>
  <c r="X180" i="1"/>
  <c r="T180" i="1"/>
  <c r="U180" i="1" s="1"/>
  <c r="S180" i="1" s="1"/>
  <c r="AI197" i="1"/>
  <c r="S179" i="1"/>
  <c r="AG177" i="1"/>
  <c r="AI177" i="1" s="1"/>
  <c r="X176" i="1"/>
  <c r="T176" i="1"/>
  <c r="U176" i="1" s="1"/>
  <c r="S176" i="1" s="1"/>
  <c r="AI193" i="1"/>
  <c r="AG173" i="1"/>
  <c r="W173" i="1" s="1"/>
  <c r="X172" i="1"/>
  <c r="T172" i="1"/>
  <c r="U172" i="1" s="1"/>
  <c r="S172" i="1" s="1"/>
  <c r="AI189" i="1"/>
  <c r="AG169" i="1"/>
  <c r="X168" i="1"/>
  <c r="T168" i="1"/>
  <c r="U168" i="1" s="1"/>
  <c r="S168" i="1" s="1"/>
  <c r="AG165" i="1"/>
  <c r="AI165" i="1" s="1"/>
  <c r="X164" i="1"/>
  <c r="T164" i="1"/>
  <c r="U164" i="1" s="1"/>
  <c r="S164" i="1" s="1"/>
  <c r="S163" i="1"/>
  <c r="AG233" i="1"/>
  <c r="AI233" i="1" s="1"/>
  <c r="X232" i="1"/>
  <c r="T232" i="1"/>
  <c r="U232" i="1" s="1"/>
  <c r="S232" i="1" s="1"/>
  <c r="AG229" i="1"/>
  <c r="X228" i="1"/>
  <c r="T228" i="1"/>
  <c r="U228" i="1" s="1"/>
  <c r="S228" i="1" s="1"/>
  <c r="AI173" i="1"/>
  <c r="X217" i="1"/>
  <c r="T217" i="1"/>
  <c r="U217" i="1" s="1"/>
  <c r="S217" i="1" s="1"/>
  <c r="AI169" i="1"/>
  <c r="X213" i="1"/>
  <c r="T213" i="1"/>
  <c r="U213" i="1" s="1"/>
  <c r="S213" i="1" s="1"/>
  <c r="X209" i="1"/>
  <c r="T209" i="1"/>
  <c r="U209" i="1" s="1"/>
  <c r="S209" i="1" s="1"/>
  <c r="AI161" i="1"/>
  <c r="X158" i="1"/>
  <c r="T158" i="1"/>
  <c r="U158" i="1" s="1"/>
  <c r="S158" i="1" s="1"/>
  <c r="AI157" i="1"/>
  <c r="AG155" i="1"/>
  <c r="AG151" i="1"/>
  <c r="X151" i="1"/>
  <c r="AA147" i="1"/>
  <c r="W147" i="1" s="1"/>
  <c r="U145" i="1"/>
  <c r="S145" i="1" s="1"/>
  <c r="AA143" i="1"/>
  <c r="W143" i="1" s="1"/>
  <c r="AA139" i="1"/>
  <c r="W139" i="1" s="1"/>
  <c r="AA135" i="1"/>
  <c r="W135" i="1" s="1"/>
  <c r="AA131" i="1"/>
  <c r="AA127" i="1"/>
  <c r="W127" i="1" s="1"/>
  <c r="T119" i="1"/>
  <c r="X119" i="1"/>
  <c r="AG119" i="1"/>
  <c r="X118" i="1"/>
  <c r="AG118" i="1"/>
  <c r="AI89" i="1"/>
  <c r="AG86" i="1"/>
  <c r="W86" i="1" s="1"/>
  <c r="T86" i="1"/>
  <c r="X86" i="1"/>
  <c r="AA85" i="1"/>
  <c r="W85" i="1" s="1"/>
  <c r="U85" i="1"/>
  <c r="S85" i="1" s="1"/>
  <c r="X185" i="1"/>
  <c r="X181" i="1"/>
  <c r="X177" i="1"/>
  <c r="X173" i="1"/>
  <c r="X169" i="1"/>
  <c r="X165" i="1"/>
  <c r="X233" i="1"/>
  <c r="X229" i="1"/>
  <c r="X218" i="1"/>
  <c r="X214" i="1"/>
  <c r="U211" i="1"/>
  <c r="S211" i="1" s="1"/>
  <c r="X210" i="1"/>
  <c r="X159" i="1"/>
  <c r="U156" i="1"/>
  <c r="S156" i="1" s="1"/>
  <c r="U154" i="1"/>
  <c r="U153" i="1"/>
  <c r="U149" i="1"/>
  <c r="S149" i="1" s="1"/>
  <c r="T147" i="1"/>
  <c r="U147" i="1" s="1"/>
  <c r="S147" i="1" s="1"/>
  <c r="X147" i="1"/>
  <c r="T144" i="1"/>
  <c r="X144" i="1"/>
  <c r="AG144" i="1"/>
  <c r="W144" i="1" s="1"/>
  <c r="T140" i="1"/>
  <c r="X140" i="1"/>
  <c r="AG140" i="1"/>
  <c r="X141" i="1"/>
  <c r="T136" i="1"/>
  <c r="X136" i="1"/>
  <c r="AG136" i="1"/>
  <c r="X137" i="1"/>
  <c r="T132" i="1"/>
  <c r="X132" i="1"/>
  <c r="AG132" i="1"/>
  <c r="X133" i="1"/>
  <c r="T128" i="1"/>
  <c r="X128" i="1"/>
  <c r="AG128" i="1"/>
  <c r="W128" i="1" s="1"/>
  <c r="X129" i="1"/>
  <c r="AI112" i="1"/>
  <c r="U112" i="1"/>
  <c r="S112" i="1" s="1"/>
  <c r="W151" i="1"/>
  <c r="T148" i="1"/>
  <c r="X148" i="1"/>
  <c r="AG148" i="1"/>
  <c r="AI147" i="1"/>
  <c r="AI143" i="1"/>
  <c r="AI139" i="1"/>
  <c r="AI135" i="1"/>
  <c r="AI131" i="1"/>
  <c r="S127" i="1"/>
  <c r="AI127" i="1"/>
  <c r="T118" i="1"/>
  <c r="AI113" i="1"/>
  <c r="AI104" i="1"/>
  <c r="X157" i="1"/>
  <c r="AI154" i="1"/>
  <c r="X153" i="1"/>
  <c r="T152" i="1"/>
  <c r="U152" i="1" s="1"/>
  <c r="X152" i="1"/>
  <c r="X149" i="1"/>
  <c r="U143" i="1"/>
  <c r="S143" i="1" s="1"/>
  <c r="S141" i="1"/>
  <c r="U139" i="1"/>
  <c r="S139" i="1" s="1"/>
  <c r="U135" i="1"/>
  <c r="S135" i="1" s="1"/>
  <c r="X120" i="1"/>
  <c r="AI105" i="1"/>
  <c r="U105" i="1"/>
  <c r="S105" i="1" s="1"/>
  <c r="AG102" i="1"/>
  <c r="W102" i="1" s="1"/>
  <c r="T102" i="1"/>
  <c r="X102" i="1"/>
  <c r="AA101" i="1"/>
  <c r="W101" i="1" s="1"/>
  <c r="AI88" i="1"/>
  <c r="U142" i="1"/>
  <c r="S142" i="1" s="1"/>
  <c r="U125" i="1"/>
  <c r="S125" i="1" s="1"/>
  <c r="U124" i="1"/>
  <c r="S124" i="1" s="1"/>
  <c r="AA118" i="1"/>
  <c r="AG114" i="1"/>
  <c r="T114" i="1"/>
  <c r="X114" i="1"/>
  <c r="W113" i="1"/>
  <c r="W112" i="1"/>
  <c r="AG106" i="1"/>
  <c r="W106" i="1" s="1"/>
  <c r="T106" i="1"/>
  <c r="X106" i="1"/>
  <c r="W105" i="1"/>
  <c r="W104" i="1"/>
  <c r="S93" i="1"/>
  <c r="AI93" i="1"/>
  <c r="AI92" i="1"/>
  <c r="U92" i="1"/>
  <c r="S92" i="1" s="1"/>
  <c r="AG90" i="1"/>
  <c r="T90" i="1"/>
  <c r="X90" i="1"/>
  <c r="W89" i="1"/>
  <c r="W88" i="1"/>
  <c r="X143" i="1"/>
  <c r="X139" i="1"/>
  <c r="X135" i="1"/>
  <c r="AI134" i="1"/>
  <c r="X131" i="1"/>
  <c r="X127" i="1"/>
  <c r="AI126" i="1"/>
  <c r="AA126" i="1"/>
  <c r="W126" i="1" s="1"/>
  <c r="U126" i="1"/>
  <c r="S126" i="1" s="1"/>
  <c r="X124" i="1"/>
  <c r="T123" i="1"/>
  <c r="U123" i="1" s="1"/>
  <c r="S123" i="1" s="1"/>
  <c r="X123" i="1"/>
  <c r="AG110" i="1"/>
  <c r="W110" i="1" s="1"/>
  <c r="T110" i="1"/>
  <c r="X110" i="1"/>
  <c r="AI101" i="1"/>
  <c r="AI100" i="1"/>
  <c r="AG98" i="1"/>
  <c r="T98" i="1"/>
  <c r="X98" i="1"/>
  <c r="AI85" i="1"/>
  <c r="AI84" i="1"/>
  <c r="U84" i="1"/>
  <c r="S84" i="1" s="1"/>
  <c r="AG82" i="1"/>
  <c r="T82" i="1"/>
  <c r="X82" i="1"/>
  <c r="U71" i="1"/>
  <c r="S71" i="1" s="1"/>
  <c r="AI71" i="1"/>
  <c r="AI65" i="1"/>
  <c r="U55" i="1"/>
  <c r="S55" i="1" s="1"/>
  <c r="AI55" i="1"/>
  <c r="U120" i="1"/>
  <c r="S120" i="1" s="1"/>
  <c r="S109" i="1"/>
  <c r="AI109" i="1"/>
  <c r="AI108" i="1"/>
  <c r="AI96" i="1"/>
  <c r="U96" i="1"/>
  <c r="S96" i="1" s="1"/>
  <c r="AG94" i="1"/>
  <c r="T94" i="1"/>
  <c r="X94" i="1"/>
  <c r="W90" i="1"/>
  <c r="AI81" i="1"/>
  <c r="AI80" i="1"/>
  <c r="U80" i="1"/>
  <c r="S80" i="1" s="1"/>
  <c r="AG115" i="1"/>
  <c r="W115" i="1" s="1"/>
  <c r="AG111" i="1"/>
  <c r="AG107" i="1"/>
  <c r="W107" i="1" s="1"/>
  <c r="AG103" i="1"/>
  <c r="AG99" i="1"/>
  <c r="AG95" i="1"/>
  <c r="W95" i="1" s="1"/>
  <c r="AG91" i="1"/>
  <c r="AG87" i="1"/>
  <c r="AG83" i="1"/>
  <c r="AG79" i="1"/>
  <c r="W79" i="1" s="1"/>
  <c r="T79" i="1"/>
  <c r="AI73" i="1"/>
  <c r="U73" i="1"/>
  <c r="S73" i="1" s="1"/>
  <c r="U72" i="1"/>
  <c r="S72" i="1" s="1"/>
  <c r="W59" i="1"/>
  <c r="AI57" i="1"/>
  <c r="W53" i="1"/>
  <c r="X115" i="1"/>
  <c r="X111" i="1"/>
  <c r="X107" i="1"/>
  <c r="X103" i="1"/>
  <c r="X99" i="1"/>
  <c r="X95" i="1"/>
  <c r="X91" i="1"/>
  <c r="X87" i="1"/>
  <c r="X83" i="1"/>
  <c r="U78" i="1"/>
  <c r="S78" i="1" s="1"/>
  <c r="U77" i="1"/>
  <c r="S77" i="1" s="1"/>
  <c r="U75" i="1"/>
  <c r="S75" i="1" s="1"/>
  <c r="AI75" i="1"/>
  <c r="W71" i="1"/>
  <c r="AI69" i="1"/>
  <c r="U69" i="1"/>
  <c r="S69" i="1" s="1"/>
  <c r="AI59" i="1"/>
  <c r="W55" i="1"/>
  <c r="AI53" i="1"/>
  <c r="X77" i="1"/>
  <c r="U67" i="1"/>
  <c r="S67" i="1" s="1"/>
  <c r="AI67" i="1"/>
  <c r="AI61" i="1"/>
  <c r="U61" i="1"/>
  <c r="S61" i="1" s="1"/>
  <c r="S74" i="1"/>
  <c r="S58" i="1"/>
  <c r="X52" i="1"/>
  <c r="T51" i="1"/>
  <c r="X51" i="1"/>
  <c r="T50" i="1"/>
  <c r="AI46" i="1"/>
  <c r="T39" i="1"/>
  <c r="X39" i="1"/>
  <c r="AG39" i="1"/>
  <c r="AI34" i="1"/>
  <c r="T23" i="1"/>
  <c r="X23" i="1"/>
  <c r="AG23" i="1"/>
  <c r="W23" i="1" s="1"/>
  <c r="X76" i="1"/>
  <c r="X72" i="1"/>
  <c r="X68" i="1"/>
  <c r="X64" i="1"/>
  <c r="X60" i="1"/>
  <c r="X56" i="1"/>
  <c r="AG51" i="1"/>
  <c r="AG50" i="1"/>
  <c r="U49" i="1"/>
  <c r="S49" i="1" s="1"/>
  <c r="U48" i="1"/>
  <c r="S48" i="1" s="1"/>
  <c r="T43" i="1"/>
  <c r="X43" i="1"/>
  <c r="AG43" i="1"/>
  <c r="U41" i="1"/>
  <c r="S41" i="1" s="1"/>
  <c r="AI38" i="1"/>
  <c r="AA30" i="1"/>
  <c r="W30" i="1" s="1"/>
  <c r="T27" i="1"/>
  <c r="X27" i="1"/>
  <c r="AG27" i="1"/>
  <c r="AI22" i="1"/>
  <c r="S42" i="1"/>
  <c r="AI42" i="1"/>
  <c r="AA34" i="1"/>
  <c r="W34" i="1" s="1"/>
  <c r="U34" i="1"/>
  <c r="S34" i="1" s="1"/>
  <c r="T31" i="1"/>
  <c r="X31" i="1"/>
  <c r="AG31" i="1"/>
  <c r="W31" i="1" s="1"/>
  <c r="AA18" i="1"/>
  <c r="T15" i="1"/>
  <c r="AG15" i="1"/>
  <c r="T52" i="1"/>
  <c r="U52" i="1" s="1"/>
  <c r="S52" i="1" s="1"/>
  <c r="X48" i="1"/>
  <c r="T47" i="1"/>
  <c r="U47" i="1" s="1"/>
  <c r="S47" i="1" s="1"/>
  <c r="X47" i="1"/>
  <c r="T44" i="1"/>
  <c r="X44" i="1"/>
  <c r="AG44" i="1"/>
  <c r="W44" i="1" s="1"/>
  <c r="AA38" i="1"/>
  <c r="W38" i="1" s="1"/>
  <c r="T35" i="1"/>
  <c r="X35" i="1"/>
  <c r="AG35" i="1"/>
  <c r="AI30" i="1"/>
  <c r="AA22" i="1"/>
  <c r="W22" i="1" s="1"/>
  <c r="T19" i="1"/>
  <c r="X19" i="1"/>
  <c r="AG19" i="1"/>
  <c r="AG40" i="1"/>
  <c r="AG36" i="1"/>
  <c r="AG32" i="1"/>
  <c r="W32" i="1" s="1"/>
  <c r="AG28" i="1"/>
  <c r="AG24" i="1"/>
  <c r="AG20" i="1"/>
  <c r="X40" i="1"/>
  <c r="X36" i="1"/>
  <c r="X32" i="1"/>
  <c r="X28" i="1"/>
  <c r="X24" i="1"/>
  <c r="X20" i="1"/>
  <c r="Y23" i="3"/>
  <c r="Y12" i="3"/>
  <c r="T19" i="3"/>
  <c r="Y38" i="3"/>
  <c r="Y20" i="3"/>
  <c r="Y40" i="3"/>
  <c r="Y24" i="3"/>
  <c r="AD21" i="3"/>
  <c r="AD25" i="3"/>
  <c r="Y26" i="3"/>
  <c r="AD15" i="3"/>
  <c r="AD9" i="3"/>
  <c r="AD33" i="3"/>
  <c r="AD13" i="3"/>
  <c r="AD8" i="3"/>
  <c r="T12" i="3"/>
  <c r="AD23" i="3"/>
  <c r="AD17" i="3"/>
  <c r="Y18" i="3"/>
  <c r="AC25" i="3"/>
  <c r="T14" i="3"/>
  <c r="T41" i="3"/>
  <c r="AD32" i="3"/>
  <c r="AE32" i="3"/>
  <c r="AC17" i="3"/>
  <c r="AE23" i="3"/>
  <c r="AC22" i="3"/>
  <c r="AE19" i="3"/>
  <c r="AC11" i="3"/>
  <c r="AE15" i="3"/>
  <c r="AC34" i="3"/>
  <c r="AE11" i="3"/>
  <c r="AC7" i="3"/>
  <c r="AE39" i="3"/>
  <c r="Y19" i="3"/>
  <c r="AE35" i="3"/>
  <c r="AC38" i="3"/>
  <c r="Y21" i="3"/>
  <c r="T18" i="3"/>
  <c r="AD24" i="3"/>
  <c r="T9" i="3"/>
  <c r="AD20" i="3"/>
  <c r="T35" i="3"/>
  <c r="AD16" i="3"/>
  <c r="T30" i="3"/>
  <c r="AD12" i="3"/>
  <c r="T36" i="3"/>
  <c r="Y32" i="3"/>
  <c r="Y9" i="3"/>
  <c r="Y35" i="3"/>
  <c r="Y30" i="3"/>
  <c r="AE37" i="3"/>
  <c r="T39" i="3"/>
  <c r="AE26" i="3"/>
  <c r="T13" i="3"/>
  <c r="AE22" i="3"/>
  <c r="T26" i="3"/>
  <c r="T16" i="3"/>
  <c r="AE14" i="3"/>
  <c r="T29" i="3"/>
  <c r="AE10" i="3"/>
  <c r="T28" i="3"/>
  <c r="AE18" i="3"/>
  <c r="AD41" i="3"/>
  <c r="AE40" i="3"/>
  <c r="T25" i="3"/>
  <c r="AD37" i="3"/>
  <c r="T33" i="3"/>
  <c r="AD34" i="3"/>
  <c r="AE33" i="3"/>
  <c r="T38" i="3"/>
  <c r="AD30" i="3"/>
  <c r="AE29" i="3"/>
  <c r="T15" i="3"/>
  <c r="AD26" i="3"/>
  <c r="AE25" i="3"/>
  <c r="T17" i="3"/>
  <c r="AD22" i="3"/>
  <c r="AE21" i="3"/>
  <c r="T22" i="3"/>
  <c r="AD18" i="3"/>
  <c r="AE17" i="3"/>
  <c r="T11" i="3"/>
  <c r="AD14" i="3"/>
  <c r="AE13" i="3"/>
  <c r="T34" i="3"/>
  <c r="AD10" i="3"/>
  <c r="AE9" i="3"/>
  <c r="T7" i="3"/>
  <c r="AE41" i="3"/>
  <c r="T23" i="3"/>
  <c r="AE34" i="3"/>
  <c r="T8" i="3"/>
  <c r="AE30" i="3"/>
  <c r="T20" i="3"/>
  <c r="AE24" i="3"/>
  <c r="AE20" i="3"/>
  <c r="AE16" i="3"/>
  <c r="AE12" i="3"/>
  <c r="AE8" i="3"/>
  <c r="S27" i="3"/>
  <c r="M27" i="3"/>
  <c r="R27" i="3"/>
  <c r="U27" i="3"/>
  <c r="AD27" i="3" s="1"/>
  <c r="V27" i="3"/>
  <c r="W27" i="3"/>
  <c r="X27" i="3"/>
  <c r="AI14" i="1" l="1"/>
  <c r="U14" i="1"/>
  <c r="S14" i="1" s="1"/>
  <c r="W14" i="1"/>
  <c r="U18" i="1"/>
  <c r="S18" i="1" s="1"/>
  <c r="W43" i="1"/>
  <c r="U56" i="1"/>
  <c r="S56" i="1" s="1"/>
  <c r="W114" i="1"/>
  <c r="U130" i="1"/>
  <c r="S130" i="1" s="1"/>
  <c r="AI146" i="1"/>
  <c r="W185" i="1"/>
  <c r="W122" i="1"/>
  <c r="W18" i="1"/>
  <c r="U25" i="1"/>
  <c r="S25" i="1" s="1"/>
  <c r="U63" i="1"/>
  <c r="S63" i="1" s="1"/>
  <c r="AI122" i="1"/>
  <c r="AI125" i="1"/>
  <c r="U160" i="1"/>
  <c r="S160" i="1" s="1"/>
  <c r="W191" i="1"/>
  <c r="U225" i="1"/>
  <c r="S225" i="1" s="1"/>
  <c r="U62" i="1"/>
  <c r="S62" i="1" s="1"/>
  <c r="W198" i="1"/>
  <c r="W197" i="1"/>
  <c r="U68" i="1"/>
  <c r="S68" i="1" s="1"/>
  <c r="W60" i="1"/>
  <c r="W42" i="1"/>
  <c r="AI142" i="1"/>
  <c r="W136" i="1"/>
  <c r="W178" i="1"/>
  <c r="U187" i="1"/>
  <c r="S187" i="1" s="1"/>
  <c r="U60" i="1"/>
  <c r="S60" i="1" s="1"/>
  <c r="AI138" i="1"/>
  <c r="W131" i="1"/>
  <c r="AI198" i="1"/>
  <c r="U66" i="1"/>
  <c r="S66" i="1" s="1"/>
  <c r="W66" i="1"/>
  <c r="U89" i="1"/>
  <c r="S89" i="1" s="1"/>
  <c r="W156" i="1"/>
  <c r="U219" i="1"/>
  <c r="S219" i="1" s="1"/>
  <c r="S152" i="1"/>
  <c r="W154" i="1"/>
  <c r="W58" i="1"/>
  <c r="W167" i="1"/>
  <c r="W183" i="1"/>
  <c r="U220" i="1"/>
  <c r="S220" i="1" s="1"/>
  <c r="U171" i="1"/>
  <c r="S171" i="1" s="1"/>
  <c r="W25" i="1"/>
  <c r="W117" i="1"/>
  <c r="AI185" i="1"/>
  <c r="W202" i="1"/>
  <c r="W93" i="1"/>
  <c r="W134" i="1"/>
  <c r="W161" i="1"/>
  <c r="U175" i="1"/>
  <c r="S175" i="1" s="1"/>
  <c r="W221" i="1"/>
  <c r="W199" i="1"/>
  <c r="U76" i="1"/>
  <c r="S76" i="1" s="1"/>
  <c r="W219" i="1"/>
  <c r="W130" i="1"/>
  <c r="W205" i="1"/>
  <c r="W163" i="1"/>
  <c r="W49" i="1"/>
  <c r="W56" i="1"/>
  <c r="W157" i="1"/>
  <c r="W17" i="1"/>
  <c r="W229" i="1"/>
  <c r="AI229" i="1"/>
  <c r="AI202" i="1"/>
  <c r="U54" i="1"/>
  <c r="S54" i="1" s="1"/>
  <c r="AI54" i="1"/>
  <c r="U231" i="1"/>
  <c r="S231" i="1" s="1"/>
  <c r="AI231" i="1"/>
  <c r="U150" i="1"/>
  <c r="S150" i="1" s="1"/>
  <c r="AI150" i="1"/>
  <c r="W231" i="1"/>
  <c r="U64" i="1"/>
  <c r="S64" i="1" s="1"/>
  <c r="AI64" i="1"/>
  <c r="W160" i="1"/>
  <c r="W41" i="1"/>
  <c r="U223" i="1"/>
  <c r="S223" i="1" s="1"/>
  <c r="AI223" i="1"/>
  <c r="W118" i="1"/>
  <c r="U97" i="1"/>
  <c r="S97" i="1" s="1"/>
  <c r="W97" i="1"/>
  <c r="U146" i="1"/>
  <c r="S146" i="1" s="1"/>
  <c r="W175" i="1"/>
  <c r="W207" i="1"/>
  <c r="AI222" i="1"/>
  <c r="U70" i="1"/>
  <c r="S70" i="1" s="1"/>
  <c r="AI70" i="1"/>
  <c r="W70" i="1"/>
  <c r="U33" i="1"/>
  <c r="S33" i="1" s="1"/>
  <c r="AI33" i="1"/>
  <c r="W64" i="1"/>
  <c r="W150" i="1"/>
  <c r="U199" i="1"/>
  <c r="S199" i="1" s="1"/>
  <c r="W223" i="1"/>
  <c r="AI19" i="1"/>
  <c r="U19" i="1"/>
  <c r="S19" i="1" s="1"/>
  <c r="AI39" i="1"/>
  <c r="U39" i="1"/>
  <c r="S39" i="1" s="1"/>
  <c r="U87" i="1"/>
  <c r="W87" i="1"/>
  <c r="S87" i="1"/>
  <c r="AI87" i="1"/>
  <c r="U103" i="1"/>
  <c r="W103" i="1"/>
  <c r="S103" i="1"/>
  <c r="AI103" i="1"/>
  <c r="U94" i="1"/>
  <c r="S94" i="1" s="1"/>
  <c r="AI94" i="1"/>
  <c r="U106" i="1"/>
  <c r="S106" i="1" s="1"/>
  <c r="AI106" i="1"/>
  <c r="U148" i="1"/>
  <c r="S148" i="1" s="1"/>
  <c r="AI148" i="1"/>
  <c r="U86" i="1"/>
  <c r="S86" i="1" s="1"/>
  <c r="AI86" i="1"/>
  <c r="AI119" i="1"/>
  <c r="U119" i="1"/>
  <c r="S119" i="1" s="1"/>
  <c r="AI179" i="1"/>
  <c r="U233" i="1"/>
  <c r="S233" i="1" s="1"/>
  <c r="AI195" i="1"/>
  <c r="U177" i="1"/>
  <c r="S177" i="1" s="1"/>
  <c r="W233" i="1"/>
  <c r="W177" i="1"/>
  <c r="U188" i="1"/>
  <c r="S188" i="1" s="1"/>
  <c r="AI206" i="1"/>
  <c r="AI224" i="1"/>
  <c r="U206" i="1"/>
  <c r="S206" i="1" s="1"/>
  <c r="AI232" i="1"/>
  <c r="U226" i="1"/>
  <c r="S226" i="1" s="1"/>
  <c r="W188" i="1"/>
  <c r="W206" i="1"/>
  <c r="U28" i="1"/>
  <c r="S28" i="1" s="1"/>
  <c r="AI28" i="1"/>
  <c r="W28" i="1"/>
  <c r="U44" i="1"/>
  <c r="S44" i="1" s="1"/>
  <c r="AI44" i="1"/>
  <c r="AI27" i="1"/>
  <c r="U27" i="1"/>
  <c r="S27" i="1" s="1"/>
  <c r="U20" i="1"/>
  <c r="S20" i="1" s="1"/>
  <c r="W20" i="1"/>
  <c r="AI20" i="1"/>
  <c r="U36" i="1"/>
  <c r="S36" i="1" s="1"/>
  <c r="W36" i="1"/>
  <c r="AI36" i="1"/>
  <c r="AI31" i="1"/>
  <c r="U31" i="1"/>
  <c r="S31" i="1" s="1"/>
  <c r="AI51" i="1"/>
  <c r="U51" i="1"/>
  <c r="S51" i="1" s="1"/>
  <c r="W27" i="1"/>
  <c r="U91" i="1"/>
  <c r="S91" i="1" s="1"/>
  <c r="AI91" i="1"/>
  <c r="W91" i="1"/>
  <c r="U107" i="1"/>
  <c r="S107" i="1" s="1"/>
  <c r="AI107" i="1"/>
  <c r="U82" i="1"/>
  <c r="S82" i="1" s="1"/>
  <c r="AI82" i="1"/>
  <c r="U90" i="1"/>
  <c r="S90" i="1" s="1"/>
  <c r="AI90" i="1"/>
  <c r="U114" i="1"/>
  <c r="S114" i="1" s="1"/>
  <c r="AI114" i="1"/>
  <c r="U102" i="1"/>
  <c r="S102" i="1" s="1"/>
  <c r="AI102" i="1"/>
  <c r="W82" i="1"/>
  <c r="U144" i="1"/>
  <c r="S144" i="1" s="1"/>
  <c r="AI144" i="1"/>
  <c r="AI151" i="1"/>
  <c r="U151" i="1"/>
  <c r="S151" i="1" s="1"/>
  <c r="AI183" i="1"/>
  <c r="U165" i="1"/>
  <c r="S165" i="1" s="1"/>
  <c r="AI199" i="1"/>
  <c r="U181" i="1"/>
  <c r="S181" i="1" s="1"/>
  <c r="U189" i="1"/>
  <c r="S189" i="1" s="1"/>
  <c r="AI207" i="1"/>
  <c r="AI209" i="1"/>
  <c r="U191" i="1"/>
  <c r="S191" i="1" s="1"/>
  <c r="W148" i="1"/>
  <c r="AI43" i="1"/>
  <c r="U43" i="1"/>
  <c r="S43" i="1" s="1"/>
  <c r="U32" i="1"/>
  <c r="S32" i="1" s="1"/>
  <c r="AI32" i="1"/>
  <c r="AI15" i="1"/>
  <c r="U15" i="1"/>
  <c r="S15" i="1" s="1"/>
  <c r="AI50" i="1"/>
  <c r="U50" i="1"/>
  <c r="S50" i="1" s="1"/>
  <c r="U24" i="1"/>
  <c r="S24" i="1" s="1"/>
  <c r="AI24" i="1"/>
  <c r="W24" i="1"/>
  <c r="U40" i="1"/>
  <c r="S40" i="1" s="1"/>
  <c r="AI40" i="1"/>
  <c r="W40" i="1"/>
  <c r="AI35" i="1"/>
  <c r="U35" i="1"/>
  <c r="S35" i="1" s="1"/>
  <c r="W39" i="1"/>
  <c r="W50" i="1"/>
  <c r="W19" i="1"/>
  <c r="W35" i="1"/>
  <c r="W15" i="1"/>
  <c r="AI23" i="1"/>
  <c r="U23" i="1"/>
  <c r="S23" i="1" s="1"/>
  <c r="W51" i="1"/>
  <c r="U79" i="1"/>
  <c r="S79" i="1" s="1"/>
  <c r="AI79" i="1"/>
  <c r="U95" i="1"/>
  <c r="S95" i="1" s="1"/>
  <c r="AI95" i="1"/>
  <c r="U111" i="1"/>
  <c r="S111" i="1" s="1"/>
  <c r="AI111" i="1"/>
  <c r="U98" i="1"/>
  <c r="S98" i="1" s="1"/>
  <c r="AI98" i="1"/>
  <c r="U110" i="1"/>
  <c r="S110" i="1" s="1"/>
  <c r="AI110" i="1"/>
  <c r="W111" i="1"/>
  <c r="W98" i="1"/>
  <c r="U128" i="1"/>
  <c r="S128" i="1" s="1"/>
  <c r="AI128" i="1"/>
  <c r="U132" i="1"/>
  <c r="S132" i="1" s="1"/>
  <c r="AI132" i="1"/>
  <c r="U136" i="1"/>
  <c r="S136" i="1" s="1"/>
  <c r="AI136" i="1"/>
  <c r="U140" i="1"/>
  <c r="S140" i="1" s="1"/>
  <c r="AI140" i="1"/>
  <c r="AI118" i="1"/>
  <c r="U118" i="1"/>
  <c r="S118" i="1" s="1"/>
  <c r="W132" i="1"/>
  <c r="W140" i="1"/>
  <c r="U155" i="1"/>
  <c r="S154" i="1" s="1"/>
  <c r="AI155" i="1"/>
  <c r="AI187" i="1"/>
  <c r="U169" i="1"/>
  <c r="S169" i="1" s="1"/>
  <c r="U185" i="1"/>
  <c r="S185" i="1" s="1"/>
  <c r="AI203" i="1"/>
  <c r="AI210" i="1"/>
  <c r="U192" i="1"/>
  <c r="S192" i="1" s="1"/>
  <c r="AI220" i="1"/>
  <c r="U202" i="1"/>
  <c r="S202" i="1" s="1"/>
  <c r="AI228" i="1"/>
  <c r="U222" i="1"/>
  <c r="S222" i="1" s="1"/>
  <c r="W165" i="1"/>
  <c r="W181" i="1"/>
  <c r="W192" i="1"/>
  <c r="W226" i="1"/>
  <c r="W189" i="1"/>
  <c r="U83" i="1"/>
  <c r="S83" i="1" s="1"/>
  <c r="W83" i="1"/>
  <c r="AI83" i="1"/>
  <c r="U99" i="1"/>
  <c r="S99" i="1" s="1"/>
  <c r="AI99" i="1"/>
  <c r="U115" i="1"/>
  <c r="S115" i="1" s="1"/>
  <c r="AI115" i="1"/>
  <c r="W94" i="1"/>
  <c r="W99" i="1"/>
  <c r="AI175" i="1"/>
  <c r="U229" i="1"/>
  <c r="S229" i="1" s="1"/>
  <c r="AI191" i="1"/>
  <c r="U173" i="1"/>
  <c r="S173" i="1" s="1"/>
  <c r="W169" i="1"/>
  <c r="AE27" i="3"/>
  <c r="Y27" i="3"/>
  <c r="T27" i="3"/>
  <c r="AC27" i="3"/>
  <c r="B10" i="6" l="1"/>
  <c r="G10" i="6" s="1"/>
  <c r="F10" i="6" l="1"/>
  <c r="J10" i="6"/>
  <c r="I10" i="6"/>
  <c r="AE7" i="3" l="1"/>
  <c r="AD7" i="3"/>
  <c r="B55" i="9" l="1"/>
  <c r="B56" i="9"/>
  <c r="B57" i="9"/>
  <c r="C57" i="9" s="1"/>
  <c r="B58" i="9"/>
  <c r="B59" i="9"/>
  <c r="C59" i="9" s="1"/>
  <c r="B60" i="9"/>
  <c r="B61" i="9"/>
  <c r="C61" i="9" s="1"/>
  <c r="B62" i="9"/>
  <c r="C62" i="9" l="1"/>
  <c r="C60" i="9"/>
  <c r="C58" i="9"/>
  <c r="C56" i="9"/>
  <c r="B50" i="9" l="1"/>
  <c r="B51" i="9"/>
  <c r="B52" i="9"/>
  <c r="C52" i="9" s="1"/>
  <c r="B53" i="9"/>
  <c r="B54" i="9"/>
  <c r="C54" i="9" l="1"/>
  <c r="C55" i="9"/>
  <c r="C53" i="9"/>
  <c r="C51" i="9"/>
  <c r="K13" i="1"/>
  <c r="L13" i="1"/>
  <c r="M13" i="1"/>
  <c r="V13" i="1"/>
  <c r="AB13" i="1"/>
  <c r="AC13" i="1"/>
  <c r="AD13" i="1"/>
  <c r="AE13" i="1"/>
  <c r="AF13" i="1"/>
  <c r="AM13" i="1"/>
  <c r="AN13" i="1"/>
  <c r="X14" i="1" l="1"/>
  <c r="T13" i="1"/>
  <c r="X13" i="1"/>
  <c r="AA13" i="1"/>
  <c r="AG13" i="1"/>
  <c r="W13" i="1" l="1"/>
  <c r="U13" i="1"/>
  <c r="S13" i="1" s="1"/>
  <c r="AI13" i="1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N37" i="3" s="1"/>
  <c r="G29" i="4"/>
  <c r="G30" i="4"/>
  <c r="G31" i="4"/>
  <c r="G32" i="4"/>
  <c r="G33" i="4"/>
  <c r="G34" i="4"/>
  <c r="G35" i="4"/>
  <c r="G36" i="4"/>
  <c r="G37" i="4"/>
  <c r="G38" i="4"/>
  <c r="N29" i="3" s="1"/>
  <c r="G39" i="4"/>
  <c r="G40" i="4"/>
  <c r="G41" i="4"/>
  <c r="G42" i="4"/>
  <c r="N34" i="3" s="1"/>
  <c r="G43" i="4"/>
  <c r="G44" i="4"/>
  <c r="G45" i="4"/>
  <c r="G46" i="4"/>
  <c r="G47" i="4"/>
  <c r="G48" i="4"/>
  <c r="G49" i="4"/>
  <c r="N11" i="3" s="1"/>
  <c r="G50" i="4"/>
  <c r="G51" i="4"/>
  <c r="N27" i="3" s="1"/>
  <c r="G52" i="4"/>
  <c r="G53" i="4"/>
  <c r="G54" i="4"/>
  <c r="G55" i="4"/>
  <c r="G56" i="4"/>
  <c r="G57" i="4"/>
  <c r="G58" i="4"/>
  <c r="G59" i="4"/>
  <c r="G60" i="4"/>
  <c r="G61" i="4"/>
  <c r="G62" i="4"/>
  <c r="N16" i="3" s="1"/>
  <c r="G63" i="4"/>
  <c r="N35" i="3" s="1"/>
  <c r="G64" i="4"/>
  <c r="G65" i="4"/>
  <c r="G66" i="4"/>
  <c r="G67" i="4"/>
  <c r="G68" i="4"/>
  <c r="N10" i="3" s="1"/>
  <c r="G69" i="4"/>
  <c r="G70" i="4"/>
  <c r="G71" i="4"/>
  <c r="G72" i="4"/>
  <c r="G73" i="4"/>
  <c r="N22" i="3" s="1"/>
  <c r="G74" i="4"/>
  <c r="G75" i="4"/>
  <c r="G76" i="4"/>
  <c r="G77" i="4"/>
  <c r="G78" i="4"/>
  <c r="G79" i="4"/>
  <c r="G80" i="4"/>
  <c r="G81" i="4"/>
  <c r="G82" i="4"/>
  <c r="G83" i="4"/>
  <c r="N26" i="3" s="1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N24" i="3" s="1"/>
  <c r="G108" i="4"/>
  <c r="N9" i="3" s="1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N18" i="3" s="1"/>
  <c r="G133" i="4"/>
  <c r="G134" i="4"/>
  <c r="G135" i="4"/>
  <c r="G136" i="4"/>
  <c r="G137" i="4"/>
  <c r="G138" i="4"/>
  <c r="G139" i="4"/>
  <c r="G140" i="4"/>
  <c r="G141" i="4"/>
  <c r="N40" i="3" s="1"/>
  <c r="G142" i="4"/>
  <c r="N15" i="3" s="1"/>
  <c r="G143" i="4"/>
  <c r="G144" i="4"/>
  <c r="G145" i="4"/>
  <c r="G146" i="4"/>
  <c r="G147" i="4"/>
  <c r="N20" i="3" s="1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N38" i="3" s="1"/>
  <c r="G170" i="4"/>
  <c r="G171" i="4"/>
  <c r="G172" i="4"/>
  <c r="G173" i="4"/>
  <c r="G174" i="4"/>
  <c r="G175" i="4"/>
  <c r="N8" i="3" s="1"/>
  <c r="G176" i="4"/>
  <c r="G177" i="4"/>
  <c r="N41" i="3" s="1"/>
  <c r="G178" i="4"/>
  <c r="G179" i="4"/>
  <c r="N33" i="3" s="1"/>
  <c r="G180" i="4"/>
  <c r="G181" i="4"/>
  <c r="G182" i="4"/>
  <c r="G183" i="4"/>
  <c r="G184" i="4"/>
  <c r="G185" i="4"/>
  <c r="G186" i="4"/>
  <c r="N19" i="3" s="1"/>
  <c r="G187" i="4"/>
  <c r="G188" i="4"/>
  <c r="G189" i="4"/>
  <c r="G190" i="4"/>
  <c r="N39" i="3" s="1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12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N14" i="3" s="1"/>
  <c r="G217" i="4"/>
  <c r="G218" i="4"/>
  <c r="G219" i="4"/>
  <c r="G220" i="4"/>
  <c r="G221" i="4"/>
  <c r="G222" i="4"/>
  <c r="G223" i="4"/>
  <c r="N25" i="3" s="1"/>
  <c r="G224" i="4"/>
  <c r="G225" i="4"/>
  <c r="G226" i="4"/>
  <c r="N23" i="3" s="1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7" i="3" l="1"/>
  <c r="N13" i="3"/>
  <c r="N30" i="3"/>
  <c r="N31" i="3"/>
  <c r="N7" i="3"/>
  <c r="N28" i="3"/>
  <c r="N21" i="3"/>
  <c r="N32" i="3"/>
  <c r="N36" i="3"/>
  <c r="H10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9" i="6" l="1"/>
  <c r="I9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9" i="6" l="1"/>
  <c r="F9" i="6"/>
  <c r="J9" i="6"/>
  <c r="H9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3" i="6" l="1"/>
  <c r="I3" i="6" s="1"/>
  <c r="G259" i="4"/>
  <c r="G260" i="4"/>
  <c r="G261" i="4"/>
  <c r="G262" i="4"/>
  <c r="G263" i="4"/>
  <c r="G264" i="4"/>
  <c r="G265" i="4"/>
  <c r="F3" i="6" l="1"/>
  <c r="J3" i="6"/>
  <c r="G3" i="6"/>
  <c r="H3" i="6"/>
  <c r="B4" i="6"/>
  <c r="I4" i="6" s="1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H4" i="6"/>
  <c r="J4" i="6"/>
  <c r="G4" i="6"/>
  <c r="B5" i="6"/>
  <c r="I5" i="6" s="1"/>
  <c r="O2" i="3"/>
  <c r="O3" i="3" s="1"/>
  <c r="F5" i="6" l="1"/>
  <c r="J5" i="6"/>
  <c r="G5" i="6"/>
  <c r="H5" i="6"/>
  <c r="B6" i="6"/>
  <c r="I6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6" i="6" l="1"/>
  <c r="F6" i="6"/>
  <c r="G6" i="6"/>
  <c r="H6" i="6"/>
  <c r="B7" i="6"/>
  <c r="I7" i="6" s="1"/>
  <c r="J8" i="1"/>
  <c r="J4" i="1"/>
  <c r="S8" i="1"/>
  <c r="S4" i="1"/>
  <c r="F7" i="6" l="1"/>
  <c r="J7" i="6"/>
  <c r="H7" i="6"/>
  <c r="G7" i="6"/>
  <c r="B8" i="6"/>
  <c r="I8" i="6" s="1"/>
  <c r="S9" i="1"/>
  <c r="J9" i="1"/>
  <c r="B11" i="6" l="1"/>
  <c r="I11" i="6" s="1"/>
  <c r="F8" i="6"/>
  <c r="G8" i="6"/>
  <c r="J8" i="6"/>
  <c r="H8" i="6"/>
  <c r="S11" i="1"/>
  <c r="B12" i="6" l="1"/>
  <c r="I12" i="6" s="1"/>
  <c r="G11" i="6"/>
  <c r="H11" i="6"/>
  <c r="J11" i="6"/>
  <c r="F11" i="6"/>
  <c r="B1" i="6"/>
  <c r="A5" i="3"/>
  <c r="G12" i="6" l="1"/>
  <c r="F12" i="6"/>
  <c r="J12" i="6"/>
  <c r="H12" i="6"/>
  <c r="B13" i="6"/>
  <c r="I13" i="6" s="1"/>
  <c r="F13" i="6" l="1"/>
  <c r="J13" i="6"/>
  <c r="G13" i="6"/>
  <c r="H13" i="6"/>
  <c r="B14" i="6"/>
  <c r="I14" i="6" s="1"/>
  <c r="B15" i="6" l="1"/>
  <c r="I15" i="6" s="1"/>
  <c r="J14" i="6"/>
  <c r="G14" i="6"/>
  <c r="F14" i="6"/>
  <c r="H14" i="6"/>
  <c r="F15" i="6" l="1"/>
  <c r="G15" i="6"/>
  <c r="H15" i="6"/>
  <c r="J15" i="6"/>
  <c r="B16" i="6"/>
  <c r="I16" i="6" s="1"/>
  <c r="J16" i="6" l="1"/>
  <c r="H16" i="6"/>
  <c r="F16" i="6"/>
  <c r="G16" i="6"/>
  <c r="B17" i="6"/>
  <c r="I17" i="6" s="1"/>
  <c r="B18" i="6" l="1"/>
  <c r="I18" i="6" s="1"/>
  <c r="J17" i="6"/>
  <c r="F17" i="6"/>
  <c r="H17" i="6"/>
  <c r="G17" i="6"/>
  <c r="F18" i="6" l="1"/>
  <c r="G18" i="6"/>
  <c r="H18" i="6"/>
  <c r="J18" i="6"/>
  <c r="B19" i="6"/>
  <c r="I19" i="6" s="1"/>
  <c r="G19" i="6" l="1"/>
  <c r="H19" i="6"/>
  <c r="J19" i="6"/>
  <c r="F19" i="6"/>
  <c r="B20" i="6"/>
  <c r="I20" i="6" s="1"/>
  <c r="F20" i="6" l="1"/>
  <c r="H20" i="6"/>
  <c r="J20" i="6"/>
  <c r="G20" i="6"/>
  <c r="B21" i="6"/>
  <c r="I21" i="6" s="1"/>
  <c r="F21" i="6" l="1"/>
  <c r="J21" i="6"/>
  <c r="G21" i="6"/>
  <c r="H21" i="6"/>
  <c r="B22" i="6"/>
  <c r="I22" i="6" s="1"/>
  <c r="B23" i="6" l="1"/>
  <c r="I23" i="6" s="1"/>
  <c r="F22" i="6"/>
  <c r="H22" i="6"/>
  <c r="J22" i="6"/>
  <c r="G22" i="6"/>
  <c r="F23" i="6" l="1"/>
  <c r="H23" i="6"/>
  <c r="J23" i="6"/>
  <c r="G23" i="6"/>
  <c r="B24" i="6"/>
  <c r="I24" i="6" s="1"/>
  <c r="J24" i="6" l="1"/>
  <c r="H24" i="6"/>
  <c r="F24" i="6"/>
  <c r="G24" i="6"/>
  <c r="B25" i="6"/>
  <c r="I25" i="6" s="1"/>
  <c r="B26" i="6" l="1"/>
  <c r="I26" i="6" s="1"/>
  <c r="F25" i="6"/>
  <c r="G25" i="6"/>
  <c r="H25" i="6"/>
  <c r="J25" i="6"/>
  <c r="B27" i="6" l="1"/>
  <c r="I27" i="6" s="1"/>
  <c r="H26" i="6"/>
  <c r="F26" i="6"/>
  <c r="J26" i="6"/>
  <c r="G26" i="6"/>
  <c r="B28" i="6" l="1"/>
  <c r="I28" i="6" s="1"/>
  <c r="F27" i="6"/>
  <c r="H27" i="6"/>
  <c r="J27" i="6"/>
  <c r="G27" i="6"/>
  <c r="F28" i="6" l="1"/>
  <c r="G28" i="6"/>
  <c r="J28" i="6"/>
  <c r="H28" i="6"/>
  <c r="B29" i="6"/>
  <c r="I29" i="6" s="1"/>
  <c r="F29" i="6" l="1"/>
  <c r="J29" i="6"/>
  <c r="H29" i="6"/>
  <c r="G29" i="6"/>
  <c r="B30" i="6"/>
  <c r="I30" i="6" s="1"/>
  <c r="F30" i="6" l="1"/>
  <c r="H30" i="6"/>
  <c r="G30" i="6"/>
  <c r="J30" i="6"/>
  <c r="B31" i="6"/>
  <c r="I31" i="6" s="1"/>
  <c r="B32" i="6" l="1"/>
  <c r="I32" i="6" s="1"/>
  <c r="G31" i="6"/>
  <c r="F31" i="6"/>
  <c r="H31" i="6"/>
  <c r="J31" i="6"/>
  <c r="J32" i="6" l="1"/>
  <c r="H32" i="6"/>
  <c r="F32" i="6"/>
  <c r="G32" i="6"/>
  <c r="B33" i="6"/>
  <c r="I33" i="6" s="1"/>
  <c r="H33" i="6" l="1"/>
  <c r="J33" i="6"/>
  <c r="F33" i="6"/>
  <c r="G33" i="6"/>
  <c r="B34" i="6"/>
  <c r="I34" i="6" s="1"/>
  <c r="H34" i="6" l="1"/>
  <c r="J34" i="6"/>
  <c r="F34" i="6"/>
  <c r="G34" i="6"/>
  <c r="B35" i="6"/>
  <c r="I35" i="6" s="1"/>
  <c r="H35" i="6" l="1"/>
  <c r="J35" i="6"/>
  <c r="F35" i="6"/>
  <c r="G35" i="6"/>
  <c r="B36" i="6"/>
  <c r="I36" i="6" s="1"/>
  <c r="G36" i="6" l="1"/>
  <c r="F36" i="6"/>
  <c r="H36" i="6"/>
  <c r="J36" i="6"/>
  <c r="B37" i="6"/>
  <c r="I37" i="6" s="1"/>
  <c r="B38" i="6" l="1"/>
  <c r="I38" i="6" s="1"/>
  <c r="J37" i="6"/>
  <c r="G37" i="6"/>
  <c r="F37" i="6"/>
  <c r="H37" i="6"/>
  <c r="B39" i="6" l="1"/>
  <c r="I39" i="6" s="1"/>
  <c r="J38" i="6"/>
  <c r="G38" i="6"/>
  <c r="F38" i="6"/>
  <c r="H38" i="6"/>
  <c r="F39" i="6" l="1"/>
  <c r="H39" i="6"/>
  <c r="J39" i="6"/>
  <c r="G39" i="6"/>
  <c r="B40" i="6"/>
  <c r="I40" i="6" s="1"/>
  <c r="B41" i="6" l="1"/>
  <c r="I41" i="6" s="1"/>
  <c r="F40" i="6"/>
  <c r="G40" i="6"/>
  <c r="J40" i="6"/>
  <c r="H40" i="6"/>
  <c r="G41" i="6" l="1"/>
  <c r="F41" i="6"/>
  <c r="H41" i="6"/>
  <c r="J41" i="6"/>
  <c r="B42" i="6"/>
  <c r="I42" i="6" s="1"/>
  <c r="F42" i="6" l="1"/>
  <c r="J42" i="6"/>
  <c r="G42" i="6"/>
  <c r="H42" i="6"/>
  <c r="B43" i="6"/>
  <c r="I43" i="6" s="1"/>
  <c r="G43" i="6" l="1"/>
  <c r="H43" i="6"/>
  <c r="J43" i="6"/>
  <c r="F43" i="6"/>
  <c r="B44" i="6"/>
  <c r="I44" i="6" s="1"/>
  <c r="B45" i="6" l="1"/>
  <c r="I45" i="6" s="1"/>
  <c r="J44" i="6"/>
  <c r="H44" i="6"/>
  <c r="F44" i="6"/>
  <c r="G44" i="6"/>
  <c r="J45" i="6" l="1"/>
  <c r="G45" i="6"/>
  <c r="F45" i="6"/>
  <c r="H45" i="6"/>
  <c r="B46" i="6"/>
  <c r="I46" i="6" s="1"/>
  <c r="B47" i="6" l="1"/>
  <c r="I47" i="6" s="1"/>
  <c r="G46" i="6"/>
  <c r="J46" i="6"/>
  <c r="F46" i="6"/>
  <c r="H46" i="6"/>
  <c r="F47" i="6" l="1"/>
  <c r="G47" i="6"/>
  <c r="J47" i="6"/>
  <c r="H47" i="6"/>
  <c r="B48" i="6"/>
  <c r="I48" i="6" s="1"/>
  <c r="B49" i="6" l="1"/>
  <c r="I49" i="6" s="1"/>
  <c r="F48" i="6"/>
  <c r="G48" i="6"/>
  <c r="J48" i="6"/>
  <c r="H48" i="6"/>
  <c r="G49" i="6" l="1"/>
  <c r="H49" i="6"/>
  <c r="J49" i="6"/>
  <c r="F49" i="6"/>
  <c r="B50" i="6"/>
  <c r="I50" i="6" s="1"/>
  <c r="B51" i="6" l="1"/>
  <c r="I51" i="6" s="1"/>
  <c r="G50" i="6"/>
  <c r="H50" i="6"/>
  <c r="J50" i="6"/>
  <c r="F50" i="6"/>
  <c r="F51" i="6" l="1"/>
  <c r="G51" i="6"/>
  <c r="H51" i="6"/>
  <c r="J51" i="6"/>
  <c r="B52" i="6"/>
  <c r="I52" i="6" s="1"/>
  <c r="G52" i="6" l="1"/>
  <c r="F52" i="6"/>
  <c r="H52" i="6"/>
  <c r="J52" i="6"/>
  <c r="B53" i="6"/>
  <c r="I53" i="6" s="1"/>
  <c r="B54" i="6" l="1"/>
  <c r="I54" i="6" s="1"/>
  <c r="J53" i="6"/>
  <c r="G53" i="6"/>
  <c r="F53" i="6"/>
  <c r="H53" i="6"/>
  <c r="B55" i="6" l="1"/>
  <c r="I55" i="6" s="1"/>
  <c r="J54" i="6"/>
  <c r="G54" i="6"/>
  <c r="F54" i="6"/>
  <c r="H54" i="6"/>
  <c r="H55" i="6" l="1"/>
  <c r="F55" i="6"/>
  <c r="G55" i="6"/>
  <c r="J55" i="6"/>
  <c r="B56" i="6"/>
  <c r="I56" i="6" s="1"/>
  <c r="B57" i="6" l="1"/>
  <c r="I57" i="6" s="1"/>
  <c r="F56" i="6"/>
  <c r="G56" i="6"/>
  <c r="J56" i="6"/>
  <c r="H56" i="6"/>
  <c r="B58" i="6" l="1"/>
  <c r="I58" i="6" s="1"/>
  <c r="J57" i="6"/>
  <c r="F57" i="6"/>
  <c r="G57" i="6"/>
  <c r="H57" i="6"/>
  <c r="F58" i="6" l="1"/>
  <c r="J58" i="6"/>
  <c r="G58" i="6"/>
  <c r="H58" i="6"/>
  <c r="B59" i="6"/>
  <c r="I59" i="6" s="1"/>
  <c r="H59" i="6" l="1"/>
  <c r="J59" i="6"/>
  <c r="G59" i="6"/>
  <c r="F59" i="6"/>
  <c r="B60" i="6"/>
  <c r="I60" i="6" s="1"/>
  <c r="B61" i="6" l="1"/>
  <c r="I61" i="6" s="1"/>
  <c r="J60" i="6"/>
  <c r="H60" i="6"/>
  <c r="F60" i="6"/>
  <c r="G60" i="6"/>
  <c r="J61" i="6" l="1"/>
  <c r="G61" i="6"/>
  <c r="F61" i="6"/>
  <c r="H61" i="6"/>
  <c r="B62" i="6"/>
  <c r="I62" i="6" s="1"/>
  <c r="G62" i="6" l="1"/>
  <c r="H62" i="6"/>
  <c r="J62" i="6"/>
  <c r="F62" i="6"/>
  <c r="B63" i="6"/>
  <c r="I63" i="6" s="1"/>
  <c r="G63" i="6" l="1"/>
  <c r="F63" i="6"/>
  <c r="H63" i="6"/>
  <c r="J63" i="6"/>
  <c r="B64" i="6"/>
  <c r="I64" i="6" s="1"/>
  <c r="B65" i="6" l="1"/>
  <c r="I65" i="6" s="1"/>
  <c r="J64" i="6"/>
  <c r="F64" i="6"/>
  <c r="H64" i="6"/>
  <c r="G64" i="6"/>
  <c r="B66" i="6" l="1"/>
  <c r="I66" i="6" s="1"/>
  <c r="J65" i="6"/>
  <c r="F65" i="6"/>
  <c r="G65" i="6"/>
  <c r="H65" i="6"/>
  <c r="H66" i="6" l="1"/>
  <c r="G66" i="6"/>
  <c r="F66" i="6"/>
  <c r="J66" i="6"/>
  <c r="B67" i="6"/>
  <c r="I67" i="6" s="1"/>
  <c r="G67" i="6" l="1"/>
  <c r="H67" i="6"/>
  <c r="J67" i="6"/>
  <c r="F67" i="6"/>
  <c r="B68" i="6"/>
  <c r="I68" i="6" s="1"/>
  <c r="B69" i="6" l="1"/>
  <c r="I69" i="6" s="1"/>
  <c r="J68" i="6"/>
  <c r="F68" i="6"/>
  <c r="H68" i="6"/>
  <c r="G68" i="6"/>
  <c r="B70" i="6" l="1"/>
  <c r="I70" i="6" s="1"/>
  <c r="J69" i="6"/>
  <c r="F69" i="6"/>
  <c r="G69" i="6"/>
  <c r="H69" i="6"/>
  <c r="B71" i="6" l="1"/>
  <c r="I71" i="6" s="1"/>
  <c r="J70" i="6"/>
  <c r="F70" i="6"/>
  <c r="G70" i="6"/>
  <c r="H70" i="6"/>
  <c r="J71" i="6" l="1"/>
  <c r="F71" i="6"/>
  <c r="H71" i="6"/>
  <c r="G71" i="6"/>
  <c r="B72" i="6"/>
  <c r="I72" i="6" s="1"/>
  <c r="F72" i="6" l="1"/>
  <c r="J72" i="6"/>
  <c r="H72" i="6"/>
  <c r="G72" i="6"/>
  <c r="B73" i="6"/>
  <c r="I73" i="6" s="1"/>
  <c r="J73" i="6" l="1"/>
  <c r="G73" i="6"/>
  <c r="F73" i="6"/>
  <c r="H73" i="6"/>
  <c r="B74" i="6"/>
  <c r="I74" i="6" s="1"/>
  <c r="B75" i="6" l="1"/>
  <c r="I75" i="6" s="1"/>
  <c r="F74" i="6"/>
  <c r="G74" i="6"/>
  <c r="H74" i="6"/>
  <c r="J74" i="6"/>
  <c r="F75" i="6" l="1"/>
  <c r="G75" i="6"/>
  <c r="H75" i="6"/>
  <c r="J75" i="6"/>
  <c r="B76" i="6"/>
  <c r="I76" i="6" s="1"/>
  <c r="B77" i="6" l="1"/>
  <c r="I77" i="6" s="1"/>
  <c r="J76" i="6"/>
  <c r="F76" i="6"/>
  <c r="G76" i="6"/>
  <c r="H76" i="6"/>
  <c r="F77" i="6" l="1"/>
  <c r="H77" i="6"/>
  <c r="G77" i="6"/>
  <c r="J77" i="6"/>
  <c r="B78" i="6"/>
  <c r="I78" i="6" s="1"/>
  <c r="B79" i="6" l="1"/>
  <c r="I79" i="6" s="1"/>
  <c r="H78" i="6"/>
  <c r="G78" i="6"/>
  <c r="F78" i="6"/>
  <c r="J78" i="6"/>
  <c r="B80" i="6" l="1"/>
  <c r="I80" i="6" s="1"/>
  <c r="J79" i="6"/>
  <c r="H79" i="6"/>
  <c r="F79" i="6"/>
  <c r="G79" i="6"/>
  <c r="J80" i="6" l="1"/>
  <c r="H80" i="6"/>
  <c r="F80" i="6"/>
  <c r="G80" i="6"/>
  <c r="B81" i="6"/>
  <c r="I81" i="6" s="1"/>
  <c r="J81" i="6" l="1"/>
  <c r="F81" i="6"/>
  <c r="H81" i="6"/>
  <c r="G81" i="6"/>
  <c r="B82" i="6"/>
  <c r="I82" i="6" s="1"/>
  <c r="B83" i="6" l="1"/>
  <c r="I83" i="6" s="1"/>
  <c r="F82" i="6"/>
  <c r="J82" i="6"/>
  <c r="G82" i="6"/>
  <c r="H82" i="6"/>
  <c r="B84" i="6" l="1"/>
  <c r="I84" i="6" s="1"/>
  <c r="F83" i="6"/>
  <c r="G83" i="6"/>
  <c r="H83" i="6"/>
  <c r="J83" i="6"/>
  <c r="B85" i="6" l="1"/>
  <c r="I85" i="6" s="1"/>
  <c r="J84" i="6"/>
  <c r="H84" i="6"/>
  <c r="G84" i="6"/>
  <c r="F84" i="6"/>
  <c r="B86" i="6" l="1"/>
  <c r="I86" i="6" s="1"/>
  <c r="H85" i="6"/>
  <c r="J85" i="6"/>
  <c r="F85" i="6"/>
  <c r="G85" i="6"/>
  <c r="G86" i="6" l="1"/>
  <c r="H86" i="6"/>
  <c r="J86" i="6"/>
  <c r="F86" i="6"/>
  <c r="B87" i="6"/>
  <c r="I87" i="6" s="1"/>
  <c r="B88" i="6" l="1"/>
  <c r="I88" i="6" s="1"/>
  <c r="G87" i="6"/>
  <c r="J87" i="6"/>
  <c r="H87" i="6"/>
  <c r="F87" i="6"/>
  <c r="F88" i="6" l="1"/>
  <c r="H88" i="6"/>
  <c r="J88" i="6"/>
  <c r="G88" i="6"/>
  <c r="B89" i="6"/>
  <c r="I89" i="6" s="1"/>
  <c r="H89" i="6" l="1"/>
  <c r="F89" i="6"/>
  <c r="G89" i="6"/>
  <c r="J89" i="6"/>
  <c r="B90" i="6"/>
  <c r="I90" i="6" s="1"/>
  <c r="H90" i="6" l="1"/>
  <c r="G90" i="6"/>
  <c r="F90" i="6"/>
  <c r="J90" i="6"/>
  <c r="B91" i="6"/>
  <c r="I91" i="6" s="1"/>
  <c r="H91" i="6" l="1"/>
  <c r="J91" i="6"/>
  <c r="G91" i="6"/>
  <c r="F91" i="6"/>
  <c r="B92" i="6"/>
  <c r="I92" i="6" s="1"/>
  <c r="J92" i="6" l="1"/>
  <c r="G92" i="6"/>
  <c r="F92" i="6"/>
  <c r="H92" i="6"/>
  <c r="B93" i="6"/>
  <c r="I93" i="6" s="1"/>
  <c r="J93" i="6" l="1"/>
  <c r="F93" i="6"/>
  <c r="H93" i="6"/>
  <c r="G93" i="6"/>
  <c r="B94" i="6"/>
  <c r="I94" i="6" s="1"/>
  <c r="G94" i="6" l="1"/>
  <c r="H94" i="6"/>
  <c r="F94" i="6"/>
  <c r="J94" i="6"/>
  <c r="B95" i="6"/>
  <c r="I95" i="6" s="1"/>
  <c r="B96" i="6" l="1"/>
  <c r="I96" i="6" s="1"/>
  <c r="J95" i="6"/>
  <c r="G95" i="6"/>
  <c r="H95" i="6"/>
  <c r="F95" i="6"/>
  <c r="J96" i="6" l="1"/>
  <c r="F96" i="6"/>
  <c r="H96" i="6"/>
  <c r="G96" i="6"/>
  <c r="B97" i="6"/>
  <c r="I97" i="6" s="1"/>
  <c r="B98" i="6" l="1"/>
  <c r="I98" i="6" s="1"/>
  <c r="J97" i="6"/>
  <c r="G97" i="6"/>
  <c r="H97" i="6"/>
  <c r="F97" i="6"/>
  <c r="B99" i="6" l="1"/>
  <c r="I99" i="6" s="1"/>
  <c r="F98" i="6"/>
  <c r="H98" i="6"/>
  <c r="G98" i="6"/>
  <c r="J98" i="6"/>
  <c r="B100" i="6" l="1"/>
  <c r="I100" i="6" s="1"/>
  <c r="J99" i="6"/>
  <c r="F99" i="6"/>
  <c r="G99" i="6"/>
  <c r="H99" i="6"/>
  <c r="B101" i="6" l="1"/>
  <c r="I101" i="6" s="1"/>
  <c r="J100" i="6"/>
  <c r="H100" i="6"/>
  <c r="G100" i="6"/>
  <c r="F100" i="6"/>
  <c r="G101" i="6" l="1"/>
  <c r="H101" i="6"/>
  <c r="J101" i="6"/>
  <c r="F101" i="6"/>
  <c r="B102" i="6"/>
  <c r="I102" i="6" s="1"/>
  <c r="B103" i="6" l="1"/>
  <c r="I103" i="6" s="1"/>
  <c r="J102" i="6"/>
  <c r="F102" i="6"/>
  <c r="G102" i="6"/>
  <c r="H102" i="6"/>
  <c r="F103" i="6" l="1"/>
  <c r="G103" i="6"/>
  <c r="H103" i="6"/>
  <c r="J103" i="6"/>
  <c r="B104" i="6"/>
  <c r="I104" i="6" s="1"/>
  <c r="F104" i="6" l="1"/>
  <c r="H104" i="6"/>
  <c r="G104" i="6"/>
  <c r="J104" i="6"/>
  <c r="B105" i="6"/>
  <c r="I105" i="6" s="1"/>
  <c r="J105" i="6" l="1"/>
  <c r="H105" i="6"/>
  <c r="F105" i="6"/>
  <c r="G105" i="6"/>
  <c r="B106" i="6"/>
  <c r="I106" i="6" s="1"/>
  <c r="F106" i="6" l="1"/>
  <c r="H106" i="6"/>
  <c r="G106" i="6"/>
  <c r="J106" i="6"/>
  <c r="B107" i="6"/>
  <c r="I107" i="6" s="1"/>
  <c r="F107" i="6" l="1"/>
  <c r="H107" i="6"/>
  <c r="G107" i="6"/>
  <c r="J107" i="6"/>
  <c r="B108" i="6"/>
  <c r="I108" i="6" s="1"/>
  <c r="J108" i="6" l="1"/>
  <c r="F108" i="6"/>
  <c r="G108" i="6"/>
  <c r="H108" i="6"/>
  <c r="B109" i="6"/>
  <c r="I109" i="6" s="1"/>
  <c r="G109" i="6" l="1"/>
  <c r="H109" i="6"/>
  <c r="J109" i="6"/>
  <c r="F109" i="6"/>
  <c r="B110" i="6"/>
  <c r="I110" i="6" s="1"/>
  <c r="B111" i="6" l="1"/>
  <c r="I111" i="6" s="1"/>
  <c r="H110" i="6"/>
  <c r="G110" i="6"/>
  <c r="J110" i="6"/>
  <c r="F110" i="6"/>
  <c r="B112" i="6" l="1"/>
  <c r="I112" i="6" s="1"/>
  <c r="J111" i="6"/>
  <c r="G111" i="6"/>
  <c r="H111" i="6"/>
  <c r="F111" i="6"/>
  <c r="H112" i="6" l="1"/>
  <c r="F112" i="6"/>
  <c r="G112" i="6"/>
  <c r="J112" i="6"/>
  <c r="B113" i="6"/>
  <c r="I113" i="6" s="1"/>
  <c r="F113" i="6" l="1"/>
  <c r="H113" i="6"/>
  <c r="J113" i="6"/>
  <c r="G113" i="6"/>
  <c r="B114" i="6"/>
  <c r="I114" i="6" s="1"/>
  <c r="F114" i="6" l="1"/>
  <c r="G114" i="6"/>
  <c r="J114" i="6"/>
  <c r="H114" i="6"/>
  <c r="B115" i="6"/>
  <c r="I115" i="6" s="1"/>
  <c r="B116" i="6" l="1"/>
  <c r="I116" i="6" s="1"/>
  <c r="H115" i="6"/>
  <c r="J115" i="6"/>
  <c r="F115" i="6"/>
  <c r="G115" i="6"/>
  <c r="B117" i="6" l="1"/>
  <c r="I117" i="6" s="1"/>
  <c r="J116" i="6"/>
  <c r="H116" i="6"/>
  <c r="G116" i="6"/>
  <c r="F116" i="6"/>
  <c r="B119" i="6" l="1"/>
  <c r="I119" i="6" s="1"/>
  <c r="B118" i="6"/>
  <c r="I118" i="6" s="1"/>
  <c r="F117" i="6"/>
  <c r="G117" i="6"/>
  <c r="H117" i="6"/>
  <c r="J117" i="6"/>
  <c r="G118" i="6" l="1"/>
  <c r="H118" i="6"/>
  <c r="J118" i="6"/>
  <c r="F118" i="6"/>
  <c r="J119" i="6"/>
  <c r="F119" i="6"/>
  <c r="G119" i="6"/>
  <c r="H119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<sst xmlns="http://schemas.openxmlformats.org/spreadsheetml/2006/main" count="2614" uniqueCount="929">
  <si>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</si>
  <si>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</si>
  <si>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</si>
  <si>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</si>
  <si>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</si>
  <si>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</si>
  <si>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</si>
  <si>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</si>
  <si>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</si>
  <si>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</si>
  <si>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</si>
  <si>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</si>
  <si>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</si>
  <si>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</si>
  <si>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</si>
  <si>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</si>
  <si>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</si>
  <si>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</si>
  <si>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</si>
  <si>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</si>
  <si>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</si>
  <si>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</si>
  <si>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</si>
  <si>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</si>
  <si>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</si>
  <si>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</si>
  <si>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</si>
  <si>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</si>
  <si>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</si>
  <si>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</si>
  <si>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</si>
  <si>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</si>
  <si>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</si>
  <si>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</si>
  <si>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</si>
  <si>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</si>
  <si>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</si>
  <si>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</si>
  <si>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</si>
  <si>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</si>
  <si>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</si>
  <si>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</si>
  <si>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</si>
  <si>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</si>
  <si>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</si>
  <si>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</si>
  <si>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</si>
  <si>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</si>
  <si>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</si>
  <si>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</si>
  <si>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</si>
  <si>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</si>
  <si>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</si>
  <si>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</si>
  <si>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</si>
  <si>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</si>
  <si>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</si>
  <si>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</si>
  <si>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</si>
  <si>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</si>
  <si>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</si>
  <si>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</si>
  <si>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</si>
  <si>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</si>
  <si>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</si>
  <si>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</si>
  <si>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</si>
  <si>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</si>
  <si>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</si>
  <si>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</si>
  <si>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</si>
  <si>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</si>
  <si>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</si>
  <si>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</si>
  <si>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</si>
  <si>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</si>
  <si>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</si>
  <si>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</si>
  <si>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</si>
  <si>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</si>
  <si>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</si>
  <si>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</si>
  <si>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</si>
  <si>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</si>
  <si>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</si>
  <si>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</si>
  <si>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</si>
  <si>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</si>
  <si>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</si>
  <si>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</si>
  <si>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</si>
  <si>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</si>
  <si>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</si>
  <si>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</si>
  <si>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</si>
  <si>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</si>
  <si>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</si>
  <si>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</si>
  <si>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</si>
  <si>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</si>
  <si>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</si>
  <si>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</si>
  <si>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</si>
  <si>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</si>
  <si>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</si>
  <si>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</si>
  <si>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</si>
  <si>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</si>
  <si>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</si>
  <si>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</si>
  <si>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</si>
  <si>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</si>
  <si>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</si>
  <si>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</si>
  <si>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</si>
  <si>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</si>
  <si>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</si>
  <si>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</si>
  <si>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</si>
  <si>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</si>
  <si>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</si>
  <si>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</si>
  <si>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</si>
  <si>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</si>
  <si>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</si>
  <si>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</si>
  <si>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</si>
  <si>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</si>
  <si>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</si>
  <si>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</si>
  <si>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</si>
  <si>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</si>
  <si>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</si>
  <si>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</si>
  <si>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</si>
  <si>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</si>
  <si>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</si>
  <si>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</si>
  <si>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</si>
  <si>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</si>
  <si>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</si>
  <si>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</si>
  <si>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</si>
  <si>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</si>
  <si>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</si>
  <si>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</si>
  <si>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</si>
  <si>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</si>
  <si>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</si>
  <si>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</si>
  <si>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</si>
  <si>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</si>
  <si>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</si>
  <si>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</si>
  <si>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</si>
  <si>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</si>
  <si>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</si>
  <si>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</si>
  <si>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</si>
  <si>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</si>
  <si>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</si>
  <si>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</si>
  <si>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</si>
  <si>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</si>
  <si>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</si>
  <si>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</si>
  <si>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</si>
  <si>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</si>
  <si>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</si>
  <si>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</si>
  <si>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</si>
  <si>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</si>
  <si>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</si>
  <si>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</si>
  <si>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</si>
  <si>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</si>
  <si>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</si>
  <si>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</si>
  <si>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</si>
  <si>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</si>
  <si>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</si>
  <si>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</si>
  <si>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</si>
  <si>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</si>
  <si>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</si>
  <si>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</si>
  <si>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</si>
  <si>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</si>
  <si>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</si>
  <si>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</si>
  <si>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</si>
  <si>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</si>
  <si>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</si>
  <si>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</si>
  <si>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</si>
  <si>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</si>
  <si>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</si>
  <si>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</si>
  <si>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</si>
  <si>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</si>
  <si>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</si>
  <si>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</si>
  <si>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</si>
  <si>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</si>
  <si>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</si>
  <si>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</si>
  <si>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</si>
  <si>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</si>
  <si>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</si>
  <si>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</si>
  <si>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</si>
  <si>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</si>
  <si>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</si>
  <si>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</si>
  <si>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</si>
  <si>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204:469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</si>
  <si>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</si>
  <si>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</si>
  <si>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</si>
  <si>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</si>
  <si>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</si>
  <si>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</si>
  <si>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</si>
  <si>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</si>
  <si>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</si>
  <si>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</si>
  <si>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</si>
  <si>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</si>
  <si>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</si>
  <si>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</si>
  <si>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</si>
  <si>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</si>
  <si>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</si>
  <si>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</si>
  <si>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</si>
  <si>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</si>
  <si>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</si>
  <si>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</si>
  <si>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</si>
  <si>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</si>
  <si>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</si>
  <si>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</si>
  <si>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</si>
  <si>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</si>
  <si>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</si>
  <si>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</si>
  <si>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</si>
  <si>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</si>
  <si>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</si>
  <si>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rtdc.l.rtdc.4053:itc</t>
  </si>
  <si>
    <t>313-18</t>
  </si>
  <si>
    <t>315-18</t>
  </si>
  <si>
    <t>rtdc.l.rtdc.4043:itc</t>
  </si>
  <si>
    <t>partly-cloudy-night</t>
  </si>
  <si>
    <t>partly-cloudy-day</t>
  </si>
  <si>
    <t>Partly Cloudy</t>
  </si>
  <si>
    <t>204:453</t>
  </si>
  <si>
    <t>rtdc.l.rtdc.4003:itc</t>
  </si>
  <si>
    <t>rtdc.l.rtdc.4004:itc</t>
  </si>
  <si>
    <t>CHANDLER</t>
  </si>
  <si>
    <t>KELVIN</t>
  </si>
  <si>
    <t>204:467</t>
  </si>
  <si>
    <t>204:446</t>
  </si>
  <si>
    <t>204:455</t>
  </si>
  <si>
    <t>204:233308</t>
  </si>
  <si>
    <t>204:139</t>
  </si>
  <si>
    <t>rtdc.l.rtdc.4016:itc</t>
  </si>
  <si>
    <t>204:232993</t>
  </si>
  <si>
    <t>204:232977</t>
  </si>
  <si>
    <t>204:232991</t>
  </si>
  <si>
    <t>204:233293</t>
  </si>
  <si>
    <t>rtdc.l.rtdc.4019:itc</t>
  </si>
  <si>
    <t>204:464</t>
  </si>
  <si>
    <t>rtdc.l.rtdc.4031:itc</t>
  </si>
  <si>
    <t>rtdc.l.rtdc.4032:itc</t>
  </si>
  <si>
    <t>204:233297</t>
  </si>
  <si>
    <t>204:161</t>
  </si>
  <si>
    <t>rtdc.l.rtdc.4020:itc</t>
  </si>
  <si>
    <t>rtdc.l.rtdc.4044:itc</t>
  </si>
  <si>
    <t>204:141</t>
  </si>
  <si>
    <t>204:232987</t>
  </si>
  <si>
    <t>Early arrival</t>
  </si>
  <si>
    <t>204:232996</t>
  </si>
  <si>
    <t>204:233312</t>
  </si>
  <si>
    <t>204:232980</t>
  </si>
  <si>
    <t>204:440</t>
  </si>
  <si>
    <t>204:232986</t>
  </si>
  <si>
    <t>rtdc.l.rtdc.4008:itc</t>
  </si>
  <si>
    <t>rtdc.l.rtdc.4018:itc</t>
  </si>
  <si>
    <t>rtdc.l.rtdc.4017:itc</t>
  </si>
  <si>
    <t>rtdc.l.rtdc.4012:itc</t>
  </si>
  <si>
    <t>JOHN</t>
  </si>
  <si>
    <t>DAVID</t>
  </si>
  <si>
    <t>204:156</t>
  </si>
  <si>
    <t>204:233289</t>
  </si>
  <si>
    <t>204:147</t>
  </si>
  <si>
    <t>300:23346</t>
  </si>
  <si>
    <t>204:477</t>
  </si>
  <si>
    <t>204:232998</t>
  </si>
  <si>
    <t>204:233314</t>
  </si>
  <si>
    <t>204:138</t>
  </si>
  <si>
    <t>204:233302</t>
  </si>
  <si>
    <t>204:233311</t>
  </si>
  <si>
    <t>204:170</t>
  </si>
  <si>
    <t>204:431</t>
  </si>
  <si>
    <t>STARKS</t>
  </si>
  <si>
    <t>ANGELINA</t>
  </si>
  <si>
    <t>BONDS</t>
  </si>
  <si>
    <t>REYNALDO</t>
  </si>
  <si>
    <t>ROCHA</t>
  </si>
  <si>
    <t>YAOTL</t>
  </si>
  <si>
    <t>CLARK</t>
  </si>
  <si>
    <t>KATHLEEN</t>
  </si>
  <si>
    <t>LEVERE</t>
  </si>
  <si>
    <t>CRAIG</t>
  </si>
  <si>
    <t>204:442</t>
  </si>
  <si>
    <t>204:478</t>
  </si>
  <si>
    <t>204:167</t>
  </si>
  <si>
    <t>204:232985</t>
  </si>
  <si>
    <t>204:233327</t>
  </si>
  <si>
    <t>204:473</t>
  </si>
  <si>
    <t>204:471</t>
  </si>
  <si>
    <t>204:233306</t>
  </si>
  <si>
    <t>204:233268</t>
  </si>
  <si>
    <t>204:232971</t>
  </si>
  <si>
    <t>204:678</t>
  </si>
  <si>
    <t>236-15</t>
  </si>
  <si>
    <t>240-15</t>
  </si>
  <si>
    <t>BADERTSCHER</t>
  </si>
  <si>
    <t>DIANE</t>
  </si>
  <si>
    <t>GEBRETEKLE</t>
  </si>
  <si>
    <t>DAGNEW</t>
  </si>
  <si>
    <t>LOZA</t>
  </si>
  <si>
    <t>FIDEL</t>
  </si>
  <si>
    <t>HELVIE</t>
  </si>
  <si>
    <t>ADAM</t>
  </si>
  <si>
    <t>BRANNON</t>
  </si>
  <si>
    <t>JEFFREY</t>
  </si>
  <si>
    <t>BRUDER</t>
  </si>
  <si>
    <t>RICHARD</t>
  </si>
  <si>
    <t>STRICKLAND</t>
  </si>
  <si>
    <t>EVAN</t>
  </si>
  <si>
    <t>230-15</t>
  </si>
  <si>
    <t>844-15</t>
  </si>
  <si>
    <t>233-15</t>
  </si>
  <si>
    <t>235-15</t>
  </si>
  <si>
    <t>847-15</t>
  </si>
  <si>
    <t>232-15</t>
  </si>
  <si>
    <t>908-15</t>
  </si>
  <si>
    <t>234-15</t>
  </si>
  <si>
    <t>237-15</t>
  </si>
  <si>
    <t>JACKSON</t>
  </si>
  <si>
    <t>WILLIAM</t>
  </si>
  <si>
    <t>239-15</t>
  </si>
  <si>
    <t>241-15</t>
  </si>
  <si>
    <t>238-15</t>
  </si>
  <si>
    <t>243-15</t>
  </si>
  <si>
    <t>242-15</t>
  </si>
  <si>
    <t>315-15</t>
  </si>
  <si>
    <t>309-15</t>
  </si>
  <si>
    <t>244-15</t>
  </si>
  <si>
    <t>311-15</t>
  </si>
  <si>
    <t>clear-night</t>
  </si>
  <si>
    <t>Clear</t>
  </si>
  <si>
    <t>204:724</t>
  </si>
  <si>
    <t>204:429</t>
  </si>
  <si>
    <t>204:232975</t>
  </si>
  <si>
    <t>204:233305</t>
  </si>
  <si>
    <t>204:233276</t>
  </si>
  <si>
    <t>204:232989</t>
  </si>
  <si>
    <t>204:233317</t>
  </si>
  <si>
    <t>204:232967</t>
  </si>
  <si>
    <t>204:233019</t>
  </si>
  <si>
    <t>204:130</t>
  </si>
  <si>
    <t>204:233015</t>
  </si>
  <si>
    <t>300:58645</t>
  </si>
  <si>
    <t>300:58641</t>
  </si>
  <si>
    <t>204:979</t>
  </si>
  <si>
    <t>204:969</t>
  </si>
  <si>
    <t>204:971</t>
  </si>
  <si>
    <t>rtdc.l.rtdc.4014:itc</t>
  </si>
  <si>
    <t>ROBINSON</t>
  </si>
  <si>
    <t>KADDIBA</t>
  </si>
  <si>
    <t>SHOOK</t>
  </si>
  <si>
    <t>rtdc.l.rtdc.4013:itc</t>
  </si>
  <si>
    <t>KILLION</t>
  </si>
  <si>
    <t>SMITH</t>
  </si>
  <si>
    <t>SANTIZO</t>
  </si>
  <si>
    <t>D. EDY</t>
  </si>
  <si>
    <t>243-16</t>
  </si>
  <si>
    <t>240-16</t>
  </si>
  <si>
    <t>315-16</t>
  </si>
  <si>
    <t>242-16</t>
  </si>
  <si>
    <t>244-16</t>
  </si>
  <si>
    <t>309-16</t>
  </si>
  <si>
    <t>311-16</t>
  </si>
  <si>
    <t>4019-17</t>
  </si>
  <si>
    <t>313-16</t>
  </si>
  <si>
    <t>204:437</t>
  </si>
  <si>
    <t>204:232982</t>
  </si>
  <si>
    <t>204:163</t>
  </si>
  <si>
    <t>204:233299</t>
  </si>
  <si>
    <t>204:233295</t>
  </si>
  <si>
    <t>204:232976</t>
  </si>
  <si>
    <t>204:233274</t>
  </si>
  <si>
    <t>204:475</t>
  </si>
  <si>
    <t>204:232981</t>
  </si>
  <si>
    <t>204:232963</t>
  </si>
  <si>
    <t>204:447</t>
  </si>
  <si>
    <t>204:233282</t>
  </si>
  <si>
    <t>204:466</t>
  </si>
  <si>
    <t>204:233318</t>
  </si>
  <si>
    <t>204:165</t>
  </si>
  <si>
    <t>204:232969</t>
  </si>
  <si>
    <t>204:233304</t>
  </si>
  <si>
    <t>204:233288</t>
  </si>
  <si>
    <t>204:233336</t>
  </si>
  <si>
    <t>204:233119</t>
  </si>
  <si>
    <t>204:125</t>
  </si>
  <si>
    <t>300:23223</t>
  </si>
  <si>
    <t>204:740</t>
  </si>
  <si>
    <t>300:58679</t>
  </si>
  <si>
    <t>204:717</t>
  </si>
  <si>
    <t>204:708</t>
  </si>
  <si>
    <t>300:58690</t>
  </si>
  <si>
    <t>204:703</t>
  </si>
  <si>
    <t>300:58960</t>
  </si>
  <si>
    <t>300:58647</t>
  </si>
  <si>
    <t>204:666</t>
  </si>
  <si>
    <t>300:58655</t>
  </si>
  <si>
    <t>204:722</t>
  </si>
  <si>
    <t>204:990</t>
  </si>
  <si>
    <t>300:58638</t>
  </si>
  <si>
    <t>300:58969</t>
  </si>
  <si>
    <t>204:962</t>
  </si>
  <si>
    <t>300:58675</t>
  </si>
  <si>
    <t>104-17</t>
  </si>
  <si>
    <t>800-17</t>
  </si>
  <si>
    <t>106-17</t>
  </si>
  <si>
    <t>802-17</t>
  </si>
  <si>
    <t>121-17</t>
  </si>
  <si>
    <t>114-17</t>
  </si>
  <si>
    <t>118-17</t>
  </si>
  <si>
    <t>120-17</t>
  </si>
  <si>
    <t>135-17</t>
  </si>
  <si>
    <t>PERMANENT SPEED RESTRICTION</t>
  </si>
  <si>
    <t>Speed (6)</t>
  </si>
  <si>
    <t>811-17</t>
  </si>
  <si>
    <t>139-17</t>
  </si>
  <si>
    <t>136-17</t>
  </si>
  <si>
    <t>144-17</t>
  </si>
  <si>
    <t>169-17</t>
  </si>
  <si>
    <t>162-17</t>
  </si>
  <si>
    <t>181-17</t>
  </si>
  <si>
    <t>182-17</t>
  </si>
  <si>
    <t>904-17</t>
  </si>
  <si>
    <t>190-17</t>
  </si>
  <si>
    <t>199-17</t>
  </si>
  <si>
    <t>204-17</t>
  </si>
  <si>
    <t>835-17</t>
  </si>
  <si>
    <t>217-17</t>
  </si>
  <si>
    <t>77-17</t>
  </si>
  <si>
    <t>216-17</t>
  </si>
  <si>
    <t>212-17</t>
  </si>
  <si>
    <t>305-17</t>
  </si>
  <si>
    <t>229-17</t>
  </si>
  <si>
    <t>237-17</t>
  </si>
  <si>
    <t>240-17</t>
  </si>
  <si>
    <t>242-17</t>
  </si>
  <si>
    <t>Y</t>
  </si>
  <si>
    <t>302-17</t>
  </si>
  <si>
    <t>101-17</t>
  </si>
  <si>
    <t>304-17</t>
  </si>
  <si>
    <t>ACKERMAN</t>
  </si>
  <si>
    <t>JARED</t>
  </si>
  <si>
    <t>103-17</t>
  </si>
  <si>
    <t>306-17</t>
  </si>
  <si>
    <t>308-17</t>
  </si>
  <si>
    <t>102-17</t>
  </si>
  <si>
    <t>105-17</t>
  </si>
  <si>
    <t>107-17</t>
  </si>
  <si>
    <t>310-17</t>
  </si>
  <si>
    <t>109-17</t>
  </si>
  <si>
    <t>901-17</t>
  </si>
  <si>
    <t>111-17</t>
  </si>
  <si>
    <t>113-17</t>
  </si>
  <si>
    <t>108-17</t>
  </si>
  <si>
    <t>115-17</t>
  </si>
  <si>
    <t>801-17</t>
  </si>
  <si>
    <t>117-17</t>
  </si>
  <si>
    <t>110-17</t>
  </si>
  <si>
    <t>112-17</t>
  </si>
  <si>
    <t>902-17</t>
  </si>
  <si>
    <t>119-17</t>
  </si>
  <si>
    <t>803-17</t>
  </si>
  <si>
    <t>116-17</t>
  </si>
  <si>
    <t>123-17</t>
  </si>
  <si>
    <t>805-17</t>
  </si>
  <si>
    <t>125-17</t>
  </si>
  <si>
    <t>804-17</t>
  </si>
  <si>
    <t>127-17</t>
  </si>
  <si>
    <t>807-17</t>
  </si>
  <si>
    <t>806-17</t>
  </si>
  <si>
    <t>122-17</t>
  </si>
  <si>
    <t>129-17</t>
  </si>
  <si>
    <t>YANAI</t>
  </si>
  <si>
    <t>IAN</t>
  </si>
  <si>
    <t>124-17</t>
  </si>
  <si>
    <t>131-17</t>
  </si>
  <si>
    <t>809-17</t>
  </si>
  <si>
    <t>126-17</t>
  </si>
  <si>
    <t>808-17</t>
  </si>
  <si>
    <t>133-17</t>
  </si>
  <si>
    <t>128-17</t>
  </si>
  <si>
    <t>130-17</t>
  </si>
  <si>
    <t>810-17</t>
  </si>
  <si>
    <t>137-17</t>
  </si>
  <si>
    <t>132-17</t>
  </si>
  <si>
    <t>903-17</t>
  </si>
  <si>
    <t>134-17</t>
  </si>
  <si>
    <t>812-17</t>
  </si>
  <si>
    <t>141-17</t>
  </si>
  <si>
    <t>143-17</t>
  </si>
  <si>
    <t>813-17</t>
  </si>
  <si>
    <t>138-17</t>
  </si>
  <si>
    <t>145-17</t>
  </si>
  <si>
    <t>140-17</t>
  </si>
  <si>
    <t>147-17</t>
  </si>
  <si>
    <t>142-17</t>
  </si>
  <si>
    <t>814-17</t>
  </si>
  <si>
    <t>149-17</t>
  </si>
  <si>
    <t>151-17</t>
  </si>
  <si>
    <t>815-17</t>
  </si>
  <si>
    <t>146-17</t>
  </si>
  <si>
    <t>153-17</t>
  </si>
  <si>
    <t>148-17</t>
  </si>
  <si>
    <t>155-17</t>
  </si>
  <si>
    <t>150-17</t>
  </si>
  <si>
    <t>157-17</t>
  </si>
  <si>
    <t>DE LA ROSA</t>
  </si>
  <si>
    <t>ALEX</t>
  </si>
  <si>
    <t>816-17</t>
  </si>
  <si>
    <t>152-17</t>
  </si>
  <si>
    <t>159-17</t>
  </si>
  <si>
    <t>STEWART</t>
  </si>
  <si>
    <t>817-17</t>
  </si>
  <si>
    <t>154-17</t>
  </si>
  <si>
    <t>161-17</t>
  </si>
  <si>
    <t>ROMERO</t>
  </si>
  <si>
    <t>CHAD</t>
  </si>
  <si>
    <t>156-17</t>
  </si>
  <si>
    <t>163-17</t>
  </si>
  <si>
    <t>158-17</t>
  </si>
  <si>
    <t>818-17</t>
  </si>
  <si>
    <t>165-17</t>
  </si>
  <si>
    <t>160-17</t>
  </si>
  <si>
    <t>167-17</t>
  </si>
  <si>
    <t>819-17</t>
  </si>
  <si>
    <t>164-17</t>
  </si>
  <si>
    <t>171-17</t>
  </si>
  <si>
    <t>166-17</t>
  </si>
  <si>
    <t>820-17</t>
  </si>
  <si>
    <t>173-17</t>
  </si>
  <si>
    <t>175-17</t>
  </si>
  <si>
    <t>DELGADO</t>
  </si>
  <si>
    <t>DIANAH</t>
  </si>
  <si>
    <t>168-17</t>
  </si>
  <si>
    <t>170-17</t>
  </si>
  <si>
    <t>821-17</t>
  </si>
  <si>
    <t>177-17</t>
  </si>
  <si>
    <t>172-17</t>
  </si>
  <si>
    <t>179-17</t>
  </si>
  <si>
    <t>174-17</t>
  </si>
  <si>
    <t>HOLCOMB</t>
  </si>
  <si>
    <t>KAMDEN</t>
  </si>
  <si>
    <t>822-17</t>
  </si>
  <si>
    <t>176-17</t>
  </si>
  <si>
    <t>183-17</t>
  </si>
  <si>
    <t>178-17</t>
  </si>
  <si>
    <t>185-17</t>
  </si>
  <si>
    <t>823-17</t>
  </si>
  <si>
    <t>180-17</t>
  </si>
  <si>
    <t>187-17</t>
  </si>
  <si>
    <t>824-17</t>
  </si>
  <si>
    <t>189-17</t>
  </si>
  <si>
    <t>184-17</t>
  </si>
  <si>
    <t>191-17</t>
  </si>
  <si>
    <t>186-17</t>
  </si>
  <si>
    <t>POLLOCK</t>
  </si>
  <si>
    <t>JASON</t>
  </si>
  <si>
    <t>193-17</t>
  </si>
  <si>
    <t>825-17</t>
  </si>
  <si>
    <t>188-17</t>
  </si>
  <si>
    <t>195-17</t>
  </si>
  <si>
    <t>826-17</t>
  </si>
  <si>
    <t>197-17</t>
  </si>
  <si>
    <t>827-17</t>
  </si>
  <si>
    <t>192-17</t>
  </si>
  <si>
    <t>194-17</t>
  </si>
  <si>
    <t>828-17</t>
  </si>
  <si>
    <t>201-17</t>
  </si>
  <si>
    <t>829-17</t>
  </si>
  <si>
    <t>196-17</t>
  </si>
  <si>
    <t>203-17</t>
  </si>
  <si>
    <t>198-17</t>
  </si>
  <si>
    <t>830-17</t>
  </si>
  <si>
    <t>205-17</t>
  </si>
  <si>
    <t>831-17</t>
  </si>
  <si>
    <t>200-17</t>
  </si>
  <si>
    <t>207-17</t>
  </si>
  <si>
    <t>202-17</t>
  </si>
  <si>
    <t>832-17</t>
  </si>
  <si>
    <t>833-17</t>
  </si>
  <si>
    <t>209-17</t>
  </si>
  <si>
    <t>211-17</t>
  </si>
  <si>
    <t>206-17</t>
  </si>
  <si>
    <t>834-17</t>
  </si>
  <si>
    <t>51-17</t>
  </si>
  <si>
    <t>213-17</t>
  </si>
  <si>
    <t>208-17</t>
  </si>
  <si>
    <t>215-17</t>
  </si>
  <si>
    <t>210-17</t>
  </si>
  <si>
    <t>PERKINS</t>
  </si>
  <si>
    <t>DARREN</t>
  </si>
  <si>
    <t>836-17</t>
  </si>
  <si>
    <t>837-17</t>
  </si>
  <si>
    <t>78-17</t>
  </si>
  <si>
    <t>DUNCAN</t>
  </si>
  <si>
    <t>SHEILA</t>
  </si>
  <si>
    <t>219-17</t>
  </si>
  <si>
    <t>839-17</t>
  </si>
  <si>
    <t>214-17</t>
  </si>
  <si>
    <t>838-17</t>
  </si>
  <si>
    <t>303-17</t>
  </si>
  <si>
    <t>221-17</t>
  </si>
  <si>
    <t>218-17</t>
  </si>
  <si>
    <t>906-17</t>
  </si>
  <si>
    <t>220-17</t>
  </si>
  <si>
    <t>841-17</t>
  </si>
  <si>
    <t>223-17</t>
  </si>
  <si>
    <t>307-17</t>
  </si>
  <si>
    <t>840-17</t>
  </si>
  <si>
    <t>222-17</t>
  </si>
  <si>
    <t>225-17</t>
  </si>
  <si>
    <t>MAGEE</t>
  </si>
  <si>
    <t>KENYA</t>
  </si>
  <si>
    <t>843-17</t>
  </si>
  <si>
    <t>227-17</t>
  </si>
  <si>
    <t>DAVIDSON</t>
  </si>
  <si>
    <t>224-17</t>
  </si>
  <si>
    <t>842-17</t>
  </si>
  <si>
    <t>226-17</t>
  </si>
  <si>
    <t>845-17</t>
  </si>
  <si>
    <t>231-17</t>
  </si>
  <si>
    <t>228-17</t>
  </si>
  <si>
    <t>844-17</t>
  </si>
  <si>
    <t>233-17</t>
  </si>
  <si>
    <t>230-17</t>
  </si>
  <si>
    <t>847-17</t>
  </si>
  <si>
    <t>235-17</t>
  </si>
  <si>
    <t>232-17</t>
  </si>
  <si>
    <t>908-17</t>
  </si>
  <si>
    <t>234-17</t>
  </si>
  <si>
    <t>239-17</t>
  </si>
  <si>
    <t>236-17</t>
  </si>
  <si>
    <t>rtdc.l.rtdc.4010:itc</t>
  </si>
  <si>
    <t>74-17</t>
  </si>
  <si>
    <t>SAFIEF</t>
  </si>
  <si>
    <t>AEIMEN</t>
  </si>
  <si>
    <t>238-17</t>
  </si>
  <si>
    <t>241-17</t>
  </si>
  <si>
    <t>243-17</t>
  </si>
  <si>
    <t>245-17</t>
  </si>
  <si>
    <t>309-17</t>
  </si>
  <si>
    <t>244-17</t>
  </si>
  <si>
    <t>311-17</t>
  </si>
  <si>
    <t>246-17</t>
  </si>
  <si>
    <t>313-17</t>
  </si>
  <si>
    <t>rtdc.l.rtdc.4009:itc</t>
  </si>
  <si>
    <t>73-17</t>
  </si>
  <si>
    <t>315-17</t>
  </si>
  <si>
    <t>Mostly Cloudy</t>
  </si>
  <si>
    <t>DE.1.0.9.0</t>
  </si>
  <si>
    <t>204:232654</t>
  </si>
  <si>
    <t>204:205</t>
  </si>
  <si>
    <t>204:233357</t>
  </si>
  <si>
    <t>204:232715</t>
  </si>
  <si>
    <t>204:761</t>
  </si>
  <si>
    <t>204:233372</t>
  </si>
  <si>
    <t>204:232729</t>
  </si>
  <si>
    <t>204:232984</t>
  </si>
  <si>
    <t>204:898</t>
  </si>
  <si>
    <t>204:127851</t>
  </si>
  <si>
    <t>204:511</t>
  </si>
  <si>
    <t>204:233238</t>
  </si>
  <si>
    <t>204:232934</t>
  </si>
  <si>
    <t>204:706</t>
  </si>
  <si>
    <t>204:233315</t>
  </si>
  <si>
    <t>204:232994</t>
  </si>
  <si>
    <t>204:232988</t>
  </si>
  <si>
    <t>204:732</t>
  </si>
  <si>
    <t>204:233000</t>
  </si>
  <si>
    <t>204:233253</t>
  </si>
  <si>
    <t>204:232921</t>
  </si>
  <si>
    <t>204:233286</t>
  </si>
  <si>
    <t>204:233270</t>
  </si>
  <si>
    <t>204:232951</t>
  </si>
  <si>
    <t>204:192</t>
  </si>
  <si>
    <t>204:233309</t>
  </si>
  <si>
    <t>204:232990</t>
  </si>
  <si>
    <t>204:169</t>
  </si>
  <si>
    <t>204:233234</t>
  </si>
  <si>
    <t>204:127861</t>
  </si>
  <si>
    <t>204:231977</t>
  </si>
  <si>
    <t>204:230961</t>
  </si>
  <si>
    <t>204:233325</t>
  </si>
  <si>
    <t>204:233030</t>
  </si>
  <si>
    <t>204:233300</t>
  </si>
  <si>
    <t>204:233331</t>
  </si>
  <si>
    <t>204:233008</t>
  </si>
  <si>
    <t>204:37222</t>
  </si>
  <si>
    <t>204:232972</t>
  </si>
  <si>
    <t>204:420</t>
  </si>
  <si>
    <t>204:233320</t>
  </si>
  <si>
    <t>204:233329</t>
  </si>
  <si>
    <t>204:233002</t>
  </si>
  <si>
    <t>204:232957</t>
  </si>
  <si>
    <t>204:458</t>
  </si>
  <si>
    <t>204:233007</t>
  </si>
  <si>
    <t>204:489</t>
  </si>
  <si>
    <t>204:482</t>
  </si>
  <si>
    <t>204:233370</t>
  </si>
  <si>
    <t>204:233055</t>
  </si>
  <si>
    <t>204:211</t>
  </si>
  <si>
    <t>204:233322</t>
  </si>
  <si>
    <t>204:407</t>
  </si>
  <si>
    <t>204:480</t>
  </si>
  <si>
    <t>204:172</t>
  </si>
  <si>
    <t>204:233025</t>
  </si>
  <si>
    <t>204:1149</t>
  </si>
  <si>
    <t>204:553</t>
  </si>
  <si>
    <t>204:1047</t>
  </si>
  <si>
    <t>204:233324</t>
  </si>
  <si>
    <t>204:517</t>
  </si>
  <si>
    <t>204:233434</t>
  </si>
  <si>
    <t>204:110</t>
  </si>
  <si>
    <t>204:233291</t>
  </si>
  <si>
    <t>204:233009</t>
  </si>
  <si>
    <t>204:233400</t>
  </si>
  <si>
    <t>204:233113</t>
  </si>
  <si>
    <t>204:124972</t>
  </si>
  <si>
    <t>204:37263</t>
  </si>
  <si>
    <t>204:233283</t>
  </si>
  <si>
    <t>204:37186</t>
  </si>
  <si>
    <t>204:88197</t>
  </si>
  <si>
    <t>204:64174</t>
  </si>
  <si>
    <t>204:233355</t>
  </si>
  <si>
    <t>204:233027</t>
  </si>
  <si>
    <t>204:486</t>
  </si>
  <si>
    <t>204:903</t>
  </si>
  <si>
    <t>204:123</t>
  </si>
  <si>
    <t>300:22730</t>
  </si>
  <si>
    <t>300:22355</t>
  </si>
  <si>
    <t>204:1355</t>
  </si>
  <si>
    <t>300:23305</t>
  </si>
  <si>
    <t>300:23310</t>
  </si>
  <si>
    <t>300:23404</t>
  </si>
  <si>
    <t>300:23312</t>
  </si>
  <si>
    <t>300:23249</t>
  </si>
  <si>
    <t>300:23302</t>
  </si>
  <si>
    <t>204:1262</t>
  </si>
  <si>
    <t>204:1167</t>
  </si>
  <si>
    <t>204:58787</t>
  </si>
  <si>
    <t>204:1511</t>
  </si>
  <si>
    <t>204:1253</t>
  </si>
  <si>
    <t>204:149683</t>
  </si>
  <si>
    <t>300:23079</t>
  </si>
  <si>
    <t>204:937</t>
  </si>
  <si>
    <t>204:1461</t>
  </si>
  <si>
    <t>204:1848</t>
  </si>
  <si>
    <t>300:21733</t>
  </si>
  <si>
    <t>204:1322</t>
  </si>
  <si>
    <t>300:58672</t>
  </si>
  <si>
    <t>204:1032</t>
  </si>
  <si>
    <t>300:58990</t>
  </si>
  <si>
    <t>300:58670</t>
  </si>
  <si>
    <t>204:4308</t>
  </si>
  <si>
    <t>204:1007</t>
  </si>
  <si>
    <t>204:766</t>
  </si>
  <si>
    <t>300:58978</t>
  </si>
  <si>
    <t>204:1028</t>
  </si>
  <si>
    <t>300:58995</t>
  </si>
  <si>
    <t>204:757</t>
  </si>
  <si>
    <t>204:997</t>
  </si>
  <si>
    <t>300:59007</t>
  </si>
  <si>
    <t>204:124</t>
  </si>
  <si>
    <t>204:1042</t>
  </si>
  <si>
    <t>300:58988</t>
  </si>
  <si>
    <t>204:1025</t>
  </si>
  <si>
    <t>204:720</t>
  </si>
  <si>
    <t>300:58993</t>
  </si>
  <si>
    <t>300:58677</t>
  </si>
  <si>
    <t>204:741</t>
  </si>
  <si>
    <t>300:58954</t>
  </si>
  <si>
    <t>300:58975</t>
  </si>
  <si>
    <t>300:58653</t>
  </si>
  <si>
    <t>204:677</t>
  </si>
  <si>
    <t>204:978</t>
  </si>
  <si>
    <t>300:58984</t>
  </si>
  <si>
    <t>204:682</t>
  </si>
  <si>
    <t>300:58948</t>
  </si>
  <si>
    <t>300:58929</t>
  </si>
  <si>
    <t>300:58611</t>
  </si>
  <si>
    <t>300:58931</t>
  </si>
  <si>
    <t>300:58615</t>
  </si>
  <si>
    <t>204:671</t>
  </si>
  <si>
    <t>204:1000</t>
  </si>
  <si>
    <t>204:964</t>
  </si>
  <si>
    <t>300:58928</t>
  </si>
  <si>
    <t>300:58621</t>
  </si>
  <si>
    <t>204:983</t>
  </si>
  <si>
    <t>204:698</t>
  </si>
  <si>
    <t>204:974</t>
  </si>
  <si>
    <t>300:58630</t>
  </si>
  <si>
    <t>204:701</t>
  </si>
  <si>
    <t>300:58613</t>
  </si>
  <si>
    <t>300:58933</t>
  </si>
  <si>
    <t>300:29936</t>
  </si>
  <si>
    <t>300:22751</t>
  </si>
  <si>
    <t>204:747</t>
  </si>
  <si>
    <t>204:424</t>
  </si>
  <si>
    <t>300:24252</t>
  </si>
  <si>
    <t>300:23383</t>
  </si>
  <si>
    <t>204:712</t>
  </si>
  <si>
    <t>300:28780</t>
  </si>
  <si>
    <t>300:58608</t>
  </si>
  <si>
    <t>300:21600</t>
  </si>
  <si>
    <t>start /low /b %USERPROFILE%\Documents\GitHub\eaglep3\Utilities\DownloadLogsFromS3.py --loco 4043 --day 2017-02-17</t>
  </si>
  <si>
    <t>start /low /b %USERPROFILE%\Documents\GitHub\eaglep3\Utilities\DownloadLogsFromS3.py --loco 4045 --day 2017-02-17</t>
  </si>
  <si>
    <t>start /low /b %USERPROFILE%\Documents\GitHub\eaglep3\Utilities\DownloadLogsFromS3.py --loco 4030 --day 2017-02-17</t>
  </si>
  <si>
    <t>start /low /b %USERPROFILE%\Documents\GitHub\eaglep3\Utilities\DownloadLogsFromS3.py --loco 4026 --day 2017-02-17</t>
  </si>
  <si>
    <t>start /low /b %USERPROFILE%\Documents\GitHub\eaglep3\Utilities\DownloadLogsFromS3.py --loco 4046 --day 2017-02-17</t>
  </si>
  <si>
    <t>start /low /b %USERPROFILE%\Documents\GitHub\eaglep3\Utilities\DownloadLogsFromS3.py --loco 4045 --day 2017-02-18</t>
  </si>
  <si>
    <t>start /low /b %USERPROFILE%\Documents\GitHub\eaglep3\Utilities\DownloadLogsFromS3.py --loco 4013 --day 2017-02-17</t>
  </si>
  <si>
    <t>start /low /b %USERPROFILE%\Documents\GitHub\eaglep3\Utilities\DownloadLogsFromS3.py --loco 4032 --day 2017-02-17</t>
  </si>
  <si>
    <t>start /low /b %USERPROFILE%\Documents\GitHub\eaglep3\Utilities\DownloadLogsFromS3.py --loco 4020 --day 2017-02-18</t>
  </si>
  <si>
    <t>start /low /b %USERPROFILE%\Documents\GitHub\eaglep3\Utilities\DownloadLogsFromS3.py --loco 4027 --day 2017-02-17</t>
  </si>
  <si>
    <t>start /low /b %USERPROFILE%\Documents\GitHub\eaglep3\Utilities\DownloadLogsFromS3.py --loco 4044 --day 2017-02-17</t>
  </si>
  <si>
    <t>start /low /b %USERPROFILE%\Documents\GitHub\eaglep3\Utilities\DownloadLogsFromS3.py --loco 4044 --day 2017-02-18</t>
  </si>
  <si>
    <t>start /low /b %USERPROFILE%\Documents\GitHub\eaglep3\Utilities\DownloadLogsFromS3.py --loco 4025 --day 2017-02-17</t>
  </si>
  <si>
    <t>start /low /b %USERPROFILE%\Documents\GitHub\eaglep3\Utilities\DownloadLogsFromS3.py --loco 4017 --day 2017-02-18</t>
  </si>
  <si>
    <t>start /low /b %USERPROFILE%\Documents\GitHub\eaglep3\Utilities\DownloadLogsFromS3.py --loco 4030 --day 2017-02-18</t>
  </si>
  <si>
    <t>start /low /b %USERPROFILE%\Documents\GitHub\eaglep3\Utilities\DownloadLogsFromS3.py --loco 4019 --day 2017-02-18</t>
  </si>
  <si>
    <t>start /low /b %USERPROFILE%\Documents\GitHub\eaglep3\Utilities\DownloadLogsFromS3.py --loco 4017 --day 2017-02-17</t>
  </si>
  <si>
    <t>start /low /b %USERPROFILE%\Documents\GitHub\eaglep3\Utilities\DownloadLogsFromS3.py --loco 4028 --day 2017-02-17</t>
  </si>
  <si>
    <t>start /low /b %USERPROFILE%\Documents\GitHub\eaglep3\Utilities\DownloadLogsFromS3.py --loco 4028 --day 2017-02-18</t>
  </si>
  <si>
    <t>start /low /b %USERPROFILE%\Documents\GitHub\eaglep3\Utilities\DownloadLogsFromS3.py --loco 4007 --day 2017-02-17</t>
  </si>
  <si>
    <t>start /low /b %USERPROFILE%\Documents\GitHub\eaglep3\Utilities\DownloadLogsFromS3.py --loco 4014 --day 2017-02-18</t>
  </si>
  <si>
    <t>Onboard in-route failure</t>
  </si>
  <si>
    <t>Wi-MAX data drop</t>
  </si>
  <si>
    <t>http://stevetu21.github.io/eaglep3/load_kml.html?kml=http://rtdc.gmaps-snips.s3.amazonaws.com/ae90afed-9a63-48aa-bffb-adc34b553f0b.kml</t>
  </si>
  <si>
    <t>Unexpected cut out by TMDS</t>
  </si>
  <si>
    <t>At 06:24:13, DUS 28S dropped from PROCEED CAB to STOP while the train was still approaching the signal.</t>
  </si>
  <si>
    <t>Poor GPS under Delgany St Bridge</t>
  </si>
  <si>
    <t>Poor GPS at DUS</t>
  </si>
  <si>
    <t>SYS :2017/02/17 12:43:14.101:ENFORCEMENT:Predictive Enforcement Action:  Target Number: 00017019  Target Speed:   0.0  Current Speed:  16.2</t>
  </si>
  <si>
    <t>SYS :2017/02/17 12:43:15.086:ENFORCEMENT:Reactive Enforcement Action:  Target Number: 00017019  Target Speed:   0.0  Current Speed:  16.0</t>
  </si>
  <si>
    <t>SYS :2017/02/17 12:43:15.331:ENFORCEMENT:Reactive Enforcement Action:  Target Number: 00017019  Target Speed:   0.0  Current Speed:  16.0</t>
  </si>
  <si>
    <t>SYS :2017/02/17 12:52:07.332:ENFORCEMENT:Predictive Enforcement Action:  Target Number: 00001005  Target Speed:   0.0  Current Speed:   4.6</t>
  </si>
  <si>
    <t>SYS :2017/02/17 12:52:08.073:ENFORCEMENT:Predictive Enforcement Action:  Target Number: 00001005  Target Speed:   0.0  Current Speed:   4.5</t>
  </si>
  <si>
    <t>SYS :2017/02/17 12:52:08.088:ENFORCEMENT:Predictive Enforcement Action:  Target Number: 00001005  Target Speed:   0.0  Current Speed:   4.5</t>
  </si>
  <si>
    <t>SYS :2017/02/17 13:51:38.750:ENFORCEMENT:Predictive Enforcement Action:  Target Number: 00001004  Target Speed:   0.0  Current Speed:   7.0</t>
  </si>
  <si>
    <t>SYS :2017/02/17 13:51:38.777:ENFORCEMENT:Predictive Enforcement Action:  Target Number: 00001004  Target Speed:   0.0  Current Speed:   7.0</t>
  </si>
  <si>
    <t>SYS :2017/02/17 13:51:39.476:ENFORCEMENT:Predictive Enforcement Action:  Target Number: 00001004  Target Speed:   0.0  Current Speed:   7.0</t>
  </si>
  <si>
    <t>SYS :2017/02/17 14:22:34.689:ENFORCEMENT:Predictive Enforcement Action:  Target Number: 00017013  Target Speed:   0.0  Current Speed:  60.9</t>
  </si>
  <si>
    <t>SYS :2017/02/17 14:22:35.675:ENFORCEMENT:Predictive Enforcement Action:  Target Number: 00017013  Target Speed:   0.0  Current Speed:  59.7</t>
  </si>
  <si>
    <t>SYS :2017/02/17 14:22:35.849:ENFORCEMENT:Predictive Enforcement Action:  Target Number: 00017013  Target Speed:   0.0  Current Speed:  60.9</t>
  </si>
  <si>
    <t>SYS :2017/02/17 14:50:53.387:ENFORCEMENT:Predictive Enforcement Action:  Target Number: 00001006  Target Speed:   0.0  Current Speed:   5.2</t>
  </si>
  <si>
    <t>SYS :2017/02/17 14:50:54.005:ENFORCEMENT:Predictive Enforcement Action:  Target Number: 00001006  Target Speed:   0.0  Current Speed:   5.2</t>
  </si>
  <si>
    <t>SYS :2017/02/17 15:05:48.493:ENFORCEMENT:Reactive Enforcement Action:  Target Number: 00010044  Target Speed:  20.0  Current Speed:  25.0</t>
  </si>
  <si>
    <t>SYS :2017/02/17 15:05:48.776:ENFORCEMENT:Reactive Enforcement Action:  Target Number: 00010045  Target Speed:  20.0  Current Speed:  25.0</t>
  </si>
  <si>
    <t>SYS :2017/02/17 15:05:48.792:ENFORCEMENT:Reactive Enforcement Action:  Target Number: 00010045  Target Speed:  20.0  Current Speed:  25.0</t>
  </si>
  <si>
    <t>SYS :2017/02/17 15:38:47.921:ENFORCEMENT:Reactive Enforcement Action:  Target Number: 00017033  Target Speed:  21.0  Current Speed:  26.3</t>
  </si>
  <si>
    <t>SYS :2017/02/17 15:38:47.964:ENFORCEMENT:Reactive Enforcement Action:  Target Number: 00017033  Target Speed:  21.0  Current Speed:  26.3</t>
  </si>
  <si>
    <t>SYS :2017/02/17 15:38:48.206:ENFORCEMENT:Reactive Enforcement Action:  Target Number: 0001703F  Target Speed:  21.0  Current Speed:  26.3</t>
  </si>
  <si>
    <t>SYS :2017/02/17 15:58:27.474:ENFORCEMENT:Reactive Enforcement Action:  Target Number: 00010066  Target Speed:  35.0  Current Speed:  40.4</t>
  </si>
  <si>
    <t>SYS :2017/02/17 15:58:28.389:ENFORCEMENT:Reactive Enforcement Action:  Target Number: 00010066  Target Speed:  35.0  Current Speed:  40.4</t>
  </si>
  <si>
    <t>SYS :2017/02/17 15:58:29.021:ENFORCEMENT:Reactive Enforcement Action:  Target Number: 00010066  Target Speed:  35.0  Current Speed:  40.4</t>
  </si>
  <si>
    <t>SYS :2017/02/17 19:23:12.654:ENFORCEMENT:Reactive Enforcement Action:  Target Number: 00017067  Target Speed:  12.0  Current Speed:  17.7</t>
  </si>
  <si>
    <t>SYS :2017/02/17 19:23:13.025:ENFORCEMENT:Reactive Enforcement Action:  Target Number: 00017067  Target Speed:  12.0  Current Speed:  17.7</t>
  </si>
  <si>
    <t>SYS :2017/02/17 19:23:13.604:ENFORCEMENT:Reactive Enforcement Action:  Target Number: 00017067  Target Speed:  12.0  Current Speed:  17.7</t>
  </si>
  <si>
    <t>SYS :2017/02/17 19:37:17.836:ENFORCEMENT:Predictive Enforcement Action:  Target Number: 00006144  Target Speed:   0.0  Current Speed:  56.5</t>
  </si>
  <si>
    <t>SYS :2017/02/17 19:37:17.854:ENFORCEMENT:Predictive Enforcement Action:  Target Number: 000060AD  Target Speed:   0.0  Current Speed:  56.5</t>
  </si>
  <si>
    <t>SYS :2017/02/17 19:37:18.676:ENFORCEMENT:Predictive Enforcement Action:  Target Number: 0000612F  Target Speed:   0.0  Current Speed:  53.3</t>
  </si>
  <si>
    <t>SYS :2017/02/17 20:48:28.929:ENFORCEMENT:Predictive Enforcement Action:  Target Number: 000100C7  Target Speed:  40.0  Current Speed:  53.4</t>
  </si>
  <si>
    <t>SYS :2017/02/17 20:48:28.967:ENFORCEMENT:Predictive Enforcement Action:  Target Number: 000100C7  Target Speed:  40.0  Current Speed:  53.4</t>
  </si>
  <si>
    <t>SYS :2017/02/17 20:48:29.211:ENFORCEMENT:Predictive Enforcement Action:  Target Number: 000100C6  Target Speed:  40.0  Current Speed:  53.4</t>
  </si>
  <si>
    <t>SYS :2017/02/17 20:56:56.926:ENFORCEMENT:Predictive Enforcement Action:  Target Number: 0001707A  Target Speed:  49.0  Current Speed:  54.9</t>
  </si>
  <si>
    <t>SYS :2017/02/17 20:56:56.964:ENFORCEMENT:Predictive Enforcement Action:  Target Number: 0001707A  Target Speed:  49.0  Current Speed:  54.9</t>
  </si>
  <si>
    <t>SYS :2017/02/17 20:56:57.212:ENFORCEMENT:Predictive Enforcement Action:  Target Number: 00017086  Target Speed:  49.0  Current Speed:  54.9</t>
  </si>
  <si>
    <t>SYS :2017/02/17 22:14:19.767:ENFORCEMENT:Predictive Enforcement Action:  Target Number: 000100C5  Target Speed:  30.0  Current Speed:  43.4</t>
  </si>
  <si>
    <t>SYS :2017/02/17 22:14:19.874:ENFORCEMENT:Predictive Enforcement Action:  Target Number: 000100C5  Target Speed:  30.0  Current Speed:  43.4</t>
  </si>
  <si>
    <t>SYS :2017/02/17 22:14:20.512:ENFORCEMENT:Predictive Enforcement Action:  Target Number: 000100C5  Target Speed:  30.0  Current Speed:  43.4</t>
  </si>
  <si>
    <t>SYS :2017/02/17 23:02:57.826:ENFORCEMENT:Predictive Enforcement Action:  Target Number: 00017089  Target Speed:   0.0  Current Speed:  66.8</t>
  </si>
  <si>
    <t>SYS :2017/02/17 23:02:57.849:ENFORCEMENT:Predictive Enforcement Action:  Target Number: 0001705F  Target Speed:   0.0  Current Speed:  66.8</t>
  </si>
  <si>
    <t>SYS :2017/02/17 23:32:17.855:ENFORCEMENT:Predictive Enforcement Action:  Target Number: 0001012A  Target Speed:  55.0  Current Speed:  77.8</t>
  </si>
  <si>
    <t>SYS :2017/02/17 23:32:17.910:ENFORCEMENT:Predictive Enforcement Action:  Target Number: 0001012F  Target Speed:  55.0  Current Speed:  78.1</t>
  </si>
  <si>
    <t>SYS :2017/02/17 23:32:18.043:ENFORCEMENT:Predictive Enforcement Action:  Target Number: 0001012F  Target Speed:  55.0  Current Speed:  78.1</t>
  </si>
  <si>
    <t>SYS :2017/02/18 00:28:15.641:ENFORCEMENT:Reactive Enforcement Action:  Target Number: 000100EA  Target Speed:  35.0  Current Speed:  40.1</t>
  </si>
  <si>
    <t>SYS :2017/02/18 00:28:16.841:ENFORCEMENT:Reactive Enforcement Action:  Target Number: 000100EA  Target Speed:  35.0  Current Speed:  40.1</t>
  </si>
  <si>
    <t>SYS :2017/02/18 00:28:16.866:ENFORCEMENT:Reactive Enforcement Action:  Target Number: 000100AC  Target Speed:  35.0  Current Speed:  40.1</t>
  </si>
  <si>
    <t>SYS :2017/02/18 01:02:36.633:ENFORCEMENT:Predictive Enforcement Action:  Target Number: 00001018  Target Speed:   0.0  Current Speed:   9.8</t>
  </si>
  <si>
    <t>SYS :2017/02/18 01:02:36.832:ENFORCEMENT:Predictive Enforcement Action:  Target Number: 00001018  Target Speed:   0.0  Current Speed:   9.8</t>
  </si>
  <si>
    <t>SYS :2017/02/18 01:02:36.852:ENFORCEMENT:Predictive Enforcement Action:  Target Number: 00001013  Target Speed:   0.0  Current Speed:   9.8</t>
  </si>
  <si>
    <t>SYS :2017/02/18 01:22:44.916:ENFORCEMENT:Predictive Enforcement Action:  Target Number: 00017003  Target Speed:   0.0  Current Speed:  17.4</t>
  </si>
  <si>
    <t>SYS :2017/02/18 01:22:45.158:ENFORCEMENT:Predictive Enforcement Action:  Target Number: 00017003  Target Speed:   0.0  Current Speed:  17.9</t>
  </si>
  <si>
    <t>SYS :2017/02/18 01:22:45.459:ENFORCEMENT:Reactive Enforcement Action:  Target Number: 00017003  Target Speed:   0.0  Current Speed:  18.4</t>
  </si>
  <si>
    <t>SYS :2017/02/18 02:01:44.909:ENFORCEMENT:Predictive Enforcement Action:  Target Number: 0001014A  Target Speed:  60.0  Current Speed:  65.2</t>
  </si>
  <si>
    <t>SYS :2017/02/18 02:01:45.110:ENFORCEMENT:Predictive Enforcement Action:  Target Number: 0001014A  Target Speed:  60.0  Current Speed:  65.2</t>
  </si>
  <si>
    <t>SYS :2017/02/18 02:01:45.133:ENFORCEMENT:Predictive Enforcement Action:  Target Number: 0001014A  Target Speed:  60.0  Current Speed:  65.2</t>
  </si>
  <si>
    <t>SYS :2017/02/18 04:11:28.206:ENFORCEMENT:Predictive Enforcement Action:  Target Number: 000170DA  Target Speed:   0.0  Current Speed:  40.8</t>
  </si>
  <si>
    <t>SYS :2017/02/18 04:11:28.921:ENFORCEMENT:Predictive Enforcement Action:  Target Number: 000170CE  Target Speed:   0.0  Current Speed:  39.8</t>
  </si>
  <si>
    <t>SYS :2017/02/18 04:11:28.961:ENFORCEMENT:Predictive Enforcement Action:  Target Number: 000170CE  Target Speed:   0.0  Current Speed:  39.8</t>
  </si>
  <si>
    <t>SYS :2017/02/18 06:13:32.210:ENFORCEMENT:Predictive Enforcement Action:  Target Number: 000170EF  Target Speed:  44.0  Current Speed:  56.3</t>
  </si>
  <si>
    <t>SYS :2017/02/18 06:13:32.924:ENFORCEMENT:Predictive Enforcement Action:  Target Number: 000170E3  Target Speed:  44.0  Current Speed:  56.3</t>
  </si>
  <si>
    <t>SYS :2017/02/18 06:13:32.962:ENFORCEMENT:Predictive Enforcement Action:  Target Number: 000170E3  Target Speed:  44.0  Current Speed:  56.3</t>
  </si>
  <si>
    <t>SYS :2017/02/18 07:57:10.110:ENFORCEMENT:Reactive Enforcement Action:  Target Number: 00010072  Target Speed:  35.0  Current Speed:  40.8</t>
  </si>
  <si>
    <t>SYS :2017/02/18 07:57:10.423:ENFORCEMENT:Reactive Enforcement Action:  Target Number: 00010072  Target Speed:  35.0  Current Speed:  40.8</t>
  </si>
  <si>
    <t>SYS :2017/02/18 07:57:10.915:ENFORCEMENT:Reactive Enforcement Action:  Target Number: 00010072  Target Speed:  35.0  Current Speed:  40.8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</si>
</sst>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48"/>
  <sheetViews>
    <sheetView tabSelected="1" topLeftCell="A178" zoomScaleNormal="100" workbookViewId="0">
      <selection activeCell="R154" sqref="R154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6.140625" customWidth="1"/>
    <col min="19" max="19" width="6" style="20" customWidth="1"/>
    <col min="20" max="20" width="3.85546875" customWidth="1"/>
    <col min="21" max="21" width="5" style="167" customWidth="1"/>
    <col min="22" max="22" width="5.7109375" style="189" customWidth="1"/>
    <col min="23" max="23" width="3.85546875" style="182" customWidth="1"/>
    <col min="24" max="24" width="6.5703125" style="182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8"/>
      <c r="V1" s="169"/>
      <c r="W1" s="168"/>
      <c r="X1" s="167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42783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42783</v>
      </c>
      <c r="S2" s="66"/>
      <c r="T2" s="67"/>
      <c r="U2" s="170"/>
      <c r="V2" s="171" t="s">
        <v>8</v>
      </c>
      <c r="W2" s="172"/>
      <c r="X2" s="173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4"/>
      <c r="V3" s="175" t="s">
        <v>11</v>
      </c>
      <c r="W3" s="176" t="s">
        <v>12</v>
      </c>
      <c r="X3" s="177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8"/>
      <c r="V4" s="175" t="s">
        <v>15</v>
      </c>
      <c r="W4" s="176" t="s">
        <v>15</v>
      </c>
      <c r="X4" s="177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COUNTIFS($N$13:$N$9342,"&gt;0",$AG$13:$AG$9342,I1)</f>
        <v>140</v>
      </c>
      <c r="K5" s="40"/>
      <c r="L5" s="40"/>
      <c r="M5" s="41">
        <f>AVERAGEIFS($N$13:$N$9342,$AG$13:$AG$9342,I1)</f>
        <v>38.101666667016353</v>
      </c>
      <c r="N5" s="39">
        <f t="array" ref="N5">MIN(IF($AG$13:$AG$9342=I1,IF(ISNUMBER($N$13:$N$9342),IF($N$13:$N$9342&gt;0,$N$13:$N$9342))))</f>
        <v>34.483333337120712</v>
      </c>
      <c r="O5" s="3">
        <f t="array" ref="O5">MAX(IF($AG$13:$AG$9342=I1,IF(ISNUMBER($N$13:$N$9342),IF($N$13:$N$9342&gt;0,$N$13:$N$9342))))</f>
        <v>58.716666667023674</v>
      </c>
      <c r="P5" s="2"/>
      <c r="R5" s="74" t="s">
        <v>17</v>
      </c>
      <c r="S5" s="50">
        <f>COUNTIFS($N$13:$N$9342,"&gt;0",$AG$13:$AG$9342,R1)</f>
        <v>47</v>
      </c>
      <c r="T5" s="40"/>
      <c r="U5" s="178"/>
      <c r="V5" s="175">
        <f>AVERAGEIFS($N$13:$N$9342,$AG$13:$AG$9342,R1)</f>
        <v>15.064539006871588</v>
      </c>
      <c r="W5" s="176">
        <f t="array" ref="W5">MIN(IF($AG$13:$AG$9342=R1,IF(ISNUMBER($N$13:$N$9342),IF($N$13:$N$9342&gt;0,$N$13:$N$9342))))</f>
        <v>12.733333323849365</v>
      </c>
      <c r="X5" s="177">
        <f t="array" ref="X5">MAX(IF($AG$13:$AG$9342=R1,IF(ISNUMBER($N$13:$N$9342),IF($N$13:$N$9342&gt;0,$N$13:$N$9342))))</f>
        <v>20.283333339029923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COUNT($O$13:$O$109)</f>
        <v>0</v>
      </c>
      <c r="K6" s="40"/>
      <c r="L6" s="40"/>
      <c r="M6" s="41">
        <f>IFERROR(AVERAGE($O$13:$O$109),0)</f>
        <v>0</v>
      </c>
      <c r="N6" s="39">
        <f>MIN($O$13:$O$109)</f>
        <v>0</v>
      </c>
      <c r="O6" s="3">
        <f>MAX($O$13:$O$109)</f>
        <v>0</v>
      </c>
      <c r="P6" s="2"/>
      <c r="R6" s="75" t="s">
        <v>43</v>
      </c>
      <c r="S6" s="50">
        <f>COUNT($O$13:$O$109)</f>
        <v>0</v>
      </c>
      <c r="T6" s="40"/>
      <c r="U6" s="178"/>
      <c r="V6" s="175">
        <f>IFERROR(AVERAGE($O$13:$O$109),0)</f>
        <v>0</v>
      </c>
      <c r="W6" s="176">
        <f>MIN($O$13:$O$109)</f>
        <v>0</v>
      </c>
      <c r="X6" s="177">
        <f>MAX($O$13:$O$109)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COUNTIFS($P$13:$P$9342,"&gt;0",$AG$13:$AG$9342,I1)</f>
        <v>6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COUNTIFS($P$13:$P$9342,"&gt;0",$AG$13:$AG$9342,R1)</f>
        <v>0</v>
      </c>
      <c r="T7" s="40"/>
      <c r="U7" s="178"/>
      <c r="V7" s="175" t="s">
        <v>15</v>
      </c>
      <c r="W7" s="176" t="s">
        <v>15</v>
      </c>
      <c r="X7" s="177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140</v>
      </c>
      <c r="K8" s="40"/>
      <c r="L8" s="40"/>
      <c r="M8" s="41">
        <f>M5</f>
        <v>38.101666667016353</v>
      </c>
      <c r="N8" s="39">
        <f>N5</f>
        <v>34.483333337120712</v>
      </c>
      <c r="O8" s="3">
        <f>O5</f>
        <v>58.716666667023674</v>
      </c>
      <c r="P8" s="2"/>
      <c r="R8" s="74" t="s">
        <v>16</v>
      </c>
      <c r="S8" s="50">
        <f>S5</f>
        <v>47</v>
      </c>
      <c r="T8" s="40"/>
      <c r="U8" s="178"/>
      <c r="V8" s="175">
        <f>V5</f>
        <v>15.064539006871588</v>
      </c>
      <c r="W8" s="176">
        <f>W5</f>
        <v>12.733333323849365</v>
      </c>
      <c r="X8" s="177">
        <f>X5</f>
        <v>20.283333339029923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0.95890410958904104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8"/>
      <c r="V9" s="179"/>
      <c r="W9" s="168"/>
      <c r="X9" s="180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7"/>
      <c r="V10" s="181"/>
      <c r="W10" s="182"/>
      <c r="X10" s="182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"&amp;TEXT(Variables!A2,"yyyy-mm-dd")&amp;" (First day of DE.1.0.9.0)"</f>
        <v>Eagle P3 System Performance - 2017-02-17 (First day of DE.1.0.9.0)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AVERAGE(S13:S79)</f>
        <v>0.96641791044776115</v>
      </c>
      <c r="V11" s="181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3" t="s">
        <v>65</v>
      </c>
      <c r="V12" s="184" t="s">
        <v>45</v>
      </c>
      <c r="W12" s="185" t="s">
        <v>23</v>
      </c>
      <c r="X12" s="185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211</v>
      </c>
      <c r="AN12" s="47" t="s">
        <v>222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471</v>
      </c>
      <c r="B13" s="7">
        <v>4044</v>
      </c>
      <c r="C13" s="21" t="s">
        <v>682</v>
      </c>
      <c r="D13" s="21" t="s">
        <v>683</v>
      </c>
      <c r="E13" s="13">
        <v>42783.171203703707</v>
      </c>
      <c r="F13" s="13">
        <v>42783.140381944446</v>
      </c>
      <c r="G13" s="7">
        <v>1</v>
      </c>
      <c r="H13" s="21" t="s">
        <v>684</v>
      </c>
      <c r="I13" s="13">
        <v>42783.141770833332</v>
      </c>
      <c r="J13" s="7">
        <v>0</v>
      </c>
      <c r="K13" s="98" t="str">
        <f t="shared" ref="K13:K76" si="0">IF(ISEVEN(B13),(B13-1)&amp;"/"&amp;B13,B13&amp;"/"&amp;(B13+1))</f>
        <v>4043/4044</v>
      </c>
      <c r="L13" s="21" t="str">
        <f>VLOOKUP(A13,'Trips&amp;Operators'!$C$1:$G$99999,5,FALSE)</f>
        <v>BADERTSCHER DIANE</v>
      </c>
      <c r="M13" s="6">
        <f t="shared" ref="M13:M76" si="1">I13-F13</f>
        <v>1.3888888861401938E-3</v>
      </c>
      <c r="N13" s="7"/>
      <c r="O13" s="7"/>
      <c r="P13" s="7">
        <v>1</v>
      </c>
      <c r="Q13" s="22"/>
      <c r="R13" s="22" t="s">
        <v>864</v>
      </c>
      <c r="S13" s="31">
        <f t="shared" ref="S13:S44" si="2">SUM(U13:U13)/IF(AG13="EC",12,1)</f>
        <v>0</v>
      </c>
      <c r="T13" s="46" t="str">
        <f t="shared" ref="T13:T76" si="3">IF(ISEVEN(LEFT(AD13,4)),"Southbound","NorthBound")</f>
        <v>NorthBound</v>
      </c>
      <c r="U13" s="18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187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-17T03:06:32-0700',mode:absolute,to:'2017-02-17T04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188" t="str">
        <f t="shared" ref="W13:W76" si="5">IF(AA13&lt;IF(AG13="EC",23,5.65),"Y","N")</f>
        <v>Y</v>
      </c>
      <c r="X13" s="188" t="e">
        <f>VALUE(LEFT(AD13,4))-VALUE(LEFT(AD12,4))</f>
        <v>#VALUE!</v>
      </c>
      <c r="Y13" s="62">
        <v>0</v>
      </c>
      <c r="Z13" s="62">
        <v>0</v>
      </c>
      <c r="AA13" s="62">
        <f t="shared" ref="AA13:AA76" si="6">ABS(Z13-Y13)</f>
        <v>0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7">IF(LEN(A13)=6,"0"&amp;A13,A13)</f>
        <v>0101-17</v>
      </c>
      <c r="AE13" s="85" t="str">
        <f t="shared" ref="AE13:AE76" si="8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 &amp; 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</v>
      </c>
      <c r="AF13" s="82" t="str">
        <f t="shared" ref="AF13:AF76" si="9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/stypes="app*4044*20170217*" /stext=" 10:.+((SYSTEM_STATE.+slice.+state.+changed )|(ment ac)|(multiple cpu faults)|(system.+state.+changed )|(\[timeout)|(PRM\|1\|D)|(kpr)|(kdp)|(\|lc)|(penalty))" /e /r /s</v>
      </c>
      <c r="AG13" s="1" t="str">
        <f t="shared" ref="AG13:AG76" si="10">IFERROR(IF(VALUE(LEFT(AD13,2))&lt;=2,"EC",IF(OR(VALUE(LEFT(AD13,2))=8,VALUE(LEFT(AD13,2))=18),"NW","Other")),"Other")</f>
        <v>EC</v>
      </c>
      <c r="AH13" s="86" t="str">
        <f t="shared" ref="AH13" si="11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4044 --swversion DE.1.0.9.0 --startMP 204:232654 --initTime 2017-02-17T04:06:32 --startdatetime 2017-02-17T03:22:09 --delay 1 --endMP 204:205 --enddatetime 2017-02-17T03:24:09 --enforcementcount 0 &gt;&gt;C:\Users\stu\Documents\GitHub\eaglep3-reporting\EC\2017-02-17-refined-times.txt</v>
      </c>
      <c r="AI13" s="108" t="str">
        <f t="shared" ref="AI13" si="12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{"issue":{"subject":"Poor GPS at DUS","project_id":79,"tracker_id":40,"status_id":1,"priority_id":2,"assigned_to_id":23,"start_date":"2017-02-17","description":"","custom_fields":[{"id":1,"name":"Subdivision","value":"EC"},{"id":4,"name":"Milepost","value":"0"},{"id":17,"name":"Train ID","value":"101-17"},{"id":16,"name":"Locomotive ID","value":"4044"},{"id":130,"name":"Impact","value":""},{"id":150,"name":"Time of Event (Mountain Time)","value":"03:24:09"},{"id":151,"name":"Denver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3">"start /low /b "&amp;dls3logs&amp;" --loco "&amp;B13&amp;" --day "&amp;TEXT(F13,"YYYY-MM-DD")</f>
        <v>start /low /b %USERPROFILE%\Documents\GitHub\eaglep3\Utilities\DownloadLogsFromS3.py --loco 4044 --day 2017-02-17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"%USERPROFILE%\AppData\Local\Temp\OnboardLogs"\RTDC4044\*4044*20170217* | grep -SE "(Enforcement Action)|(\[TIMEOUT)|(CHR.+\|PRM\|1\|D.+(SWITCH|SIGNAL).+UNKNOWN)" - &gt;&gt; 2017-02-17-UncaughtWiMAX.txt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478</v>
      </c>
      <c r="B14" s="7">
        <v>4028</v>
      </c>
      <c r="C14" s="21" t="s">
        <v>682</v>
      </c>
      <c r="D14" s="21" t="s">
        <v>683</v>
      </c>
      <c r="E14" s="13">
        <v>42783.171203703707</v>
      </c>
      <c r="F14" s="13">
        <v>42783.174513888887</v>
      </c>
      <c r="G14" s="7">
        <v>1</v>
      </c>
      <c r="H14" s="21" t="s">
        <v>684</v>
      </c>
      <c r="I14" s="13">
        <v>42783.203252314815</v>
      </c>
      <c r="J14" s="7">
        <v>0</v>
      </c>
      <c r="K14" s="98" t="str">
        <f t="shared" si="0"/>
        <v>4027/4028</v>
      </c>
      <c r="L14" s="21" t="str">
        <f>VLOOKUP(A14,'Trips&amp;Operators'!$C$1:$G$99999,5,FALSE)</f>
        <v>BADERTSCHER DIANE</v>
      </c>
      <c r="M14" s="6">
        <f t="shared" si="1"/>
        <v>2.8738425928167999E-2</v>
      </c>
      <c r="N14" s="7">
        <f t="shared" ref="N14:N23" si="14">24*60*SUM($M14:$M14)</f>
        <v>41.383333336561918</v>
      </c>
      <c r="O14" s="7"/>
      <c r="P14" s="7"/>
      <c r="Q14" s="22"/>
      <c r="R14" s="22"/>
      <c r="S14" s="31">
        <f t="shared" si="2"/>
        <v>1</v>
      </c>
      <c r="T14" s="46" t="str">
        <f t="shared" si="3"/>
        <v>Southbound</v>
      </c>
      <c r="U14" s="18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7" t="str">
        <f t="shared" si="4"/>
        <v>https://d0f6bd738d7f1b3e5a7ca70fe4ff75f0.us-east-1.aws.found.io/app/kibana#/discover/Steve-Slow-Train-Analysis-(2080s-and-2083s)?_g=(refreshInterval:(display:Off,pause:!f,section:0,value:0),time:(from:'2017-02-17T03:06:32-0700',mode:absolute,to:'2017-02-17T05:52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" s="188" t="str">
        <f t="shared" si="5"/>
        <v>N</v>
      </c>
      <c r="X14" s="188">
        <f>VALUE(LEFT(AD14,4))-VALUE(LEFT(AD13,4))</f>
        <v>1</v>
      </c>
      <c r="Y14" s="62">
        <f t="shared" ref="Y14:Y77" si="15">RIGHT(D14,LEN(D14)-4)/10000</f>
        <v>23.2654</v>
      </c>
      <c r="Z14" s="62">
        <f t="shared" ref="Z14:Z77" si="16">RIGHT(H14,LEN(H14)-4)/10000</f>
        <v>2.0500000000000001E-2</v>
      </c>
      <c r="AA14" s="62">
        <f t="shared" si="6"/>
        <v>23.244900000000001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7"/>
        <v>0102-17</v>
      </c>
      <c r="AE14" s="85" t="str">
        <f t="shared" si="8"/>
        <v>aws s3 cp s3://rtdc.mdm.uploadarchive.raw/RTDC4028/ "%USERPROFILE%\AppData\Local\Temp\OnboardLogs"\RTDC4028\2017-02-17 --exclude "*" --recursive --include "*20170217*" &amp; "%USERPROFILE%\Documents\GitHub\mrs-test-scripts\Headless Mode &amp; Sideloading\WalkAndUnGZ.bat" "%USERPROFILE%\AppData\Local\Temp\OnboardLogs"\RTDC4028\2017-02-17 &amp; 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</v>
      </c>
      <c r="AF14" s="82" t="str">
        <f t="shared" si="9"/>
        <v>"C:\Program Files (x86)\AstroGrep\AstroGrep.exe" /spath="%USERPROFILE%\AppData\Local\Temp\OnboardLogs" /stypes="app*4028*20170217*" /stext=" 11:.+((SYSTEM_STATE.+slice.+state.+changed )|(ment ac)|(multiple cpu faults)|(system.+state.+changed )|(\[timeout)|(PRM\|1\|D)|(kpr)|(kdp)|(\|lc)|(penalty))" /e /r /s</v>
      </c>
      <c r="AG14" s="1" t="str">
        <f t="shared" si="10"/>
        <v>EC</v>
      </c>
      <c r="AH14" s="86" t="str">
        <f t="shared" ref="AH14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4028 --swversion DE.1.0.9.0 --startMP 204:232654 --initTime 2017-02-17T04:06:32 --startdatetime 2017-02-17T04:11:18 --delay 1 --endMP 204:205 --enddatetime 2017-02-17T04:52:41 --enforcementcount 0 &gt;&gt;C:\Users\stu\Documents\GitHub\eaglep3-reporting\EC\2017-02-17-refined-times.txt</v>
      </c>
      <c r="AI14" s="108" t="str">
        <f t="shared" ref="AI14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{"issue":{"subject":"","project_id":79,"tracker_id":40,"status_id":1,"priority_id":2,"assigned_to_id":23,"start_date":"2017-02-17","description":"","custom_fields":[{"id":1,"name":"Subdivision","value":"EC"},{"id":4,"name":"Milepost","value":"0.0205"},{"id":17,"name":"Train ID","value":"102-17"},{"id":16,"name":"Locomotive ID","value":"4028"},{"id":130,"name":"Impact","value":""},{"id":150,"name":"Time of Event (Mountain Time)","value":"04:52:41"},{"id":151,"name":"Denver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" si="19">"start /low /b "&amp;dls3logs&amp;" --loco "&amp;B14&amp;" --day "&amp;TEXT(F14,"YYYY-MM-DD")</f>
        <v>start /low /b %USERPROFILE%\Documents\GitHub\eaglep3\Utilities\DownloadLogsFromS3.py --loco 4028 --day 2017-02-17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"%USERPROFILE%\AppData\Local\Temp\OnboardLogs"\RTDC4028\*4028*20170217* | grep -SE "(Enforcement Action)|(\[TIMEOUT)|(CHR.+\|PRM\|1\|D.+(SWITCH|SIGNAL).+UNKNOWN)" - &gt;&gt; 2017-02-17-UncaughtWiMAX.txt</v>
      </c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25">
      <c r="A15" s="33" t="s">
        <v>475</v>
      </c>
      <c r="B15" s="7">
        <v>4046</v>
      </c>
      <c r="C15" s="21" t="s">
        <v>682</v>
      </c>
      <c r="D15" s="21" t="s">
        <v>422</v>
      </c>
      <c r="E15" s="13">
        <v>42783.152361111112</v>
      </c>
      <c r="F15" s="13">
        <v>42783.156481481485</v>
      </c>
      <c r="G15" s="7">
        <v>2</v>
      </c>
      <c r="H15" s="21" t="s">
        <v>685</v>
      </c>
      <c r="I15" s="13">
        <v>42783.182129629633</v>
      </c>
      <c r="J15" s="7">
        <v>0</v>
      </c>
      <c r="K15" s="98" t="str">
        <f t="shared" si="0"/>
        <v>4045/4046</v>
      </c>
      <c r="L15" s="21" t="str">
        <f>VLOOKUP(A15,'Trips&amp;Operators'!$C$1:$G$99999,5,FALSE)</f>
        <v>ACKERMAN JARED</v>
      </c>
      <c r="M15" s="6">
        <f t="shared" si="1"/>
        <v>2.5648148148320615E-2</v>
      </c>
      <c r="N15" s="7">
        <f t="shared" si="14"/>
        <v>36.933333333581686</v>
      </c>
      <c r="O15" s="7"/>
      <c r="P15" s="7"/>
      <c r="Q15" s="22"/>
      <c r="R15" s="22"/>
      <c r="S15" s="31">
        <f t="shared" si="2"/>
        <v>1</v>
      </c>
      <c r="T15" s="46" t="str">
        <f t="shared" si="3"/>
        <v>NorthBound</v>
      </c>
      <c r="U15" s="18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7" t="str">
        <f t="shared" si="4"/>
        <v>https://d0f6bd738d7f1b3e5a7ca70fe4ff75f0.us-east-1.aws.found.io/app/kibana#/discover/Steve-Slow-Train-Analysis-(2080s-and-2083s)?_g=(refreshInterval:(display:Off,pause:!f,section:0,value:0),time:(from:'2017-02-17T02:39:24-0700',mode:absolute,to:'2017-02-17T05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188" t="str">
        <f t="shared" si="5"/>
        <v>N</v>
      </c>
      <c r="X15" s="188">
        <f t="shared" ref="X15:X16" si="20">VALUE(LEFT(AD15,4))-VALUE(LEFT(AD14,4))</f>
        <v>1</v>
      </c>
      <c r="Y15" s="62">
        <f t="shared" si="15"/>
        <v>7.17E-2</v>
      </c>
      <c r="Z15" s="62">
        <f t="shared" si="16"/>
        <v>23.335699999999999</v>
      </c>
      <c r="AA15" s="62">
        <f t="shared" si="6"/>
        <v>23.263999999999999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7"/>
        <v>0103-17</v>
      </c>
      <c r="AE15" s="85" t="str">
        <f t="shared" si="8"/>
        <v>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 &amp; aws s3 cp s3://rtdc.mdm.uploadarchive.raw/RTDC4046/ "%USERPROFILE%\AppData\Local\Temp\OnboardLogs"\RTDC4046\2017-02-18 --exclude "*" --recursive --include "*20170218*" &amp; "%USERPROFILE%\Documents\GitHub\mrs-test-scripts\Headless Mode &amp; Sideloading\WalkAndUnGZ.bat" "%USERPROFILE%\AppData\Local\Temp\OnboardLogs"\RTDC4046\2017-02-18</v>
      </c>
      <c r="AF15" s="82" t="str">
        <f t="shared" si="9"/>
        <v>"C:\Program Files (x86)\AstroGrep\AstroGrep.exe" /spath="%USERPROFILE%\AppData\Local\Temp\OnboardLogs" /stypes="app*4046*20170217*" /stext=" 11:.+((SYSTEM_STATE.+slice.+state.+changed )|(ment ac)|(multiple cpu faults)|(system.+state.+changed )|(\[timeout)|(PRM\|1\|D)|(kpr)|(kdp)|(\|lc)|(penalty))" /e /r /s</v>
      </c>
      <c r="AG15" s="1" t="str">
        <f t="shared" si="10"/>
        <v>EC</v>
      </c>
      <c r="AH15" s="86" t="str">
        <f t="shared" ref="AH15:AH78" si="21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103-17 --locoid 4046 --swversion DE.1.0.9.0 --startMP 204:717 --initTime 2017-02-17T03:39:24 --startdatetime 2017-02-17T03:45:20 --delay 2 --endMP 204:233357 --enddatetime 2017-02-17T04:22:16 --enforcementcount 0 &gt;&gt;C:\Users\stu\Documents\GitHub\eaglep3-reporting\EC\2017-02-17-refined-times.txt</v>
      </c>
      <c r="AI15" s="108" t="str">
        <f t="shared" ref="AI15:AI78" si="22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{"issue":{"subject":"","project_id":79,"tracker_id":40,"status_id":1,"priority_id":2,"assigned_to_id":23,"start_date":"2017-02-17","description":"","custom_fields":[{"id":1,"name":"Subdivision","value":"EC"},{"id":4,"name":"Milepost","value":"23.3357"},{"id":17,"name":"Train ID","value":"103-17"},{"id":16,"name":"Locomotive ID","value":"4046"},{"id":130,"name":"Impact","value":""},{"id":150,"name":"Time of Event (Mountain Time)","value":"04:22:16"},{"id":151,"name":"Denver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ref="AM15:AM78" si="23">"start /low /b "&amp;dls3logs&amp;" --loco "&amp;B15&amp;" --day "&amp;TEXT(F15,"YYYY-MM-DD")</f>
        <v>start /low /b %USERPROFILE%\Documents\GitHub\eaglep3\Utilities\DownloadLogsFromS3.py --loco 4046 --day 2017-02-17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"%USERPROFILE%\AppData\Local\Temp\OnboardLogs"\RTDC4046\*4046*20170217* | grep -SE "(Enforcement Action)|(\[TIMEOUT)|(CHR.+\|PRM\|1\|D.+(SWITCH|SIGNAL).+UNKNOWN)" - &gt;&gt; 2017-02-17-UncaughtWiMAX.txt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436</v>
      </c>
      <c r="B16" s="7">
        <v>4017</v>
      </c>
      <c r="C16" s="21" t="s">
        <v>682</v>
      </c>
      <c r="D16" s="21" t="s">
        <v>686</v>
      </c>
      <c r="E16" s="13">
        <v>42783.187835648147</v>
      </c>
      <c r="F16" s="13">
        <v>42783.195416666669</v>
      </c>
      <c r="G16" s="7">
        <v>2</v>
      </c>
      <c r="H16" s="21" t="s">
        <v>303</v>
      </c>
      <c r="I16" s="13">
        <v>42783.222245370373</v>
      </c>
      <c r="J16" s="7">
        <v>0</v>
      </c>
      <c r="K16" s="98" t="str">
        <f t="shared" si="0"/>
        <v>4017/4018</v>
      </c>
      <c r="L16" s="21" t="str">
        <f>VLOOKUP(A16,'Trips&amp;Operators'!$C$1:$G$99999,5,FALSE)</f>
        <v>ACKERMAN JARED</v>
      </c>
      <c r="M16" s="6">
        <f t="shared" si="1"/>
        <v>2.6828703703358769E-2</v>
      </c>
      <c r="N16" s="7">
        <f t="shared" si="14"/>
        <v>38.633333332836628</v>
      </c>
      <c r="O16" s="7"/>
      <c r="P16" s="7"/>
      <c r="Q16" s="22"/>
      <c r="R16" s="22"/>
      <c r="S16" s="31">
        <f t="shared" si="2"/>
        <v>1</v>
      </c>
      <c r="T16" s="46" t="str">
        <f t="shared" si="3"/>
        <v>Southbound</v>
      </c>
      <c r="U16" s="18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7" t="str">
        <f t="shared" si="4"/>
        <v>https://d0f6bd738d7f1b3e5a7ca70fe4ff75f0.us-east-1.aws.found.io/app/kibana#/discover/Steve-Slow-Train-Analysis-(2080s-and-2083s)?_g=(refreshInterval:(display:Off,pause:!f,section:0,value:0),time:(from:'2017-02-17T03:30:29-0700',mode:absolute,to:'2017-02-17T06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188" t="str">
        <f t="shared" si="5"/>
        <v>N</v>
      </c>
      <c r="X16" s="188">
        <f t="shared" si="20"/>
        <v>1</v>
      </c>
      <c r="Y16" s="62">
        <f t="shared" si="15"/>
        <v>23.2715</v>
      </c>
      <c r="Z16" s="62">
        <f t="shared" si="16"/>
        <v>1.7000000000000001E-2</v>
      </c>
      <c r="AA16" s="62">
        <f t="shared" si="6"/>
        <v>23.2545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7"/>
        <v>0104-17</v>
      </c>
      <c r="AE16" s="85" t="str">
        <f t="shared" si="8"/>
        <v>aws s3 cp s3://rtdc.mdm.uploadarchive.raw/RTDC4017/ "%USERPROFILE%\AppData\Local\Temp\OnboardLogs"\RTDC4017\2017-02-17 --exclude "*" --recursive --include "*20170217*" &amp; "%USERPROFILE%\Documents\GitHub\mrs-test-scripts\Headless Mode &amp; Sideloading\WalkAndUnGZ.bat" "%USERPROFILE%\AppData\Local\Temp\OnboardLogs"\RTDC4017\2017-02-17 &amp; 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</v>
      </c>
      <c r="AF16" s="82" t="str">
        <f t="shared" si="9"/>
        <v>"C:\Program Files (x86)\AstroGrep\AstroGrep.exe" /spath="%USERPROFILE%\AppData\Local\Temp\OnboardLogs" /stypes="app*4017*20170217*" /stext=" 12:.+((SYSTEM_STATE.+slice.+state.+changed )|(ment ac)|(multiple cpu faults)|(system.+state.+changed )|(\[timeout)|(PRM\|1\|D)|(kpr)|(kdp)|(\|lc)|(penalty))" /e /r /s</v>
      </c>
      <c r="AG16" s="1" t="str">
        <f t="shared" si="10"/>
        <v>EC</v>
      </c>
      <c r="AH16" s="86" t="str">
        <f t="shared" si="21"/>
        <v>"%USERPROFILE%\Documents\GitHub\eaglep3\Utilities\RefineRTDCRunTimes.py" --tripid 104-17 --locoid 4017 --swversion DE.1.0.9.0 --startMP 204:232715 --initTime 2017-02-17T04:30:29 --startdatetime 2017-02-17T04:41:24 --delay 2 --endMP 204:170 --enddatetime 2017-02-17T05:20:02 --enforcementcount 0 &gt;&gt;C:\Users\stu\Documents\GitHub\eaglep3-reporting\EC\2017-02-17-refined-times.txt</v>
      </c>
      <c r="AI16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{"issue":{"subject":"","project_id":79,"tracker_id":40,"status_id":1,"priority_id":2,"assigned_to_id":23,"start_date":"2017-02-17","description":"","custom_fields":[{"id":1,"name":"Subdivision","value":"EC"},{"id":4,"name":"Milepost","value":"0.017"},{"id":17,"name":"Train ID","value":"104-17"},{"id":16,"name":"Locomotive ID","value":"4017"},{"id":130,"name":"Impact","value":""},{"id":150,"name":"Time of Event (Mountain Time)","value":"05:20:02"},{"id":151,"name":"Denver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3"/>
        <v>start /low /b %USERPROFILE%\Documents\GitHub\eaglep3\Utilities\DownloadLogsFromS3.py --loco 4017 --day 2017-02-17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"%USERPROFILE%\AppData\Local\Temp\OnboardLogs"\RTDC4017\*4017*20170217* | grep -SE "(Enforcement Action)|(\[TIMEOUT)|(CHR.+\|PRM\|1\|D.+(SWITCH|SIGNAL).+UNKNOWN)" - &gt;&gt; 2017-02-17-UncaughtWiMAX.txt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479</v>
      </c>
      <c r="B17" s="7">
        <v>4029</v>
      </c>
      <c r="C17" s="21" t="s">
        <v>682</v>
      </c>
      <c r="D17" s="21" t="s">
        <v>687</v>
      </c>
      <c r="E17" s="13">
        <v>42783.17392361111</v>
      </c>
      <c r="F17" s="13">
        <v>42783.177314814813</v>
      </c>
      <c r="G17" s="7">
        <v>1</v>
      </c>
      <c r="H17" s="21" t="s">
        <v>688</v>
      </c>
      <c r="I17" s="13">
        <v>42783.202118055553</v>
      </c>
      <c r="J17" s="7">
        <v>0</v>
      </c>
      <c r="K17" s="98" t="str">
        <f t="shared" si="0"/>
        <v>4029/4030</v>
      </c>
      <c r="L17" s="21" t="str">
        <f>VLOOKUP(A17,'Trips&amp;Operators'!$C$1:$G$99999,5,FALSE)</f>
        <v>ROBINSON KADDIBA</v>
      </c>
      <c r="M17" s="6">
        <f t="shared" si="1"/>
        <v>2.4803240739856847E-2</v>
      </c>
      <c r="N17" s="7">
        <f t="shared" si="14"/>
        <v>35.716666665393859</v>
      </c>
      <c r="O17" s="7"/>
      <c r="P17" s="7"/>
      <c r="Q17" s="22"/>
      <c r="R17" s="22"/>
      <c r="S17" s="31">
        <f t="shared" si="2"/>
        <v>1</v>
      </c>
      <c r="T17" s="46" t="str">
        <f t="shared" si="3"/>
        <v>NorthBound</v>
      </c>
      <c r="U17" s="18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7" t="str">
        <f t="shared" si="4"/>
        <v>https://d0f6bd738d7f1b3e5a7ca70fe4ff75f0.us-east-1.aws.found.io/app/kibana#/discover/Steve-Slow-Train-Analysis-(2080s-and-2083s)?_g=(refreshInterval:(display:Off,pause:!f,section:0,value:0),time:(from:'2017-02-17T03:10:27-0700',mode:absolute,to:'2017-02-17T05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7" s="188" t="str">
        <f t="shared" si="5"/>
        <v>N</v>
      </c>
      <c r="X17" s="188">
        <f t="shared" ref="X17:X80" si="24">VALUE(LEFT(AD17,4))-VALUE(LEFT(AD16,4))</f>
        <v>1</v>
      </c>
      <c r="Y17" s="62">
        <f t="shared" si="15"/>
        <v>7.6100000000000001E-2</v>
      </c>
      <c r="Z17" s="62">
        <f t="shared" si="16"/>
        <v>23.337199999999999</v>
      </c>
      <c r="AA17" s="62">
        <f t="shared" si="6"/>
        <v>23.261099999999999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7"/>
        <v>0105-17</v>
      </c>
      <c r="AE17" s="85" t="str">
        <f t="shared" si="8"/>
        <v>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 &amp; 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</v>
      </c>
      <c r="AF17" s="82" t="str">
        <f t="shared" si="9"/>
        <v>"C:\Program Files (x86)\AstroGrep\AstroGrep.exe" /spath="%USERPROFILE%\AppData\Local\Temp\OnboardLogs" /stypes="app*4029*20170217*" /stext=" 11:.+((SYSTEM_STATE.+slice.+state.+changed )|(ment ac)|(multiple cpu faults)|(system.+state.+changed )|(\[timeout)|(PRM\|1\|D)|(kpr)|(kdp)|(\|lc)|(penalty))" /e /r /s</v>
      </c>
      <c r="AG17" s="1" t="str">
        <f t="shared" si="10"/>
        <v>EC</v>
      </c>
      <c r="AH17" s="86" t="str">
        <f t="shared" si="21"/>
        <v>"%USERPROFILE%\Documents\GitHub\eaglep3\Utilities\RefineRTDCRunTimes.py" --tripid 105-17 --locoid 4029 --swversion DE.1.0.9.0 --startMP 204:761 --initTime 2017-02-17T04:10:27 --startdatetime 2017-02-17T04:15:20 --delay 1 --endMP 204:233372 --enddatetime 2017-02-17T04:51:03 --enforcementcount 0 &gt;&gt;C:\Users\stu\Documents\GitHub\eaglep3-reporting\EC\2017-02-17-refined-times.txt</v>
      </c>
      <c r="AI17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{"issue":{"subject":"","project_id":79,"tracker_id":40,"status_id":1,"priority_id":2,"assigned_to_id":23,"start_date":"2017-02-17","description":"","custom_fields":[{"id":1,"name":"Subdivision","value":"EC"},{"id":4,"name":"Milepost","value":"23.3372"},{"id":17,"name":"Train ID","value":"105-17"},{"id":16,"name":"Locomotive ID","value":"4029"},{"id":130,"name":"Impact","value":""},{"id":150,"name":"Time of Event (Mountain Time)","value":"04:51:03"},{"id":151,"name":"Denver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3"/>
        <v>start /low /b %USERPROFILE%\Documents\GitHub\eaglep3\Utilities\DownloadLogsFromS3.py --loco 4029 --day 2017-02-17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"%USERPROFILE%\AppData\Local\Temp\OnboardLogs"\RTDC4029\*4029*20170217* | grep -SE "(Enforcement Action)|(\[TIMEOUT)|(CHR.+\|PRM\|1\|D.+(SWITCH|SIGNAL).+UNKNOWN)" - &gt;&gt; 2017-02-17-UncaughtWiMAX.txt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438</v>
      </c>
      <c r="B18" s="7">
        <v>4032</v>
      </c>
      <c r="C18" s="21" t="s">
        <v>682</v>
      </c>
      <c r="D18" s="21" t="s">
        <v>689</v>
      </c>
      <c r="E18" s="13">
        <v>42783.207141203704</v>
      </c>
      <c r="F18" s="13">
        <v>42783.216122685182</v>
      </c>
      <c r="G18" s="7">
        <v>1</v>
      </c>
      <c r="H18" s="21" t="s">
        <v>195</v>
      </c>
      <c r="I18" s="13">
        <v>42783.245243055557</v>
      </c>
      <c r="J18" s="7">
        <v>0</v>
      </c>
      <c r="K18" s="98" t="str">
        <f t="shared" si="0"/>
        <v>4031/4032</v>
      </c>
      <c r="L18" s="21" t="str">
        <f>VLOOKUP(A18,'Trips&amp;Operators'!$C$1:$G$99999,5,FALSE)</f>
        <v>ROBINSON KADDIBA</v>
      </c>
      <c r="M18" s="6">
        <f t="shared" si="1"/>
        <v>2.9120370374585036E-2</v>
      </c>
      <c r="N18" s="7">
        <f t="shared" si="14"/>
        <v>41.933333339402452</v>
      </c>
      <c r="O18" s="7"/>
      <c r="P18" s="7"/>
      <c r="Q18" s="22"/>
      <c r="R18" s="22"/>
      <c r="S18" s="31">
        <f t="shared" si="2"/>
        <v>1</v>
      </c>
      <c r="T18" s="46" t="str">
        <f t="shared" si="3"/>
        <v>Southbound</v>
      </c>
      <c r="U18" s="18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7" t="str">
        <f t="shared" si="4"/>
        <v>https://d0f6bd738d7f1b3e5a7ca70fe4ff75f0.us-east-1.aws.found.io/app/kibana#/discover/Steve-Slow-Train-Analysis-(2080s-and-2083s)?_g=(refreshInterval:(display:Off,pause:!f,section:0,value:0),time:(from:'2017-02-17T03:58:17-0700',mode:absolute,to:'2017-02-17T06:53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" s="188" t="str">
        <f t="shared" si="5"/>
        <v>N</v>
      </c>
      <c r="X18" s="188">
        <f t="shared" si="24"/>
        <v>1</v>
      </c>
      <c r="Y18" s="62">
        <f t="shared" si="15"/>
        <v>23.2729</v>
      </c>
      <c r="Z18" s="62">
        <f t="shared" si="16"/>
        <v>1.4999999999999999E-2</v>
      </c>
      <c r="AA18" s="62">
        <f t="shared" si="6"/>
        <v>23.257899999999999</v>
      </c>
      <c r="AB18" s="59" t="str">
        <f>VLOOKUP(A18,Enforcements!$C$7:$K$13,8,0)</f>
        <v>Bulletin (2)</v>
      </c>
      <c r="AC18" s="55" t="str">
        <f>VLOOKUP(A18,Enforcements!$C$7:$E$13,3,0)</f>
        <v>GRADE CROSSING</v>
      </c>
      <c r="AD18" s="56" t="str">
        <f t="shared" si="7"/>
        <v>0106-17</v>
      </c>
      <c r="AE18" s="85" t="str">
        <f t="shared" si="8"/>
        <v>aws s3 cp s3://rtdc.mdm.uploadarchive.raw/RTDC4032/ "%USERPROFILE%\AppData\Local\Temp\OnboardLogs"\RTDC4032\2017-02-17 --exclude "*" --recursive --include "*20170217*" &amp; "%USERPROFILE%\Documents\GitHub\mrs-test-scripts\Headless Mode &amp; Sideloading\WalkAndUnGZ.bat" "%USERPROFILE%\AppData\Local\Temp\OnboardLogs"\RTDC4032\2017-02-17 &amp; 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</v>
      </c>
      <c r="AF18" s="82" t="str">
        <f t="shared" si="9"/>
        <v>"C:\Program Files (x86)\AstroGrep\AstroGrep.exe" /spath="%USERPROFILE%\AppData\Local\Temp\OnboardLogs" /stypes="app*4032*20170217*" /stext=" 12:.+((SYSTEM_STATE.+slice.+state.+changed )|(ment ac)|(multiple cpu faults)|(system.+state.+changed )|(\[timeout)|(PRM\|1\|D)|(kpr)|(kdp)|(\|lc)|(penalty))" /e /r /s</v>
      </c>
      <c r="AG18" s="1" t="str">
        <f t="shared" si="10"/>
        <v>EC</v>
      </c>
      <c r="AH18" s="86" t="str">
        <f t="shared" si="21"/>
        <v>"%USERPROFILE%\Documents\GitHub\eaglep3\Utilities\RefineRTDCRunTimes.py" --tripid 106-17 --locoid 4032 --swversion DE.1.0.9.0 --startMP 204:232729 --initTime 2017-02-17T04:58:17 --startdatetime 2017-02-17T05:11:13 --delay 1 --endMP 204:150 --enddatetime 2017-02-17T05:53:09 --enforcementcount 0 &gt;&gt;C:\Users\stu\Documents\GitHub\eaglep3-reporting\EC\2017-02-17-refined-times.txt</v>
      </c>
      <c r="AI18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{"issue":{"subject":"","project_id":79,"tracker_id":40,"status_id":1,"priority_id":2,"assigned_to_id":23,"start_date":"2017-02-17","description":"","custom_fields":[{"id":1,"name":"Subdivision","value":"EC"},{"id":4,"name":"Milepost","value":"0.015"},{"id":17,"name":"Train ID","value":"106-17"},{"id":16,"name":"Locomotive ID","value":"4032"},{"id":130,"name":"Impact","value":""},{"id":150,"name":"Time of Event (Mountain Time)","value":"05:53:09"},{"id":151,"name":"Denver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3"/>
        <v>start /low /b %USERPROFILE%\Documents\GitHub\eaglep3\Utilities\DownloadLogsFromS3.py --loco 4032 --day 2017-02-17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"%USERPROFILE%\AppData\Local\Temp\OnboardLogs"\RTDC4032\*4032*20170217* | grep -SE "(Enforcement Action)|(\[TIMEOUT)|(CHR.+\|PRM\|1\|D.+(SWITCH|SIGNAL).+UNKNOWN)" - &gt;&gt; 2017-02-17-UncaughtWiMAX.txt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480</v>
      </c>
      <c r="B19" s="7">
        <v>4025</v>
      </c>
      <c r="C19" s="21" t="s">
        <v>682</v>
      </c>
      <c r="D19" s="21" t="s">
        <v>321</v>
      </c>
      <c r="E19" s="13">
        <v>42783.18440972222</v>
      </c>
      <c r="F19" s="13">
        <v>42783.187662037039</v>
      </c>
      <c r="G19" s="7">
        <v>3</v>
      </c>
      <c r="H19" s="21" t="s">
        <v>402</v>
      </c>
      <c r="I19" s="13">
        <v>42783.213599537034</v>
      </c>
      <c r="J19" s="7">
        <v>0</v>
      </c>
      <c r="K19" s="98" t="str">
        <f t="shared" si="0"/>
        <v>4025/4026</v>
      </c>
      <c r="L19" s="21" t="str">
        <f>VLOOKUP(A19,'Trips&amp;Operators'!$C$1:$G$99999,5,FALSE)</f>
        <v>STARKS ANGELINA</v>
      </c>
      <c r="M19" s="6">
        <f t="shared" si="1"/>
        <v>2.5937499995052349E-2</v>
      </c>
      <c r="N19" s="7">
        <f t="shared" si="14"/>
        <v>37.349999992875382</v>
      </c>
      <c r="O19" s="7"/>
      <c r="P19" s="7"/>
      <c r="Q19" s="22"/>
      <c r="R19" s="22"/>
      <c r="S19" s="31">
        <f t="shared" si="2"/>
        <v>1</v>
      </c>
      <c r="T19" s="46" t="str">
        <f t="shared" si="3"/>
        <v>NorthBound</v>
      </c>
      <c r="U19" s="18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7" t="str">
        <f t="shared" si="4"/>
        <v>https://d0f6bd738d7f1b3e5a7ca70fe4ff75f0.us-east-1.aws.found.io/app/kibana#/discover/Steve-Slow-Train-Analysis-(2080s-and-2083s)?_g=(refreshInterval:(display:Off,pause:!f,section:0,value:0),time:(from:'2017-02-17T03:25:33-0700',mode:absolute,to:'2017-02-17T06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" s="188" t="str">
        <f t="shared" si="5"/>
        <v>N</v>
      </c>
      <c r="X19" s="188">
        <f t="shared" si="24"/>
        <v>1</v>
      </c>
      <c r="Y19" s="62">
        <f t="shared" si="15"/>
        <v>4.7100000000000003E-2</v>
      </c>
      <c r="Z19" s="62">
        <f t="shared" si="16"/>
        <v>23.329499999999999</v>
      </c>
      <c r="AA19" s="62">
        <f t="shared" si="6"/>
        <v>23.282399999999999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7"/>
        <v>0107-17</v>
      </c>
      <c r="AE19" s="85" t="str">
        <f t="shared" si="8"/>
        <v>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 &amp; aws s3 cp s3://rtdc.mdm.uploadarchive.raw/RTDC4025/ "%USERPROFILE%\AppData\Local\Temp\OnboardLogs"\RTDC4025\2017-02-18 --exclude "*" --recursive --include "*20170218*" &amp; "%USERPROFILE%\Documents\GitHub\mrs-test-scripts\Headless Mode &amp; Sideloading\WalkAndUnGZ.bat" "%USERPROFILE%\AppData\Local\Temp\OnboardLogs"\RTDC4025\2017-02-18</v>
      </c>
      <c r="AF19" s="82" t="str">
        <f t="shared" si="9"/>
        <v>"C:\Program Files (x86)\AstroGrep\AstroGrep.exe" /spath="%USERPROFILE%\AppData\Local\Temp\OnboardLogs" /stypes="app*4025*20170217*" /stext=" 12:.+((SYSTEM_STATE.+slice.+state.+changed )|(ment ac)|(multiple cpu faults)|(system.+state.+changed )|(\[timeout)|(PRM\|1\|D)|(kpr)|(kdp)|(\|lc)|(penalty))" /e /r /s</v>
      </c>
      <c r="AG19" s="1" t="str">
        <f t="shared" si="10"/>
        <v>EC</v>
      </c>
      <c r="AH19" s="86" t="str">
        <f t="shared" si="21"/>
        <v>"%USERPROFILE%\Documents\GitHub\eaglep3\Utilities\RefineRTDCRunTimes.py" --tripid 107-17 --locoid 4025 --swversion DE.1.0.9.0 --startMP 204:471 --initTime 2017-02-17T04:25:33 --startdatetime 2017-02-17T04:30:14 --delay 3 --endMP 204:233295 --enddatetime 2017-02-17T05:07:35 --enforcementcount 0 &gt;&gt;C:\Users\stu\Documents\GitHub\eaglep3-reporting\EC\2017-02-17-refined-times.txt</v>
      </c>
      <c r="AI19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{"issue":{"subject":"","project_id":79,"tracker_id":40,"status_id":1,"priority_id":2,"assigned_to_id":23,"start_date":"2017-02-17","description":"","custom_fields":[{"id":1,"name":"Subdivision","value":"EC"},{"id":4,"name":"Milepost","value":"23.3295"},{"id":17,"name":"Train ID","value":"107-17"},{"id":16,"name":"Locomotive ID","value":"4025"},{"id":130,"name":"Impact","value":""},{"id":150,"name":"Time of Event (Mountain Time)","value":"05:07:35"},{"id":151,"name":"Denver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3"/>
        <v>start /low /b %USERPROFILE%\Documents\GitHub\eaglep3\Utilities\DownloadLogsFromS3.py --loco 4025 --day 2017-02-17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"%USERPROFILE%\AppData\Local\Temp\OnboardLogs"\RTDC4025\*4025*20170217* | grep -SE "(Enforcement Action)|(\[TIMEOUT)|(CHR.+\|PRM\|1\|D.+(SWITCH|SIGNAL).+UNKNOWN)" - &gt;&gt; 2017-02-17-UncaughtWiMAX.txt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486</v>
      </c>
      <c r="B20" s="7">
        <v>4026</v>
      </c>
      <c r="C20" s="21" t="s">
        <v>682</v>
      </c>
      <c r="D20" s="21" t="s">
        <v>269</v>
      </c>
      <c r="E20" s="13">
        <v>42783.223900462966</v>
      </c>
      <c r="F20" s="13">
        <v>42783.2265625</v>
      </c>
      <c r="G20" s="7">
        <v>1</v>
      </c>
      <c r="H20" s="21" t="s">
        <v>227</v>
      </c>
      <c r="I20" s="13">
        <v>42783.256064814814</v>
      </c>
      <c r="J20" s="7">
        <v>0</v>
      </c>
      <c r="K20" s="98" t="str">
        <f t="shared" si="0"/>
        <v>4025/4026</v>
      </c>
      <c r="L20" s="21" t="str">
        <f>VLOOKUP(A20,'Trips&amp;Operators'!$C$1:$G$99999,5,FALSE)</f>
        <v>STARKS ANGELINA</v>
      </c>
      <c r="M20" s="6">
        <f t="shared" si="1"/>
        <v>2.9502314813726116E-2</v>
      </c>
      <c r="N20" s="7">
        <f t="shared" si="14"/>
        <v>42.483333331765607</v>
      </c>
      <c r="O20" s="7"/>
      <c r="P20" s="7"/>
      <c r="Q20" s="22"/>
      <c r="R20" s="22"/>
      <c r="S20" s="31">
        <f t="shared" si="2"/>
        <v>1</v>
      </c>
      <c r="T20" s="46" t="str">
        <f t="shared" si="3"/>
        <v>Southbound</v>
      </c>
      <c r="U20" s="18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7" t="str">
        <f t="shared" si="4"/>
        <v>https://d0f6bd738d7f1b3e5a7ca70fe4ff75f0.us-east-1.aws.found.io/app/kibana#/discover/Steve-Slow-Train-Analysis-(2080s-and-2083s)?_g=(refreshInterval:(display:Off,pause:!f,section:0,value:0),time:(from:'2017-02-17T04:22:25-0700',mode:absolute,to:'2017-02-17T07:08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" s="188" t="str">
        <f t="shared" si="5"/>
        <v>N</v>
      </c>
      <c r="X20" s="188">
        <f t="shared" si="24"/>
        <v>1</v>
      </c>
      <c r="Y20" s="62">
        <f t="shared" si="15"/>
        <v>23.299099999999999</v>
      </c>
      <c r="Z20" s="62">
        <f t="shared" si="16"/>
        <v>1.43E-2</v>
      </c>
      <c r="AA20" s="62">
        <f t="shared" si="6"/>
        <v>23.284800000000001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7"/>
        <v>0108-17</v>
      </c>
      <c r="AE20" s="85" t="str">
        <f t="shared" si="8"/>
        <v>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 &amp; aws s3 cp s3://rtdc.mdm.uploadarchive.raw/RTDC4026/ "%USERPROFILE%\AppData\Local\Temp\OnboardLogs"\RTDC4026\2017-02-18 --exclude "*" --recursive --include "*20170218*" &amp; "%USERPROFILE%\Documents\GitHub\mrs-test-scripts\Headless Mode &amp; Sideloading\WalkAndUnGZ.bat" "%USERPROFILE%\AppData\Local\Temp\OnboardLogs"\RTDC4026\2017-02-18</v>
      </c>
      <c r="AF20" s="82" t="str">
        <f t="shared" si="9"/>
        <v>"C:\Program Files (x86)\AstroGrep\AstroGrep.exe" /spath="%USERPROFILE%\AppData\Local\Temp\OnboardLogs" /stypes="app*4026*20170217*" /stext=" 13:.+((SYSTEM_STATE.+slice.+state.+changed )|(ment ac)|(multiple cpu faults)|(system.+state.+changed )|(\[timeout)|(PRM\|1\|D)|(kpr)|(kdp)|(\|lc)|(penalty))" /e /r /s</v>
      </c>
      <c r="AG20" s="1" t="str">
        <f t="shared" si="10"/>
        <v>EC</v>
      </c>
      <c r="AH20" s="86" t="str">
        <f t="shared" si="21"/>
        <v>"%USERPROFILE%\Documents\GitHub\eaglep3\Utilities\RefineRTDCRunTimes.py" --tripid 108-17 --locoid 4026 --swversion DE.1.0.9.0 --startMP 204:232991 --initTime 2017-02-17T05:22:25 --startdatetime 2017-02-17T05:26:15 --delay 1 --endMP 204:143 --enddatetime 2017-02-17T06:08:44 --enforcementcount 0 &gt;&gt;C:\Users\stu\Documents\GitHub\eaglep3-reporting\EC\2017-02-17-refined-times.txt</v>
      </c>
      <c r="AI20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{"issue":{"subject":"","project_id":79,"tracker_id":40,"status_id":1,"priority_id":2,"assigned_to_id":23,"start_date":"2017-02-17","description":"","custom_fields":[{"id":1,"name":"Subdivision","value":"EC"},{"id":4,"name":"Milepost","value":"0.0143"},{"id":17,"name":"Train ID","value":"108-17"},{"id":16,"name":"Locomotive ID","value":"4026"},{"id":130,"name":"Impact","value":""},{"id":150,"name":"Time of Event (Mountain Time)","value":"06:08:44"},{"id":151,"name":"Denver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3"/>
        <v>start /low /b %USERPROFILE%\Documents\GitHub\eaglep3\Utilities\DownloadLogsFromS3.py --loco 4026 --day 2017-02-17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"%USERPROFILE%\AppData\Local\Temp\OnboardLogs"\RTDC4026\*4026*20170217* | grep -SE "(Enforcement Action)|(\[TIMEOUT)|(CHR.+\|PRM\|1\|D.+(SWITCH|SIGNAL).+UNKNOWN)" - &gt;&gt; 2017-02-17-UncaughtWiMAX.txt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482</v>
      </c>
      <c r="B21" s="7">
        <v>4016</v>
      </c>
      <c r="C21" s="21" t="s">
        <v>682</v>
      </c>
      <c r="D21" s="21" t="s">
        <v>261</v>
      </c>
      <c r="E21" s="13">
        <v>42783.19599537037</v>
      </c>
      <c r="F21" s="13">
        <v>42783.198344907411</v>
      </c>
      <c r="G21" s="7">
        <v>2</v>
      </c>
      <c r="H21" s="21" t="s">
        <v>270</v>
      </c>
      <c r="I21" s="13">
        <v>42783.223101851851</v>
      </c>
      <c r="J21" s="7">
        <v>0</v>
      </c>
      <c r="K21" s="98" t="str">
        <f t="shared" si="0"/>
        <v>4015/4016</v>
      </c>
      <c r="L21" s="21" t="str">
        <f>VLOOKUP(A21,'Trips&amp;Operators'!$C$1:$G$99999,5,FALSE)</f>
        <v>LOZA FIDEL</v>
      </c>
      <c r="M21" s="6">
        <f t="shared" si="1"/>
        <v>2.4756944440014195E-2</v>
      </c>
      <c r="N21" s="7">
        <f t="shared" si="14"/>
        <v>35.64999999362044</v>
      </c>
      <c r="O21" s="7"/>
      <c r="P21" s="7"/>
      <c r="Q21" s="22"/>
      <c r="R21" s="22"/>
      <c r="S21" s="31">
        <f t="shared" si="2"/>
        <v>1</v>
      </c>
      <c r="T21" s="46" t="str">
        <f t="shared" si="3"/>
        <v>NorthBound</v>
      </c>
      <c r="U21" s="18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7" t="str">
        <f t="shared" si="4"/>
        <v>https://d0f6bd738d7f1b3e5a7ca70fe4ff75f0.us-east-1.aws.found.io/app/kibana#/discover/Steve-Slow-Train-Analysis-(2080s-and-2083s)?_g=(refreshInterval:(display:Off,pause:!f,section:0,value:0),time:(from:'2017-02-17T03:42:14-0700',mode:absolute,to:'2017-02-17T06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" s="188" t="str">
        <f t="shared" si="5"/>
        <v>N</v>
      </c>
      <c r="X21" s="188">
        <f t="shared" si="24"/>
        <v>1</v>
      </c>
      <c r="Y21" s="62">
        <f t="shared" si="15"/>
        <v>4.6699999999999998E-2</v>
      </c>
      <c r="Z21" s="62">
        <f t="shared" si="16"/>
        <v>23.3293</v>
      </c>
      <c r="AA21" s="62">
        <f t="shared" si="6"/>
        <v>23.282599999999999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7"/>
        <v>0109-17</v>
      </c>
      <c r="AE21" s="85" t="str">
        <f t="shared" si="8"/>
        <v>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 &amp; 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</v>
      </c>
      <c r="AF21" s="82" t="str">
        <f t="shared" si="9"/>
        <v>"C:\Program Files (x86)\AstroGrep\AstroGrep.exe" /spath="%USERPROFILE%\AppData\Local\Temp\OnboardLogs" /stypes="app*4016*20170217*" /stext=" 12:.+((SYSTEM_STATE.+slice.+state.+changed )|(ment ac)|(multiple cpu faults)|(system.+state.+changed )|(\[timeout)|(PRM\|1\|D)|(kpr)|(kdp)|(\|lc)|(penalty))" /e /r /s</v>
      </c>
      <c r="AG21" s="1" t="str">
        <f t="shared" si="10"/>
        <v>EC</v>
      </c>
      <c r="AH21" s="86" t="str">
        <f t="shared" si="21"/>
        <v>"%USERPROFILE%\Documents\GitHub\eaglep3\Utilities\RefineRTDCRunTimes.py" --tripid 109-17 --locoid 4016 --swversion DE.1.0.9.0 --startMP 204:467 --initTime 2017-02-17T04:42:14 --startdatetime 2017-02-17T04:45:37 --delay 2 --endMP 204:233293 --enddatetime 2017-02-17T05:21:16 --enforcementcount 0 &gt;&gt;C:\Users\stu\Documents\GitHub\eaglep3-reporting\EC\2017-02-17-refined-times.txt</v>
      </c>
      <c r="AI21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{"issue":{"subject":"","project_id":79,"tracker_id":40,"status_id":1,"priority_id":2,"assigned_to_id":23,"start_date":"2017-02-17","description":"","custom_fields":[{"id":1,"name":"Subdivision","value":"EC"},{"id":4,"name":"Milepost","value":"23.3293"},{"id":17,"name":"Train ID","value":"109-17"},{"id":16,"name":"Locomotive ID","value":"4016"},{"id":130,"name":"Impact","value":""},{"id":150,"name":"Time of Event (Mountain Time)","value":"05:21:16"},{"id":151,"name":"Denver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3"/>
        <v>start /low /b %USERPROFILE%\Documents\GitHub\eaglep3\Utilities\DownloadLogsFromS3.py --loco 4016 --day 2017-02-17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"%USERPROFILE%\AppData\Local\Temp\OnboardLogs"\RTDC4016\*4016*20170217* | grep -SE "(Enforcement Action)|(\[TIMEOUT)|(CHR.+\|PRM\|1\|D.+(SWITCH|SIGNAL).+UNKNOWN)" - &gt;&gt; 2017-02-17-UncaughtWiMAX.txt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490</v>
      </c>
      <c r="B22" s="7">
        <v>4015</v>
      </c>
      <c r="C22" s="21" t="s">
        <v>682</v>
      </c>
      <c r="D22" s="21" t="s">
        <v>690</v>
      </c>
      <c r="E22" s="13">
        <v>42783.234085648146</v>
      </c>
      <c r="F22" s="13">
        <v>42783.237175925926</v>
      </c>
      <c r="G22" s="7">
        <v>1</v>
      </c>
      <c r="H22" s="21" t="s">
        <v>197</v>
      </c>
      <c r="I22" s="13">
        <v>42783.265636574077</v>
      </c>
      <c r="J22" s="7">
        <v>0</v>
      </c>
      <c r="K22" s="98" t="str">
        <f t="shared" si="0"/>
        <v>4015/4016</v>
      </c>
      <c r="L22" s="21" t="str">
        <f>VLOOKUP(A22,'Trips&amp;Operators'!$C$1:$G$99999,5,FALSE)</f>
        <v>LOZA FIDEL</v>
      </c>
      <c r="M22" s="6">
        <f t="shared" si="1"/>
        <v>2.846064815093996E-2</v>
      </c>
      <c r="N22" s="7">
        <f t="shared" si="14"/>
        <v>40.983333337353542</v>
      </c>
      <c r="O22" s="7"/>
      <c r="P22" s="7"/>
      <c r="Q22" s="22"/>
      <c r="R22" s="22"/>
      <c r="S22" s="31">
        <f t="shared" si="2"/>
        <v>1</v>
      </c>
      <c r="T22" s="46" t="str">
        <f t="shared" si="3"/>
        <v>Southbound</v>
      </c>
      <c r="U22" s="18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7" t="str">
        <f t="shared" si="4"/>
        <v>https://d0f6bd738d7f1b3e5a7ca70fe4ff75f0.us-east-1.aws.found.io/app/kibana#/discover/Steve-Slow-Train-Analysis-(2080s-and-2083s)?_g=(refreshInterval:(display:Off,pause:!f,section:0,value:0),time:(from:'2017-02-17T04:37:05-0700',mode:absolute,to:'2017-02-17T07:22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" s="188" t="str">
        <f t="shared" si="5"/>
        <v>N</v>
      </c>
      <c r="X22" s="188">
        <f t="shared" si="24"/>
        <v>1</v>
      </c>
      <c r="Y22" s="62">
        <f t="shared" si="15"/>
        <v>23.298400000000001</v>
      </c>
      <c r="Z22" s="62">
        <f t="shared" si="16"/>
        <v>1.4500000000000001E-2</v>
      </c>
      <c r="AA22" s="62">
        <f t="shared" si="6"/>
        <v>23.283899999999999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7"/>
        <v>0110-17</v>
      </c>
      <c r="AE22" s="85" t="str">
        <f t="shared" si="8"/>
        <v>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 &amp; 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</v>
      </c>
      <c r="AF22" s="82" t="str">
        <f t="shared" si="9"/>
        <v>"C:\Program Files (x86)\AstroGrep\AstroGrep.exe" /spath="%USERPROFILE%\AppData\Local\Temp\OnboardLogs" /stypes="app*4015*20170217*" /stext=" 13:.+((SYSTEM_STATE.+slice.+state.+changed )|(ment ac)|(multiple cpu faults)|(system.+state.+changed )|(\[timeout)|(PRM\|1\|D)|(kpr)|(kdp)|(\|lc)|(penalty))" /e /r /s</v>
      </c>
      <c r="AG22" s="1" t="str">
        <f t="shared" si="10"/>
        <v>EC</v>
      </c>
      <c r="AH22" s="86" t="str">
        <f t="shared" si="21"/>
        <v>"%USERPROFILE%\Documents\GitHub\eaglep3\Utilities\RefineRTDCRunTimes.py" --tripid 110-17 --locoid 4015 --swversion DE.1.0.9.0 --startMP 204:232984 --initTime 2017-02-17T05:37:05 --startdatetime 2017-02-17T05:41:32 --delay 1 --endMP 204:145 --enddatetime 2017-02-17T06:22:31 --enforcementcount 0 &gt;&gt;C:\Users\stu\Documents\GitHub\eaglep3-reporting\EC\2017-02-17-refined-times.txt</v>
      </c>
      <c r="AI22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{"issue":{"subject":"","project_id":79,"tracker_id":40,"status_id":1,"priority_id":2,"assigned_to_id":23,"start_date":"2017-02-17","description":"","custom_fields":[{"id":1,"name":"Subdivision","value":"EC"},{"id":4,"name":"Milepost","value":"0.0145"},{"id":17,"name":"Train ID","value":"110-17"},{"id":16,"name":"Locomotive ID","value":"4015"},{"id":130,"name":"Impact","value":""},{"id":150,"name":"Time of Event (Mountain Time)","value":"06:22:31"},{"id":151,"name":"Denver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3"/>
        <v>start /low /b %USERPROFILE%\Documents\GitHub\eaglep3\Utilities\DownloadLogsFromS3.py --loco 4015 --day 2017-02-17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"%USERPROFILE%\AppData\Local\Temp\OnboardLogs"\RTDC4015\*4015*20170217* | grep -SE "(Enforcement Action)|(\[TIMEOUT)|(CHR.+\|PRM\|1\|D.+(SWITCH|SIGNAL).+UNKNOWN)" - &gt;&gt; 2017-02-17-UncaughtWiMAX.txt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484</v>
      </c>
      <c r="B23" s="7">
        <v>4044</v>
      </c>
      <c r="C23" s="21" t="s">
        <v>682</v>
      </c>
      <c r="D23" s="21" t="s">
        <v>691</v>
      </c>
      <c r="E23" s="13">
        <v>42783.207245370373</v>
      </c>
      <c r="F23" s="13">
        <v>42783.209317129629</v>
      </c>
      <c r="G23" s="7">
        <v>1</v>
      </c>
      <c r="H23" s="21" t="s">
        <v>402</v>
      </c>
      <c r="I23" s="13">
        <v>42783.235497685186</v>
      </c>
      <c r="J23" s="7">
        <v>0</v>
      </c>
      <c r="K23" s="98" t="str">
        <f t="shared" si="0"/>
        <v>4043/4044</v>
      </c>
      <c r="L23" s="21" t="str">
        <f>VLOOKUP(A23,'Trips&amp;Operators'!$C$1:$G$99999,5,FALSE)</f>
        <v>BONDS REYNALDO</v>
      </c>
      <c r="M23" s="6">
        <f t="shared" si="1"/>
        <v>2.6180555556493346E-2</v>
      </c>
      <c r="N23" s="7">
        <f t="shared" si="14"/>
        <v>37.700000001350418</v>
      </c>
      <c r="O23" s="7"/>
      <c r="P23" s="7"/>
      <c r="Q23" s="22"/>
      <c r="R23" s="22"/>
      <c r="S23" s="31">
        <f t="shared" si="2"/>
        <v>1</v>
      </c>
      <c r="T23" s="46" t="str">
        <f t="shared" si="3"/>
        <v>NorthBound</v>
      </c>
      <c r="U23" s="18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7" t="str">
        <f t="shared" si="4"/>
        <v>https://d0f6bd738d7f1b3e5a7ca70fe4ff75f0.us-east-1.aws.found.io/app/kibana#/discover/Steve-Slow-Train-Analysis-(2080s-and-2083s)?_g=(refreshInterval:(display:Off,pause:!f,section:0,value:0),time:(from:'2017-02-17T03:58:26-0700',mode:absolute,to:'2017-02-17T06:39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188" t="str">
        <f t="shared" si="5"/>
        <v>N</v>
      </c>
      <c r="X23" s="188">
        <f t="shared" si="24"/>
        <v>1</v>
      </c>
      <c r="Y23" s="62">
        <f t="shared" si="15"/>
        <v>8.9800000000000005E-2</v>
      </c>
      <c r="Z23" s="62">
        <f t="shared" si="16"/>
        <v>23.329499999999999</v>
      </c>
      <c r="AA23" s="62">
        <f t="shared" si="6"/>
        <v>23.239699999999999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7"/>
        <v>0111-17</v>
      </c>
      <c r="AE23" s="85" t="str">
        <f t="shared" si="8"/>
        <v>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 &amp; 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</v>
      </c>
      <c r="AF23" s="82" t="str">
        <f t="shared" si="9"/>
        <v>"C:\Program Files (x86)\AstroGrep\AstroGrep.exe" /spath="%USERPROFILE%\AppData\Local\Temp\OnboardLogs" /stypes="app*4044*20170217*" /stext=" 12:.+((SYSTEM_STATE.+slice.+state.+changed )|(ment ac)|(multiple cpu faults)|(system.+state.+changed )|(\[timeout)|(PRM\|1\|D)|(kpr)|(kdp)|(\|lc)|(penalty))" /e /r /s</v>
      </c>
      <c r="AG23" s="1" t="str">
        <f t="shared" si="10"/>
        <v>EC</v>
      </c>
      <c r="AH23" s="86" t="str">
        <f t="shared" si="21"/>
        <v>"%USERPROFILE%\Documents\GitHub\eaglep3\Utilities\RefineRTDCRunTimes.py" --tripid 111-17 --locoid 4044 --swversion DE.1.0.9.0 --startMP 204:898 --initTime 2017-02-17T04:58:26 --startdatetime 2017-02-17T05:01:25 --delay 1 --endMP 204:233295 --enddatetime 2017-02-17T05:39:07 --enforcementcount 0 &gt;&gt;C:\Users\stu\Documents\GitHub\eaglep3-reporting\EC\2017-02-17-refined-times.txt</v>
      </c>
      <c r="AI23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{"issue":{"subject":"","project_id":79,"tracker_id":40,"status_id":1,"priority_id":2,"assigned_to_id":23,"start_date":"2017-02-17","description":"","custom_fields":[{"id":1,"name":"Subdivision","value":"EC"},{"id":4,"name":"Milepost","value":"23.3295"},{"id":17,"name":"Train ID","value":"111-17"},{"id":16,"name":"Locomotive ID","value":"4044"},{"id":130,"name":"Impact","value":""},{"id":150,"name":"Time of Event (Mountain Time)","value":"05:39:07"},{"id":151,"name":"Denver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3"/>
        <v>start /low /b %USERPROFILE%\Documents\GitHub\eaglep3\Utilities\DownloadLogsFromS3.py --loco 4044 --day 2017-02-17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"%USERPROFILE%\AppData\Local\Temp\OnboardLogs"\RTDC4044\*4044*20170217* | grep -SE "(Enforcement Action)|(\[TIMEOUT)|(CHR.+\|PRM\|1\|D.+(SWITCH|SIGNAL).+UNKNOWN)" - &gt;&gt; 2017-02-17-UncaughtWiMAX.txt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491</v>
      </c>
      <c r="B24" s="7">
        <v>4043</v>
      </c>
      <c r="C24" s="21" t="s">
        <v>682</v>
      </c>
      <c r="D24" s="21" t="s">
        <v>692</v>
      </c>
      <c r="E24" s="13">
        <v>42783.246736111112</v>
      </c>
      <c r="F24" s="13">
        <v>42783.257418981484</v>
      </c>
      <c r="G24" s="7">
        <v>14</v>
      </c>
      <c r="H24" s="21" t="s">
        <v>412</v>
      </c>
      <c r="I24" s="13">
        <v>42783.273819444446</v>
      </c>
      <c r="J24" s="7">
        <v>0</v>
      </c>
      <c r="K24" s="98" t="str">
        <f t="shared" si="0"/>
        <v>4043/4044</v>
      </c>
      <c r="L24" s="21" t="str">
        <f>VLOOKUP(A24,'Trips&amp;Operators'!$C$1:$G$99999,5,FALSE)</f>
        <v>SANTIZO D. EDY</v>
      </c>
      <c r="M24" s="6">
        <f t="shared" si="1"/>
        <v>1.640046296233777E-2</v>
      </c>
      <c r="N24" s="7"/>
      <c r="O24" s="7"/>
      <c r="P24" s="7">
        <f>24*60*SUM($M24:$M24)</f>
        <v>23.616666665766388</v>
      </c>
      <c r="Q24" s="22"/>
      <c r="R24" s="22" t="s">
        <v>858</v>
      </c>
      <c r="S24" s="31">
        <f t="shared" si="2"/>
        <v>1</v>
      </c>
      <c r="T24" s="46" t="str">
        <f t="shared" si="3"/>
        <v>Southbound</v>
      </c>
      <c r="U24" s="18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7" t="str">
        <f t="shared" si="4"/>
        <v>https://d0f6bd738d7f1b3e5a7ca70fe4ff75f0.us-east-1.aws.found.io/app/kibana#/discover/Steve-Slow-Train-Analysis-(2080s-and-2083s)?_g=(refreshInterval:(display:Off,pause:!f,section:0,value:0),time:(from:'2017-02-17T04:55:18-0700',mode:absolute,to:'2017-02-17T07:34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188" t="str">
        <f t="shared" si="5"/>
        <v>Y</v>
      </c>
      <c r="X24" s="188">
        <f t="shared" si="24"/>
        <v>1</v>
      </c>
      <c r="Y24" s="62">
        <f t="shared" si="15"/>
        <v>12.7851</v>
      </c>
      <c r="Z24" s="62">
        <f t="shared" si="16"/>
        <v>1.6500000000000001E-2</v>
      </c>
      <c r="AA24" s="62">
        <f t="shared" si="6"/>
        <v>12.768599999999999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7"/>
        <v>0112-17</v>
      </c>
      <c r="AE24" s="85" t="str">
        <f t="shared" si="8"/>
        <v>aws s3 cp s3://rtdc.mdm.uploadarchive.raw/RTDC4043/ "%USERPROFILE%\AppData\Local\Temp\OnboardLogs"\RTDC4043\2017-02-17 --exclude "*" --recursive --include "*20170217*" &amp; "%USERPROFILE%\Documents\GitHub\mrs-test-scripts\Headless Mode &amp; Sideloading\WalkAndUnGZ.bat" "%USERPROFILE%\AppData\Local\Temp\OnboardLogs"\RTDC4043\2017-02-17 &amp; aws s3 cp s3://rtdc.mdm.uploadarchive.raw/RTDC4043/ "%USERPROFILE%\AppData\Local\Temp\OnboardLogs"\RTDC4043\2017-02-18 --exclude "*" --recursive --include "*20170218*" &amp; "%USERPROFILE%\Documents\GitHub\mrs-test-scripts\Headless Mode &amp; Sideloading\WalkAndUnGZ.bat" "%USERPROFILE%\AppData\Local\Temp\OnboardLogs"\RTDC4043\2017-02-18</v>
      </c>
      <c r="AF24" s="82" t="str">
        <f t="shared" si="9"/>
        <v>"C:\Program Files (x86)\AstroGrep\AstroGrep.exe" /spath="%USERPROFILE%\AppData\Local\Temp\OnboardLogs" /stypes="app*4043*20170217*" /stext=" 13:.+((SYSTEM_STATE.+slice.+state.+changed )|(ment ac)|(multiple cpu faults)|(system.+state.+changed )|(\[timeout)|(PRM\|1\|D)|(kpr)|(kdp)|(\|lc)|(penalty))" /e /r /s</v>
      </c>
      <c r="AG24" s="1" t="str">
        <f t="shared" si="10"/>
        <v>EC</v>
      </c>
      <c r="AH24" s="86" t="str">
        <f t="shared" si="21"/>
        <v>"%USERPROFILE%\Documents\GitHub\eaglep3\Utilities\RefineRTDCRunTimes.py" --tripid 112-17 --locoid 4043 --swversion DE.1.0.9.0 --startMP 204:127851 --initTime 2017-02-17T05:55:18 --startdatetime 2017-02-17T06:10:41 --delay 14 --endMP 204:165 --enddatetime 2017-02-17T06:34:18 --enforcementcount 0 &gt;&gt;C:\Users\stu\Documents\GitHub\eaglep3-reporting\EC\2017-02-17-refined-times.txt</v>
      </c>
      <c r="AI24" s="108" t="str">
        <f t="shared" si="22"/>
        <v>echo {"issue":{"subject":"Onboard in-route failure","project_id":79,"tracker_id":40,"status_id":1,"priority_id":2,"assigned_to_id":23,"start_date":"2017-02-17","description":"","custom_fields":[{"id":1,"name":"Subdivision","value":"EC"},{"id":4,"name":"Milepost","value":"0.0165"},{"id":17,"name":"Train ID","value":"112-17"},{"id":16,"name":"Locomotive ID","value":"4043"},{"id":130,"name":"Impact","value":""},{"id":150,"name":"Time of Event (Mountain Time)","value":"06:34:18"},{"id":151,"name":"Denver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3"/>
        <v>start /low /b %USERPROFILE%\Documents\GitHub\eaglep3\Utilities\DownloadLogsFromS3.py --loco 4043 --day 2017-02-17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"%USERPROFILE%\AppData\Local\Temp\OnboardLogs"\RTDC4043\*4043*20170217* | grep -SE "(Enforcement Action)|(\[TIMEOUT)|(CHR.+\|PRM\|1\|D.+(SWITCH|SIGNAL).+UNKNOWN)" - &gt;&gt; 2017-02-17-UncaughtWiMAX.txt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485</v>
      </c>
      <c r="B25" s="7">
        <v>4027</v>
      </c>
      <c r="C25" s="21" t="s">
        <v>682</v>
      </c>
      <c r="D25" s="21" t="s">
        <v>693</v>
      </c>
      <c r="E25" s="13">
        <v>42783.220069444447</v>
      </c>
      <c r="F25" s="13">
        <v>42783.221736111111</v>
      </c>
      <c r="G25" s="7">
        <v>1</v>
      </c>
      <c r="H25" s="21" t="s">
        <v>694</v>
      </c>
      <c r="I25" s="13">
        <v>42783.247511574074</v>
      </c>
      <c r="J25" s="7">
        <v>0</v>
      </c>
      <c r="K25" s="98" t="str">
        <f t="shared" si="0"/>
        <v>4027/4028</v>
      </c>
      <c r="L25" s="21" t="str">
        <f>VLOOKUP(A25,'Trips&amp;Operators'!$C$1:$G$99999,5,FALSE)</f>
        <v>BADERTSCHER DIANE</v>
      </c>
      <c r="M25" s="6">
        <f t="shared" si="1"/>
        <v>2.5775462963792961E-2</v>
      </c>
      <c r="N25" s="7">
        <f t="shared" ref="N25:N55" si="25">24*60*SUM($M25:$M25)</f>
        <v>37.116666667861864</v>
      </c>
      <c r="O25" s="7"/>
      <c r="P25" s="7"/>
      <c r="Q25" s="22"/>
      <c r="R25" s="22"/>
      <c r="S25" s="31">
        <f t="shared" si="2"/>
        <v>1</v>
      </c>
      <c r="T25" s="46" t="str">
        <f t="shared" si="3"/>
        <v>NorthBound</v>
      </c>
      <c r="U25" s="18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7" t="str">
        <f t="shared" si="4"/>
        <v>https://d0f6bd738d7f1b3e5a7ca70fe4ff75f0.us-east-1.aws.found.io/app/kibana#/discover/Steve-Slow-Train-Analysis-(2080s-and-2083s)?_g=(refreshInterval:(display:Off,pause:!f,section:0,value:0),time:(from:'2017-02-17T04:16:54-0700',mode:absolute,to:'2017-02-17T06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5" s="188" t="str">
        <f t="shared" si="5"/>
        <v>N</v>
      </c>
      <c r="X25" s="188">
        <f t="shared" si="24"/>
        <v>1</v>
      </c>
      <c r="Y25" s="62">
        <f t="shared" si="15"/>
        <v>5.11E-2</v>
      </c>
      <c r="Z25" s="62">
        <f t="shared" si="16"/>
        <v>23.323799999999999</v>
      </c>
      <c r="AA25" s="62">
        <f t="shared" si="6"/>
        <v>23.272699999999997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7"/>
        <v>0113-17</v>
      </c>
      <c r="AE25" s="85" t="str">
        <f t="shared" si="8"/>
        <v>aws s3 cp s3://rtdc.mdm.uploadarchive.raw/RTDC4027/ "%USERPROFILE%\AppData\Local\Temp\OnboardLogs"\RTDC4027\2017-02-17 --exclude "*" --recursive --include "*20170217*" &amp; "%USERPROFILE%\Documents\GitHub\mrs-test-scripts\Headless Mode &amp; Sideloading\WalkAndUnGZ.bat" "%USERPROFILE%\AppData\Local\Temp\OnboardLogs"\RTDC4027\2017-02-17 &amp; 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</v>
      </c>
      <c r="AF25" s="82" t="str">
        <f t="shared" si="9"/>
        <v>"C:\Program Files (x86)\AstroGrep\AstroGrep.exe" /spath="%USERPROFILE%\AppData\Local\Temp\OnboardLogs" /stypes="app*4027*20170217*" /stext=" 12:.+((SYSTEM_STATE.+slice.+state.+changed )|(ment ac)|(multiple cpu faults)|(system.+state.+changed )|(\[timeout)|(PRM\|1\|D)|(kpr)|(kdp)|(\|lc)|(penalty))" /e /r /s</v>
      </c>
      <c r="AG25" s="1" t="str">
        <f t="shared" si="10"/>
        <v>EC</v>
      </c>
      <c r="AH25" s="86" t="str">
        <f t="shared" si="21"/>
        <v>"%USERPROFILE%\Documents\GitHub\eaglep3\Utilities\RefineRTDCRunTimes.py" --tripid 113-17 --locoid 4027 --swversion DE.1.0.9.0 --startMP 204:511 --initTime 2017-02-17T05:16:54 --startdatetime 2017-02-17T05:19:18 --delay 1 --endMP 204:233238 --enddatetime 2017-02-17T05:56:25 --enforcementcount 0 &gt;&gt;C:\Users\stu\Documents\GitHub\eaglep3-reporting\EC\2017-02-17-refined-times.txt</v>
      </c>
      <c r="AI25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{"issue":{"subject":"","project_id":79,"tracker_id":40,"status_id":1,"priority_id":2,"assigned_to_id":23,"start_date":"2017-02-17","description":"","custom_fields":[{"id":1,"name":"Subdivision","value":"EC"},{"id":4,"name":"Milepost","value":"23.3238"},{"id":17,"name":"Train ID","value":"113-17"},{"id":16,"name":"Locomotive ID","value":"4027"},{"id":130,"name":"Impact","value":""},{"id":150,"name":"Time of Event (Mountain Time)","value":"05:56:25"},{"id":151,"name":"Denver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3"/>
        <v>start /low /b %USERPROFILE%\Documents\GitHub\eaglep3\Utilities\DownloadLogsFromS3.py --loco 4027 --day 2017-02-17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"%USERPROFILE%\AppData\Local\Temp\OnboardLogs"\RTDC4027\*4027*20170217* | grep -SE "(Enforcement Action)|(\[TIMEOUT)|(CHR.+\|PRM\|1\|D.+(SWITCH|SIGNAL).+UNKNOWN)" - &gt;&gt; 2017-02-17-UncaughtWiMAX.txt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441</v>
      </c>
      <c r="B26" s="7">
        <v>4028</v>
      </c>
      <c r="C26" s="21" t="s">
        <v>682</v>
      </c>
      <c r="D26" s="21" t="s">
        <v>695</v>
      </c>
      <c r="E26" s="13">
        <v>42783.249016203707</v>
      </c>
      <c r="F26" s="13">
        <v>42783.2578125</v>
      </c>
      <c r="G26" s="7">
        <v>1</v>
      </c>
      <c r="H26" s="21" t="s">
        <v>276</v>
      </c>
      <c r="I26" s="13">
        <v>42783.286597222221</v>
      </c>
      <c r="J26" s="7">
        <v>0</v>
      </c>
      <c r="K26" s="98" t="str">
        <f t="shared" si="0"/>
        <v>4027/4028</v>
      </c>
      <c r="L26" s="21" t="str">
        <f>VLOOKUP(A26,'Trips&amp;Operators'!$C$1:$G$99999,5,FALSE)</f>
        <v>BADERTSCHER DIANE</v>
      </c>
      <c r="M26" s="6">
        <f t="shared" si="1"/>
        <v>2.8784722220734693E-2</v>
      </c>
      <c r="N26" s="7">
        <f t="shared" si="25"/>
        <v>41.449999997857958</v>
      </c>
      <c r="O26" s="7"/>
      <c r="P26" s="7"/>
      <c r="Q26" s="22"/>
      <c r="R26" s="22"/>
      <c r="S26" s="31">
        <f t="shared" si="2"/>
        <v>1</v>
      </c>
      <c r="T26" s="46" t="str">
        <f t="shared" si="3"/>
        <v>Southbound</v>
      </c>
      <c r="U26" s="18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7" t="str">
        <f t="shared" si="4"/>
        <v>https://d0f6bd738d7f1b3e5a7ca70fe4ff75f0.us-east-1.aws.found.io/app/kibana#/discover/Steve-Slow-Train-Analysis-(2080s-and-2083s)?_g=(refreshInterval:(display:Off,pause:!f,section:0,value:0),time:(from:'2017-02-17T04:58:35-0700',mode:absolute,to:'2017-02-17T07:52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6" s="188" t="str">
        <f t="shared" si="5"/>
        <v>N</v>
      </c>
      <c r="X26" s="188">
        <f t="shared" si="24"/>
        <v>1</v>
      </c>
      <c r="Y26" s="62">
        <f t="shared" si="15"/>
        <v>23.293399999999998</v>
      </c>
      <c r="Z26" s="62">
        <f t="shared" si="16"/>
        <v>1.61E-2</v>
      </c>
      <c r="AA26" s="62">
        <f t="shared" si="6"/>
        <v>23.277299999999997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7"/>
        <v>0114-17</v>
      </c>
      <c r="AE26" s="85" t="str">
        <f t="shared" si="8"/>
        <v>aws s3 cp s3://rtdc.mdm.uploadarchive.raw/RTDC4028/ "%USERPROFILE%\AppData\Local\Temp\OnboardLogs"\RTDC4028\2017-02-17 --exclude "*" --recursive --include "*20170217*" &amp; "%USERPROFILE%\Documents\GitHub\mrs-test-scripts\Headless Mode &amp; Sideloading\WalkAndUnGZ.bat" "%USERPROFILE%\AppData\Local\Temp\OnboardLogs"\RTDC4028\2017-02-17 &amp; 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</v>
      </c>
      <c r="AF26" s="82" t="str">
        <f t="shared" si="9"/>
        <v>"C:\Program Files (x86)\AstroGrep\AstroGrep.exe" /spath="%USERPROFILE%\AppData\Local\Temp\OnboardLogs" /stypes="app*4028*20170217*" /stext=" 13:.+((SYSTEM_STATE.+slice.+state.+changed )|(ment ac)|(multiple cpu faults)|(system.+state.+changed )|(\[timeout)|(PRM\|1\|D)|(kpr)|(kdp)|(\|lc)|(penalty))" /e /r /s</v>
      </c>
      <c r="AG26" s="1" t="str">
        <f t="shared" si="10"/>
        <v>EC</v>
      </c>
      <c r="AH26" s="86" t="str">
        <f t="shared" si="21"/>
        <v>"%USERPROFILE%\Documents\GitHub\eaglep3\Utilities\RefineRTDCRunTimes.py" --tripid 114-17 --locoid 4028 --swversion DE.1.0.9.0 --startMP 204:232934 --initTime 2017-02-17T05:58:35 --startdatetime 2017-02-17T06:11:15 --delay 1 --endMP 204:161 --enddatetime 2017-02-17T06:52:42 --enforcementcount 0 &gt;&gt;C:\Users\stu\Documents\GitHub\eaglep3-reporting\EC\2017-02-17-refined-times.txt</v>
      </c>
      <c r="AI26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{"issue":{"subject":"","project_id":79,"tracker_id":40,"status_id":1,"priority_id":2,"assigned_to_id":23,"start_date":"2017-02-17","description":"","custom_fields":[{"id":1,"name":"Subdivision","value":"EC"},{"id":4,"name":"Milepost","value":"0.0161"},{"id":17,"name":"Train ID","value":"114-17"},{"id":16,"name":"Locomotive ID","value":"4028"},{"id":130,"name":"Impact","value":""},{"id":150,"name":"Time of Event (Mountain Time)","value":"06:52:42"},{"id":151,"name":"Denver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3"/>
        <v>start /low /b %USERPROFILE%\Documents\GitHub\eaglep3\Utilities\DownloadLogsFromS3.py --loco 4028 --day 2017-02-17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"%USERPROFILE%\AppData\Local\Temp\OnboardLogs"\RTDC4028\*4028*20170217* | grep -SE "(Enforcement Action)|(\[TIMEOUT)|(CHR.+\|PRM\|1\|D.+(SWITCH|SIGNAL).+UNKNOWN)" - &gt;&gt; 2017-02-17-UncaughtWiMAX.txt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487</v>
      </c>
      <c r="B27" s="7">
        <v>4046</v>
      </c>
      <c r="C27" s="21" t="s">
        <v>682</v>
      </c>
      <c r="D27" s="21" t="s">
        <v>696</v>
      </c>
      <c r="E27" s="13">
        <v>42783.225115740737</v>
      </c>
      <c r="F27" s="13">
        <v>42783.229351851849</v>
      </c>
      <c r="G27" s="7">
        <v>1</v>
      </c>
      <c r="H27" s="21" t="s">
        <v>697</v>
      </c>
      <c r="I27" s="13">
        <v>42783.254675925928</v>
      </c>
      <c r="J27" s="7">
        <v>0</v>
      </c>
      <c r="K27" s="98" t="str">
        <f t="shared" si="0"/>
        <v>4045/4046</v>
      </c>
      <c r="L27" s="21" t="str">
        <f>VLOOKUP(A27,'Trips&amp;Operators'!$C$1:$G$99999,5,FALSE)</f>
        <v>ROCHA YAOTL</v>
      </c>
      <c r="M27" s="6">
        <f t="shared" si="1"/>
        <v>2.5324074078525882E-2</v>
      </c>
      <c r="N27" s="7">
        <f t="shared" si="25"/>
        <v>36.46666667307727</v>
      </c>
      <c r="O27" s="7"/>
      <c r="P27" s="7"/>
      <c r="Q27" s="22"/>
      <c r="R27" s="22"/>
      <c r="S27" s="31">
        <f t="shared" si="2"/>
        <v>1</v>
      </c>
      <c r="T27" s="46" t="str">
        <f t="shared" si="3"/>
        <v>NorthBound</v>
      </c>
      <c r="U27" s="18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7" t="str">
        <f t="shared" si="4"/>
        <v>https://d0f6bd738d7f1b3e5a7ca70fe4ff75f0.us-east-1.aws.found.io/app/kibana#/discover/Steve-Slow-Train-Analysis-(2080s-and-2083s)?_g=(refreshInterval:(display:Off,pause:!f,section:0,value:0),time:(from:'2017-02-17T04:24:10-0700',mode:absolute,to:'2017-02-17T07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7" s="188" t="str">
        <f t="shared" si="5"/>
        <v>N</v>
      </c>
      <c r="X27" s="188">
        <f t="shared" si="24"/>
        <v>1</v>
      </c>
      <c r="Y27" s="62">
        <f t="shared" si="15"/>
        <v>7.0599999999999996E-2</v>
      </c>
      <c r="Z27" s="62">
        <f t="shared" si="16"/>
        <v>23.331499999999998</v>
      </c>
      <c r="AA27" s="62">
        <f t="shared" si="6"/>
        <v>23.260899999999999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7"/>
        <v>0115-17</v>
      </c>
      <c r="AE27" s="85" t="str">
        <f t="shared" si="8"/>
        <v>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 &amp; aws s3 cp s3://rtdc.mdm.uploadarchive.raw/RTDC4046/ "%USERPROFILE%\AppData\Local\Temp\OnboardLogs"\RTDC4046\2017-02-18 --exclude "*" --recursive --include "*20170218*" &amp; "%USERPROFILE%\Documents\GitHub\mrs-test-scripts\Headless Mode &amp; Sideloading\WalkAndUnGZ.bat" "%USERPROFILE%\AppData\Local\Temp\OnboardLogs"\RTDC4046\2017-02-18</v>
      </c>
      <c r="AF27" s="82" t="str">
        <f t="shared" si="9"/>
        <v>"C:\Program Files (x86)\AstroGrep\AstroGrep.exe" /spath="%USERPROFILE%\AppData\Local\Temp\OnboardLogs" /stypes="app*4046*20170217*" /stext=" 13:.+((SYSTEM_STATE.+slice.+state.+changed )|(ment ac)|(multiple cpu faults)|(system.+state.+changed )|(\[timeout)|(PRM\|1\|D)|(kpr)|(kdp)|(\|lc)|(penalty))" /e /r /s</v>
      </c>
      <c r="AG27" s="1" t="str">
        <f t="shared" si="10"/>
        <v>EC</v>
      </c>
      <c r="AH27" s="86" t="str">
        <f t="shared" si="21"/>
        <v>"%USERPROFILE%\Documents\GitHub\eaglep3\Utilities\RefineRTDCRunTimes.py" --tripid 115-17 --locoid 4046 --swversion DE.1.0.9.0 --startMP 204:706 --initTime 2017-02-17T05:24:10 --startdatetime 2017-02-17T05:30:16 --delay 1 --endMP 204:233315 --enddatetime 2017-02-17T06:06:44 --enforcementcount 0 &gt;&gt;C:\Users\stu\Documents\GitHub\eaglep3-reporting\EC\2017-02-17-refined-times.txt</v>
      </c>
      <c r="AI27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{"issue":{"subject":"","project_id":79,"tracker_id":40,"status_id":1,"priority_id":2,"assigned_to_id":23,"start_date":"2017-02-17","description":"","custom_fields":[{"id":1,"name":"Subdivision","value":"EC"},{"id":4,"name":"Milepost","value":"23.3315"},{"id":17,"name":"Train ID","value":"115-17"},{"id":16,"name":"Locomotive ID","value":"4046"},{"id":130,"name":"Impact","value":""},{"id":150,"name":"Time of Event (Mountain Time)","value":"06:06:44"},{"id":151,"name":"Denver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3"/>
        <v>start /low /b %USERPROFILE%\Documents\GitHub\eaglep3\Utilities\DownloadLogsFromS3.py --loco 4046 --day 2017-02-17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"%USERPROFILE%\AppData\Local\Temp\OnboardLogs"\RTDC4046\*4046*20170217* | grep -SE "(Enforcement Action)|(\[TIMEOUT)|(CHR.+\|PRM\|1\|D.+(SWITCH|SIGNAL).+UNKNOWN)" - &gt;&gt; 2017-02-17-UncaughtWiMAX.txt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495</v>
      </c>
      <c r="B28" s="7">
        <v>4045</v>
      </c>
      <c r="C28" s="21" t="s">
        <v>682</v>
      </c>
      <c r="D28" s="21" t="s">
        <v>698</v>
      </c>
      <c r="E28" s="13">
        <v>42783.267766203702</v>
      </c>
      <c r="F28" s="13">
        <v>42783.270729166667</v>
      </c>
      <c r="G28" s="7">
        <v>1</v>
      </c>
      <c r="H28" s="21" t="s">
        <v>208</v>
      </c>
      <c r="I28" s="13">
        <v>42783.295682870368</v>
      </c>
      <c r="J28" s="7">
        <v>0</v>
      </c>
      <c r="K28" s="98" t="str">
        <f t="shared" si="0"/>
        <v>4045/4046</v>
      </c>
      <c r="L28" s="21" t="str">
        <f>VLOOKUP(A28,'Trips&amp;Operators'!$C$1:$G$99999,5,FALSE)</f>
        <v>ROCHA YAOTL</v>
      </c>
      <c r="M28" s="6">
        <f t="shared" si="1"/>
        <v>2.495370370161254E-2</v>
      </c>
      <c r="N28" s="7">
        <f t="shared" si="25"/>
        <v>35.933333330322057</v>
      </c>
      <c r="O28" s="7"/>
      <c r="P28" s="7"/>
      <c r="Q28" s="22"/>
      <c r="R28" s="22"/>
      <c r="S28" s="31">
        <f t="shared" si="2"/>
        <v>1</v>
      </c>
      <c r="T28" s="46" t="str">
        <f t="shared" si="3"/>
        <v>Southbound</v>
      </c>
      <c r="U28" s="18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7" t="str">
        <f t="shared" si="4"/>
        <v>https://d0f6bd738d7f1b3e5a7ca70fe4ff75f0.us-east-1.aws.found.io/app/kibana#/discover/Steve-Slow-Train-Analysis-(2080s-and-2083s)?_g=(refreshInterval:(display:Off,pause:!f,section:0,value:0),time:(from:'2017-02-17T05:25:35-0700',mode:absolute,to:'2017-02-17T08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8" s="188" t="str">
        <f t="shared" si="5"/>
        <v>N</v>
      </c>
      <c r="X28" s="188">
        <f t="shared" si="24"/>
        <v>1</v>
      </c>
      <c r="Y28" s="62">
        <f t="shared" si="15"/>
        <v>23.299399999999999</v>
      </c>
      <c r="Z28" s="62">
        <f t="shared" si="16"/>
        <v>1.52E-2</v>
      </c>
      <c r="AA28" s="62">
        <f t="shared" si="6"/>
        <v>23.284199999999998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7"/>
        <v>0116-17</v>
      </c>
      <c r="AE28" s="85" t="str">
        <f t="shared" si="8"/>
        <v>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 &amp; aws s3 cp s3://rtdc.mdm.uploadarchive.raw/RTDC4045/ "%USERPROFILE%\AppData\Local\Temp\OnboardLogs"\RTDC4045\2017-02-18 --exclude "*" --recursive --include "*20170218*" &amp; "%USERPROFILE%\Documents\GitHub\mrs-test-scripts\Headless Mode &amp; Sideloading\WalkAndUnGZ.bat" "%USERPROFILE%\AppData\Local\Temp\OnboardLogs"\RTDC4045\2017-02-18</v>
      </c>
      <c r="AF28" s="82" t="str">
        <f t="shared" si="9"/>
        <v>"C:\Program Files (x86)\AstroGrep\AstroGrep.exe" /spath="%USERPROFILE%\AppData\Local\Temp\OnboardLogs" /stypes="app*4045*20170217*" /stext=" 14:.+((SYSTEM_STATE.+slice.+state.+changed )|(ment ac)|(multiple cpu faults)|(system.+state.+changed )|(\[timeout)|(PRM\|1\|D)|(kpr)|(kdp)|(\|lc)|(penalty))" /e /r /s</v>
      </c>
      <c r="AG28" s="1" t="str">
        <f t="shared" si="10"/>
        <v>EC</v>
      </c>
      <c r="AH28" s="86" t="str">
        <f t="shared" si="21"/>
        <v>"%USERPROFILE%\Documents\GitHub\eaglep3\Utilities\RefineRTDCRunTimes.py" --tripid 116-17 --locoid 4045 --swversion DE.1.0.9.0 --startMP 204:232994 --initTime 2017-02-17T06:25:35 --startdatetime 2017-02-17T06:29:51 --delay 1 --endMP 204:152 --enddatetime 2017-02-17T07:05:47 --enforcementcount 0 &gt;&gt;C:\Users\stu\Documents\GitHub\eaglep3-reporting\EC\2017-02-17-refined-times.txt</v>
      </c>
      <c r="AI28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{"issue":{"subject":"","project_id":79,"tracker_id":40,"status_id":1,"priority_id":2,"assigned_to_id":23,"start_date":"2017-02-17","description":"","custom_fields":[{"id":1,"name":"Subdivision","value":"EC"},{"id":4,"name":"Milepost","value":"0.0152"},{"id":17,"name":"Train ID","value":"116-17"},{"id":16,"name":"Locomotive ID","value":"4045"},{"id":130,"name":"Impact","value":""},{"id":150,"name":"Time of Event (Mountain Time)","value":"07:05:47"},{"id":151,"name":"Denver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3"/>
        <v>start /low /b %USERPROFILE%\Documents\GitHub\eaglep3\Utilities\DownloadLogsFromS3.py --loco 4045 --day 2017-02-17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"%USERPROFILE%\AppData\Local\Temp\OnboardLogs"\RTDC4045\*4045*20170217* | grep -SE "(Enforcement Action)|(\[TIMEOUT)|(CHR.+\|PRM\|1\|D.+(SWITCH|SIGNAL).+UNKNOWN)" - &gt;&gt; 2017-02-17-UncaughtWiMAX.txt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489</v>
      </c>
      <c r="B29" s="7">
        <v>4018</v>
      </c>
      <c r="C29" s="21" t="s">
        <v>682</v>
      </c>
      <c r="D29" s="21" t="s">
        <v>207</v>
      </c>
      <c r="E29" s="13">
        <v>42783.230682870373</v>
      </c>
      <c r="F29" s="13">
        <v>42783.239756944444</v>
      </c>
      <c r="G29" s="7">
        <v>2</v>
      </c>
      <c r="H29" s="21" t="s">
        <v>367</v>
      </c>
      <c r="I29" s="13">
        <v>42783.264687499999</v>
      </c>
      <c r="J29" s="7">
        <v>0</v>
      </c>
      <c r="K29" s="98" t="str">
        <f t="shared" si="0"/>
        <v>4017/4018</v>
      </c>
      <c r="L29" s="21" t="str">
        <f>VLOOKUP(A29,'Trips&amp;Operators'!$C$1:$G$99999,5,FALSE)</f>
        <v>ACKERMAN JARED</v>
      </c>
      <c r="M29" s="6">
        <f t="shared" si="1"/>
        <v>2.4930555555329192E-2</v>
      </c>
      <c r="N29" s="7">
        <f t="shared" si="25"/>
        <v>35.899999999674037</v>
      </c>
      <c r="O29" s="7"/>
      <c r="P29" s="7"/>
      <c r="Q29" s="22"/>
      <c r="R29" s="22"/>
      <c r="S29" s="31">
        <f t="shared" si="2"/>
        <v>1</v>
      </c>
      <c r="T29" s="46" t="str">
        <f t="shared" si="3"/>
        <v>NorthBound</v>
      </c>
      <c r="U29" s="18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7" t="str">
        <f t="shared" si="4"/>
        <v>https://d0f6bd738d7f1b3e5a7ca70fe4ff75f0.us-east-1.aws.found.io/app/kibana#/discover/Steve-Slow-Train-Analysis-(2080s-and-2083s)?_g=(refreshInterval:(display:Off,pause:!f,section:0,value:0),time:(from:'2017-02-17T04:32:11-0700',mode:absolute,to:'2017-02-17T07:21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9" s="188" t="str">
        <f t="shared" si="5"/>
        <v>N</v>
      </c>
      <c r="X29" s="188">
        <f t="shared" si="24"/>
        <v>1</v>
      </c>
      <c r="Y29" s="62">
        <f t="shared" si="15"/>
        <v>4.4900000000000002E-2</v>
      </c>
      <c r="Z29" s="62">
        <f t="shared" si="16"/>
        <v>23.330500000000001</v>
      </c>
      <c r="AA29" s="62">
        <f t="shared" si="6"/>
        <v>23.285600000000002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7"/>
        <v>0117-17</v>
      </c>
      <c r="AE29" s="85" t="str">
        <f t="shared" si="8"/>
        <v>aws s3 cp s3://rtdc.mdm.uploadarchive.raw/RTDC4018/ "%USERPROFILE%\AppData\Local\Temp\OnboardLogs"\RTDC4018\2017-02-17 --exclude "*" --recursive --include "*20170217*" &amp; "%USERPROFILE%\Documents\GitHub\mrs-test-scripts\Headless Mode &amp; Sideloading\WalkAndUnGZ.bat" "%USERPROFILE%\AppData\Local\Temp\OnboardLogs"\RTDC4018\2017-02-17 &amp; 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</v>
      </c>
      <c r="AF29" s="82" t="str">
        <f t="shared" si="9"/>
        <v>"C:\Program Files (x86)\AstroGrep\AstroGrep.exe" /spath="%USERPROFILE%\AppData\Local\Temp\OnboardLogs" /stypes="app*4018*20170217*" /stext=" 13:.+((SYSTEM_STATE.+slice.+state.+changed )|(ment ac)|(multiple cpu faults)|(system.+state.+changed )|(\[timeout)|(PRM\|1\|D)|(kpr)|(kdp)|(\|lc)|(penalty))" /e /r /s</v>
      </c>
      <c r="AG29" s="1" t="str">
        <f t="shared" si="10"/>
        <v>EC</v>
      </c>
      <c r="AH29" s="86" t="str">
        <f t="shared" si="21"/>
        <v>"%USERPROFILE%\Documents\GitHub\eaglep3\Utilities\RefineRTDCRunTimes.py" --tripid 117-17 --locoid 4018 --swversion DE.1.0.9.0 --startMP 204:449 --initTime 2017-02-17T05:32:11 --startdatetime 2017-02-17T05:45:15 --delay 2 --endMP 204:233305 --enddatetime 2017-02-17T06:21:09 --enforcementcount 0 &gt;&gt;C:\Users\stu\Documents\GitHub\eaglep3-reporting\EC\2017-02-17-refined-times.txt</v>
      </c>
      <c r="AI29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{"issue":{"subject":"","project_id":79,"tracker_id":40,"status_id":1,"priority_id":2,"assigned_to_id":23,"start_date":"2017-02-17","description":"","custom_fields":[{"id":1,"name":"Subdivision","value":"EC"},{"id":4,"name":"Milepost","value":"23.3305"},{"id":17,"name":"Train ID","value":"117-17"},{"id":16,"name":"Locomotive ID","value":"4018"},{"id":130,"name":"Impact","value":""},{"id":150,"name":"Time of Event (Mountain Time)","value":"06:21:09"},{"id":151,"name":"Denver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3"/>
        <v>start /low /b %USERPROFILE%\Documents\GitHub\eaglep3\Utilities\DownloadLogsFromS3.py --loco 4018 --day 2017-02-17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"%USERPROFILE%\AppData\Local\Temp\OnboardLogs"\RTDC4018\*4018*20170217* | grep -SE "(Enforcement Action)|(\[TIMEOUT)|(CHR.+\|PRM\|1\|D.+(SWITCH|SIGNAL).+UNKNOWN)" - &gt;&gt; 2017-02-17-UncaughtWiMAX.txt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442</v>
      </c>
      <c r="B30" s="7">
        <v>4017</v>
      </c>
      <c r="C30" s="21" t="s">
        <v>682</v>
      </c>
      <c r="D30" s="21" t="s">
        <v>699</v>
      </c>
      <c r="E30" s="13">
        <v>42783.272210648145</v>
      </c>
      <c r="F30" s="13">
        <v>42783.278715277775</v>
      </c>
      <c r="G30" s="7">
        <v>2</v>
      </c>
      <c r="H30" s="21" t="s">
        <v>373</v>
      </c>
      <c r="I30" s="13">
        <v>42783.305497685185</v>
      </c>
      <c r="J30" s="7">
        <v>0</v>
      </c>
      <c r="K30" s="98" t="str">
        <f t="shared" si="0"/>
        <v>4017/4018</v>
      </c>
      <c r="L30" s="21" t="str">
        <f>VLOOKUP(A30,'Trips&amp;Operators'!$C$1:$G$99999,5,FALSE)</f>
        <v>ACKERMAN JARED</v>
      </c>
      <c r="M30" s="6">
        <f t="shared" si="1"/>
        <v>2.6782407410792075E-2</v>
      </c>
      <c r="N30" s="7">
        <f t="shared" si="25"/>
        <v>38.566666671540588</v>
      </c>
      <c r="O30" s="7"/>
      <c r="P30" s="7"/>
      <c r="Q30" s="22"/>
      <c r="R30" s="22"/>
      <c r="S30" s="31">
        <f t="shared" si="2"/>
        <v>1</v>
      </c>
      <c r="T30" s="46" t="str">
        <f t="shared" si="3"/>
        <v>Southbound</v>
      </c>
      <c r="U30" s="18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7" t="str">
        <f t="shared" si="4"/>
        <v>https://d0f6bd738d7f1b3e5a7ca70fe4ff75f0.us-east-1.aws.found.io/app/kibana#/discover/Steve-Slow-Train-Analysis-(2080s-and-2083s)?_g=(refreshInterval:(display:Off,pause:!f,section:0,value:0),time:(from:'2017-02-17T05:31:59-0700',mode:absolute,to:'2017-02-17T08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0" s="188" t="str">
        <f t="shared" si="5"/>
        <v>N</v>
      </c>
      <c r="X30" s="188">
        <f t="shared" si="24"/>
        <v>1</v>
      </c>
      <c r="Y30" s="62">
        <f t="shared" si="15"/>
        <v>23.2988</v>
      </c>
      <c r="Z30" s="62">
        <f t="shared" si="16"/>
        <v>1.2999999999999999E-2</v>
      </c>
      <c r="AA30" s="62">
        <f t="shared" si="6"/>
        <v>23.285799999999998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7"/>
        <v>0118-17</v>
      </c>
      <c r="AE30" s="85" t="str">
        <f t="shared" si="8"/>
        <v>aws s3 cp s3://rtdc.mdm.uploadarchive.raw/RTDC4017/ "%USERPROFILE%\AppData\Local\Temp\OnboardLogs"\RTDC4017\2017-02-17 --exclude "*" --recursive --include "*20170217*" &amp; "%USERPROFILE%\Documents\GitHub\mrs-test-scripts\Headless Mode &amp; Sideloading\WalkAndUnGZ.bat" "%USERPROFILE%\AppData\Local\Temp\OnboardLogs"\RTDC4017\2017-02-17 &amp; 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</v>
      </c>
      <c r="AF30" s="82" t="str">
        <f t="shared" si="9"/>
        <v>"C:\Program Files (x86)\AstroGrep\AstroGrep.exe" /spath="%USERPROFILE%\AppData\Local\Temp\OnboardLogs" /stypes="app*4017*20170217*" /stext=" 14:.+((SYSTEM_STATE.+slice.+state.+changed )|(ment ac)|(multiple cpu faults)|(system.+state.+changed )|(\[timeout)|(PRM\|1\|D)|(kpr)|(kdp)|(\|lc)|(penalty))" /e /r /s</v>
      </c>
      <c r="AG30" s="1" t="str">
        <f t="shared" si="10"/>
        <v>EC</v>
      </c>
      <c r="AH30" s="86" t="str">
        <f t="shared" si="21"/>
        <v>"%USERPROFILE%\Documents\GitHub\eaglep3\Utilities\RefineRTDCRunTimes.py" --tripid 118-17 --locoid 4017 --swversion DE.1.0.9.0 --startMP 204:232988 --initTime 2017-02-17T06:31:59 --startdatetime 2017-02-17T06:41:21 --delay 2 --endMP 204:130 --enddatetime 2017-02-17T07:19:55 --enforcementcount 0 &gt;&gt;C:\Users\stu\Documents\GitHub\eaglep3-reporting\EC\2017-02-17-refined-times.txt</v>
      </c>
      <c r="AI30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{"issue":{"subject":"","project_id":79,"tracker_id":40,"status_id":1,"priority_id":2,"assigned_to_id":23,"start_date":"2017-02-17","description":"","custom_fields":[{"id":1,"name":"Subdivision","value":"EC"},{"id":4,"name":"Milepost","value":"0.013"},{"id":17,"name":"Train ID","value":"118-17"},{"id":16,"name":"Locomotive ID","value":"4017"},{"id":130,"name":"Impact","value":""},{"id":150,"name":"Time of Event (Mountain Time)","value":"07:19:55"},{"id":151,"name":"Denver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3"/>
        <v>start /low /b %USERPROFILE%\Documents\GitHub\eaglep3\Utilities\DownloadLogsFromS3.py --loco 4017 --day 2017-02-17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"%USERPROFILE%\AppData\Local\Temp\OnboardLogs"\RTDC4017\*4017*20170217* | grep -SE "(Enforcement Action)|(\[TIMEOUT)|(CHR.+\|PRM\|1\|D.+(SWITCH|SIGNAL).+UNKNOWN)" - &gt;&gt; 2017-02-17-UncaughtWiMAX.txt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493</v>
      </c>
      <c r="B31" s="7">
        <v>4029</v>
      </c>
      <c r="C31" s="21" t="s">
        <v>682</v>
      </c>
      <c r="D31" s="21" t="s">
        <v>700</v>
      </c>
      <c r="E31" s="13">
        <v>42783.248472222222</v>
      </c>
      <c r="F31" s="13">
        <v>42783.2502662037</v>
      </c>
      <c r="G31" s="7">
        <v>1</v>
      </c>
      <c r="H31" s="21" t="s">
        <v>697</v>
      </c>
      <c r="I31" s="13">
        <v>42783.277719907404</v>
      </c>
      <c r="J31" s="7">
        <v>0</v>
      </c>
      <c r="K31" s="98" t="str">
        <f t="shared" si="0"/>
        <v>4029/4030</v>
      </c>
      <c r="L31" s="21" t="str">
        <f>VLOOKUP(A31,'Trips&amp;Operators'!$C$1:$G$99999,5,FALSE)</f>
        <v>ROBINSON KADDIBA</v>
      </c>
      <c r="M31" s="6">
        <f t="shared" si="1"/>
        <v>2.7453703703940846E-2</v>
      </c>
      <c r="N31" s="7">
        <f t="shared" si="25"/>
        <v>39.533333333674818</v>
      </c>
      <c r="O31" s="7"/>
      <c r="P31" s="7"/>
      <c r="Q31" s="22"/>
      <c r="R31" s="22"/>
      <c r="S31" s="31">
        <f t="shared" si="2"/>
        <v>1</v>
      </c>
      <c r="T31" s="46" t="str">
        <f t="shared" si="3"/>
        <v>NorthBound</v>
      </c>
      <c r="U31" s="18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7" t="str">
        <f t="shared" si="4"/>
        <v>https://d0f6bd738d7f1b3e5a7ca70fe4ff75f0.us-east-1.aws.found.io/app/kibana#/discover/Steve-Slow-Train-Analysis-(2080s-and-2083s)?_g=(refreshInterval:(display:Off,pause:!f,section:0,value:0),time:(from:'2017-02-17T04:57:48-0700',mode:absolute,to:'2017-02-17T07:39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1" s="188" t="str">
        <f t="shared" si="5"/>
        <v>N</v>
      </c>
      <c r="X31" s="188">
        <f t="shared" si="24"/>
        <v>1</v>
      </c>
      <c r="Y31" s="62">
        <f t="shared" si="15"/>
        <v>7.3200000000000001E-2</v>
      </c>
      <c r="Z31" s="62">
        <f t="shared" si="16"/>
        <v>23.331499999999998</v>
      </c>
      <c r="AA31" s="62">
        <f t="shared" si="6"/>
        <v>23.258299999999998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7"/>
        <v>0119-17</v>
      </c>
      <c r="AE31" s="85" t="str">
        <f t="shared" si="8"/>
        <v>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 &amp; 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</v>
      </c>
      <c r="AF31" s="82" t="str">
        <f t="shared" si="9"/>
        <v>"C:\Program Files (x86)\AstroGrep\AstroGrep.exe" /spath="%USERPROFILE%\AppData\Local\Temp\OnboardLogs" /stypes="app*4029*20170217*" /stext=" 13:.+((SYSTEM_STATE.+slice.+state.+changed )|(ment ac)|(multiple cpu faults)|(system.+state.+changed )|(\[timeout)|(PRM\|1\|D)|(kpr)|(kdp)|(\|lc)|(penalty))" /e /r /s</v>
      </c>
      <c r="AG31" s="1" t="str">
        <f t="shared" si="10"/>
        <v>EC</v>
      </c>
      <c r="AH31" s="86" t="str">
        <f t="shared" si="21"/>
        <v>"%USERPROFILE%\Documents\GitHub\eaglep3\Utilities\RefineRTDCRunTimes.py" --tripid 119-17 --locoid 4029 --swversion DE.1.0.9.0 --startMP 204:732 --initTime 2017-02-17T05:57:48 --startdatetime 2017-02-17T06:00:23 --delay 1 --endMP 204:233315 --enddatetime 2017-02-17T06:39:55 --enforcementcount 0 &gt;&gt;C:\Users\stu\Documents\GitHub\eaglep3-reporting\EC\2017-02-17-refined-times.txt</v>
      </c>
      <c r="AI31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{"issue":{"subject":"","project_id":79,"tracker_id":40,"status_id":1,"priority_id":2,"assigned_to_id":23,"start_date":"2017-02-17","description":"","custom_fields":[{"id":1,"name":"Subdivision","value":"EC"},{"id":4,"name":"Milepost","value":"23.3315"},{"id":17,"name":"Train ID","value":"119-17"},{"id":16,"name":"Locomotive ID","value":"4029"},{"id":130,"name":"Impact","value":""},{"id":150,"name":"Time of Event (Mountain Time)","value":"06:39:55"},{"id":151,"name":"Denver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3"/>
        <v>start /low /b %USERPROFILE%\Documents\GitHub\eaglep3\Utilities\DownloadLogsFromS3.py --loco 4029 --day 2017-02-17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"%USERPROFILE%\AppData\Local\Temp\OnboardLogs"\RTDC4029\*4029*20170217* | grep -SE "(Enforcement Action)|(\[TIMEOUT)|(CHR.+\|PRM\|1\|D.+(SWITCH|SIGNAL).+UNKNOWN)" - &gt;&gt; 2017-02-17-UncaughtWiMAX.txt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443</v>
      </c>
      <c r="B32" s="7">
        <v>4030</v>
      </c>
      <c r="C32" s="21" t="s">
        <v>682</v>
      </c>
      <c r="D32" s="21" t="s">
        <v>701</v>
      </c>
      <c r="E32" s="13">
        <v>42783.284166666665</v>
      </c>
      <c r="F32" s="13">
        <v>42783.289085648146</v>
      </c>
      <c r="G32" s="7">
        <v>2</v>
      </c>
      <c r="H32" s="21" t="s">
        <v>197</v>
      </c>
      <c r="I32" s="13">
        <v>42783.316516203704</v>
      </c>
      <c r="J32" s="7">
        <v>0</v>
      </c>
      <c r="K32" s="98" t="str">
        <f t="shared" si="0"/>
        <v>4029/4030</v>
      </c>
      <c r="L32" s="21" t="str">
        <f>VLOOKUP(A32,'Trips&amp;Operators'!$C$1:$G$99999,5,FALSE)</f>
        <v>ROBINSON KADDIBA</v>
      </c>
      <c r="M32" s="6">
        <f t="shared" si="1"/>
        <v>2.7430555557657499E-2</v>
      </c>
      <c r="N32" s="7">
        <f t="shared" si="25"/>
        <v>39.500000003026798</v>
      </c>
      <c r="O32" s="7"/>
      <c r="P32" s="7"/>
      <c r="Q32" s="22"/>
      <c r="R32" s="22"/>
      <c r="S32" s="31">
        <f t="shared" si="2"/>
        <v>1</v>
      </c>
      <c r="T32" s="46" t="str">
        <f t="shared" si="3"/>
        <v>Southbound</v>
      </c>
      <c r="U32" s="18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7" t="str">
        <f t="shared" si="4"/>
        <v>https://d0f6bd738d7f1b3e5a7ca70fe4ff75f0.us-east-1.aws.found.io/app/kibana#/discover/Steve-Slow-Train-Analysis-(2080s-and-2083s)?_g=(refreshInterval:(display:Off,pause:!f,section:0,value:0),time:(from:'2017-02-17T05:49:12-0700',mode:absolute,to:'2017-02-17T08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2" s="188" t="str">
        <f t="shared" si="5"/>
        <v>N</v>
      </c>
      <c r="X32" s="188">
        <f t="shared" si="24"/>
        <v>1</v>
      </c>
      <c r="Y32" s="62">
        <f t="shared" si="15"/>
        <v>23.3</v>
      </c>
      <c r="Z32" s="62">
        <f t="shared" si="16"/>
        <v>1.4500000000000001E-2</v>
      </c>
      <c r="AA32" s="62">
        <f t="shared" si="6"/>
        <v>23.285499999999999</v>
      </c>
      <c r="AB32" s="59" t="str">
        <f>VLOOKUP(A32,Enforcements!$C$7:$K$13,8,0)</f>
        <v>Bulletin (2)</v>
      </c>
      <c r="AC32" s="55" t="str">
        <f>VLOOKUP(A32,Enforcements!$C$7:$E$13,3,0)</f>
        <v>GRADE CROSSING</v>
      </c>
      <c r="AD32" s="56" t="str">
        <f t="shared" si="7"/>
        <v>0120-17</v>
      </c>
      <c r="AE32" s="85" t="str">
        <f t="shared" si="8"/>
        <v>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 &amp; 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</v>
      </c>
      <c r="AF32" s="82" t="str">
        <f t="shared" si="9"/>
        <v>"C:\Program Files (x86)\AstroGrep\AstroGrep.exe" /spath="%USERPROFILE%\AppData\Local\Temp\OnboardLogs" /stypes="app*4030*20170217*" /stext=" 14:.+((SYSTEM_STATE.+slice.+state.+changed )|(ment ac)|(multiple cpu faults)|(system.+state.+changed )|(\[timeout)|(PRM\|1\|D)|(kpr)|(kdp)|(\|lc)|(penalty))" /e /r /s</v>
      </c>
      <c r="AG32" s="1" t="str">
        <f t="shared" si="10"/>
        <v>EC</v>
      </c>
      <c r="AH32" s="86" t="str">
        <f t="shared" si="21"/>
        <v>"%USERPROFILE%\Documents\GitHub\eaglep3\Utilities\RefineRTDCRunTimes.py" --tripid 120-17 --locoid 4030 --swversion DE.1.0.9.0 --startMP 204:233000 --initTime 2017-02-17T06:49:12 --startdatetime 2017-02-17T06:56:17 --delay 2 --endMP 204:145 --enddatetime 2017-02-17T07:35:47 --enforcementcount 0 &gt;&gt;C:\Users\stu\Documents\GitHub\eaglep3-reporting\EC\2017-02-17-refined-times.txt</v>
      </c>
      <c r="AI32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{"issue":{"subject":"","project_id":79,"tracker_id":40,"status_id":1,"priority_id":2,"assigned_to_id":23,"start_date":"2017-02-17","description":"","custom_fields":[{"id":1,"name":"Subdivision","value":"EC"},{"id":4,"name":"Milepost","value":"0.0145"},{"id":17,"name":"Train ID","value":"120-17"},{"id":16,"name":"Locomotive ID","value":"4030"},{"id":130,"name":"Impact","value":""},{"id":150,"name":"Time of Event (Mountain Time)","value":"07:35:47"},{"id":151,"name":"Denver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3"/>
        <v>start /low /b %USERPROFILE%\Documents\GitHub\eaglep3\Utilities\DownloadLogsFromS3.py --loco 4030 --day 2017-02-17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"%USERPROFILE%\AppData\Local\Temp\OnboardLogs"\RTDC4030\*4030*20170217* | grep -SE "(Enforcement Action)|(\[TIMEOUT)|(CHR.+\|PRM\|1\|D.+(SWITCH|SIGNAL).+UNKNOWN)" - &gt;&gt; 2017-02-17-UncaughtWiMAX.txt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440</v>
      </c>
      <c r="B33" s="7">
        <v>4025</v>
      </c>
      <c r="C33" s="21" t="s">
        <v>682</v>
      </c>
      <c r="D33" s="21" t="s">
        <v>205</v>
      </c>
      <c r="E33" s="13">
        <v>42783.257974537039</v>
      </c>
      <c r="F33" s="13">
        <v>42783.260914351849</v>
      </c>
      <c r="G33" s="7">
        <v>2</v>
      </c>
      <c r="H33" s="21" t="s">
        <v>702</v>
      </c>
      <c r="I33" s="13">
        <v>42783.285949074074</v>
      </c>
      <c r="J33" s="7">
        <v>0</v>
      </c>
      <c r="K33" s="98" t="str">
        <f t="shared" si="0"/>
        <v>4025/4026</v>
      </c>
      <c r="L33" s="21" t="str">
        <f>VLOOKUP(A33,'Trips&amp;Operators'!$C$1:$G$99999,5,FALSE)</f>
        <v>STARKS ANGELINA</v>
      </c>
      <c r="M33" s="6">
        <f t="shared" si="1"/>
        <v>2.5034722224518191E-2</v>
      </c>
      <c r="N33" s="7">
        <f t="shared" si="25"/>
        <v>36.050000003306195</v>
      </c>
      <c r="O33" s="7"/>
      <c r="P33" s="7"/>
      <c r="Q33" s="22"/>
      <c r="R33" s="22"/>
      <c r="S33" s="31">
        <f t="shared" si="2"/>
        <v>1</v>
      </c>
      <c r="T33" s="46" t="str">
        <f t="shared" si="3"/>
        <v>NorthBound</v>
      </c>
      <c r="U33" s="18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7" t="str">
        <f t="shared" si="4"/>
        <v>https://d0f6bd738d7f1b3e5a7ca70fe4ff75f0.us-east-1.aws.found.io/app/kibana#/discover/Steve-Slow-Train-Analysis-(2080s-and-2083s)?_g=(refreshInterval:(display:Off,pause:!f,section:0,value:0),time:(from:'2017-02-17T05:11:29-0700',mode:absolute,to:'2017-02-17T07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3" s="188" t="str">
        <f t="shared" si="5"/>
        <v>N</v>
      </c>
      <c r="X33" s="188">
        <f t="shared" si="24"/>
        <v>1</v>
      </c>
      <c r="Y33" s="62">
        <f t="shared" si="15"/>
        <v>4.6199999999999998E-2</v>
      </c>
      <c r="Z33" s="62">
        <f t="shared" si="16"/>
        <v>23.325299999999999</v>
      </c>
      <c r="AA33" s="62">
        <f t="shared" si="6"/>
        <v>23.2791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7"/>
        <v>0121-17</v>
      </c>
      <c r="AE33" s="85" t="str">
        <f t="shared" si="8"/>
        <v>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 &amp; aws s3 cp s3://rtdc.mdm.uploadarchive.raw/RTDC4025/ "%USERPROFILE%\AppData\Local\Temp\OnboardLogs"\RTDC4025\2017-02-18 --exclude "*" --recursive --include "*20170218*" &amp; "%USERPROFILE%\Documents\GitHub\mrs-test-scripts\Headless Mode &amp; Sideloading\WalkAndUnGZ.bat" "%USERPROFILE%\AppData\Local\Temp\OnboardLogs"\RTDC4025\2017-02-18</v>
      </c>
      <c r="AF33" s="82" t="str">
        <f t="shared" si="9"/>
        <v>"C:\Program Files (x86)\AstroGrep\AstroGrep.exe" /spath="%USERPROFILE%\AppData\Local\Temp\OnboardLogs" /stypes="app*4025*20170217*" /stext=" 13:.+((SYSTEM_STATE.+slice.+state.+changed )|(ment ac)|(multiple cpu faults)|(system.+state.+changed )|(\[timeout)|(PRM\|1\|D)|(kpr)|(kdp)|(\|lc)|(penalty))" /e /r /s</v>
      </c>
      <c r="AG33" s="1" t="str">
        <f t="shared" si="10"/>
        <v>EC</v>
      </c>
      <c r="AH33" s="86" t="str">
        <f t="shared" si="21"/>
        <v>"%USERPROFILE%\Documents\GitHub\eaglep3\Utilities\RefineRTDCRunTimes.py" --tripid 121-17 --locoid 4025 --swversion DE.1.0.9.0 --startMP 204:462 --initTime 2017-02-17T06:11:29 --startdatetime 2017-02-17T06:15:43 --delay 2 --endMP 204:233253 --enddatetime 2017-02-17T06:51:46 --enforcementcount 0 &gt;&gt;C:\Users\stu\Documents\GitHub\eaglep3-reporting\EC\2017-02-17-refined-times.txt</v>
      </c>
      <c r="AI33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{"issue":{"subject":"","project_id":79,"tracker_id":40,"status_id":1,"priority_id":2,"assigned_to_id":23,"start_date":"2017-02-17","description":"","custom_fields":[{"id":1,"name":"Subdivision","value":"EC"},{"id":4,"name":"Milepost","value":"23.3253"},{"id":17,"name":"Train ID","value":"121-17"},{"id":16,"name":"Locomotive ID","value":"4025"},{"id":130,"name":"Impact","value":""},{"id":150,"name":"Time of Event (Mountain Time)","value":"06:51:46"},{"id":151,"name":"Denver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3"/>
        <v>start /low /b %USERPROFILE%\Documents\GitHub\eaglep3\Utilities\DownloadLogsFromS3.py --loco 4025 --day 2017-02-17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"%USERPROFILE%\AppData\Local\Temp\OnboardLogs"\RTDC4025\*4025*20170217* | grep -SE "(Enforcement Action)|(\[TIMEOUT)|(CHR.+\|PRM\|1\|D.+(SWITCH|SIGNAL).+UNKNOWN)" - &gt;&gt; 2017-02-17-UncaughtWiMAX.txt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503</v>
      </c>
      <c r="B34" s="7">
        <v>4026</v>
      </c>
      <c r="C34" s="21" t="s">
        <v>682</v>
      </c>
      <c r="D34" s="21" t="s">
        <v>703</v>
      </c>
      <c r="E34" s="13">
        <v>42783.296099537038</v>
      </c>
      <c r="F34" s="13">
        <v>42783.299490740741</v>
      </c>
      <c r="G34" s="7">
        <v>1</v>
      </c>
      <c r="H34" s="21" t="s">
        <v>195</v>
      </c>
      <c r="I34" s="13">
        <v>42783.32708333333</v>
      </c>
      <c r="J34" s="7">
        <v>0</v>
      </c>
      <c r="K34" s="98" t="str">
        <f t="shared" si="0"/>
        <v>4025/4026</v>
      </c>
      <c r="L34" s="21" t="str">
        <f>VLOOKUP(A34,'Trips&amp;Operators'!$C$1:$G$99999,5,FALSE)</f>
        <v>STARKS ANGELINA</v>
      </c>
      <c r="M34" s="6">
        <f t="shared" si="1"/>
        <v>2.7592592588916887E-2</v>
      </c>
      <c r="N34" s="7">
        <f t="shared" si="25"/>
        <v>39.733333328040317</v>
      </c>
      <c r="O34" s="7"/>
      <c r="P34" s="7"/>
      <c r="Q34" s="22"/>
      <c r="R34" s="22"/>
      <c r="S34" s="31">
        <f t="shared" si="2"/>
        <v>1</v>
      </c>
      <c r="T34" s="46" t="str">
        <f t="shared" si="3"/>
        <v>Southbound</v>
      </c>
      <c r="U34" s="18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7" t="str">
        <f t="shared" si="4"/>
        <v>https://d0f6bd738d7f1b3e5a7ca70fe4ff75f0.us-east-1.aws.found.io/app/kibana#/discover/Steve-Slow-Train-Analysis-(2080s-and-2083s)?_g=(refreshInterval:(display:Off,pause:!f,section:0,value:0),time:(from:'2017-02-17T06:06:23-0700',mode:absolute,to:'2017-02-17T08:51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4" s="188" t="str">
        <f t="shared" si="5"/>
        <v>N</v>
      </c>
      <c r="X34" s="188">
        <f t="shared" si="24"/>
        <v>1</v>
      </c>
      <c r="Y34" s="62">
        <f t="shared" si="15"/>
        <v>23.292100000000001</v>
      </c>
      <c r="Z34" s="62">
        <f t="shared" si="16"/>
        <v>1.4999999999999999E-2</v>
      </c>
      <c r="AA34" s="62">
        <f t="shared" si="6"/>
        <v>23.277100000000001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7"/>
        <v>0122-17</v>
      </c>
      <c r="AE34" s="85" t="str">
        <f t="shared" si="8"/>
        <v>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 &amp; aws s3 cp s3://rtdc.mdm.uploadarchive.raw/RTDC4026/ "%USERPROFILE%\AppData\Local\Temp\OnboardLogs"\RTDC4026\2017-02-18 --exclude "*" --recursive --include "*20170218*" &amp; "%USERPROFILE%\Documents\GitHub\mrs-test-scripts\Headless Mode &amp; Sideloading\WalkAndUnGZ.bat" "%USERPROFILE%\AppData\Local\Temp\OnboardLogs"\RTDC4026\2017-02-18</v>
      </c>
      <c r="AF34" s="82" t="str">
        <f t="shared" si="9"/>
        <v>"C:\Program Files (x86)\AstroGrep\AstroGrep.exe" /spath="%USERPROFILE%\AppData\Local\Temp\OnboardLogs" /stypes="app*4026*20170217*" /stext=" 14:.+((SYSTEM_STATE.+slice.+state.+changed )|(ment ac)|(multiple cpu faults)|(system.+state.+changed )|(\[timeout)|(PRM\|1\|D)|(kpr)|(kdp)|(\|lc)|(penalty))" /e /r /s</v>
      </c>
      <c r="AG34" s="1" t="str">
        <f t="shared" si="10"/>
        <v>EC</v>
      </c>
      <c r="AH34" s="86" t="str">
        <f t="shared" si="21"/>
        <v>"%USERPROFILE%\Documents\GitHub\eaglep3\Utilities\RefineRTDCRunTimes.py" --tripid 122-17 --locoid 4026 --swversion DE.1.0.9.0 --startMP 204:232921 --initTime 2017-02-17T07:06:23 --startdatetime 2017-02-17T07:11:16 --delay 1 --endMP 204:150 --enddatetime 2017-02-17T07:51:00 --enforcementcount 0 &gt;&gt;C:\Users\stu\Documents\GitHub\eaglep3-reporting\EC\2017-02-17-refined-times.txt</v>
      </c>
      <c r="AI34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{"issue":{"subject":"","project_id":79,"tracker_id":40,"status_id":1,"priority_id":2,"assigned_to_id":23,"start_date":"2017-02-17","description":"","custom_fields":[{"id":1,"name":"Subdivision","value":"EC"},{"id":4,"name":"Milepost","value":"0.015"},{"id":17,"name":"Train ID","value":"122-17"},{"id":16,"name":"Locomotive ID","value":"4026"},{"id":130,"name":"Impact","value":""},{"id":150,"name":"Time of Event (Mountain Time)","value":"07:51:00"},{"id":151,"name":"Denver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3"/>
        <v>start /low /b %USERPROFILE%\Documents\GitHub\eaglep3\Utilities\DownloadLogsFromS3.py --loco 4026 --day 2017-02-17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"%USERPROFILE%\AppData\Local\Temp\OnboardLogs"\RTDC4026\*4026*20170217* | grep -SE "(Enforcement Action)|(\[TIMEOUT)|(CHR.+\|PRM\|1\|D.+(SWITCH|SIGNAL).+UNKNOWN)" - &gt;&gt; 2017-02-17-UncaughtWiMAX.txt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496</v>
      </c>
      <c r="B35" s="7">
        <v>4016</v>
      </c>
      <c r="C35" s="21" t="s">
        <v>682</v>
      </c>
      <c r="D35" s="21" t="s">
        <v>207</v>
      </c>
      <c r="E35" s="13">
        <v>42783.268726851849</v>
      </c>
      <c r="F35" s="13">
        <v>42783.271203703705</v>
      </c>
      <c r="G35" s="7">
        <v>1</v>
      </c>
      <c r="H35" s="21" t="s">
        <v>283</v>
      </c>
      <c r="I35" s="13">
        <v>42783.296446759261</v>
      </c>
      <c r="J35" s="7">
        <v>0</v>
      </c>
      <c r="K35" s="98" t="str">
        <f t="shared" si="0"/>
        <v>4015/4016</v>
      </c>
      <c r="L35" s="21" t="str">
        <f>VLOOKUP(A35,'Trips&amp;Operators'!$C$1:$G$99999,5,FALSE)</f>
        <v>LOZA FIDEL</v>
      </c>
      <c r="M35" s="6">
        <f t="shared" si="1"/>
        <v>2.5243055555620231E-2</v>
      </c>
      <c r="N35" s="7">
        <f t="shared" si="25"/>
        <v>36.350000000093132</v>
      </c>
      <c r="O35" s="7"/>
      <c r="P35" s="7"/>
      <c r="Q35" s="22"/>
      <c r="R35" s="22"/>
      <c r="S35" s="31">
        <f t="shared" si="2"/>
        <v>1</v>
      </c>
      <c r="T35" s="46" t="str">
        <f t="shared" si="3"/>
        <v>NorthBound</v>
      </c>
      <c r="U35" s="18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7" t="str">
        <f t="shared" si="4"/>
        <v>https://d0f6bd738d7f1b3e5a7ca70fe4ff75f0.us-east-1.aws.found.io/app/kibana#/discover/Steve-Slow-Train-Analysis-(2080s-and-2083s)?_g=(refreshInterval:(display:Off,pause:!f,section:0,value:0),time:(from:'2017-02-17T05:26:58-0700',mode:absolute,to:'2017-02-17T08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5" s="188" t="str">
        <f t="shared" si="5"/>
        <v>N</v>
      </c>
      <c r="X35" s="188">
        <f t="shared" si="24"/>
        <v>1</v>
      </c>
      <c r="Y35" s="62">
        <f t="shared" si="15"/>
        <v>4.4900000000000002E-2</v>
      </c>
      <c r="Z35" s="62">
        <f t="shared" si="16"/>
        <v>23.331199999999999</v>
      </c>
      <c r="AA35" s="62">
        <f t="shared" si="6"/>
        <v>23.286300000000001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7"/>
        <v>0123-17</v>
      </c>
      <c r="AE35" s="85" t="str">
        <f t="shared" si="8"/>
        <v>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 &amp; 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</v>
      </c>
      <c r="AF35" s="82" t="str">
        <f t="shared" si="9"/>
        <v>"C:\Program Files (x86)\AstroGrep\AstroGrep.exe" /spath="%USERPROFILE%\AppData\Local\Temp\OnboardLogs" /stypes="app*4016*20170217*" /stext=" 14:.+((SYSTEM_STATE.+slice.+state.+changed )|(ment ac)|(multiple cpu faults)|(system.+state.+changed )|(\[timeout)|(PRM\|1\|D)|(kpr)|(kdp)|(\|lc)|(penalty))" /e /r /s</v>
      </c>
      <c r="AG35" s="1" t="str">
        <f t="shared" si="10"/>
        <v>EC</v>
      </c>
      <c r="AH35" s="86" t="str">
        <f t="shared" si="21"/>
        <v>"%USERPROFILE%\Documents\GitHub\eaglep3\Utilities\RefineRTDCRunTimes.py" --tripid 123-17 --locoid 4016 --swversion DE.1.0.9.0 --startMP 204:449 --initTime 2017-02-17T06:26:58 --startdatetime 2017-02-17T06:30:32 --delay 1 --endMP 204:233312 --enddatetime 2017-02-17T07:06:53 --enforcementcount 0 &gt;&gt;C:\Users\stu\Documents\GitHub\eaglep3-reporting\EC\2017-02-17-refined-times.txt</v>
      </c>
      <c r="AI35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{"issue":{"subject":"","project_id":79,"tracker_id":40,"status_id":1,"priority_id":2,"assigned_to_id":23,"start_date":"2017-02-17","description":"","custom_fields":[{"id":1,"name":"Subdivision","value":"EC"},{"id":4,"name":"Milepost","value":"23.3312"},{"id":17,"name":"Train ID","value":"123-17"},{"id":16,"name":"Locomotive ID","value":"4016"},{"id":130,"name":"Impact","value":""},{"id":150,"name":"Time of Event (Mountain Time)","value":"07:06:53"},{"id":151,"name":"Denver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3"/>
        <v>start /low /b %USERPROFILE%\Documents\GitHub\eaglep3\Utilities\DownloadLogsFromS3.py --loco 4016 --day 2017-02-17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"%USERPROFILE%\AppData\Local\Temp\OnboardLogs"\RTDC4016\*4016*20170217* | grep -SE "(Enforcement Action)|(\[TIMEOUT)|(CHR.+\|PRM\|1\|D.+(SWITCH|SIGNAL).+UNKNOWN)" - &gt;&gt; 2017-02-17-UncaughtWiMAX.txt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507</v>
      </c>
      <c r="B36" s="7">
        <v>4015</v>
      </c>
      <c r="C36" s="21" t="s">
        <v>682</v>
      </c>
      <c r="D36" s="21" t="s">
        <v>701</v>
      </c>
      <c r="E36" s="13">
        <v>42783.304224537038</v>
      </c>
      <c r="F36" s="13">
        <v>42783.310335648152</v>
      </c>
      <c r="G36" s="7">
        <v>3</v>
      </c>
      <c r="H36" s="21" t="s">
        <v>184</v>
      </c>
      <c r="I36" s="13">
        <v>42783.336493055554</v>
      </c>
      <c r="J36" s="7">
        <v>0</v>
      </c>
      <c r="K36" s="98" t="str">
        <f t="shared" si="0"/>
        <v>4015/4016</v>
      </c>
      <c r="L36" s="21" t="str">
        <f>VLOOKUP(A36,'Trips&amp;Operators'!$C$1:$G$99999,5,FALSE)</f>
        <v>LOZA FIDEL</v>
      </c>
      <c r="M36" s="6">
        <f t="shared" si="1"/>
        <v>2.6157407402934041E-2</v>
      </c>
      <c r="N36" s="7">
        <f t="shared" si="25"/>
        <v>37.666666660225019</v>
      </c>
      <c r="O36" s="7"/>
      <c r="P36" s="7"/>
      <c r="Q36" s="22"/>
      <c r="R36" s="22"/>
      <c r="S36" s="31">
        <f t="shared" si="2"/>
        <v>1</v>
      </c>
      <c r="T36" s="46" t="str">
        <f t="shared" si="3"/>
        <v>Southbound</v>
      </c>
      <c r="U36" s="18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7" t="str">
        <f t="shared" si="4"/>
        <v>https://d0f6bd738d7f1b3e5a7ca70fe4ff75f0.us-east-1.aws.found.io/app/kibana#/discover/Steve-Slow-Train-Analysis-(2080s-and-2083s)?_g=(refreshInterval:(display:Off,pause:!f,section:0,value:0),time:(from:'2017-02-17T06:18:05-0700',mode:absolute,to:'2017-02-17T09:04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6" s="188" t="str">
        <f t="shared" si="5"/>
        <v>N</v>
      </c>
      <c r="X36" s="188">
        <f t="shared" si="24"/>
        <v>1</v>
      </c>
      <c r="Y36" s="62">
        <f t="shared" si="15"/>
        <v>23.3</v>
      </c>
      <c r="Z36" s="62">
        <f t="shared" si="16"/>
        <v>1.49E-2</v>
      </c>
      <c r="AA36" s="62">
        <f t="shared" si="6"/>
        <v>23.2851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7"/>
        <v>0124-17</v>
      </c>
      <c r="AE36" s="85" t="str">
        <f t="shared" si="8"/>
        <v>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 &amp; 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</v>
      </c>
      <c r="AF36" s="82" t="str">
        <f t="shared" si="9"/>
        <v>"C:\Program Files (x86)\AstroGrep\AstroGrep.exe" /spath="%USERPROFILE%\AppData\Local\Temp\OnboardLogs" /stypes="app*4015*20170217*" /stext=" 15:.+((SYSTEM_STATE.+slice.+state.+changed )|(ment ac)|(multiple cpu faults)|(system.+state.+changed )|(\[timeout)|(PRM\|1\|D)|(kpr)|(kdp)|(\|lc)|(penalty))" /e /r /s</v>
      </c>
      <c r="AG36" s="1" t="str">
        <f t="shared" si="10"/>
        <v>EC</v>
      </c>
      <c r="AH36" s="86" t="str">
        <f t="shared" si="21"/>
        <v>"%USERPROFILE%\Documents\GitHub\eaglep3\Utilities\RefineRTDCRunTimes.py" --tripid 124-17 --locoid 4015 --swversion DE.1.0.9.0 --startMP 204:233000 --initTime 2017-02-17T07:18:05 --startdatetime 2017-02-17T07:26:53 --delay 3 --endMP 204:149 --enddatetime 2017-02-17T08:04:33 --enforcementcount 0 &gt;&gt;C:\Users\stu\Documents\GitHub\eaglep3-reporting\EC\2017-02-17-refined-times.txt</v>
      </c>
      <c r="AI36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{"issue":{"subject":"","project_id":79,"tracker_id":40,"status_id":1,"priority_id":2,"assigned_to_id":23,"start_date":"2017-02-17","description":"","custom_fields":[{"id":1,"name":"Subdivision","value":"EC"},{"id":4,"name":"Milepost","value":"0.0149"},{"id":17,"name":"Train ID","value":"124-17"},{"id":16,"name":"Locomotive ID","value":"4015"},{"id":130,"name":"Impact","value":""},{"id":150,"name":"Time of Event (Mountain Time)","value":"08:04:33"},{"id":151,"name":"Denver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3"/>
        <v>start /low /b %USERPROFILE%\Documents\GitHub\eaglep3\Utilities\DownloadLogsFromS3.py --loco 4015 --day 2017-02-17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"%USERPROFILE%\AppData\Local\Temp\OnboardLogs"\RTDC4015\*4015*20170217* | grep -SE "(Enforcement Action)|(\[TIMEOUT)|(CHR.+\|PRM\|1\|D.+(SWITCH|SIGNAL).+UNKNOWN)" - &gt;&gt; 2017-02-17-UncaughtWiMAX.txt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498</v>
      </c>
      <c r="B37" s="7">
        <v>4044</v>
      </c>
      <c r="C37" s="21" t="s">
        <v>682</v>
      </c>
      <c r="D37" s="21" t="s">
        <v>320</v>
      </c>
      <c r="E37" s="13">
        <v>42783.275185185186</v>
      </c>
      <c r="F37" s="13">
        <v>42783.281458333331</v>
      </c>
      <c r="G37" s="7">
        <v>1</v>
      </c>
      <c r="H37" s="21" t="s">
        <v>704</v>
      </c>
      <c r="I37" s="13">
        <v>42783.307037037041</v>
      </c>
      <c r="J37" s="7">
        <v>0</v>
      </c>
      <c r="K37" s="98" t="str">
        <f t="shared" si="0"/>
        <v>4043/4044</v>
      </c>
      <c r="L37" s="21" t="str">
        <f>VLOOKUP(A37,'Trips&amp;Operators'!$C$1:$G$99999,5,FALSE)</f>
        <v>BONDS REYNALDO</v>
      </c>
      <c r="M37" s="6">
        <f t="shared" si="1"/>
        <v>2.5578703709470574E-2</v>
      </c>
      <c r="N37" s="7">
        <f t="shared" si="25"/>
        <v>36.833333341637626</v>
      </c>
      <c r="O37" s="7"/>
      <c r="P37" s="7"/>
      <c r="Q37" s="22"/>
      <c r="R37" s="22"/>
      <c r="S37" s="31">
        <f t="shared" si="2"/>
        <v>1</v>
      </c>
      <c r="T37" s="46" t="str">
        <f t="shared" si="3"/>
        <v>NorthBound</v>
      </c>
      <c r="U37" s="18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7" t="str">
        <f t="shared" si="4"/>
        <v>https://d0f6bd738d7f1b3e5a7ca70fe4ff75f0.us-east-1.aws.found.io/app/kibana#/discover/Steve-Slow-Train-Analysis-(2080s-and-2083s)?_g=(refreshInterval:(display:Off,pause:!f,section:0,value:0),time:(from:'2017-02-17T05:36:16-0700',mode:absolute,to:'2017-02-17T08:22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7" s="188" t="str">
        <f t="shared" si="5"/>
        <v>N</v>
      </c>
      <c r="X37" s="188">
        <f t="shared" si="24"/>
        <v>1</v>
      </c>
      <c r="Y37" s="62">
        <f t="shared" si="15"/>
        <v>4.7300000000000002E-2</v>
      </c>
      <c r="Z37" s="62">
        <f t="shared" si="16"/>
        <v>23.328600000000002</v>
      </c>
      <c r="AA37" s="62">
        <f t="shared" si="6"/>
        <v>23.281300000000002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7"/>
        <v>0125-17</v>
      </c>
      <c r="AE37" s="85" t="str">
        <f t="shared" si="8"/>
        <v>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 &amp; 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</v>
      </c>
      <c r="AF37" s="82" t="str">
        <f t="shared" si="9"/>
        <v>"C:\Program Files (x86)\AstroGrep\AstroGrep.exe" /spath="%USERPROFILE%\AppData\Local\Temp\OnboardLogs" /stypes="app*4044*20170217*" /stext=" 14:.+((SYSTEM_STATE.+slice.+state.+changed )|(ment ac)|(multiple cpu faults)|(system.+state.+changed )|(\[timeout)|(PRM\|1\|D)|(kpr)|(kdp)|(\|lc)|(penalty))" /e /r /s</v>
      </c>
      <c r="AG37" s="1" t="str">
        <f t="shared" si="10"/>
        <v>EC</v>
      </c>
      <c r="AH37" s="86" t="str">
        <f t="shared" si="21"/>
        <v>"%USERPROFILE%\Documents\GitHub\eaglep3\Utilities\RefineRTDCRunTimes.py" --tripid 125-17 --locoid 4044 --swversion DE.1.0.9.0 --startMP 204:473 --initTime 2017-02-17T06:36:16 --startdatetime 2017-02-17T06:45:18 --delay 1 --endMP 204:233286 --enddatetime 2017-02-17T07:22:08 --enforcementcount 0 &gt;&gt;C:\Users\stu\Documents\GitHub\eaglep3-reporting\EC\2017-02-17-refined-times.txt</v>
      </c>
      <c r="AI37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{"issue":{"subject":"","project_id":79,"tracker_id":40,"status_id":1,"priority_id":2,"assigned_to_id":23,"start_date":"2017-02-17","description":"","custom_fields":[{"id":1,"name":"Subdivision","value":"EC"},{"id":4,"name":"Milepost","value":"23.3286"},{"id":17,"name":"Train ID","value":"125-17"},{"id":16,"name":"Locomotive ID","value":"4044"},{"id":130,"name":"Impact","value":""},{"id":150,"name":"Time of Event (Mountain Time)","value":"07:22:08"},{"id":151,"name":"Denver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3"/>
        <v>start /low /b %USERPROFILE%\Documents\GitHub\eaglep3\Utilities\DownloadLogsFromS3.py --loco 4044 --day 2017-02-17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"%USERPROFILE%\AppData\Local\Temp\OnboardLogs"\RTDC4044\*4044*20170217* | grep -SE "(Enforcement Action)|(\[TIMEOUT)|(CHR.+\|PRM\|1\|D.+(SWITCH|SIGNAL).+UNKNOWN)" - &gt;&gt; 2017-02-17-UncaughtWiMAX.txt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510</v>
      </c>
      <c r="B38" s="7">
        <v>4043</v>
      </c>
      <c r="C38" s="21" t="s">
        <v>682</v>
      </c>
      <c r="D38" s="21" t="s">
        <v>399</v>
      </c>
      <c r="E38" s="13">
        <v>42783.312222222223</v>
      </c>
      <c r="F38" s="13">
        <v>42783.320405092592</v>
      </c>
      <c r="G38" s="7">
        <v>1</v>
      </c>
      <c r="H38" s="21" t="s">
        <v>373</v>
      </c>
      <c r="I38" s="13">
        <v>42783.348124999997</v>
      </c>
      <c r="J38" s="7">
        <v>0</v>
      </c>
      <c r="K38" s="98" t="str">
        <f t="shared" si="0"/>
        <v>4043/4044</v>
      </c>
      <c r="L38" s="21" t="str">
        <f>VLOOKUP(A38,'Trips&amp;Operators'!$C$1:$G$99999,5,FALSE)</f>
        <v>BONDS REYNALDO</v>
      </c>
      <c r="M38" s="6">
        <f t="shared" si="1"/>
        <v>2.7719907404389232E-2</v>
      </c>
      <c r="N38" s="7">
        <f t="shared" si="25"/>
        <v>39.916666662320495</v>
      </c>
      <c r="O38" s="7"/>
      <c r="P38" s="7"/>
      <c r="Q38" s="22"/>
      <c r="R38" s="22"/>
      <c r="S38" s="31">
        <f t="shared" si="2"/>
        <v>1</v>
      </c>
      <c r="T38" s="46" t="str">
        <f t="shared" si="3"/>
        <v>Southbound</v>
      </c>
      <c r="U38" s="18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7" t="str">
        <f t="shared" si="4"/>
        <v>https://d0f6bd738d7f1b3e5a7ca70fe4ff75f0.us-east-1.aws.found.io/app/kibana#/discover/Steve-Slow-Train-Analysis-(2080s-and-2083s)?_g=(refreshInterval:(display:Off,pause:!f,section:0,value:0),time:(from:'2017-02-17T06:29:36-0700',mode:absolute,to:'2017-02-17T09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8" s="188" t="str">
        <f t="shared" si="5"/>
        <v>N</v>
      </c>
      <c r="X38" s="188">
        <f t="shared" si="24"/>
        <v>1</v>
      </c>
      <c r="Y38" s="62">
        <f t="shared" si="15"/>
        <v>23.298200000000001</v>
      </c>
      <c r="Z38" s="62">
        <f t="shared" si="16"/>
        <v>1.2999999999999999E-2</v>
      </c>
      <c r="AA38" s="62">
        <f t="shared" si="6"/>
        <v>23.2852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7"/>
        <v>0126-17</v>
      </c>
      <c r="AE38" s="85" t="str">
        <f t="shared" si="8"/>
        <v>aws s3 cp s3://rtdc.mdm.uploadarchive.raw/RTDC4043/ "%USERPROFILE%\AppData\Local\Temp\OnboardLogs"\RTDC4043\2017-02-17 --exclude "*" --recursive --include "*20170217*" &amp; "%USERPROFILE%\Documents\GitHub\mrs-test-scripts\Headless Mode &amp; Sideloading\WalkAndUnGZ.bat" "%USERPROFILE%\AppData\Local\Temp\OnboardLogs"\RTDC4043\2017-02-17 &amp; aws s3 cp s3://rtdc.mdm.uploadarchive.raw/RTDC4043/ "%USERPROFILE%\AppData\Local\Temp\OnboardLogs"\RTDC4043\2017-02-18 --exclude "*" --recursive --include "*20170218*" &amp; "%USERPROFILE%\Documents\GitHub\mrs-test-scripts\Headless Mode &amp; Sideloading\WalkAndUnGZ.bat" "%USERPROFILE%\AppData\Local\Temp\OnboardLogs"\RTDC4043\2017-02-18</v>
      </c>
      <c r="AF38" s="82" t="str">
        <f t="shared" si="9"/>
        <v>"C:\Program Files (x86)\AstroGrep\AstroGrep.exe" /spath="%USERPROFILE%\AppData\Local\Temp\OnboardLogs" /stypes="app*4043*20170217*" /stext=" 15:.+((SYSTEM_STATE.+slice.+state.+changed )|(ment ac)|(multiple cpu faults)|(system.+state.+changed )|(\[timeout)|(PRM\|1\|D)|(kpr)|(kdp)|(\|lc)|(penalty))" /e /r /s</v>
      </c>
      <c r="AG38" s="1" t="str">
        <f t="shared" si="10"/>
        <v>EC</v>
      </c>
      <c r="AH38" s="86" t="str">
        <f t="shared" si="21"/>
        <v>"%USERPROFILE%\Documents\GitHub\eaglep3\Utilities\RefineRTDCRunTimes.py" --tripid 126-17 --locoid 4043 --swversion DE.1.0.9.0 --startMP 204:232982 --initTime 2017-02-17T07:29:36 --startdatetime 2017-02-17T07:41:23 --delay 1 --endMP 204:130 --enddatetime 2017-02-17T08:21:18 --enforcementcount 0 &gt;&gt;C:\Users\stu\Documents\GitHub\eaglep3-reporting\EC\2017-02-17-refined-times.txt</v>
      </c>
      <c r="AI38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{"issue":{"subject":"","project_id":79,"tracker_id":40,"status_id":1,"priority_id":2,"assigned_to_id":23,"start_date":"2017-02-17","description":"","custom_fields":[{"id":1,"name":"Subdivision","value":"EC"},{"id":4,"name":"Milepost","value":"0.013"},{"id":17,"name":"Train ID","value":"126-17"},{"id":16,"name":"Locomotive ID","value":"4043"},{"id":130,"name":"Impact","value":""},{"id":150,"name":"Time of Event (Mountain Time)","value":"08:21:18"},{"id":151,"name":"Denver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3"/>
        <v>start /low /b %USERPROFILE%\Documents\GitHub\eaglep3\Utilities\DownloadLogsFromS3.py --loco 4043 --day 2017-02-17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"%USERPROFILE%\AppData\Local\Temp\OnboardLogs"\RTDC4043\*4043*20170217* | grep -SE "(Enforcement Action)|(\[TIMEOUT)|(CHR.+\|PRM\|1\|D.+(SWITCH|SIGNAL).+UNKNOWN)" - &gt;&gt; 2017-02-17-UncaughtWiMAX.txt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500</v>
      </c>
      <c r="B39" s="7">
        <v>4027</v>
      </c>
      <c r="C39" s="21" t="s">
        <v>682</v>
      </c>
      <c r="D39" s="21" t="s">
        <v>410</v>
      </c>
      <c r="E39" s="13">
        <v>42783.288101851853</v>
      </c>
      <c r="F39" s="13">
        <v>42783.291828703703</v>
      </c>
      <c r="G39" s="7">
        <v>1</v>
      </c>
      <c r="H39" s="21" t="s">
        <v>705</v>
      </c>
      <c r="I39" s="13">
        <v>42783.317615740743</v>
      </c>
      <c r="J39" s="7">
        <v>0</v>
      </c>
      <c r="K39" s="98" t="str">
        <f t="shared" si="0"/>
        <v>4027/4028</v>
      </c>
      <c r="L39" s="21" t="str">
        <f>VLOOKUP(A39,'Trips&amp;Operators'!$C$1:$G$99999,5,FALSE)</f>
        <v>BADERTSCHER DIANE</v>
      </c>
      <c r="M39" s="6">
        <f t="shared" si="1"/>
        <v>2.5787037040572613E-2</v>
      </c>
      <c r="N39" s="7">
        <f t="shared" si="25"/>
        <v>37.133333338424563</v>
      </c>
      <c r="O39" s="7"/>
      <c r="P39" s="7"/>
      <c r="Q39" s="22"/>
      <c r="R39" s="22"/>
      <c r="S39" s="31">
        <f t="shared" si="2"/>
        <v>1</v>
      </c>
      <c r="T39" s="46" t="str">
        <f t="shared" si="3"/>
        <v>NorthBound</v>
      </c>
      <c r="U39" s="18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7" t="str">
        <f t="shared" si="4"/>
        <v>https://d0f6bd738d7f1b3e5a7ca70fe4ff75f0.us-east-1.aws.found.io/app/kibana#/discover/Steve-Slow-Train-Analysis-(2080s-and-2083s)?_g=(refreshInterval:(display:Off,pause:!f,section:0,value:0),time:(from:'2017-02-17T05:54:52-0700',mode:absolute,to:'2017-02-17T08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9" s="188" t="str">
        <f t="shared" si="5"/>
        <v>N</v>
      </c>
      <c r="X39" s="188">
        <f t="shared" si="24"/>
        <v>1</v>
      </c>
      <c r="Y39" s="62">
        <f t="shared" si="15"/>
        <v>4.6600000000000003E-2</v>
      </c>
      <c r="Z39" s="62">
        <f t="shared" si="16"/>
        <v>23.327000000000002</v>
      </c>
      <c r="AA39" s="62">
        <f t="shared" si="6"/>
        <v>23.2804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7"/>
        <v>0127-17</v>
      </c>
      <c r="AE39" s="85" t="str">
        <f t="shared" si="8"/>
        <v>aws s3 cp s3://rtdc.mdm.uploadarchive.raw/RTDC4027/ "%USERPROFILE%\AppData\Local\Temp\OnboardLogs"\RTDC4027\2017-02-17 --exclude "*" --recursive --include "*20170217*" &amp; "%USERPROFILE%\Documents\GitHub\mrs-test-scripts\Headless Mode &amp; Sideloading\WalkAndUnGZ.bat" "%USERPROFILE%\AppData\Local\Temp\OnboardLogs"\RTDC4027\2017-02-17 &amp; 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</v>
      </c>
      <c r="AF39" s="82" t="str">
        <f t="shared" si="9"/>
        <v>"C:\Program Files (x86)\AstroGrep\AstroGrep.exe" /spath="%USERPROFILE%\AppData\Local\Temp\OnboardLogs" /stypes="app*4027*20170217*" /stext=" 14:.+((SYSTEM_STATE.+slice.+state.+changed )|(ment ac)|(multiple cpu faults)|(system.+state.+changed )|(\[timeout)|(PRM\|1\|D)|(kpr)|(kdp)|(\|lc)|(penalty))" /e /r /s</v>
      </c>
      <c r="AG39" s="1" t="str">
        <f t="shared" si="10"/>
        <v>EC</v>
      </c>
      <c r="AH39" s="86" t="str">
        <f t="shared" si="21"/>
        <v>"%USERPROFILE%\Documents\GitHub\eaglep3\Utilities\RefineRTDCRunTimes.py" --tripid 127-17 --locoid 4027 --swversion DE.1.0.9.0 --startMP 204:466 --initTime 2017-02-17T06:54:52 --startdatetime 2017-02-17T07:00:14 --delay 1 --endMP 204:233270 --enddatetime 2017-02-17T07:37:22 --enforcementcount 0 &gt;&gt;C:\Users\stu\Documents\GitHub\eaglep3-reporting\EC\2017-02-17-refined-times.txt</v>
      </c>
      <c r="AI39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{"issue":{"subject":"","project_id":79,"tracker_id":40,"status_id":1,"priority_id":2,"assigned_to_id":23,"start_date":"2017-02-17","description":"","custom_fields":[{"id":1,"name":"Subdivision","value":"EC"},{"id":4,"name":"Milepost","value":"23.327"},{"id":17,"name":"Train ID","value":"127-17"},{"id":16,"name":"Locomotive ID","value":"4027"},{"id":130,"name":"Impact","value":""},{"id":150,"name":"Time of Event (Mountain Time)","value":"07:37:22"},{"id":151,"name":"Denver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3"/>
        <v>start /low /b %USERPROFILE%\Documents\GitHub\eaglep3\Utilities\DownloadLogsFromS3.py --loco 4027 --day 2017-02-17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"%USERPROFILE%\AppData\Local\Temp\OnboardLogs"\RTDC4027\*4027*20170217* | grep -SE "(Enforcement Action)|(\[TIMEOUT)|(CHR.+\|PRM\|1\|D.+(SWITCH|SIGNAL).+UNKNOWN)" - &gt;&gt; 2017-02-17-UncaughtWiMAX.txt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513</v>
      </c>
      <c r="B40" s="7">
        <v>4028</v>
      </c>
      <c r="C40" s="21" t="s">
        <v>682</v>
      </c>
      <c r="D40" s="21" t="s">
        <v>706</v>
      </c>
      <c r="E40" s="13">
        <v>42783.319201388891</v>
      </c>
      <c r="F40" s="13">
        <v>42783.330740740741</v>
      </c>
      <c r="G40" s="7">
        <v>1</v>
      </c>
      <c r="H40" s="21" t="s">
        <v>707</v>
      </c>
      <c r="I40" s="13">
        <v>42783.358159722222</v>
      </c>
      <c r="J40" s="7">
        <v>0</v>
      </c>
      <c r="K40" s="98" t="str">
        <f t="shared" si="0"/>
        <v>4027/4028</v>
      </c>
      <c r="L40" s="21" t="str">
        <f>VLOOKUP(A40,'Trips&amp;Operators'!$C$1:$G$99999,5,FALSE)</f>
        <v>BADERTSCHER DIANE</v>
      </c>
      <c r="M40" s="6">
        <f t="shared" si="1"/>
        <v>2.7418981480877846E-2</v>
      </c>
      <c r="N40" s="7">
        <f t="shared" si="25"/>
        <v>39.483333332464099</v>
      </c>
      <c r="O40" s="7"/>
      <c r="P40" s="7"/>
      <c r="Q40" s="22"/>
      <c r="R40" s="22"/>
      <c r="S40" s="31">
        <f t="shared" si="2"/>
        <v>1</v>
      </c>
      <c r="T40" s="46" t="str">
        <f t="shared" si="3"/>
        <v>Southbound</v>
      </c>
      <c r="U40" s="18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7" t="str">
        <f t="shared" si="4"/>
        <v>https://d0f6bd738d7f1b3e5a7ca70fe4ff75f0.us-east-1.aws.found.io/app/kibana#/discover/Steve-Slow-Train-Analysis-(2080s-and-2083s)?_g=(refreshInterval:(display:Off,pause:!f,section:0,value:0),time:(from:'2017-02-17T06:39:39-0700',mode:absolute,to:'2017-02-17T09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0" s="188" t="str">
        <f t="shared" si="5"/>
        <v>N</v>
      </c>
      <c r="X40" s="188">
        <f t="shared" si="24"/>
        <v>1</v>
      </c>
      <c r="Y40" s="62">
        <f t="shared" si="15"/>
        <v>23.295100000000001</v>
      </c>
      <c r="Z40" s="62">
        <f t="shared" si="16"/>
        <v>1.9199999999999998E-2</v>
      </c>
      <c r="AA40" s="62">
        <f t="shared" si="6"/>
        <v>23.2759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7"/>
        <v>0128-17</v>
      </c>
      <c r="AE40" s="85" t="str">
        <f t="shared" si="8"/>
        <v>aws s3 cp s3://rtdc.mdm.uploadarchive.raw/RTDC4028/ "%USERPROFILE%\AppData\Local\Temp\OnboardLogs"\RTDC4028\2017-02-17 --exclude "*" --recursive --include "*20170217*" &amp; "%USERPROFILE%\Documents\GitHub\mrs-test-scripts\Headless Mode &amp; Sideloading\WalkAndUnGZ.bat" "%USERPROFILE%\AppData\Local\Temp\OnboardLogs"\RTDC4028\2017-02-17 &amp; 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</v>
      </c>
      <c r="AF40" s="82" t="str">
        <f t="shared" si="9"/>
        <v>"C:\Program Files (x86)\AstroGrep\AstroGrep.exe" /spath="%USERPROFILE%\AppData\Local\Temp\OnboardLogs" /stypes="app*4028*20170217*" /stext=" 15:.+((SYSTEM_STATE.+slice.+state.+changed )|(ment ac)|(multiple cpu faults)|(system.+state.+changed )|(\[timeout)|(PRM\|1\|D)|(kpr)|(kdp)|(\|lc)|(penalty))" /e /r /s</v>
      </c>
      <c r="AG40" s="1" t="str">
        <f t="shared" si="10"/>
        <v>EC</v>
      </c>
      <c r="AH40" s="86" t="str">
        <f t="shared" si="21"/>
        <v>"%USERPROFILE%\Documents\GitHub\eaglep3\Utilities\RefineRTDCRunTimes.py" --tripid 128-17 --locoid 4028 --swversion DE.1.0.9.0 --startMP 204:232951 --initTime 2017-02-17T07:39:39 --startdatetime 2017-02-17T07:56:16 --delay 1 --endMP 204:192 --enddatetime 2017-02-17T08:35:45 --enforcementcount 0 &gt;&gt;C:\Users\stu\Documents\GitHub\eaglep3-reporting\EC\2017-02-17-refined-times.txt</v>
      </c>
      <c r="AI40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{"issue":{"subject":"","project_id":79,"tracker_id":40,"status_id":1,"priority_id":2,"assigned_to_id":23,"start_date":"2017-02-17","description":"","custom_fields":[{"id":1,"name":"Subdivision","value":"EC"},{"id":4,"name":"Milepost","value":"0.0192"},{"id":17,"name":"Train ID","value":"128-17"},{"id":16,"name":"Locomotive ID","value":"4028"},{"id":130,"name":"Impact","value":""},{"id":150,"name":"Time of Event (Mountain Time)","value":"08:35:45"},{"id":151,"name":"Denver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3"/>
        <v>start /low /b %USERPROFILE%\Documents\GitHub\eaglep3\Utilities\DownloadLogsFromS3.py --loco 4028 --day 2017-02-17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"%USERPROFILE%\AppData\Local\Temp\OnboardLogs"\RTDC4028\*4028*20170217* | grep -SE "(Enforcement Action)|(\[TIMEOUT)|(CHR.+\|PRM\|1\|D.+(SWITCH|SIGNAL).+UNKNOWN)" - &gt;&gt; 2017-02-17-UncaughtWiMAX.txt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504</v>
      </c>
      <c r="B41" s="7">
        <v>4046</v>
      </c>
      <c r="C41" s="21" t="s">
        <v>682</v>
      </c>
      <c r="D41" s="21" t="s">
        <v>263</v>
      </c>
      <c r="E41" s="13">
        <v>42783.298935185187</v>
      </c>
      <c r="F41" s="13">
        <v>42783.30228009259</v>
      </c>
      <c r="G41" s="7">
        <v>1</v>
      </c>
      <c r="H41" s="21" t="s">
        <v>708</v>
      </c>
      <c r="I41" s="13">
        <v>42783.32984953704</v>
      </c>
      <c r="J41" s="7">
        <v>0</v>
      </c>
      <c r="K41" s="98" t="str">
        <f t="shared" si="0"/>
        <v>4045/4046</v>
      </c>
      <c r="L41" s="21" t="str">
        <f>VLOOKUP(A41,'Trips&amp;Operators'!$C$1:$G$99999,5,FALSE)</f>
        <v>YANAI IAN</v>
      </c>
      <c r="M41" s="6">
        <f t="shared" si="1"/>
        <v>2.7569444449909497E-2</v>
      </c>
      <c r="N41" s="7">
        <f t="shared" si="25"/>
        <v>39.700000007869676</v>
      </c>
      <c r="O41" s="7"/>
      <c r="P41" s="7"/>
      <c r="Q41" s="22"/>
      <c r="R41" s="22"/>
      <c r="S41" s="31">
        <f t="shared" si="2"/>
        <v>1</v>
      </c>
      <c r="T41" s="46" t="str">
        <f t="shared" si="3"/>
        <v>NorthBound</v>
      </c>
      <c r="U41" s="18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7" t="str">
        <f t="shared" si="4"/>
        <v>https://d0f6bd738d7f1b3e5a7ca70fe4ff75f0.us-east-1.aws.found.io/app/kibana#/discover/Steve-Slow-Train-Analysis-(2080s-and-2083s)?_g=(refreshInterval:(display:Off,pause:!f,section:0,value:0),time:(from:'2017-02-17T06:10:28-0700',mode:absolute,to:'2017-02-17T08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1" s="188" t="str">
        <f t="shared" si="5"/>
        <v>N</v>
      </c>
      <c r="X41" s="188">
        <f t="shared" si="24"/>
        <v>1</v>
      </c>
      <c r="Y41" s="62">
        <f t="shared" si="15"/>
        <v>4.5499999999999999E-2</v>
      </c>
      <c r="Z41" s="62">
        <f t="shared" si="16"/>
        <v>23.3309</v>
      </c>
      <c r="AA41" s="62">
        <f t="shared" si="6"/>
        <v>23.285399999999999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7"/>
        <v>0129-17</v>
      </c>
      <c r="AE41" s="85" t="str">
        <f t="shared" si="8"/>
        <v>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 &amp; aws s3 cp s3://rtdc.mdm.uploadarchive.raw/RTDC4046/ "%USERPROFILE%\AppData\Local\Temp\OnboardLogs"\RTDC4046\2017-02-18 --exclude "*" --recursive --include "*20170218*" &amp; "%USERPROFILE%\Documents\GitHub\mrs-test-scripts\Headless Mode &amp; Sideloading\WalkAndUnGZ.bat" "%USERPROFILE%\AppData\Local\Temp\OnboardLogs"\RTDC4046\2017-02-18</v>
      </c>
      <c r="AF41" s="82" t="str">
        <f t="shared" si="9"/>
        <v>"C:\Program Files (x86)\AstroGrep\AstroGrep.exe" /spath="%USERPROFILE%\AppData\Local\Temp\OnboardLogs" /stypes="app*4046*20170217*" /stext=" 14:.+((SYSTEM_STATE.+slice.+state.+changed )|(ment ac)|(multiple cpu faults)|(system.+state.+changed )|(\[timeout)|(PRM\|1\|D)|(kpr)|(kdp)|(\|lc)|(penalty))" /e /r /s</v>
      </c>
      <c r="AG41" s="1" t="str">
        <f t="shared" si="10"/>
        <v>EC</v>
      </c>
      <c r="AH41" s="86" t="str">
        <f t="shared" si="21"/>
        <v>"%USERPROFILE%\Documents\GitHub\eaglep3\Utilities\RefineRTDCRunTimes.py" --tripid 129-17 --locoid 4046 --swversion DE.1.0.9.0 --startMP 204:455 --initTime 2017-02-17T07:10:28 --startdatetime 2017-02-17T07:15:17 --delay 1 --endMP 204:233309 --enddatetime 2017-02-17T07:54:59 --enforcementcount 0 &gt;&gt;C:\Users\stu\Documents\GitHub\eaglep3-reporting\EC\2017-02-17-refined-times.txt</v>
      </c>
      <c r="AI41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{"issue":{"subject":"","project_id":79,"tracker_id":40,"status_id":1,"priority_id":2,"assigned_to_id":23,"start_date":"2017-02-17","description":"","custom_fields":[{"id":1,"name":"Subdivision","value":"EC"},{"id":4,"name":"Milepost","value":"23.3309"},{"id":17,"name":"Train ID","value":"129-17"},{"id":16,"name":"Locomotive ID","value":"4046"},{"id":130,"name":"Impact","value":""},{"id":150,"name":"Time of Event (Mountain Time)","value":"07:54:59"},{"id":151,"name":"Denver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3"/>
        <v>start /low /b %USERPROFILE%\Documents\GitHub\eaglep3\Utilities\DownloadLogsFromS3.py --loco 4046 --day 2017-02-17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"%USERPROFILE%\AppData\Local\Temp\OnboardLogs"\RTDC4046\*4046*20170217* | grep -SE "(Enforcement Action)|(\[TIMEOUT)|(CHR.+\|PRM\|1\|D.+(SWITCH|SIGNAL).+UNKNOWN)" - &gt;&gt; 2017-02-17-UncaughtWiMAX.txt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514</v>
      </c>
      <c r="B42" s="7">
        <v>4045</v>
      </c>
      <c r="C42" s="21" t="s">
        <v>682</v>
      </c>
      <c r="D42" s="21" t="s">
        <v>399</v>
      </c>
      <c r="E42" s="13">
        <v>42783.336712962962</v>
      </c>
      <c r="F42" s="13">
        <v>42783.341284722221</v>
      </c>
      <c r="G42" s="7">
        <v>1</v>
      </c>
      <c r="H42" s="21" t="s">
        <v>293</v>
      </c>
      <c r="I42" s="13">
        <v>42783.368437500001</v>
      </c>
      <c r="J42" s="7">
        <v>0</v>
      </c>
      <c r="K42" s="98" t="str">
        <f t="shared" si="0"/>
        <v>4045/4046</v>
      </c>
      <c r="L42" s="21" t="str">
        <f>VLOOKUP(A42,'Trips&amp;Operators'!$C$1:$G$99999,5,FALSE)</f>
        <v>YANAI IAN</v>
      </c>
      <c r="M42" s="6">
        <f t="shared" si="1"/>
        <v>2.715277778042946E-2</v>
      </c>
      <c r="N42" s="7">
        <f t="shared" si="25"/>
        <v>39.100000003818423</v>
      </c>
      <c r="O42" s="7"/>
      <c r="P42" s="7"/>
      <c r="Q42" s="22"/>
      <c r="R42" s="22"/>
      <c r="S42" s="31">
        <f t="shared" si="2"/>
        <v>1</v>
      </c>
      <c r="T42" s="46" t="str">
        <f t="shared" si="3"/>
        <v>Southbound</v>
      </c>
      <c r="U42" s="18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7" t="str">
        <f t="shared" si="4"/>
        <v>https://d0f6bd738d7f1b3e5a7ca70fe4ff75f0.us-east-1.aws.found.io/app/kibana#/discover/Steve-Slow-Train-Analysis-(2080s-and-2083s)?_g=(refreshInterval:(display:Off,pause:!f,section:0,value:0),time:(from:'2017-02-17T07:04:52-0700',mode:absolute,to:'2017-02-17T09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2" s="188" t="str">
        <f t="shared" si="5"/>
        <v>N</v>
      </c>
      <c r="X42" s="188">
        <f t="shared" si="24"/>
        <v>1</v>
      </c>
      <c r="Y42" s="62">
        <f t="shared" si="15"/>
        <v>23.298200000000001</v>
      </c>
      <c r="Z42" s="62">
        <f t="shared" si="16"/>
        <v>1.5599999999999999E-2</v>
      </c>
      <c r="AA42" s="62">
        <f t="shared" si="6"/>
        <v>23.282600000000002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7"/>
        <v>0130-17</v>
      </c>
      <c r="AE42" s="85" t="str">
        <f t="shared" si="8"/>
        <v>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 &amp; aws s3 cp s3://rtdc.mdm.uploadarchive.raw/RTDC4045/ "%USERPROFILE%\AppData\Local\Temp\OnboardLogs"\RTDC4045\2017-02-18 --exclude "*" --recursive --include "*20170218*" &amp; "%USERPROFILE%\Documents\GitHub\mrs-test-scripts\Headless Mode &amp; Sideloading\WalkAndUnGZ.bat" "%USERPROFILE%\AppData\Local\Temp\OnboardLogs"\RTDC4045\2017-02-18</v>
      </c>
      <c r="AF42" s="82" t="str">
        <f t="shared" si="9"/>
        <v>"C:\Program Files (x86)\AstroGrep\AstroGrep.exe" /spath="%USERPROFILE%\AppData\Local\Temp\OnboardLogs" /stypes="app*4045*20170217*" /stext=" 15:.+((SYSTEM_STATE.+slice.+state.+changed )|(ment ac)|(multiple cpu faults)|(system.+state.+changed )|(\[timeout)|(PRM\|1\|D)|(kpr)|(kdp)|(\|lc)|(penalty))" /e /r /s</v>
      </c>
      <c r="AG42" s="1" t="str">
        <f t="shared" si="10"/>
        <v>EC</v>
      </c>
      <c r="AH42" s="86" t="str">
        <f t="shared" si="21"/>
        <v>"%USERPROFILE%\Documents\GitHub\eaglep3\Utilities\RefineRTDCRunTimes.py" --tripid 130-17 --locoid 4045 --swversion DE.1.0.9.0 --startMP 204:232982 --initTime 2017-02-17T08:04:52 --startdatetime 2017-02-17T08:11:27 --delay 1 --endMP 204:156 --enddatetime 2017-02-17T08:50:33 --enforcementcount 0 &gt;&gt;C:\Users\stu\Documents\GitHub\eaglep3-reporting\EC\2017-02-17-refined-times.txt</v>
      </c>
      <c r="AI42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{"issue":{"subject":"","project_id":79,"tracker_id":40,"status_id":1,"priority_id":2,"assigned_to_id":23,"start_date":"2017-02-17","description":"","custom_fields":[{"id":1,"name":"Subdivision","value":"EC"},{"id":4,"name":"Milepost","value":"0.0156"},{"id":17,"name":"Train ID","value":"130-17"},{"id":16,"name":"Locomotive ID","value":"4045"},{"id":130,"name":"Impact","value":""},{"id":150,"name":"Time of Event (Mountain Time)","value":"08:50:33"},{"id":151,"name":"Denver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3"/>
        <v>start /low /b %USERPROFILE%\Documents\GitHub\eaglep3\Utilities\DownloadLogsFromS3.py --loco 4045 --day 2017-02-17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"%USERPROFILE%\AppData\Local\Temp\OnboardLogs"\RTDC4045\*4045*20170217* | grep -SE "(Enforcement Action)|(\[TIMEOUT)|(CHR.+\|PRM\|1\|D.+(SWITCH|SIGNAL).+UNKNOWN)" - &gt;&gt; 2017-02-17-UncaughtWiMAX.txt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508</v>
      </c>
      <c r="B43" s="7">
        <v>4018</v>
      </c>
      <c r="C43" s="21" t="s">
        <v>682</v>
      </c>
      <c r="D43" s="21" t="s">
        <v>304</v>
      </c>
      <c r="E43" s="13">
        <v>42783.307453703703</v>
      </c>
      <c r="F43" s="13">
        <v>42783.312673611108</v>
      </c>
      <c r="G43" s="7">
        <v>1</v>
      </c>
      <c r="H43" s="21" t="s">
        <v>370</v>
      </c>
      <c r="I43" s="13">
        <v>42783.337905092594</v>
      </c>
      <c r="J43" s="7">
        <v>0</v>
      </c>
      <c r="K43" s="98" t="str">
        <f t="shared" si="0"/>
        <v>4017/4018</v>
      </c>
      <c r="L43" s="21" t="str">
        <f>VLOOKUP(A43,'Trips&amp;Operators'!$C$1:$G$99999,5,FALSE)</f>
        <v>ACKERMAN JARED</v>
      </c>
      <c r="M43" s="6">
        <f t="shared" si="1"/>
        <v>2.5231481486116536E-2</v>
      </c>
      <c r="N43" s="7">
        <f t="shared" si="25"/>
        <v>36.333333340007812</v>
      </c>
      <c r="O43" s="7"/>
      <c r="P43" s="7"/>
      <c r="Q43" s="22"/>
      <c r="R43" s="22"/>
      <c r="S43" s="31">
        <f t="shared" si="2"/>
        <v>1</v>
      </c>
      <c r="T43" s="46" t="str">
        <f t="shared" si="3"/>
        <v>NorthBound</v>
      </c>
      <c r="U43" s="18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7" t="str">
        <f t="shared" si="4"/>
        <v>https://d0f6bd738d7f1b3e5a7ca70fe4ff75f0.us-east-1.aws.found.io/app/kibana#/discover/Steve-Slow-Train-Analysis-(2080s-and-2083s)?_g=(refreshInterval:(display:Off,pause:!f,section:0,value:0),time:(from:'2017-02-17T06:22:44-0700',mode:absolute,to:'2017-02-17T09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3" s="188" t="str">
        <f t="shared" si="5"/>
        <v>N</v>
      </c>
      <c r="X43" s="188">
        <f t="shared" si="24"/>
        <v>1</v>
      </c>
      <c r="Y43" s="62">
        <f t="shared" si="15"/>
        <v>4.3099999999999999E-2</v>
      </c>
      <c r="Z43" s="62">
        <f t="shared" si="16"/>
        <v>23.331700000000001</v>
      </c>
      <c r="AA43" s="62">
        <f t="shared" si="6"/>
        <v>23.288600000000002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7"/>
        <v>0131-17</v>
      </c>
      <c r="AE43" s="85" t="str">
        <f t="shared" si="8"/>
        <v>aws s3 cp s3://rtdc.mdm.uploadarchive.raw/RTDC4018/ "%USERPROFILE%\AppData\Local\Temp\OnboardLogs"\RTDC4018\2017-02-17 --exclude "*" --recursive --include "*20170217*" &amp; "%USERPROFILE%\Documents\GitHub\mrs-test-scripts\Headless Mode &amp; Sideloading\WalkAndUnGZ.bat" "%USERPROFILE%\AppData\Local\Temp\OnboardLogs"\RTDC4018\2017-02-17 &amp; 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</v>
      </c>
      <c r="AF43" s="82" t="str">
        <f t="shared" si="9"/>
        <v>"C:\Program Files (x86)\AstroGrep\AstroGrep.exe" /spath="%USERPROFILE%\AppData\Local\Temp\OnboardLogs" /stypes="app*4018*20170217*" /stext=" 15:.+((SYSTEM_STATE.+slice.+state.+changed )|(ment ac)|(multiple cpu faults)|(system.+state.+changed )|(\[timeout)|(PRM\|1\|D)|(kpr)|(kdp)|(\|lc)|(penalty))" /e /r /s</v>
      </c>
      <c r="AG43" s="1" t="str">
        <f t="shared" si="10"/>
        <v>EC</v>
      </c>
      <c r="AH43" s="86" t="str">
        <f t="shared" si="21"/>
        <v>"%USERPROFILE%\Documents\GitHub\eaglep3\Utilities\RefineRTDCRunTimes.py" --tripid 131-17 --locoid 4018 --swversion DE.1.0.9.0 --startMP 204:431 --initTime 2017-02-17T07:22:44 --startdatetime 2017-02-17T07:30:15 --delay 1 --endMP 204:233317 --enddatetime 2017-02-17T08:06:35 --enforcementcount 0 &gt;&gt;C:\Users\stu\Documents\GitHub\eaglep3-reporting\EC\2017-02-17-refined-times.txt</v>
      </c>
      <c r="AI43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{"issue":{"subject":"","project_id":79,"tracker_id":40,"status_id":1,"priority_id":2,"assigned_to_id":23,"start_date":"2017-02-17","description":"","custom_fields":[{"id":1,"name":"Subdivision","value":"EC"},{"id":4,"name":"Milepost","value":"23.3317"},{"id":17,"name":"Train ID","value":"131-17"},{"id":16,"name":"Locomotive ID","value":"4018"},{"id":130,"name":"Impact","value":""},{"id":150,"name":"Time of Event (Mountain Time)","value":"08:06:35"},{"id":151,"name":"Denver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3"/>
        <v>start /low /b %USERPROFILE%\Documents\GitHub\eaglep3\Utilities\DownloadLogsFromS3.py --loco 4018 --day 2017-02-17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"%USERPROFILE%\AppData\Local\Temp\OnboardLogs"\RTDC4018\*4018*20170217* | grep -SE "(Enforcement Action)|(\[TIMEOUT)|(CHR.+\|PRM\|1\|D.+(SWITCH|SIGNAL).+UNKNOWN)" - &gt;&gt; 2017-02-17-UncaughtWiMAX.txt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517</v>
      </c>
      <c r="B44" s="7">
        <v>4017</v>
      </c>
      <c r="C44" s="21" t="s">
        <v>682</v>
      </c>
      <c r="D44" s="21" t="s">
        <v>318</v>
      </c>
      <c r="E44" s="13">
        <v>42783.346261574072</v>
      </c>
      <c r="F44" s="13">
        <v>42783.351620370369</v>
      </c>
      <c r="G44" s="7">
        <v>1</v>
      </c>
      <c r="H44" s="21" t="s">
        <v>195</v>
      </c>
      <c r="I44" s="13">
        <v>42783.381180555552</v>
      </c>
      <c r="J44" s="7">
        <v>0</v>
      </c>
      <c r="K44" s="98" t="str">
        <f t="shared" si="0"/>
        <v>4017/4018</v>
      </c>
      <c r="L44" s="21" t="str">
        <f>VLOOKUP(A44,'Trips&amp;Operators'!$C$1:$G$99999,5,FALSE)</f>
        <v>ACKERMAN JARED</v>
      </c>
      <c r="M44" s="6">
        <f t="shared" si="1"/>
        <v>2.9560185183072463E-2</v>
      </c>
      <c r="N44" s="7">
        <f t="shared" si="25"/>
        <v>42.566666663624346</v>
      </c>
      <c r="O44" s="7"/>
      <c r="P44" s="7"/>
      <c r="Q44" s="22"/>
      <c r="R44" s="22"/>
      <c r="S44" s="31">
        <f t="shared" si="2"/>
        <v>1</v>
      </c>
      <c r="T44" s="46" t="str">
        <f t="shared" si="3"/>
        <v>Southbound</v>
      </c>
      <c r="U44" s="18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7" t="str">
        <f t="shared" si="4"/>
        <v>https://d0f6bd738d7f1b3e5a7ca70fe4ff75f0.us-east-1.aws.found.io/app/kibana#/discover/Steve-Slow-Train-Analysis-(2080s-and-2083s)?_g=(refreshInterval:(display:Off,pause:!f,section:0,value:0),time:(from:'2017-02-17T07:18:37-0700',mode:absolute,to:'2017-02-17T10:08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4" s="188" t="str">
        <f t="shared" si="5"/>
        <v>N</v>
      </c>
      <c r="X44" s="188">
        <f t="shared" si="24"/>
        <v>1</v>
      </c>
      <c r="Y44" s="62">
        <f t="shared" si="15"/>
        <v>23.298500000000001</v>
      </c>
      <c r="Z44" s="62">
        <f t="shared" si="16"/>
        <v>1.4999999999999999E-2</v>
      </c>
      <c r="AA44" s="62">
        <f t="shared" si="6"/>
        <v>23.2835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7"/>
        <v>0132-17</v>
      </c>
      <c r="AE44" s="85" t="str">
        <f t="shared" si="8"/>
        <v>aws s3 cp s3://rtdc.mdm.uploadarchive.raw/RTDC4017/ "%USERPROFILE%\AppData\Local\Temp\OnboardLogs"\RTDC4017\2017-02-17 --exclude "*" --recursive --include "*20170217*" &amp; "%USERPROFILE%\Documents\GitHub\mrs-test-scripts\Headless Mode &amp; Sideloading\WalkAndUnGZ.bat" "%USERPROFILE%\AppData\Local\Temp\OnboardLogs"\RTDC4017\2017-02-17 &amp; 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</v>
      </c>
      <c r="AF44" s="82" t="str">
        <f t="shared" si="9"/>
        <v>"C:\Program Files (x86)\AstroGrep\AstroGrep.exe" /spath="%USERPROFILE%\AppData\Local\Temp\OnboardLogs" /stypes="app*4017*20170217*" /stext=" 16:.+((SYSTEM_STATE.+slice.+state.+changed )|(ment ac)|(multiple cpu faults)|(system.+state.+changed )|(\[timeout)|(PRM\|1\|D)|(kpr)|(kdp)|(\|lc)|(penalty))" /e /r /s</v>
      </c>
      <c r="AG44" s="1" t="str">
        <f t="shared" si="10"/>
        <v>EC</v>
      </c>
      <c r="AH44" s="86" t="str">
        <f t="shared" si="21"/>
        <v>"%USERPROFILE%\Documents\GitHub\eaglep3\Utilities\RefineRTDCRunTimes.py" --tripid 132-17 --locoid 4017 --swversion DE.1.0.9.0 --startMP 204:232985 --initTime 2017-02-17T08:18:37 --startdatetime 2017-02-17T08:26:20 --delay 1 --endMP 204:150 --enddatetime 2017-02-17T09:08:54 --enforcementcount 0 &gt;&gt;C:\Users\stu\Documents\GitHub\eaglep3-reporting\EC\2017-02-17-refined-times.txt</v>
      </c>
      <c r="AI44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{"issue":{"subject":"","project_id":79,"tracker_id":40,"status_id":1,"priority_id":2,"assigned_to_id":23,"start_date":"2017-02-17","description":"","custom_fields":[{"id":1,"name":"Subdivision","value":"EC"},{"id":4,"name":"Milepost","value":"0.015"},{"id":17,"name":"Train ID","value":"132-17"},{"id":16,"name":"Locomotive ID","value":"4017"},{"id":130,"name":"Impact","value":""},{"id":150,"name":"Time of Event (Mountain Time)","value":"09:08:54"},{"id":151,"name":"Denver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3"/>
        <v>start /low /b %USERPROFILE%\Documents\GitHub\eaglep3\Utilities\DownloadLogsFromS3.py --loco 4017 --day 2017-02-17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"%USERPROFILE%\AppData\Local\Temp\OnboardLogs"\RTDC4017\*4017*20170217* | grep -SE "(Enforcement Action)|(\[TIMEOUT)|(CHR.+\|PRM\|1\|D.+(SWITCH|SIGNAL).+UNKNOWN)" - &gt;&gt; 2017-02-17-UncaughtWiMAX.txt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512</v>
      </c>
      <c r="B45" s="7">
        <v>4029</v>
      </c>
      <c r="C45" s="21" t="s">
        <v>682</v>
      </c>
      <c r="D45" s="21" t="s">
        <v>272</v>
      </c>
      <c r="E45" s="13">
        <v>42783.318969907406</v>
      </c>
      <c r="F45" s="13">
        <v>42783.323078703703</v>
      </c>
      <c r="G45" s="7">
        <v>1</v>
      </c>
      <c r="H45" s="21" t="s">
        <v>302</v>
      </c>
      <c r="I45" s="13">
        <v>42783.347557870373</v>
      </c>
      <c r="J45" s="7">
        <v>0</v>
      </c>
      <c r="K45" s="98" t="str">
        <f t="shared" si="0"/>
        <v>4029/4030</v>
      </c>
      <c r="L45" s="21" t="str">
        <f>VLOOKUP(A45,'Trips&amp;Operators'!$C$1:$G$99999,5,FALSE)</f>
        <v>ROBINSON KADDIBA</v>
      </c>
      <c r="M45" s="6">
        <f t="shared" si="1"/>
        <v>2.4479166670062114E-2</v>
      </c>
      <c r="N45" s="7">
        <f t="shared" si="25"/>
        <v>35.250000004889444</v>
      </c>
      <c r="O45" s="7"/>
      <c r="P45" s="7"/>
      <c r="Q45" s="22"/>
      <c r="R45" s="22"/>
      <c r="S45" s="31">
        <f t="shared" ref="S45:S76" si="26">SUM(U45:U45)/IF(AG45="EC",12,1)</f>
        <v>1</v>
      </c>
      <c r="T45" s="46" t="str">
        <f t="shared" si="3"/>
        <v>NorthBound</v>
      </c>
      <c r="U45" s="18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7" t="str">
        <f t="shared" si="4"/>
        <v>https://d0f6bd738d7f1b3e5a7ca70fe4ff75f0.us-east-1.aws.found.io/app/kibana#/discover/Steve-Slow-Train-Analysis-(2080s-and-2083s)?_g=(refreshInterval:(display:Off,pause:!f,section:0,value:0),time:(from:'2017-02-17T06:39:19-0700',mode:absolute,to:'2017-02-17T09:20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5" s="188" t="str">
        <f t="shared" si="5"/>
        <v>N</v>
      </c>
      <c r="X45" s="188">
        <f t="shared" si="24"/>
        <v>1</v>
      </c>
      <c r="Y45" s="62">
        <f t="shared" si="15"/>
        <v>4.6399999999999997E-2</v>
      </c>
      <c r="Z45" s="62">
        <f t="shared" si="16"/>
        <v>23.331099999999999</v>
      </c>
      <c r="AA45" s="62">
        <f t="shared" si="6"/>
        <v>23.284700000000001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7"/>
        <v>0133-17</v>
      </c>
      <c r="AE45" s="85" t="str">
        <f t="shared" si="8"/>
        <v>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 &amp; 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</v>
      </c>
      <c r="AF45" s="82" t="str">
        <f t="shared" si="9"/>
        <v>"C:\Program Files (x86)\AstroGrep\AstroGrep.exe" /spath="%USERPROFILE%\AppData\Local\Temp\OnboardLogs" /stypes="app*4029*20170217*" /stext=" 15:.+((SYSTEM_STATE.+slice.+state.+changed )|(ment ac)|(multiple cpu faults)|(system.+state.+changed )|(\[timeout)|(PRM\|1\|D)|(kpr)|(kdp)|(\|lc)|(penalty))" /e /r /s</v>
      </c>
      <c r="AG45" s="1" t="str">
        <f t="shared" si="10"/>
        <v>EC</v>
      </c>
      <c r="AH45" s="86" t="str">
        <f t="shared" si="21"/>
        <v>"%USERPROFILE%\Documents\GitHub\eaglep3\Utilities\RefineRTDCRunTimes.py" --tripid 133-17 --locoid 4029 --swversion DE.1.0.9.0 --startMP 204:464 --initTime 2017-02-17T07:39:19 --startdatetime 2017-02-17T07:45:14 --delay 1 --endMP 204:233311 --enddatetime 2017-02-17T08:20:29 --enforcementcount 0 &gt;&gt;C:\Users\stu\Documents\GitHub\eaglep3-reporting\EC\2017-02-17-refined-times.txt</v>
      </c>
      <c r="AI45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{"issue":{"subject":"","project_id":79,"tracker_id":40,"status_id":1,"priority_id":2,"assigned_to_id":23,"start_date":"2017-02-17","description":"","custom_fields":[{"id":1,"name":"Subdivision","value":"EC"},{"id":4,"name":"Milepost","value":"23.3311"},{"id":17,"name":"Train ID","value":"133-17"},{"id":16,"name":"Locomotive ID","value":"4029"},{"id":130,"name":"Impact","value":""},{"id":150,"name":"Time of Event (Mountain Time)","value":"08:20:29"},{"id":151,"name":"Denver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3"/>
        <v>start /low /b %USERPROFILE%\Documents\GitHub\eaglep3\Utilities\DownloadLogsFromS3.py --loco 4029 --day 2017-02-17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"%USERPROFILE%\AppData\Local\Temp\OnboardLogs"\RTDC4029\*4029*20170217* | grep -SE "(Enforcement Action)|(\[TIMEOUT)|(CHR.+\|PRM\|1\|D.+(SWITCH|SIGNAL).+UNKNOWN)" - &gt;&gt; 2017-02-17-UncaughtWiMAX.txt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519</v>
      </c>
      <c r="B46" s="7">
        <v>4030</v>
      </c>
      <c r="C46" s="21" t="s">
        <v>682</v>
      </c>
      <c r="D46" s="21" t="s">
        <v>709</v>
      </c>
      <c r="E46" s="13">
        <v>42783.357291666667</v>
      </c>
      <c r="F46" s="13">
        <v>42783.361967592595</v>
      </c>
      <c r="G46" s="7">
        <v>1</v>
      </c>
      <c r="H46" s="21" t="s">
        <v>209</v>
      </c>
      <c r="I46" s="13">
        <v>42783.389432870368</v>
      </c>
      <c r="J46" s="7">
        <v>0</v>
      </c>
      <c r="K46" s="98" t="str">
        <f t="shared" si="0"/>
        <v>4029/4030</v>
      </c>
      <c r="L46" s="21" t="str">
        <f>VLOOKUP(A46,'Trips&amp;Operators'!$C$1:$G$99999,5,FALSE)</f>
        <v>ROBINSON KADDIBA</v>
      </c>
      <c r="M46" s="6">
        <f t="shared" si="1"/>
        <v>2.7465277773444541E-2</v>
      </c>
      <c r="N46" s="7">
        <f t="shared" si="25"/>
        <v>39.549999993760139</v>
      </c>
      <c r="O46" s="7"/>
      <c r="P46" s="7"/>
      <c r="Q46" s="22"/>
      <c r="R46" s="22"/>
      <c r="S46" s="31">
        <f t="shared" si="26"/>
        <v>1</v>
      </c>
      <c r="T46" s="46" t="str">
        <f t="shared" si="3"/>
        <v>Southbound</v>
      </c>
      <c r="U46" s="18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7" t="str">
        <f t="shared" si="4"/>
        <v>https://d0f6bd738d7f1b3e5a7ca70fe4ff75f0.us-east-1.aws.found.io/app/kibana#/discover/Steve-Slow-Train-Analysis-(2080s-and-2083s)?_g=(refreshInterval:(display:Off,pause:!f,section:0,value:0),time:(from:'2017-02-17T07:34:30-0700',mode:absolute,to:'2017-02-17T10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6" s="188" t="str">
        <f t="shared" si="5"/>
        <v>N</v>
      </c>
      <c r="X46" s="188">
        <f t="shared" si="24"/>
        <v>1</v>
      </c>
      <c r="Y46" s="62">
        <f t="shared" si="15"/>
        <v>23.298999999999999</v>
      </c>
      <c r="Z46" s="62">
        <f t="shared" si="16"/>
        <v>1.5800000000000002E-2</v>
      </c>
      <c r="AA46" s="62">
        <f t="shared" si="6"/>
        <v>23.283200000000001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7"/>
        <v>0134-17</v>
      </c>
      <c r="AE46" s="85" t="str">
        <f t="shared" si="8"/>
        <v>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 &amp; 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</v>
      </c>
      <c r="AF46" s="82" t="str">
        <f t="shared" si="9"/>
        <v>"C:\Program Files (x86)\AstroGrep\AstroGrep.exe" /spath="%USERPROFILE%\AppData\Local\Temp\OnboardLogs" /stypes="app*4030*20170217*" /stext=" 16:.+((SYSTEM_STATE.+slice.+state.+changed )|(ment ac)|(multiple cpu faults)|(system.+state.+changed )|(\[timeout)|(PRM\|1\|D)|(kpr)|(kdp)|(\|lc)|(penalty))" /e /r /s</v>
      </c>
      <c r="AG46" s="1" t="str">
        <f t="shared" si="10"/>
        <v>EC</v>
      </c>
      <c r="AH46" s="86" t="str">
        <f t="shared" si="21"/>
        <v>"%USERPROFILE%\Documents\GitHub\eaglep3\Utilities\RefineRTDCRunTimes.py" --tripid 134-17 --locoid 4030 --swversion DE.1.0.9.0 --startMP 204:232990 --initTime 2017-02-17T08:34:30 --startdatetime 2017-02-17T08:41:14 --delay 1 --endMP 204:158 --enddatetime 2017-02-17T09:20:47 --enforcementcount 0 &gt;&gt;C:\Users\stu\Documents\GitHub\eaglep3-reporting\EC\2017-02-17-refined-times.txt</v>
      </c>
      <c r="AI46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{"issue":{"subject":"","project_id":79,"tracker_id":40,"status_id":1,"priority_id":2,"assigned_to_id":23,"start_date":"2017-02-17","description":"","custom_fields":[{"id":1,"name":"Subdivision","value":"EC"},{"id":4,"name":"Milepost","value":"0.0158"},{"id":17,"name":"Train ID","value":"134-17"},{"id":16,"name":"Locomotive ID","value":"4030"},{"id":130,"name":"Impact","value":""},{"id":150,"name":"Time of Event (Mountain Time)","value":"09:20:47"},{"id":151,"name":"Denver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3"/>
        <v>start /low /b %USERPROFILE%\Documents\GitHub\eaglep3\Utilities\DownloadLogsFromS3.py --loco 4030 --day 2017-02-17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"%USERPROFILE%\AppData\Local\Temp\OnboardLogs"\RTDC4030\*4030*20170217* | grep -SE "(Enforcement Action)|(\[TIMEOUT)|(CHR.+\|PRM\|1\|D.+(SWITCH|SIGNAL).+UNKNOWN)" - &gt;&gt; 2017-02-17-UncaughtWiMAX.txt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444</v>
      </c>
      <c r="B47" s="7">
        <v>4025</v>
      </c>
      <c r="C47" s="21" t="s">
        <v>682</v>
      </c>
      <c r="D47" s="21" t="s">
        <v>231</v>
      </c>
      <c r="E47" s="13">
        <v>42783.330023148148</v>
      </c>
      <c r="F47" s="13">
        <v>42783.335833333331</v>
      </c>
      <c r="G47" s="7">
        <v>2</v>
      </c>
      <c r="H47" s="21" t="s">
        <v>275</v>
      </c>
      <c r="I47" s="13">
        <v>42783.36178240741</v>
      </c>
      <c r="J47" s="7">
        <v>0</v>
      </c>
      <c r="K47" s="98" t="str">
        <f t="shared" si="0"/>
        <v>4025/4026</v>
      </c>
      <c r="L47" s="21" t="str">
        <f>VLOOKUP(A47,'Trips&amp;Operators'!$C$1:$G$99999,5,FALSE)</f>
        <v>STARKS ANGELINA</v>
      </c>
      <c r="M47" s="6">
        <f t="shared" si="1"/>
        <v>2.5949074079107959E-2</v>
      </c>
      <c r="N47" s="7">
        <f t="shared" si="25"/>
        <v>37.366666673915461</v>
      </c>
      <c r="O47" s="7"/>
      <c r="P47" s="7"/>
      <c r="Q47" s="22"/>
      <c r="R47" s="22"/>
      <c r="S47" s="31">
        <f t="shared" si="26"/>
        <v>1</v>
      </c>
      <c r="T47" s="46" t="str">
        <f t="shared" si="3"/>
        <v>NorthBound</v>
      </c>
      <c r="U47" s="18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7" t="str">
        <f t="shared" si="4"/>
        <v>https://d0f6bd738d7f1b3e5a7ca70fe4ff75f0.us-east-1.aws.found.io/app/kibana#/discover/Steve-Slow-Train-Analysis-(2080s-and-2083s)?_g=(refreshInterval:(display:Off,pause:!f,section:0,value:0),time:(from:'2017-02-17T06:55:14-0700',mode:absolute,to:'2017-02-17T09:40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7" s="188" t="str">
        <f t="shared" si="5"/>
        <v>N</v>
      </c>
      <c r="X47" s="188">
        <f t="shared" si="24"/>
        <v>1</v>
      </c>
      <c r="Y47" s="62">
        <f t="shared" si="15"/>
        <v>4.5699999999999998E-2</v>
      </c>
      <c r="Z47" s="62">
        <f t="shared" si="16"/>
        <v>23.329699999999999</v>
      </c>
      <c r="AA47" s="62">
        <f t="shared" si="6"/>
        <v>23.283999999999999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7"/>
        <v>0135-17</v>
      </c>
      <c r="AE47" s="85" t="str">
        <f t="shared" si="8"/>
        <v>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 &amp; aws s3 cp s3://rtdc.mdm.uploadarchive.raw/RTDC4025/ "%USERPROFILE%\AppData\Local\Temp\OnboardLogs"\RTDC4025\2017-02-18 --exclude "*" --recursive --include "*20170218*" &amp; "%USERPROFILE%\Documents\GitHub\mrs-test-scripts\Headless Mode &amp; Sideloading\WalkAndUnGZ.bat" "%USERPROFILE%\AppData\Local\Temp\OnboardLogs"\RTDC4025\2017-02-18</v>
      </c>
      <c r="AF47" s="82" t="str">
        <f t="shared" si="9"/>
        <v>"C:\Program Files (x86)\AstroGrep\AstroGrep.exe" /spath="%USERPROFILE%\AppData\Local\Temp\OnboardLogs" /stypes="app*4025*20170217*" /stext=" 15:.+((SYSTEM_STATE.+slice.+state.+changed )|(ment ac)|(multiple cpu faults)|(system.+state.+changed )|(\[timeout)|(PRM\|1\|D)|(kpr)|(kdp)|(\|lc)|(penalty))" /e /r /s</v>
      </c>
      <c r="AG47" s="1" t="str">
        <f t="shared" si="10"/>
        <v>EC</v>
      </c>
      <c r="AH47" s="86" t="str">
        <f t="shared" si="21"/>
        <v>"%USERPROFILE%\Documents\GitHub\eaglep3\Utilities\RefineRTDCRunTimes.py" --tripid 135-17 --locoid 4025 --swversion DE.1.0.9.0 --startMP 204:457 --initTime 2017-02-17T07:55:14 --startdatetime 2017-02-17T08:03:36 --delay 2 --endMP 204:233297 --enddatetime 2017-02-17T08:40:58 --enforcementcount 0 &gt;&gt;C:\Users\stu\Documents\GitHub\eaglep3-reporting\EC\2017-02-17-refined-times.txt</v>
      </c>
      <c r="AI47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{"issue":{"subject":"","project_id":79,"tracker_id":40,"status_id":1,"priority_id":2,"assigned_to_id":23,"start_date":"2017-02-17","description":"","custom_fields":[{"id":1,"name":"Subdivision","value":"EC"},{"id":4,"name":"Milepost","value":"23.3297"},{"id":17,"name":"Train ID","value":"135-17"},{"id":16,"name":"Locomotive ID","value":"4025"},{"id":130,"name":"Impact","value":""},{"id":150,"name":"Time of Event (Mountain Time)","value":"08:40:58"},{"id":151,"name":"Denver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3"/>
        <v>start /low /b %USERPROFILE%\Documents\GitHub\eaglep3\Utilities\DownloadLogsFromS3.py --loco 4025 --day 2017-02-17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"%USERPROFILE%\AppData\Local\Temp\OnboardLogs"\RTDC4025\*4025*20170217* | grep -SE "(Enforcement Action)|(\[TIMEOUT)|(CHR.+\|PRM\|1\|D.+(SWITCH|SIGNAL).+UNKNOWN)" - &gt;&gt; 2017-02-17-UncaughtWiMAX.txt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449</v>
      </c>
      <c r="B48" s="7">
        <v>4026</v>
      </c>
      <c r="C48" s="21" t="s">
        <v>682</v>
      </c>
      <c r="D48" s="21" t="s">
        <v>369</v>
      </c>
      <c r="E48" s="13">
        <v>42783.370451388888</v>
      </c>
      <c r="F48" s="13">
        <v>42783.372534722221</v>
      </c>
      <c r="G48" s="7">
        <v>1</v>
      </c>
      <c r="H48" s="21" t="s">
        <v>710</v>
      </c>
      <c r="I48" s="13">
        <v>42783.40179398148</v>
      </c>
      <c r="J48" s="7">
        <v>0</v>
      </c>
      <c r="K48" s="98" t="str">
        <f t="shared" si="0"/>
        <v>4025/4026</v>
      </c>
      <c r="L48" s="21" t="str">
        <f>VLOOKUP(A48,'Trips&amp;Operators'!$C$1:$G$99999,5,FALSE)</f>
        <v>STARKS ANGELINA</v>
      </c>
      <c r="M48" s="6">
        <f t="shared" si="1"/>
        <v>2.9259259259561077E-2</v>
      </c>
      <c r="N48" s="7">
        <f t="shared" si="25"/>
        <v>42.133333333767951</v>
      </c>
      <c r="O48" s="7"/>
      <c r="P48" s="7"/>
      <c r="Q48" s="22"/>
      <c r="R48" s="22"/>
      <c r="S48" s="31">
        <f t="shared" si="26"/>
        <v>1</v>
      </c>
      <c r="T48" s="46" t="str">
        <f t="shared" si="3"/>
        <v>Southbound</v>
      </c>
      <c r="U48" s="18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7" t="str">
        <f t="shared" si="4"/>
        <v>https://d0f6bd738d7f1b3e5a7ca70fe4ff75f0.us-east-1.aws.found.io/app/kibana#/discover/Steve-Slow-Train-Analysis-(2080s-and-2083s)?_g=(refreshInterval:(display:Off,pause:!f,section:0,value:0),time:(from:'2017-02-17T07:53:27-0700',mode:absolute,to:'2017-02-17T10:38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8" s="188" t="str">
        <f t="shared" si="5"/>
        <v>N</v>
      </c>
      <c r="X48" s="188">
        <f t="shared" si="24"/>
        <v>1</v>
      </c>
      <c r="Y48" s="62">
        <f t="shared" si="15"/>
        <v>23.2989</v>
      </c>
      <c r="Z48" s="62">
        <f t="shared" si="16"/>
        <v>1.6899999999999998E-2</v>
      </c>
      <c r="AA48" s="62">
        <f t="shared" si="6"/>
        <v>23.282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7"/>
        <v>0136-17</v>
      </c>
      <c r="AE48" s="85" t="str">
        <f t="shared" si="8"/>
        <v>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 &amp; aws s3 cp s3://rtdc.mdm.uploadarchive.raw/RTDC4026/ "%USERPROFILE%\AppData\Local\Temp\OnboardLogs"\RTDC4026\2017-02-18 --exclude "*" --recursive --include "*20170218*" &amp; "%USERPROFILE%\Documents\GitHub\mrs-test-scripts\Headless Mode &amp; Sideloading\WalkAndUnGZ.bat" "%USERPROFILE%\AppData\Local\Temp\OnboardLogs"\RTDC4026\2017-02-18</v>
      </c>
      <c r="AF48" s="82" t="str">
        <f t="shared" si="9"/>
        <v>"C:\Program Files (x86)\AstroGrep\AstroGrep.exe" /spath="%USERPROFILE%\AppData\Local\Temp\OnboardLogs" /stypes="app*4026*20170217*" /stext=" 16:.+((SYSTEM_STATE.+slice.+state.+changed )|(ment ac)|(multiple cpu faults)|(system.+state.+changed )|(\[timeout)|(PRM\|1\|D)|(kpr)|(kdp)|(\|lc)|(penalty))" /e /r /s</v>
      </c>
      <c r="AG48" s="1" t="str">
        <f t="shared" si="10"/>
        <v>EC</v>
      </c>
      <c r="AH48" s="86" t="str">
        <f t="shared" si="21"/>
        <v>"%USERPROFILE%\Documents\GitHub\eaglep3\Utilities\RefineRTDCRunTimes.py" --tripid 136-17 --locoid 4026 --swversion DE.1.0.9.0 --startMP 204:232989 --initTime 2017-02-17T08:53:27 --startdatetime 2017-02-17T08:56:27 --delay 1 --endMP 204:169 --enddatetime 2017-02-17T09:38:35 --enforcementcount 0 &gt;&gt;C:\Users\stu\Documents\GitHub\eaglep3-reporting\EC\2017-02-17-refined-times.txt</v>
      </c>
      <c r="AI48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{"issue":{"subject":"","project_id":79,"tracker_id":40,"status_id":1,"priority_id":2,"assigned_to_id":23,"start_date":"2017-02-17","description":"","custom_fields":[{"id":1,"name":"Subdivision","value":"EC"},{"id":4,"name":"Milepost","value":"0.0169"},{"id":17,"name":"Train ID","value":"136-17"},{"id":16,"name":"Locomotive ID","value":"4026"},{"id":130,"name":"Impact","value":""},{"id":150,"name":"Time of Event (Mountain Time)","value":"09:38:35"},{"id":151,"name":"Denver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3"/>
        <v>start /low /b %USERPROFILE%\Documents\GitHub\eaglep3\Utilities\DownloadLogsFromS3.py --loco 4026 --day 2017-02-17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"%USERPROFILE%\AppData\Local\Temp\OnboardLogs"\RTDC4026\*4026*20170217* | grep -SE "(Enforcement Action)|(\[TIMEOUT)|(CHR.+\|PRM\|1\|D.+(SWITCH|SIGNAL).+UNKNOWN)" - &gt;&gt; 2017-02-17-UncaughtWiMAX.txt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516</v>
      </c>
      <c r="B49" s="7">
        <v>4016</v>
      </c>
      <c r="C49" s="21" t="s">
        <v>682</v>
      </c>
      <c r="D49" s="21" t="s">
        <v>205</v>
      </c>
      <c r="E49" s="13">
        <v>42783.340833333335</v>
      </c>
      <c r="F49" s="13">
        <v>42783.3440625</v>
      </c>
      <c r="G49" s="7">
        <v>2</v>
      </c>
      <c r="H49" s="21" t="s">
        <v>275</v>
      </c>
      <c r="I49" s="13">
        <v>42783.368391203701</v>
      </c>
      <c r="J49" s="7">
        <v>0</v>
      </c>
      <c r="K49" s="98" t="str">
        <f t="shared" si="0"/>
        <v>4015/4016</v>
      </c>
      <c r="L49" s="21" t="str">
        <f>VLOOKUP(A49,'Trips&amp;Operators'!$C$1:$G$99999,5,FALSE)</f>
        <v>LOZA FIDEL</v>
      </c>
      <c r="M49" s="6">
        <f t="shared" si="1"/>
        <v>2.4328703701030463E-2</v>
      </c>
      <c r="N49" s="7">
        <f t="shared" si="25"/>
        <v>35.033333329483867</v>
      </c>
      <c r="O49" s="7"/>
      <c r="P49" s="7"/>
      <c r="Q49" s="22"/>
      <c r="R49" s="22"/>
      <c r="S49" s="31">
        <f t="shared" si="26"/>
        <v>1</v>
      </c>
      <c r="T49" s="46" t="str">
        <f t="shared" si="3"/>
        <v>NorthBound</v>
      </c>
      <c r="U49" s="18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7" t="str">
        <f t="shared" si="4"/>
        <v>https://d0f6bd738d7f1b3e5a7ca70fe4ff75f0.us-east-1.aws.found.io/app/kibana#/discover/Steve-Slow-Train-Analysis-(2080s-and-2083s)?_g=(refreshInterval:(display:Off,pause:!f,section:0,value:0),time:(from:'2017-02-17T07:10:48-0700',mode:absolute,to:'2017-02-17T09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9" s="188" t="str">
        <f t="shared" si="5"/>
        <v>N</v>
      </c>
      <c r="X49" s="188">
        <f t="shared" si="24"/>
        <v>1</v>
      </c>
      <c r="Y49" s="62">
        <f t="shared" si="15"/>
        <v>4.6199999999999998E-2</v>
      </c>
      <c r="Z49" s="62">
        <f t="shared" si="16"/>
        <v>23.329699999999999</v>
      </c>
      <c r="AA49" s="62">
        <f t="shared" si="6"/>
        <v>23.2835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7"/>
        <v>0137-17</v>
      </c>
      <c r="AE49" s="85" t="str">
        <f t="shared" si="8"/>
        <v>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 &amp; 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</v>
      </c>
      <c r="AF49" s="82" t="str">
        <f t="shared" si="9"/>
        <v>"C:\Program Files (x86)\AstroGrep\AstroGrep.exe" /spath="%USERPROFILE%\AppData\Local\Temp\OnboardLogs" /stypes="app*4016*20170217*" /stext=" 15:.+((SYSTEM_STATE.+slice.+state.+changed )|(ment ac)|(multiple cpu faults)|(system.+state.+changed )|(\[timeout)|(PRM\|1\|D)|(kpr)|(kdp)|(\|lc)|(penalty))" /e /r /s</v>
      </c>
      <c r="AG49" s="1" t="str">
        <f t="shared" si="10"/>
        <v>EC</v>
      </c>
      <c r="AH49" s="86" t="str">
        <f t="shared" si="21"/>
        <v>"%USERPROFILE%\Documents\GitHub\eaglep3\Utilities\RefineRTDCRunTimes.py" --tripid 137-17 --locoid 4016 --swversion DE.1.0.9.0 --startMP 204:462 --initTime 2017-02-17T08:10:48 --startdatetime 2017-02-17T08:15:27 --delay 2 --endMP 204:233297 --enddatetime 2017-02-17T08:50:29 --enforcementcount 0 &gt;&gt;C:\Users\stu\Documents\GitHub\eaglep3-reporting\EC\2017-02-17-refined-times.txt</v>
      </c>
      <c r="AI49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{"issue":{"subject":"","project_id":79,"tracker_id":40,"status_id":1,"priority_id":2,"assigned_to_id":23,"start_date":"2017-02-17","description":"","custom_fields":[{"id":1,"name":"Subdivision","value":"EC"},{"id":4,"name":"Milepost","value":"23.3297"},{"id":17,"name":"Train ID","value":"137-17"},{"id":16,"name":"Locomotive ID","value":"4016"},{"id":130,"name":"Impact","value":""},{"id":150,"name":"Time of Event (Mountain Time)","value":"08:50:29"},{"id":151,"name":"Denver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3"/>
        <v>start /low /b %USERPROFILE%\Documents\GitHub\eaglep3\Utilities\DownloadLogsFromS3.py --loco 4016 --day 2017-02-17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"%USERPROFILE%\AppData\Local\Temp\OnboardLogs"\RTDC4016\*4016*20170217* | grep -SE "(Enforcement Action)|(\[TIMEOUT)|(CHR.+\|PRM\|1\|D.+(SWITCH|SIGNAL).+UNKNOWN)" - &gt;&gt; 2017-02-17-UncaughtWiMAX.txt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524</v>
      </c>
      <c r="B50" s="7">
        <v>4015</v>
      </c>
      <c r="C50" s="21" t="s">
        <v>682</v>
      </c>
      <c r="D50" s="21" t="s">
        <v>690</v>
      </c>
      <c r="E50" s="13">
        <v>42783.379178240742</v>
      </c>
      <c r="F50" s="13">
        <v>42783.382974537039</v>
      </c>
      <c r="G50" s="7">
        <v>1</v>
      </c>
      <c r="H50" s="21" t="s">
        <v>195</v>
      </c>
      <c r="I50" s="13">
        <v>42783.410717592589</v>
      </c>
      <c r="J50" s="7">
        <v>0</v>
      </c>
      <c r="K50" s="98" t="str">
        <f t="shared" si="0"/>
        <v>4015/4016</v>
      </c>
      <c r="L50" s="21" t="str">
        <f>VLOOKUP(A50,'Trips&amp;Operators'!$C$1:$G$99999,5,FALSE)</f>
        <v>LOZA FIDEL</v>
      </c>
      <c r="M50" s="6">
        <f t="shared" si="1"/>
        <v>2.774305555067258E-2</v>
      </c>
      <c r="N50" s="7">
        <f t="shared" si="25"/>
        <v>39.949999992968515</v>
      </c>
      <c r="O50" s="7"/>
      <c r="P50" s="7"/>
      <c r="Q50" s="22"/>
      <c r="R50" s="22"/>
      <c r="S50" s="31">
        <f t="shared" si="26"/>
        <v>1</v>
      </c>
      <c r="T50" s="46" t="str">
        <f t="shared" si="3"/>
        <v>Southbound</v>
      </c>
      <c r="U50" s="18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7" t="str">
        <f t="shared" si="4"/>
        <v>https://d0f6bd738d7f1b3e5a7ca70fe4ff75f0.us-east-1.aws.found.io/app/kibana#/discover/Steve-Slow-Train-Analysis-(2080s-and-2083s)?_g=(refreshInterval:(display:Off,pause:!f,section:0,value:0),time:(from:'2017-02-17T08:06:01-0700',mode:absolute,to:'2017-02-17T10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0" s="188" t="str">
        <f t="shared" si="5"/>
        <v>N</v>
      </c>
      <c r="X50" s="188">
        <f t="shared" si="24"/>
        <v>1</v>
      </c>
      <c r="Y50" s="62">
        <f t="shared" si="15"/>
        <v>23.298400000000001</v>
      </c>
      <c r="Z50" s="62">
        <f t="shared" si="16"/>
        <v>1.4999999999999999E-2</v>
      </c>
      <c r="AA50" s="62">
        <f t="shared" si="6"/>
        <v>23.2834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7"/>
        <v>0138-17</v>
      </c>
      <c r="AE50" s="85" t="str">
        <f t="shared" si="8"/>
        <v>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 &amp; 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</v>
      </c>
      <c r="AF50" s="82" t="str">
        <f t="shared" si="9"/>
        <v>"C:\Program Files (x86)\AstroGrep\AstroGrep.exe" /spath="%USERPROFILE%\AppData\Local\Temp\OnboardLogs" /stypes="app*4015*20170217*" /stext=" 16:.+((SYSTEM_STATE.+slice.+state.+changed )|(ment ac)|(multiple cpu faults)|(system.+state.+changed )|(\[timeout)|(PRM\|1\|D)|(kpr)|(kdp)|(\|lc)|(penalty))" /e /r /s</v>
      </c>
      <c r="AG50" s="1" t="str">
        <f t="shared" si="10"/>
        <v>EC</v>
      </c>
      <c r="AH50" s="86" t="str">
        <f t="shared" si="21"/>
        <v>"%USERPROFILE%\Documents\GitHub\eaglep3\Utilities\RefineRTDCRunTimes.py" --tripid 138-17 --locoid 4015 --swversion DE.1.0.9.0 --startMP 204:232984 --initTime 2017-02-17T09:06:01 --startdatetime 2017-02-17T09:11:29 --delay 1 --endMP 204:150 --enddatetime 2017-02-17T09:51:26 --enforcementcount 0 &gt;&gt;C:\Users\stu\Documents\GitHub\eaglep3-reporting\EC\2017-02-17-refined-times.txt</v>
      </c>
      <c r="AI50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{"issue":{"subject":"","project_id":79,"tracker_id":40,"status_id":1,"priority_id":2,"assigned_to_id":23,"start_date":"2017-02-17","description":"","custom_fields":[{"id":1,"name":"Subdivision","value":"EC"},{"id":4,"name":"Milepost","value":"0.015"},{"id":17,"name":"Train ID","value":"138-17"},{"id":16,"name":"Locomotive ID","value":"4015"},{"id":130,"name":"Impact","value":""},{"id":150,"name":"Time of Event (Mountain Time)","value":"09:51:26"},{"id":151,"name":"Denver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3"/>
        <v>start /low /b %USERPROFILE%\Documents\GitHub\eaglep3\Utilities\DownloadLogsFromS3.py --loco 4015 --day 2017-02-17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"%USERPROFILE%\AppData\Local\Temp\OnboardLogs"\RTDC4015\*4015*20170217* | grep -SE "(Enforcement Action)|(\[TIMEOUT)|(CHR.+\|PRM\|1\|D.+(SWITCH|SIGNAL).+UNKNOWN)" - &gt;&gt; 2017-02-17-UncaughtWiMAX.txt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448</v>
      </c>
      <c r="B51" s="7">
        <v>4044</v>
      </c>
      <c r="C51" s="21" t="s">
        <v>682</v>
      </c>
      <c r="D51" s="21" t="s">
        <v>205</v>
      </c>
      <c r="E51" s="13">
        <v>42783.34988425926</v>
      </c>
      <c r="F51" s="13">
        <v>42783.354386574072</v>
      </c>
      <c r="G51" s="7">
        <v>2</v>
      </c>
      <c r="H51" s="21" t="s">
        <v>294</v>
      </c>
      <c r="I51" s="13">
        <v>42783.382002314815</v>
      </c>
      <c r="J51" s="7">
        <v>0</v>
      </c>
      <c r="K51" s="98" t="str">
        <f t="shared" si="0"/>
        <v>4043/4044</v>
      </c>
      <c r="L51" s="21" t="str">
        <f>VLOOKUP(A51,'Trips&amp;Operators'!$C$1:$G$99999,5,FALSE)</f>
        <v>STRICKLAND EVAN</v>
      </c>
      <c r="M51" s="6">
        <f t="shared" si="1"/>
        <v>2.7615740742476191E-2</v>
      </c>
      <c r="N51" s="7">
        <f t="shared" si="25"/>
        <v>39.766666669165716</v>
      </c>
      <c r="O51" s="7"/>
      <c r="P51" s="7"/>
      <c r="Q51" s="22"/>
      <c r="R51" s="22"/>
      <c r="S51" s="31">
        <f t="shared" si="26"/>
        <v>1</v>
      </c>
      <c r="T51" s="46" t="str">
        <f t="shared" si="3"/>
        <v>NorthBound</v>
      </c>
      <c r="U51" s="18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7" t="str">
        <f t="shared" si="4"/>
        <v>https://d0f6bd738d7f1b3e5a7ca70fe4ff75f0.us-east-1.aws.found.io/app/kibana#/discover/Steve-Slow-Train-Analysis-(2080s-and-2083s)?_g=(refreshInterval:(display:Off,pause:!f,section:0,value:0),time:(from:'2017-02-17T07:23:50-0700',mode:absolute,to:'2017-02-17T10:10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1" s="188" t="str">
        <f t="shared" si="5"/>
        <v>N</v>
      </c>
      <c r="X51" s="188">
        <f t="shared" si="24"/>
        <v>1</v>
      </c>
      <c r="Y51" s="62">
        <f t="shared" si="15"/>
        <v>4.6199999999999998E-2</v>
      </c>
      <c r="Z51" s="62">
        <f t="shared" si="16"/>
        <v>23.328900000000001</v>
      </c>
      <c r="AA51" s="62">
        <f t="shared" si="6"/>
        <v>23.282700000000002</v>
      </c>
      <c r="AB51" s="59" t="str">
        <f>VLOOKUP(A51,Enforcements!$C$7:$K$13,8,0)</f>
        <v>Bulletin (2)</v>
      </c>
      <c r="AC51" s="55" t="str">
        <f>VLOOKUP(A51,Enforcements!$C$7:$E$13,3,0)</f>
        <v>GRADE CROSSING</v>
      </c>
      <c r="AD51" s="56" t="str">
        <f t="shared" si="7"/>
        <v>0139-17</v>
      </c>
      <c r="AE51" s="85" t="str">
        <f t="shared" si="8"/>
        <v>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 &amp; 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</v>
      </c>
      <c r="AF51" s="82" t="str">
        <f t="shared" si="9"/>
        <v>"C:\Program Files (x86)\AstroGrep\AstroGrep.exe" /spath="%USERPROFILE%\AppData\Local\Temp\OnboardLogs" /stypes="app*4044*20170217*" /stext=" 16:.+((SYSTEM_STATE.+slice.+state.+changed )|(ment ac)|(multiple cpu faults)|(system.+state.+changed )|(\[timeout)|(PRM\|1\|D)|(kpr)|(kdp)|(\|lc)|(penalty))" /e /r /s</v>
      </c>
      <c r="AG51" s="1" t="str">
        <f t="shared" si="10"/>
        <v>EC</v>
      </c>
      <c r="AH51" s="86" t="str">
        <f t="shared" si="21"/>
        <v>"%USERPROFILE%\Documents\GitHub\eaglep3\Utilities\RefineRTDCRunTimes.py" --tripid 139-17 --locoid 4044 --swversion DE.1.0.9.0 --startMP 204:462 --initTime 2017-02-17T08:23:50 --startdatetime 2017-02-17T08:30:19 --delay 2 --endMP 204:233289 --enddatetime 2017-02-17T09:10:05 --enforcementcount 0 &gt;&gt;C:\Users\stu\Documents\GitHub\eaglep3-reporting\EC\2017-02-17-refined-times.txt</v>
      </c>
      <c r="AI51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{"issue":{"subject":"","project_id":79,"tracker_id":40,"status_id":1,"priority_id":2,"assigned_to_id":23,"start_date":"2017-02-17","description":"","custom_fields":[{"id":1,"name":"Subdivision","value":"EC"},{"id":4,"name":"Milepost","value":"23.3289"},{"id":17,"name":"Train ID","value":"139-17"},{"id":16,"name":"Locomotive ID","value":"4044"},{"id":130,"name":"Impact","value":""},{"id":150,"name":"Time of Event (Mountain Time)","value":"09:10:05"},{"id":151,"name":"Denver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3"/>
        <v>start /low /b %USERPROFILE%\Documents\GitHub\eaglep3\Utilities\DownloadLogsFromS3.py --loco 4044 --day 2017-02-17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"%USERPROFILE%\AppData\Local\Temp\OnboardLogs"\RTDC4044\*4044*20170217* | grep -SE "(Enforcement Action)|(\[TIMEOUT)|(CHR.+\|PRM\|1\|D.+(SWITCH|SIGNAL).+UNKNOWN)" - &gt;&gt; 2017-02-17-UncaughtWiMAX.txt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526</v>
      </c>
      <c r="B52" s="7">
        <v>4043</v>
      </c>
      <c r="C52" s="21" t="s">
        <v>682</v>
      </c>
      <c r="D52" s="21" t="s">
        <v>369</v>
      </c>
      <c r="E52" s="13">
        <v>42783.384826388887</v>
      </c>
      <c r="F52" s="13">
        <v>42783.393495370372</v>
      </c>
      <c r="G52" s="7">
        <v>1</v>
      </c>
      <c r="H52" s="21" t="s">
        <v>293</v>
      </c>
      <c r="I52" s="13">
        <v>42783.421770833331</v>
      </c>
      <c r="J52" s="7">
        <v>0</v>
      </c>
      <c r="K52" s="98" t="str">
        <f t="shared" si="0"/>
        <v>4043/4044</v>
      </c>
      <c r="L52" s="21" t="str">
        <f>VLOOKUP(A52,'Trips&amp;Operators'!$C$1:$G$99999,5,FALSE)</f>
        <v>STRICKLAND EVAN</v>
      </c>
      <c r="M52" s="6">
        <f t="shared" si="1"/>
        <v>2.827546295884531E-2</v>
      </c>
      <c r="N52" s="7">
        <f t="shared" si="25"/>
        <v>40.716666660737246</v>
      </c>
      <c r="O52" s="7"/>
      <c r="P52" s="7"/>
      <c r="Q52" s="22"/>
      <c r="R52" s="22"/>
      <c r="S52" s="31">
        <f t="shared" si="26"/>
        <v>1</v>
      </c>
      <c r="T52" s="46" t="str">
        <f t="shared" si="3"/>
        <v>Southbound</v>
      </c>
      <c r="U52" s="18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7" t="str">
        <f t="shared" si="4"/>
        <v>https://d0f6bd738d7f1b3e5a7ca70fe4ff75f0.us-east-1.aws.found.io/app/kibana#/discover/Steve-Slow-Train-Analysis-(2080s-and-2083s)?_g=(refreshInterval:(display:Off,pause:!f,section:0,value:0),time:(from:'2017-02-17T08:14:09-0700',mode:absolute,to:'2017-02-17T11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2" s="188" t="str">
        <f t="shared" si="5"/>
        <v>N</v>
      </c>
      <c r="X52" s="188">
        <f t="shared" si="24"/>
        <v>1</v>
      </c>
      <c r="Y52" s="62">
        <f t="shared" si="15"/>
        <v>23.2989</v>
      </c>
      <c r="Z52" s="62">
        <f t="shared" si="16"/>
        <v>1.5599999999999999E-2</v>
      </c>
      <c r="AA52" s="62">
        <f t="shared" si="6"/>
        <v>23.283300000000001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7"/>
        <v>0140-17</v>
      </c>
      <c r="AE52" s="85" t="str">
        <f t="shared" si="8"/>
        <v>aws s3 cp s3://rtdc.mdm.uploadarchive.raw/RTDC4043/ "%USERPROFILE%\AppData\Local\Temp\OnboardLogs"\RTDC4043\2017-02-17 --exclude "*" --recursive --include "*20170217*" &amp; "%USERPROFILE%\Documents\GitHub\mrs-test-scripts\Headless Mode &amp; Sideloading\WalkAndUnGZ.bat" "%USERPROFILE%\AppData\Local\Temp\OnboardLogs"\RTDC4043\2017-02-17 &amp; aws s3 cp s3://rtdc.mdm.uploadarchive.raw/RTDC4043/ "%USERPROFILE%\AppData\Local\Temp\OnboardLogs"\RTDC4043\2017-02-18 --exclude "*" --recursive --include "*20170218*" &amp; "%USERPROFILE%\Documents\GitHub\mrs-test-scripts\Headless Mode &amp; Sideloading\WalkAndUnGZ.bat" "%USERPROFILE%\AppData\Local\Temp\OnboardLogs"\RTDC4043\2017-02-18</v>
      </c>
      <c r="AF52" s="82" t="str">
        <f t="shared" si="9"/>
        <v>"C:\Program Files (x86)\AstroGrep\AstroGrep.exe" /spath="%USERPROFILE%\AppData\Local\Temp\OnboardLogs" /stypes="app*4043*20170217*" /stext=" 17:.+((SYSTEM_STATE.+slice.+state.+changed )|(ment ac)|(multiple cpu faults)|(system.+state.+changed )|(\[timeout)|(PRM\|1\|D)|(kpr)|(kdp)|(\|lc)|(penalty))" /e /r /s</v>
      </c>
      <c r="AG52" s="1" t="str">
        <f t="shared" si="10"/>
        <v>EC</v>
      </c>
      <c r="AH52" s="86" t="str">
        <f t="shared" si="21"/>
        <v>"%USERPROFILE%\Documents\GitHub\eaglep3\Utilities\RefineRTDCRunTimes.py" --tripid 140-17 --locoid 4043 --swversion DE.1.0.9.0 --startMP 204:232989 --initTime 2017-02-17T09:14:09 --startdatetime 2017-02-17T09:26:38 --delay 1 --endMP 204:156 --enddatetime 2017-02-17T10:07:21 --enforcementcount 0 &gt;&gt;C:\Users\stu\Documents\GitHub\eaglep3-reporting\EC\2017-02-17-refined-times.txt</v>
      </c>
      <c r="AI52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{"issue":{"subject":"","project_id":79,"tracker_id":40,"status_id":1,"priority_id":2,"assigned_to_id":23,"start_date":"2017-02-17","description":"","custom_fields":[{"id":1,"name":"Subdivision","value":"EC"},{"id":4,"name":"Milepost","value":"0.0156"},{"id":17,"name":"Train ID","value":"140-17"},{"id":16,"name":"Locomotive ID","value":"4043"},{"id":130,"name":"Impact","value":""},{"id":150,"name":"Time of Event (Mountain Time)","value":"10:07:21"},{"id":151,"name":"Denver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3"/>
        <v>start /low /b %USERPROFILE%\Documents\GitHub\eaglep3\Utilities\DownloadLogsFromS3.py --loco 4043 --day 2017-02-17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"%USERPROFILE%\AppData\Local\Temp\OnboardLogs"\RTDC4043\*4043*20170217* | grep -SE "(Enforcement Action)|(\[TIMEOUT)|(CHR.+\|PRM\|1\|D.+(SWITCH|SIGNAL).+UNKNOWN)" - &gt;&gt; 2017-02-17-UncaughtWiMAX.txt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521</v>
      </c>
      <c r="B53" s="7">
        <v>4027</v>
      </c>
      <c r="C53" s="21" t="s">
        <v>682</v>
      </c>
      <c r="D53" s="21" t="s">
        <v>693</v>
      </c>
      <c r="E53" s="13">
        <v>42783.361076388886</v>
      </c>
      <c r="F53" s="13">
        <v>42783.364976851852</v>
      </c>
      <c r="G53" s="7">
        <v>1</v>
      </c>
      <c r="H53" s="21" t="s">
        <v>711</v>
      </c>
      <c r="I53" s="13">
        <v>42783.389976851853</v>
      </c>
      <c r="J53" s="7">
        <v>0</v>
      </c>
      <c r="K53" s="98" t="str">
        <f t="shared" si="0"/>
        <v>4027/4028</v>
      </c>
      <c r="L53" s="21" t="str">
        <f>VLOOKUP(A53,'Trips&amp;Operators'!$C$1:$G$99999,5,FALSE)</f>
        <v>BADERTSCHER DIANE</v>
      </c>
      <c r="M53" s="6">
        <f t="shared" si="1"/>
        <v>2.5000000001455192E-2</v>
      </c>
      <c r="N53" s="7">
        <f t="shared" si="25"/>
        <v>36.000000002095476</v>
      </c>
      <c r="O53" s="7"/>
      <c r="P53" s="7"/>
      <c r="Q53" s="22"/>
      <c r="R53" s="22"/>
      <c r="S53" s="31">
        <f t="shared" si="26"/>
        <v>1</v>
      </c>
      <c r="T53" s="46" t="str">
        <f t="shared" si="3"/>
        <v>NorthBound</v>
      </c>
      <c r="U53" s="18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7" t="str">
        <f t="shared" si="4"/>
        <v>https://d0f6bd738d7f1b3e5a7ca70fe4ff75f0.us-east-1.aws.found.io/app/kibana#/discover/Steve-Slow-Train-Analysis-(2080s-and-2083s)?_g=(refreshInterval:(display:Off,pause:!f,section:0,value:0),time:(from:'2017-02-17T07:39:57-0700',mode:absolute,to:'2017-02-17T10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3" s="188" t="str">
        <f t="shared" si="5"/>
        <v>N</v>
      </c>
      <c r="X53" s="188">
        <f t="shared" si="24"/>
        <v>1</v>
      </c>
      <c r="Y53" s="62">
        <f t="shared" si="15"/>
        <v>5.11E-2</v>
      </c>
      <c r="Z53" s="62">
        <f t="shared" si="16"/>
        <v>23.323399999999999</v>
      </c>
      <c r="AA53" s="62">
        <f t="shared" si="6"/>
        <v>23.272299999999998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7"/>
        <v>0141-17</v>
      </c>
      <c r="AE53" s="85" t="str">
        <f t="shared" si="8"/>
        <v>aws s3 cp s3://rtdc.mdm.uploadarchive.raw/RTDC4027/ "%USERPROFILE%\AppData\Local\Temp\OnboardLogs"\RTDC4027\2017-02-17 --exclude "*" --recursive --include "*20170217*" &amp; "%USERPROFILE%\Documents\GitHub\mrs-test-scripts\Headless Mode &amp; Sideloading\WalkAndUnGZ.bat" "%USERPROFILE%\AppData\Local\Temp\OnboardLogs"\RTDC4027\2017-02-17 &amp; 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</v>
      </c>
      <c r="AF53" s="82" t="str">
        <f t="shared" si="9"/>
        <v>"C:\Program Files (x86)\AstroGrep\AstroGrep.exe" /spath="%USERPROFILE%\AppData\Local\Temp\OnboardLogs" /stypes="app*4027*20170217*" /stext=" 16:.+((SYSTEM_STATE.+slice.+state.+changed )|(ment ac)|(multiple cpu faults)|(system.+state.+changed )|(\[timeout)|(PRM\|1\|D)|(kpr)|(kdp)|(\|lc)|(penalty))" /e /r /s</v>
      </c>
      <c r="AG53" s="1" t="str">
        <f t="shared" si="10"/>
        <v>EC</v>
      </c>
      <c r="AH53" s="86" t="str">
        <f t="shared" si="21"/>
        <v>"%USERPROFILE%\Documents\GitHub\eaglep3\Utilities\RefineRTDCRunTimes.py" --tripid 141-17 --locoid 4027 --swversion DE.1.0.9.0 --startMP 204:511 --initTime 2017-02-17T08:39:57 --startdatetime 2017-02-17T08:45:34 --delay 1 --endMP 204:233234 --enddatetime 2017-02-17T09:21:34 --enforcementcount 0 &gt;&gt;C:\Users\stu\Documents\GitHub\eaglep3-reporting\EC\2017-02-17-refined-times.txt</v>
      </c>
      <c r="AI53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{"issue":{"subject":"","project_id":79,"tracker_id":40,"status_id":1,"priority_id":2,"assigned_to_id":23,"start_date":"2017-02-17","description":"","custom_fields":[{"id":1,"name":"Subdivision","value":"EC"},{"id":4,"name":"Milepost","value":"23.3234"},{"id":17,"name":"Train ID","value":"141-17"},{"id":16,"name":"Locomotive ID","value":"4027"},{"id":130,"name":"Impact","value":""},{"id":150,"name":"Time of Event (Mountain Time)","value":"09:21:34"},{"id":151,"name":"Denver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3"/>
        <v>start /low /b %USERPROFILE%\Documents\GitHub\eaglep3\Utilities\DownloadLogsFromS3.py --loco 4027 --day 2017-02-17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"%USERPROFILE%\AppData\Local\Temp\OnboardLogs"\RTDC4027\*4027*20170217* | grep -SE "(Enforcement Action)|(\[TIMEOUT)|(CHR.+\|PRM\|1\|D.+(SWITCH|SIGNAL).+UNKNOWN)" - &gt;&gt; 2017-02-17-UncaughtWiMAX.txt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528</v>
      </c>
      <c r="B54" s="7">
        <v>4028</v>
      </c>
      <c r="C54" s="21" t="s">
        <v>682</v>
      </c>
      <c r="D54" s="21" t="s">
        <v>703</v>
      </c>
      <c r="E54" s="13">
        <v>42783.396817129629</v>
      </c>
      <c r="F54" s="13">
        <v>42783.403657407405</v>
      </c>
      <c r="G54" s="7">
        <v>1</v>
      </c>
      <c r="H54" s="21" t="s">
        <v>295</v>
      </c>
      <c r="I54" s="13">
        <v>42783.433437500003</v>
      </c>
      <c r="J54" s="7">
        <v>0</v>
      </c>
      <c r="K54" s="98" t="str">
        <f t="shared" si="0"/>
        <v>4027/4028</v>
      </c>
      <c r="L54" s="21" t="str">
        <f>VLOOKUP(A54,'Trips&amp;Operators'!$C$1:$G$99999,5,FALSE)</f>
        <v>BADERTSCHER DIANE</v>
      </c>
      <c r="M54" s="6">
        <f t="shared" si="1"/>
        <v>2.9780092598230112E-2</v>
      </c>
      <c r="N54" s="7">
        <f t="shared" si="25"/>
        <v>42.883333341451362</v>
      </c>
      <c r="O54" s="7"/>
      <c r="P54" s="7"/>
      <c r="Q54" s="22"/>
      <c r="R54" s="22"/>
      <c r="S54" s="31">
        <f t="shared" si="26"/>
        <v>1</v>
      </c>
      <c r="T54" s="46" t="str">
        <f t="shared" si="3"/>
        <v>Southbound</v>
      </c>
      <c r="U54" s="18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7" t="str">
        <f t="shared" si="4"/>
        <v>https://d0f6bd738d7f1b3e5a7ca70fe4ff75f0.us-east-1.aws.found.io/app/kibana#/discover/Steve-Slow-Train-Analysis-(2080s-and-2083s)?_g=(refreshInterval:(display:Off,pause:!f,section:0,value:0),time:(from:'2017-02-17T08:31:25-0700',mode:absolute,to:'2017-02-17T11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4" s="188" t="str">
        <f t="shared" si="5"/>
        <v>N</v>
      </c>
      <c r="X54" s="188">
        <f t="shared" si="24"/>
        <v>1</v>
      </c>
      <c r="Y54" s="62">
        <f t="shared" si="15"/>
        <v>23.292100000000001</v>
      </c>
      <c r="Z54" s="62">
        <f t="shared" si="16"/>
        <v>1.47E-2</v>
      </c>
      <c r="AA54" s="62">
        <f t="shared" si="6"/>
        <v>23.2774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7"/>
        <v>0142-17</v>
      </c>
      <c r="AE54" s="85" t="str">
        <f t="shared" si="8"/>
        <v>aws s3 cp s3://rtdc.mdm.uploadarchive.raw/RTDC4028/ "%USERPROFILE%\AppData\Local\Temp\OnboardLogs"\RTDC4028\2017-02-17 --exclude "*" --recursive --include "*20170217*" &amp; "%USERPROFILE%\Documents\GitHub\mrs-test-scripts\Headless Mode &amp; Sideloading\WalkAndUnGZ.bat" "%USERPROFILE%\AppData\Local\Temp\OnboardLogs"\RTDC4028\2017-02-17 &amp; 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</v>
      </c>
      <c r="AF54" s="82" t="str">
        <f t="shared" si="9"/>
        <v>"C:\Program Files (x86)\AstroGrep\AstroGrep.exe" /spath="%USERPROFILE%\AppData\Local\Temp\OnboardLogs" /stypes="app*4028*20170217*" /stext=" 17:.+((SYSTEM_STATE.+slice.+state.+changed )|(ment ac)|(multiple cpu faults)|(system.+state.+changed )|(\[timeout)|(PRM\|1\|D)|(kpr)|(kdp)|(\|lc)|(penalty))" /e /r /s</v>
      </c>
      <c r="AG54" s="1" t="str">
        <f t="shared" si="10"/>
        <v>EC</v>
      </c>
      <c r="AH54" s="86" t="str">
        <f t="shared" si="21"/>
        <v>"%USERPROFILE%\Documents\GitHub\eaglep3\Utilities\RefineRTDCRunTimes.py" --tripid 142-17 --locoid 4028 --swversion DE.1.0.9.0 --startMP 204:232921 --initTime 2017-02-17T09:31:25 --startdatetime 2017-02-17T09:41:16 --delay 1 --endMP 204:147 --enddatetime 2017-02-17T10:24:09 --enforcementcount 0 &gt;&gt;C:\Users\stu\Documents\GitHub\eaglep3-reporting\EC\2017-02-17-refined-times.txt</v>
      </c>
      <c r="AI54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{"issue":{"subject":"","project_id":79,"tracker_id":40,"status_id":1,"priority_id":2,"assigned_to_id":23,"start_date":"2017-02-17","description":"","custom_fields":[{"id":1,"name":"Subdivision","value":"EC"},{"id":4,"name":"Milepost","value":"0.0147"},{"id":17,"name":"Train ID","value":"142-17"},{"id":16,"name":"Locomotive ID","value":"4028"},{"id":130,"name":"Impact","value":""},{"id":150,"name":"Time of Event (Mountain Time)","value":"10:24:09"},{"id":151,"name":"Denver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3"/>
        <v>start /low /b %USERPROFILE%\Documents\GitHub\eaglep3\Utilities\DownloadLogsFromS3.py --loco 4028 --day 2017-02-17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"%USERPROFILE%\AppData\Local\Temp\OnboardLogs"\RTDC4028\*4028*20170217* | grep -SE "(Enforcement Action)|(\[TIMEOUT)|(CHR.+\|PRM\|1\|D.+(SWITCH|SIGNAL).+UNKNOWN)" - &gt;&gt; 2017-02-17-UncaughtWiMAX.txt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522</v>
      </c>
      <c r="B55" s="7">
        <v>4046</v>
      </c>
      <c r="C55" s="21" t="s">
        <v>682</v>
      </c>
      <c r="D55" s="21" t="s">
        <v>261</v>
      </c>
      <c r="E55" s="13">
        <v>42783.371087962965</v>
      </c>
      <c r="F55" s="13">
        <v>42783.375185185185</v>
      </c>
      <c r="G55" s="7">
        <v>2</v>
      </c>
      <c r="H55" s="21" t="s">
        <v>264</v>
      </c>
      <c r="I55" s="13">
        <v>42783.399756944447</v>
      </c>
      <c r="J55" s="7">
        <v>0</v>
      </c>
      <c r="K55" s="98" t="str">
        <f t="shared" si="0"/>
        <v>4045/4046</v>
      </c>
      <c r="L55" s="21" t="str">
        <f>VLOOKUP(A55,'Trips&amp;Operators'!$C$1:$G$99999,5,FALSE)</f>
        <v>ROCHA YAOTL</v>
      </c>
      <c r="M55" s="6">
        <f t="shared" si="1"/>
        <v>2.457175926247146E-2</v>
      </c>
      <c r="N55" s="7">
        <f t="shared" si="25"/>
        <v>35.383333337958902</v>
      </c>
      <c r="O55" s="7"/>
      <c r="P55" s="7"/>
      <c r="Q55" s="22"/>
      <c r="R55" s="22"/>
      <c r="S55" s="31">
        <f t="shared" si="26"/>
        <v>1</v>
      </c>
      <c r="T55" s="46" t="str">
        <f t="shared" si="3"/>
        <v>NorthBound</v>
      </c>
      <c r="U55" s="18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7" t="str">
        <f t="shared" si="4"/>
        <v>https://d0f6bd738d7f1b3e5a7ca70fe4ff75f0.us-east-1.aws.found.io/app/kibana#/discover/Steve-Slow-Train-Analysis-(2080s-and-2083s)?_g=(refreshInterval:(display:Off,pause:!f,section:0,value:0),time:(from:'2017-02-17T07:54:22-0700',mode:absolute,to:'2017-02-17T10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5" s="188" t="str">
        <f t="shared" si="5"/>
        <v>N</v>
      </c>
      <c r="X55" s="188">
        <f t="shared" si="24"/>
        <v>1</v>
      </c>
      <c r="Y55" s="62">
        <f t="shared" si="15"/>
        <v>4.6699999999999998E-2</v>
      </c>
      <c r="Z55" s="62">
        <f t="shared" si="16"/>
        <v>23.3308</v>
      </c>
      <c r="AA55" s="62">
        <f t="shared" si="6"/>
        <v>23.284099999999999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7"/>
        <v>0143-17</v>
      </c>
      <c r="AE55" s="85" t="str">
        <f t="shared" si="8"/>
        <v>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 &amp; aws s3 cp s3://rtdc.mdm.uploadarchive.raw/RTDC4046/ "%USERPROFILE%\AppData\Local\Temp\OnboardLogs"\RTDC4046\2017-02-18 --exclude "*" --recursive --include "*20170218*" &amp; "%USERPROFILE%\Documents\GitHub\mrs-test-scripts\Headless Mode &amp; Sideloading\WalkAndUnGZ.bat" "%USERPROFILE%\AppData\Local\Temp\OnboardLogs"\RTDC4046\2017-02-18</v>
      </c>
      <c r="AF55" s="82" t="str">
        <f t="shared" si="9"/>
        <v>"C:\Program Files (x86)\AstroGrep\AstroGrep.exe" /spath="%USERPROFILE%\AppData\Local\Temp\OnboardLogs" /stypes="app*4046*20170217*" /stext=" 16:.+((SYSTEM_STATE.+slice.+state.+changed )|(ment ac)|(multiple cpu faults)|(system.+state.+changed )|(\[timeout)|(PRM\|1\|D)|(kpr)|(kdp)|(\|lc)|(penalty))" /e /r /s</v>
      </c>
      <c r="AG55" s="1" t="str">
        <f t="shared" si="10"/>
        <v>EC</v>
      </c>
      <c r="AH55" s="86" t="str">
        <f t="shared" si="21"/>
        <v>"%USERPROFILE%\Documents\GitHub\eaglep3\Utilities\RefineRTDCRunTimes.py" --tripid 143-17 --locoid 4046 --swversion DE.1.0.9.0 --startMP 204:467 --initTime 2017-02-17T08:54:22 --startdatetime 2017-02-17T09:00:16 --delay 2 --endMP 204:233308 --enddatetime 2017-02-17T09:35:39 --enforcementcount 0 &gt;&gt;C:\Users\stu\Documents\GitHub\eaglep3-reporting\EC\2017-02-17-refined-times.txt</v>
      </c>
      <c r="AI55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{"issue":{"subject":"","project_id":79,"tracker_id":40,"status_id":1,"priority_id":2,"assigned_to_id":23,"start_date":"2017-02-17","description":"","custom_fields":[{"id":1,"name":"Subdivision","value":"EC"},{"id":4,"name":"Milepost","value":"23.3308"},{"id":17,"name":"Train ID","value":"143-17"},{"id":16,"name":"Locomotive ID","value":"4046"},{"id":130,"name":"Impact","value":""},{"id":150,"name":"Time of Event (Mountain Time)","value":"09:35:39"},{"id":151,"name":"Denver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3"/>
        <v>start /low /b %USERPROFILE%\Documents\GitHub\eaglep3\Utilities\DownloadLogsFromS3.py --loco 4046 --day 2017-02-17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"%USERPROFILE%\AppData\Local\Temp\OnboardLogs"\RTDC4046\*4046*20170217* | grep -SE "(Enforcement Action)|(\[TIMEOUT)|(CHR.+\|PRM\|1\|D.+(SWITCH|SIGNAL).+UNKNOWN)" - &gt;&gt; 2017-02-17-UncaughtWiMAX.txt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450</v>
      </c>
      <c r="B56" s="7">
        <v>4045</v>
      </c>
      <c r="C56" s="21" t="s">
        <v>682</v>
      </c>
      <c r="D56" s="21" t="s">
        <v>712</v>
      </c>
      <c r="E56" s="13">
        <v>42783.423611111109</v>
      </c>
      <c r="F56" s="13">
        <v>42783.424479166664</v>
      </c>
      <c r="G56" s="7">
        <v>1</v>
      </c>
      <c r="H56" s="21" t="s">
        <v>195</v>
      </c>
      <c r="I56" s="13">
        <v>42783.440127314818</v>
      </c>
      <c r="J56" s="7">
        <v>0</v>
      </c>
      <c r="K56" s="98" t="str">
        <f t="shared" si="0"/>
        <v>4045/4046</v>
      </c>
      <c r="L56" s="21" t="str">
        <f>VLOOKUP(A56,'Trips&amp;Operators'!$C$1:$G$99999,5,FALSE)</f>
        <v>ROCHA YAOTL</v>
      </c>
      <c r="M56" s="6">
        <f t="shared" si="1"/>
        <v>1.5648148153559305E-2</v>
      </c>
      <c r="N56" s="7"/>
      <c r="O56" s="7"/>
      <c r="P56" s="7">
        <f>24*60*SUM($M56:$M56)</f>
        <v>22.533333341125399</v>
      </c>
      <c r="Q56" s="22"/>
      <c r="R56" s="22" t="s">
        <v>858</v>
      </c>
      <c r="S56" s="31">
        <f t="shared" si="26"/>
        <v>1</v>
      </c>
      <c r="T56" s="46" t="str">
        <f t="shared" si="3"/>
        <v>Southbound</v>
      </c>
      <c r="U56" s="18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7" t="str">
        <f t="shared" si="4"/>
        <v>https://d0f6bd738d7f1b3e5a7ca70fe4ff75f0.us-east-1.aws.found.io/app/kibana#/discover/Steve-Slow-Train-Analysis-(2080s-and-2083s)?_g=(refreshInterval:(display:Off,pause:!f,section:0,value:0),time:(from:'2017-02-17T09:10:00-0700',mode:absolute,to:'2017-02-17T11:33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6" s="188" t="str">
        <f t="shared" si="5"/>
        <v>Y</v>
      </c>
      <c r="X56" s="188">
        <f t="shared" si="24"/>
        <v>1</v>
      </c>
      <c r="Y56" s="62">
        <f t="shared" si="15"/>
        <v>12.786099999999999</v>
      </c>
      <c r="Z56" s="62">
        <f t="shared" si="16"/>
        <v>1.4999999999999999E-2</v>
      </c>
      <c r="AA56" s="62">
        <f t="shared" si="6"/>
        <v>12.771099999999999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7"/>
        <v>0144-17</v>
      </c>
      <c r="AE56" s="85" t="str">
        <f t="shared" si="8"/>
        <v>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 &amp; aws s3 cp s3://rtdc.mdm.uploadarchive.raw/RTDC4045/ "%USERPROFILE%\AppData\Local\Temp\OnboardLogs"\RTDC4045\2017-02-18 --exclude "*" --recursive --include "*20170218*" &amp; "%USERPROFILE%\Documents\GitHub\mrs-test-scripts\Headless Mode &amp; Sideloading\WalkAndUnGZ.bat" "%USERPROFILE%\AppData\Local\Temp\OnboardLogs"\RTDC4045\2017-02-18</v>
      </c>
      <c r="AF56" s="82" t="str">
        <f t="shared" si="9"/>
        <v>"C:\Program Files (x86)\AstroGrep\AstroGrep.exe" /spath="%USERPROFILE%\AppData\Local\Temp\OnboardLogs" /stypes="app*4045*20170217*" /stext=" 17:.+((SYSTEM_STATE.+slice.+state.+changed )|(ment ac)|(multiple cpu faults)|(system.+state.+changed )|(\[timeout)|(PRM\|1\|D)|(kpr)|(kdp)|(\|lc)|(penalty))" /e /r /s</v>
      </c>
      <c r="AG56" s="1" t="str">
        <f t="shared" si="10"/>
        <v>EC</v>
      </c>
      <c r="AH56" s="86" t="str">
        <f t="shared" si="21"/>
        <v>"%USERPROFILE%\Documents\GitHub\eaglep3\Utilities\RefineRTDCRunTimes.py" --tripid 144-17 --locoid 4045 --swversion DE.1.0.9.0 --startMP 204:127861 --initTime 2017-02-17T10:10:00 --startdatetime 2017-02-17T10:11:15 --delay 1 --endMP 204:150 --enddatetime 2017-02-17T10:33:47 --enforcementcount 0 &gt;&gt;C:\Users\stu\Documents\GitHub\eaglep3-reporting\EC\2017-02-17-refined-times.txt</v>
      </c>
      <c r="AI56" s="108" t="str">
        <f t="shared" si="22"/>
        <v>echo {"issue":{"subject":"Onboard in-route failure","project_id":79,"tracker_id":40,"status_id":1,"priority_id":2,"assigned_to_id":23,"start_date":"2017-02-17","description":"","custom_fields":[{"id":1,"name":"Subdivision","value":"EC"},{"id":4,"name":"Milepost","value":"0.015"},{"id":17,"name":"Train ID","value":"144-17"},{"id":16,"name":"Locomotive ID","value":"4045"},{"id":130,"name":"Impact","value":""},{"id":150,"name":"Time of Event (Mountain Time)","value":"10:33:47"},{"id":151,"name":"Denver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3"/>
        <v>start /low /b %USERPROFILE%\Documents\GitHub\eaglep3\Utilities\DownloadLogsFromS3.py --loco 4045 --day 2017-02-17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"%USERPROFILE%\AppData\Local\Temp\OnboardLogs"\RTDC4045\*4045*20170217* | grep -SE "(Enforcement Action)|(\[TIMEOUT)|(CHR.+\|PRM\|1\|D.+(SWITCH|SIGNAL).+UNKNOWN)" - &gt;&gt; 2017-02-17-UncaughtWiMAX.txt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450</v>
      </c>
      <c r="B57" s="7">
        <v>4045</v>
      </c>
      <c r="C57" s="21" t="s">
        <v>682</v>
      </c>
      <c r="D57" s="21" t="s">
        <v>713</v>
      </c>
      <c r="E57" s="13">
        <v>42783.413078703707</v>
      </c>
      <c r="F57" s="13">
        <v>42783.424479166664</v>
      </c>
      <c r="G57" s="7">
        <v>2</v>
      </c>
      <c r="H57" s="21" t="s">
        <v>714</v>
      </c>
      <c r="I57" s="13">
        <v>42783.440127314818</v>
      </c>
      <c r="J57" s="7">
        <v>0</v>
      </c>
      <c r="K57" s="98" t="str">
        <f t="shared" si="0"/>
        <v>4045/4046</v>
      </c>
      <c r="L57" s="21" t="str">
        <f>VLOOKUP(A57,'Trips&amp;Operators'!$C$1:$G$99999,5,FALSE)</f>
        <v>ROCHA YAOTL</v>
      </c>
      <c r="M57" s="6">
        <f t="shared" si="1"/>
        <v>1.5648148153559305E-2</v>
      </c>
      <c r="N57" s="7"/>
      <c r="O57" s="7"/>
      <c r="P57" s="7"/>
      <c r="Q57" s="22"/>
      <c r="R57" s="22"/>
      <c r="S57" s="31">
        <f t="shared" si="26"/>
        <v>0</v>
      </c>
      <c r="T57" s="46" t="str">
        <f t="shared" si="3"/>
        <v>Southbound</v>
      </c>
      <c r="U57" s="18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0</v>
      </c>
      <c r="V57" s="187" t="str">
        <f t="shared" si="4"/>
        <v>https://d0f6bd738d7f1b3e5a7ca70fe4ff75f0.us-east-1.aws.found.io/app/kibana#/discover/Steve-Slow-Train-Analysis-(2080s-and-2083s)?_g=(refreshInterval:(display:Off,pause:!f,section:0,value:0),time:(from:'2017-02-17T08:54:50-0700',mode:absolute,to:'2017-02-17T11:33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7" s="188" t="str">
        <f t="shared" si="5"/>
        <v>Y</v>
      </c>
      <c r="X57" s="188">
        <f t="shared" si="24"/>
        <v>0</v>
      </c>
      <c r="Y57" s="62">
        <f t="shared" si="15"/>
        <v>23.197700000000001</v>
      </c>
      <c r="Z57" s="62">
        <f t="shared" si="16"/>
        <v>23.0961</v>
      </c>
      <c r="AA57" s="62">
        <f t="shared" si="6"/>
        <v>0.10160000000000124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7"/>
        <v>0144-17</v>
      </c>
      <c r="AE57" s="85" t="str">
        <f t="shared" si="8"/>
        <v>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 &amp; aws s3 cp s3://rtdc.mdm.uploadarchive.raw/RTDC4045/ "%USERPROFILE%\AppData\Local\Temp\OnboardLogs"\RTDC4045\2017-02-18 --exclude "*" --recursive --include "*20170218*" &amp; "%USERPROFILE%\Documents\GitHub\mrs-test-scripts\Headless Mode &amp; Sideloading\WalkAndUnGZ.bat" "%USERPROFILE%\AppData\Local\Temp\OnboardLogs"\RTDC4045\2017-02-18</v>
      </c>
      <c r="AF57" s="82" t="str">
        <f t="shared" si="9"/>
        <v>"C:\Program Files (x86)\AstroGrep\AstroGrep.exe" /spath="%USERPROFILE%\AppData\Local\Temp\OnboardLogs" /stypes="app*4045*20170217*" /stext=" 17:.+((SYSTEM_STATE.+slice.+state.+changed )|(ment ac)|(multiple cpu faults)|(system.+state.+changed )|(\[timeout)|(PRM\|1\|D)|(kpr)|(kdp)|(\|lc)|(penalty))" /e /r /s</v>
      </c>
      <c r="AG57" s="1" t="str">
        <f t="shared" si="10"/>
        <v>EC</v>
      </c>
      <c r="AH57" s="86" t="str">
        <f t="shared" si="21"/>
        <v>"%USERPROFILE%\Documents\GitHub\eaglep3\Utilities\RefineRTDCRunTimes.py" --tripid 144-17 --locoid 4045 --swversion DE.1.0.9.0 --startMP 204:231977 --initTime 2017-02-17T09:54:50 --startdatetime 2017-02-17T10:11:15 --delay 2 --endMP 204:230961 --enddatetime 2017-02-17T10:33:47 --enforcementcount 0 &gt;&gt;C:\Users\stu\Documents\GitHub\eaglep3-reporting\EC\2017-02-17-refined-times.txt</v>
      </c>
      <c r="AI57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{"issue":{"subject":"","project_id":79,"tracker_id":40,"status_id":1,"priority_id":2,"assigned_to_id":23,"start_date":"2017-02-17","description":"","custom_fields":[{"id":1,"name":"Subdivision","value":"EC"},{"id":4,"name":"Milepost","value":"23.0961"},{"id":17,"name":"Train ID","value":"144-17"},{"id":16,"name":"Locomotive ID","value":"4045"},{"id":130,"name":"Impact","value":""},{"id":150,"name":"Time of Event (Mountain Time)","value":"10:33:47"},{"id":151,"name":"Denver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3"/>
        <v>start /low /b %USERPROFILE%\Documents\GitHub\eaglep3\Utilities\DownloadLogsFromS3.py --loco 4045 --day 2017-02-17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"%USERPROFILE%\AppData\Local\Temp\OnboardLogs"\RTDC4045\*4045*20170217* | grep -SE "(Enforcement Action)|(\[TIMEOUT)|(CHR.+\|PRM\|1\|D.+(SWITCH|SIGNAL).+UNKNOWN)" - &gt;&gt; 2017-02-17-UncaughtWiMAX.txt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525</v>
      </c>
      <c r="B58" s="7">
        <v>4018</v>
      </c>
      <c r="C58" s="21" t="s">
        <v>682</v>
      </c>
      <c r="D58" s="21" t="s">
        <v>231</v>
      </c>
      <c r="E58" s="13">
        <v>42783.383136574077</v>
      </c>
      <c r="F58" s="13">
        <v>42783.386863425927</v>
      </c>
      <c r="G58" s="7">
        <v>1</v>
      </c>
      <c r="H58" s="21" t="s">
        <v>411</v>
      </c>
      <c r="I58" s="13">
        <v>42783.413124999999</v>
      </c>
      <c r="J58" s="7">
        <v>0</v>
      </c>
      <c r="K58" s="98" t="str">
        <f t="shared" si="0"/>
        <v>4017/4018</v>
      </c>
      <c r="L58" s="21" t="str">
        <f>VLOOKUP(A58,'Trips&amp;Operators'!$C$1:$G$99999,5,FALSE)</f>
        <v>ACKERMAN JARED</v>
      </c>
      <c r="M58" s="6">
        <f t="shared" si="1"/>
        <v>2.626157407212304E-2</v>
      </c>
      <c r="N58" s="7">
        <f t="shared" ref="N58:N74" si="27">24*60*SUM($M58:$M58)</f>
        <v>37.816666663857177</v>
      </c>
      <c r="O58" s="7"/>
      <c r="P58" s="7"/>
      <c r="Q58" s="22"/>
      <c r="R58" s="22"/>
      <c r="S58" s="31">
        <f t="shared" si="26"/>
        <v>1</v>
      </c>
      <c r="T58" s="46" t="str">
        <f t="shared" si="3"/>
        <v>NorthBound</v>
      </c>
      <c r="U58" s="18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7" t="str">
        <f t="shared" si="4"/>
        <v>https://d0f6bd738d7f1b3e5a7ca70fe4ff75f0.us-east-1.aws.found.io/app/kibana#/discover/Steve-Slow-Train-Analysis-(2080s-and-2083s)?_g=(refreshInterval:(display:Off,pause:!f,section:0,value:0),time:(from:'2017-02-17T08:11:43-0700',mode:absolute,to:'2017-02-17T10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8" s="188" t="str">
        <f t="shared" si="5"/>
        <v>N</v>
      </c>
      <c r="X58" s="188">
        <f t="shared" si="24"/>
        <v>1</v>
      </c>
      <c r="Y58" s="62">
        <f t="shared" si="15"/>
        <v>4.5699999999999998E-2</v>
      </c>
      <c r="Z58" s="62">
        <f t="shared" si="16"/>
        <v>23.331800000000001</v>
      </c>
      <c r="AA58" s="62">
        <f t="shared" si="6"/>
        <v>23.286100000000001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7"/>
        <v>0145-17</v>
      </c>
      <c r="AE58" s="85" t="str">
        <f t="shared" si="8"/>
        <v>aws s3 cp s3://rtdc.mdm.uploadarchive.raw/RTDC4018/ "%USERPROFILE%\AppData\Local\Temp\OnboardLogs"\RTDC4018\2017-02-17 --exclude "*" --recursive --include "*20170217*" &amp; "%USERPROFILE%\Documents\GitHub\mrs-test-scripts\Headless Mode &amp; Sideloading\WalkAndUnGZ.bat" "%USERPROFILE%\AppData\Local\Temp\OnboardLogs"\RTDC4018\2017-02-17 &amp; 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</v>
      </c>
      <c r="AF58" s="82" t="str">
        <f t="shared" si="9"/>
        <v>"C:\Program Files (x86)\AstroGrep\AstroGrep.exe" /spath="%USERPROFILE%\AppData\Local\Temp\OnboardLogs" /stypes="app*4018*20170217*" /stext=" 16:.+((SYSTEM_STATE.+slice.+state.+changed )|(ment ac)|(multiple cpu faults)|(system.+state.+changed )|(\[timeout)|(PRM\|1\|D)|(kpr)|(kdp)|(\|lc)|(penalty))" /e /r /s</v>
      </c>
      <c r="AG58" s="1" t="str">
        <f t="shared" si="10"/>
        <v>EC</v>
      </c>
      <c r="AH58" s="86" t="str">
        <f t="shared" si="21"/>
        <v>"%USERPROFILE%\Documents\GitHub\eaglep3\Utilities\RefineRTDCRunTimes.py" --tripid 145-17 --locoid 4018 --swversion DE.1.0.9.0 --startMP 204:457 --initTime 2017-02-17T09:11:43 --startdatetime 2017-02-17T09:17:05 --delay 1 --endMP 204:233318 --enddatetime 2017-02-17T09:54:54 --enforcementcount 0 &gt;&gt;C:\Users\stu\Documents\GitHub\eaglep3-reporting\EC\2017-02-17-refined-times.txt</v>
      </c>
      <c r="AI58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{"issue":{"subject":"","project_id":79,"tracker_id":40,"status_id":1,"priority_id":2,"assigned_to_id":23,"start_date":"2017-02-17","description":"","custom_fields":[{"id":1,"name":"Subdivision","value":"EC"},{"id":4,"name":"Milepost","value":"23.3318"},{"id":17,"name":"Train ID","value":"145-17"},{"id":16,"name":"Locomotive ID","value":"4018"},{"id":130,"name":"Impact","value":""},{"id":150,"name":"Time of Event (Mountain Time)","value":"09:54:54"},{"id":151,"name":"Denver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3"/>
        <v>start /low /b %USERPROFILE%\Documents\GitHub\eaglep3\Utilities\DownloadLogsFromS3.py --loco 4018 --day 2017-02-17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"%USERPROFILE%\AppData\Local\Temp\OnboardLogs"\RTDC4018\*4018*20170217* | grep -SE "(Enforcement Action)|(\[TIMEOUT)|(CHR.+\|PRM\|1\|D.+(SWITCH|SIGNAL).+UNKNOWN)" - &gt;&gt; 2017-02-17-UncaughtWiMAX.txt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533</v>
      </c>
      <c r="B59" s="7">
        <v>4017</v>
      </c>
      <c r="C59" s="21" t="s">
        <v>682</v>
      </c>
      <c r="D59" s="21" t="s">
        <v>709</v>
      </c>
      <c r="E59" s="13">
        <v>42783.419328703705</v>
      </c>
      <c r="F59" s="13">
        <v>42783.424479166664</v>
      </c>
      <c r="G59" s="7">
        <v>1</v>
      </c>
      <c r="H59" s="21" t="s">
        <v>184</v>
      </c>
      <c r="I59" s="13">
        <v>42783.451307870368</v>
      </c>
      <c r="J59" s="7">
        <v>0</v>
      </c>
      <c r="K59" s="98" t="str">
        <f t="shared" si="0"/>
        <v>4017/4018</v>
      </c>
      <c r="L59" s="21" t="str">
        <f>VLOOKUP(A59,'Trips&amp;Operators'!$C$1:$G$99999,5,FALSE)</f>
        <v>ACKERMAN JARED</v>
      </c>
      <c r="M59" s="6">
        <f t="shared" si="1"/>
        <v>2.6828703703358769E-2</v>
      </c>
      <c r="N59" s="7">
        <f t="shared" si="27"/>
        <v>38.633333332836628</v>
      </c>
      <c r="O59" s="7"/>
      <c r="P59" s="7"/>
      <c r="Q59" s="22"/>
      <c r="R59" s="22"/>
      <c r="S59" s="31">
        <f t="shared" si="26"/>
        <v>1</v>
      </c>
      <c r="T59" s="46" t="str">
        <f t="shared" si="3"/>
        <v>Southbound</v>
      </c>
      <c r="U59" s="18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7" t="str">
        <f t="shared" si="4"/>
        <v>https://d0f6bd738d7f1b3e5a7ca70fe4ff75f0.us-east-1.aws.found.io/app/kibana#/discover/Steve-Slow-Train-Analysis-(2080s-and-2083s)?_g=(refreshInterval:(display:Off,pause:!f,section:0,value:0),time:(from:'2017-02-17T09:03:50-0700',mode:absolute,to:'2017-02-17T11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9" s="188" t="str">
        <f t="shared" si="5"/>
        <v>N</v>
      </c>
      <c r="X59" s="188">
        <f t="shared" si="24"/>
        <v>1</v>
      </c>
      <c r="Y59" s="62">
        <f t="shared" si="15"/>
        <v>23.298999999999999</v>
      </c>
      <c r="Z59" s="62">
        <f t="shared" si="16"/>
        <v>1.49E-2</v>
      </c>
      <c r="AA59" s="62">
        <f t="shared" si="6"/>
        <v>23.284099999999999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7"/>
        <v>0146-17</v>
      </c>
      <c r="AE59" s="85" t="str">
        <f t="shared" si="8"/>
        <v>aws s3 cp s3://rtdc.mdm.uploadarchive.raw/RTDC4017/ "%USERPROFILE%\AppData\Local\Temp\OnboardLogs"\RTDC4017\2017-02-17 --exclude "*" --recursive --include "*20170217*" &amp; "%USERPROFILE%\Documents\GitHub\mrs-test-scripts\Headless Mode &amp; Sideloading\WalkAndUnGZ.bat" "%USERPROFILE%\AppData\Local\Temp\OnboardLogs"\RTDC4017\2017-02-17 &amp; 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</v>
      </c>
      <c r="AF59" s="82" t="str">
        <f t="shared" si="9"/>
        <v>"C:\Program Files (x86)\AstroGrep\AstroGrep.exe" /spath="%USERPROFILE%\AppData\Local\Temp\OnboardLogs" /stypes="app*4017*20170217*" /stext=" 17:.+((SYSTEM_STATE.+slice.+state.+changed )|(ment ac)|(multiple cpu faults)|(system.+state.+changed )|(\[timeout)|(PRM\|1\|D)|(kpr)|(kdp)|(\|lc)|(penalty))" /e /r /s</v>
      </c>
      <c r="AG59" s="1" t="str">
        <f t="shared" si="10"/>
        <v>EC</v>
      </c>
      <c r="AH59" s="86" t="str">
        <f t="shared" si="21"/>
        <v>"%USERPROFILE%\Documents\GitHub\eaglep3\Utilities\RefineRTDCRunTimes.py" --tripid 146-17 --locoid 4017 --swversion DE.1.0.9.0 --startMP 204:232990 --initTime 2017-02-17T10:03:50 --startdatetime 2017-02-17T10:11:15 --delay 1 --endMP 204:149 --enddatetime 2017-02-17T10:49:53 --enforcementcount 0 &gt;&gt;C:\Users\stu\Documents\GitHub\eaglep3-reporting\EC\2017-02-17-refined-times.txt</v>
      </c>
      <c r="AI59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{"issue":{"subject":"","project_id":79,"tracker_id":40,"status_id":1,"priority_id":2,"assigned_to_id":23,"start_date":"2017-02-17","description":"","custom_fields":[{"id":1,"name":"Subdivision","value":"EC"},{"id":4,"name":"Milepost","value":"0.0149"},{"id":17,"name":"Train ID","value":"146-17"},{"id":16,"name":"Locomotive ID","value":"4017"},{"id":130,"name":"Impact","value":""},{"id":150,"name":"Time of Event (Mountain Time)","value":"10:49:53"},{"id":151,"name":"Denver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3"/>
        <v>start /low /b %USERPROFILE%\Documents\GitHub\eaglep3\Utilities\DownloadLogsFromS3.py --loco 4017 --day 2017-02-17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"%USERPROFILE%\AppData\Local\Temp\OnboardLogs"\RTDC4017\*4017*20170217* | grep -SE "(Enforcement Action)|(\[TIMEOUT)|(CHR.+\|PRM\|1\|D.+(SWITCH|SIGNAL).+UNKNOWN)" - &gt;&gt; 2017-02-17-UncaughtWiMAX.txt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527</v>
      </c>
      <c r="B60" s="7">
        <v>4029</v>
      </c>
      <c r="C60" s="21" t="s">
        <v>682</v>
      </c>
      <c r="D60" s="21" t="s">
        <v>263</v>
      </c>
      <c r="E60" s="13">
        <v>42783.393067129633</v>
      </c>
      <c r="F60" s="13">
        <v>42783.396215277775</v>
      </c>
      <c r="G60" s="7">
        <v>1</v>
      </c>
      <c r="H60" s="21" t="s">
        <v>715</v>
      </c>
      <c r="I60" s="13">
        <v>42783.421122685184</v>
      </c>
      <c r="J60" s="7">
        <v>0</v>
      </c>
      <c r="K60" s="98" t="str">
        <f t="shared" si="0"/>
        <v>4029/4030</v>
      </c>
      <c r="L60" s="21" t="str">
        <f>VLOOKUP(A60,'Trips&amp;Operators'!$C$1:$G$99999,5,FALSE)</f>
        <v>SANTIZO D. EDY</v>
      </c>
      <c r="M60" s="6">
        <f t="shared" si="1"/>
        <v>2.4907407409045845E-2</v>
      </c>
      <c r="N60" s="7">
        <f t="shared" si="27"/>
        <v>35.866666669026017</v>
      </c>
      <c r="O60" s="7"/>
      <c r="P60" s="7"/>
      <c r="Q60" s="22"/>
      <c r="R60" s="22"/>
      <c r="S60" s="31">
        <f t="shared" si="26"/>
        <v>1</v>
      </c>
      <c r="T60" s="46" t="str">
        <f t="shared" si="3"/>
        <v>NorthBound</v>
      </c>
      <c r="U60" s="18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7" t="str">
        <f t="shared" si="4"/>
        <v>https://d0f6bd738d7f1b3e5a7ca70fe4ff75f0.us-east-1.aws.found.io/app/kibana#/discover/Steve-Slow-Train-Analysis-(2080s-and-2083s)?_g=(refreshInterval:(display:Off,pause:!f,section:0,value:0),time:(from:'2017-02-17T08:26:01-0700',mode:absolute,to:'2017-02-17T11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0" s="188" t="str">
        <f t="shared" si="5"/>
        <v>N</v>
      </c>
      <c r="X60" s="188">
        <f t="shared" si="24"/>
        <v>1</v>
      </c>
      <c r="Y60" s="62">
        <f t="shared" si="15"/>
        <v>4.5499999999999999E-2</v>
      </c>
      <c r="Z60" s="62">
        <f t="shared" si="16"/>
        <v>23.3325</v>
      </c>
      <c r="AA60" s="62">
        <f t="shared" si="6"/>
        <v>23.286999999999999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7"/>
        <v>0147-17</v>
      </c>
      <c r="AE60" s="85" t="str">
        <f t="shared" si="8"/>
        <v>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 &amp; 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</v>
      </c>
      <c r="AF60" s="82" t="str">
        <f t="shared" si="9"/>
        <v>"C:\Program Files (x86)\AstroGrep\AstroGrep.exe" /spath="%USERPROFILE%\AppData\Local\Temp\OnboardLogs" /stypes="app*4029*20170217*" /stext=" 17:.+((SYSTEM_STATE.+slice.+state.+changed )|(ment ac)|(multiple cpu faults)|(system.+state.+changed )|(\[timeout)|(PRM\|1\|D)|(kpr)|(kdp)|(\|lc)|(penalty))" /e /r /s</v>
      </c>
      <c r="AG60" s="1" t="str">
        <f t="shared" si="10"/>
        <v>EC</v>
      </c>
      <c r="AH60" s="86" t="str">
        <f t="shared" si="21"/>
        <v>"%USERPROFILE%\Documents\GitHub\eaglep3\Utilities\RefineRTDCRunTimes.py" --tripid 147-17 --locoid 4029 --swversion DE.1.0.9.0 --startMP 204:455 --initTime 2017-02-17T09:26:01 --startdatetime 2017-02-17T09:30:33 --delay 1 --endMP 204:233325 --enddatetime 2017-02-17T10:06:25 --enforcementcount 0 &gt;&gt;C:\Users\stu\Documents\GitHub\eaglep3-reporting\EC\2017-02-17-refined-times.txt</v>
      </c>
      <c r="AI60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{"issue":{"subject":"","project_id":79,"tracker_id":40,"status_id":1,"priority_id":2,"assigned_to_id":23,"start_date":"2017-02-17","description":"","custom_fields":[{"id":1,"name":"Subdivision","value":"EC"},{"id":4,"name":"Milepost","value":"23.3325"},{"id":17,"name":"Train ID","value":"147-17"},{"id":16,"name":"Locomotive ID","value":"4029"},{"id":130,"name":"Impact","value":""},{"id":150,"name":"Time of Event (Mountain Time)","value":"10:06:25"},{"id":151,"name":"Denver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3"/>
        <v>start /low /b %USERPROFILE%\Documents\GitHub\eaglep3\Utilities\DownloadLogsFromS3.py --loco 4029 --day 2017-02-17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"%USERPROFILE%\AppData\Local\Temp\OnboardLogs"\RTDC4029\*4029*20170217* | grep -SE "(Enforcement Action)|(\[TIMEOUT)|(CHR.+\|PRM\|1\|D.+(SWITCH|SIGNAL).+UNKNOWN)" - &gt;&gt; 2017-02-17-UncaughtWiMAX.txt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535</v>
      </c>
      <c r="B61" s="7">
        <v>4030</v>
      </c>
      <c r="C61" s="21" t="s">
        <v>682</v>
      </c>
      <c r="D61" s="21" t="s">
        <v>716</v>
      </c>
      <c r="E61" s="13">
        <v>42783.427581018521</v>
      </c>
      <c r="F61" s="13">
        <v>42783.434884259259</v>
      </c>
      <c r="G61" s="7">
        <v>1</v>
      </c>
      <c r="H61" s="21" t="s">
        <v>217</v>
      </c>
      <c r="I61" s="13">
        <v>42783.460995370369</v>
      </c>
      <c r="J61" s="7">
        <v>0</v>
      </c>
      <c r="K61" s="98" t="str">
        <f t="shared" si="0"/>
        <v>4029/4030</v>
      </c>
      <c r="L61" s="21" t="str">
        <f>VLOOKUP(A61,'Trips&amp;Operators'!$C$1:$G$99999,5,FALSE)</f>
        <v>SANTIZO D. EDY</v>
      </c>
      <c r="M61" s="6">
        <f t="shared" si="1"/>
        <v>2.6111111110367347E-2</v>
      </c>
      <c r="N61" s="7">
        <f t="shared" si="27"/>
        <v>37.599999998928979</v>
      </c>
      <c r="O61" s="7"/>
      <c r="P61" s="7"/>
      <c r="Q61" s="22"/>
      <c r="R61" s="22"/>
      <c r="S61" s="31">
        <f t="shared" si="26"/>
        <v>1</v>
      </c>
      <c r="T61" s="46" t="str">
        <f t="shared" si="3"/>
        <v>Southbound</v>
      </c>
      <c r="U61" s="18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7" t="str">
        <f t="shared" si="4"/>
        <v>https://d0f6bd738d7f1b3e5a7ca70fe4ff75f0.us-east-1.aws.found.io/app/kibana#/discover/Steve-Slow-Train-Analysis-(2080s-and-2083s)?_g=(refreshInterval:(display:Off,pause:!f,section:0,value:0),time:(from:'2017-02-17T09:15:43-0700',mode:absolute,to:'2017-02-17T12:03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1" s="188" t="str">
        <f t="shared" si="5"/>
        <v>N</v>
      </c>
      <c r="X61" s="188">
        <f t="shared" si="24"/>
        <v>1</v>
      </c>
      <c r="Y61" s="62">
        <f t="shared" si="15"/>
        <v>23.303000000000001</v>
      </c>
      <c r="Z61" s="62">
        <f t="shared" si="16"/>
        <v>1.54E-2</v>
      </c>
      <c r="AA61" s="62">
        <f t="shared" si="6"/>
        <v>23.287600000000001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7"/>
        <v>0148-17</v>
      </c>
      <c r="AE61" s="85" t="str">
        <f t="shared" si="8"/>
        <v>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 &amp; 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</v>
      </c>
      <c r="AF61" s="82" t="str">
        <f t="shared" si="9"/>
        <v>"C:\Program Files (x86)\AstroGrep\AstroGrep.exe" /spath="%USERPROFILE%\AppData\Local\Temp\OnboardLogs" /stypes="app*4030*20170217*" /stext=" 18:.+((SYSTEM_STATE.+slice.+state.+changed )|(ment ac)|(multiple cpu faults)|(system.+state.+changed )|(\[timeout)|(PRM\|1\|D)|(kpr)|(kdp)|(\|lc)|(penalty))" /e /r /s</v>
      </c>
      <c r="AG61" s="1" t="str">
        <f t="shared" si="10"/>
        <v>EC</v>
      </c>
      <c r="AH61" s="86" t="str">
        <f t="shared" si="21"/>
        <v>"%USERPROFILE%\Documents\GitHub\eaglep3\Utilities\RefineRTDCRunTimes.py" --tripid 148-17 --locoid 4030 --swversion DE.1.0.9.0 --startMP 204:233030 --initTime 2017-02-17T10:15:43 --startdatetime 2017-02-17T10:26:14 --delay 1 --endMP 204:154 --enddatetime 2017-02-17T11:03:50 --enforcementcount 0 &gt;&gt;C:\Users\stu\Documents\GitHub\eaglep3-reporting\EC\2017-02-17-refined-times.txt</v>
      </c>
      <c r="AI61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{"issue":{"subject":"","project_id":79,"tracker_id":40,"status_id":1,"priority_id":2,"assigned_to_id":23,"start_date":"2017-02-17","description":"","custom_fields":[{"id":1,"name":"Subdivision","value":"EC"},{"id":4,"name":"Milepost","value":"0.0154"},{"id":17,"name":"Train ID","value":"148-17"},{"id":16,"name":"Locomotive ID","value":"4030"},{"id":130,"name":"Impact","value":""},{"id":150,"name":"Time of Event (Mountain Time)","value":"11:03:50"},{"id":151,"name":"Denver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3"/>
        <v>start /low /b %USERPROFILE%\Documents\GitHub\eaglep3\Utilities\DownloadLogsFromS3.py --loco 4030 --day 2017-02-17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"%USERPROFILE%\AppData\Local\Temp\OnboardLogs"\RTDC4030\*4030*20170217* | grep -SE "(Enforcement Action)|(\[TIMEOUT)|(CHR.+\|PRM\|1\|D.+(SWITCH|SIGNAL).+UNKNOWN)" - &gt;&gt; 2017-02-17-UncaughtWiMAX.txt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530</v>
      </c>
      <c r="B62" s="7">
        <v>4025</v>
      </c>
      <c r="C62" s="21" t="s">
        <v>682</v>
      </c>
      <c r="D62" s="21" t="s">
        <v>365</v>
      </c>
      <c r="E62" s="13">
        <v>42783.403680555559</v>
      </c>
      <c r="F62" s="13">
        <v>42783.406412037039</v>
      </c>
      <c r="G62" s="7">
        <v>2</v>
      </c>
      <c r="H62" s="21" t="s">
        <v>275</v>
      </c>
      <c r="I62" s="13">
        <v>42783.431747685187</v>
      </c>
      <c r="J62" s="7">
        <v>0</v>
      </c>
      <c r="K62" s="98" t="str">
        <f t="shared" si="0"/>
        <v>4025/4026</v>
      </c>
      <c r="L62" s="21" t="str">
        <f>VLOOKUP(A62,'Trips&amp;Operators'!$C$1:$G$99999,5,FALSE)</f>
        <v>STARKS ANGELINA</v>
      </c>
      <c r="M62" s="6">
        <f t="shared" si="1"/>
        <v>2.5335648148029577E-2</v>
      </c>
      <c r="N62" s="7">
        <f t="shared" si="27"/>
        <v>36.483333333162591</v>
      </c>
      <c r="O62" s="7"/>
      <c r="P62" s="7"/>
      <c r="Q62" s="22"/>
      <c r="R62" s="22"/>
      <c r="S62" s="31">
        <f t="shared" si="26"/>
        <v>1</v>
      </c>
      <c r="T62" s="46" t="str">
        <f t="shared" si="3"/>
        <v>NorthBound</v>
      </c>
      <c r="U62" s="18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7" t="str">
        <f t="shared" si="4"/>
        <v>https://d0f6bd738d7f1b3e5a7ca70fe4ff75f0.us-east-1.aws.found.io/app/kibana#/discover/Steve-Slow-Train-Analysis-(2080s-and-2083s)?_g=(refreshInterval:(display:Off,pause:!f,section:0,value:0),time:(from:'2017-02-17T08:41:18-0700',mode:absolute,to:'2017-02-17T11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2" s="188" t="str">
        <f t="shared" si="5"/>
        <v>N</v>
      </c>
      <c r="X62" s="188">
        <f t="shared" si="24"/>
        <v>1</v>
      </c>
      <c r="Y62" s="62">
        <f t="shared" si="15"/>
        <v>4.2900000000000001E-2</v>
      </c>
      <c r="Z62" s="62">
        <f t="shared" si="16"/>
        <v>23.329699999999999</v>
      </c>
      <c r="AA62" s="62">
        <f t="shared" si="6"/>
        <v>23.286799999999999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7"/>
        <v>0149-17</v>
      </c>
      <c r="AE62" s="85" t="str">
        <f t="shared" si="8"/>
        <v>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 &amp; aws s3 cp s3://rtdc.mdm.uploadarchive.raw/RTDC4025/ "%USERPROFILE%\AppData\Local\Temp\OnboardLogs"\RTDC4025\2017-02-18 --exclude "*" --recursive --include "*20170218*" &amp; "%USERPROFILE%\Documents\GitHub\mrs-test-scripts\Headless Mode &amp; Sideloading\WalkAndUnGZ.bat" "%USERPROFILE%\AppData\Local\Temp\OnboardLogs"\RTDC4025\2017-02-18</v>
      </c>
      <c r="AF62" s="82" t="str">
        <f t="shared" si="9"/>
        <v>"C:\Program Files (x86)\AstroGrep\AstroGrep.exe" /spath="%USERPROFILE%\AppData\Local\Temp\OnboardLogs" /stypes="app*4025*20170217*" /stext=" 17:.+((SYSTEM_STATE.+slice.+state.+changed )|(ment ac)|(multiple cpu faults)|(system.+state.+changed )|(\[timeout)|(PRM\|1\|D)|(kpr)|(kdp)|(\|lc)|(penalty))" /e /r /s</v>
      </c>
      <c r="AG62" s="1" t="str">
        <f t="shared" si="10"/>
        <v>EC</v>
      </c>
      <c r="AH62" s="86" t="str">
        <f t="shared" si="21"/>
        <v>"%USERPROFILE%\Documents\GitHub\eaglep3\Utilities\RefineRTDCRunTimes.py" --tripid 149-17 --locoid 4025 --swversion DE.1.0.9.0 --startMP 204:429 --initTime 2017-02-17T09:41:18 --startdatetime 2017-02-17T09:45:14 --delay 2 --endMP 204:233297 --enddatetime 2017-02-17T10:21:43 --enforcementcount 0 &gt;&gt;C:\Users\stu\Documents\GitHub\eaglep3-reporting\EC\2017-02-17-refined-times.txt</v>
      </c>
      <c r="AI62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{"issue":{"subject":"","project_id":79,"tracker_id":40,"status_id":1,"priority_id":2,"assigned_to_id":23,"start_date":"2017-02-17","description":"","custom_fields":[{"id":1,"name":"Subdivision","value":"EC"},{"id":4,"name":"Milepost","value":"23.3297"},{"id":17,"name":"Train ID","value":"149-17"},{"id":16,"name":"Locomotive ID","value":"4025"},{"id":130,"name":"Impact","value":""},{"id":150,"name":"Time of Event (Mountain Time)","value":"10:21:43"},{"id":151,"name":"Denver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3"/>
        <v>start /low /b %USERPROFILE%\Documents\GitHub\eaglep3\Utilities\DownloadLogsFromS3.py --loco 4025 --day 2017-02-17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"%USERPROFILE%\AppData\Local\Temp\OnboardLogs"\RTDC4025\*4025*20170217* | grep -SE "(Enforcement Action)|(\[TIMEOUT)|(CHR.+\|PRM\|1\|D.+(SWITCH|SIGNAL).+UNKNOWN)" - &gt;&gt; 2017-02-17-UncaughtWiMAX.txt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537</v>
      </c>
      <c r="B63" s="7">
        <v>4026</v>
      </c>
      <c r="C63" s="21" t="s">
        <v>682</v>
      </c>
      <c r="D63" s="21" t="s">
        <v>268</v>
      </c>
      <c r="E63" s="13">
        <v>42783.441874999997</v>
      </c>
      <c r="F63" s="13">
        <v>42783.445300925923</v>
      </c>
      <c r="G63" s="7">
        <v>1</v>
      </c>
      <c r="H63" s="21" t="s">
        <v>227</v>
      </c>
      <c r="I63" s="13">
        <v>42783.473182870373</v>
      </c>
      <c r="J63" s="7">
        <v>0</v>
      </c>
      <c r="K63" s="98" t="str">
        <f t="shared" si="0"/>
        <v>4025/4026</v>
      </c>
      <c r="L63" s="21" t="str">
        <f>VLOOKUP(A63,'Trips&amp;Operators'!$C$1:$G$99999,5,FALSE)</f>
        <v>STARKS ANGELINA</v>
      </c>
      <c r="M63" s="6">
        <f t="shared" si="1"/>
        <v>2.7881944450200535E-2</v>
      </c>
      <c r="N63" s="7">
        <f t="shared" si="27"/>
        <v>40.150000008288771</v>
      </c>
      <c r="O63" s="7"/>
      <c r="P63" s="7"/>
      <c r="Q63" s="22"/>
      <c r="R63" s="22"/>
      <c r="S63" s="31">
        <f t="shared" si="26"/>
        <v>1</v>
      </c>
      <c r="T63" s="46" t="str">
        <f t="shared" si="3"/>
        <v>Southbound</v>
      </c>
      <c r="U63" s="18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7" t="str">
        <f t="shared" si="4"/>
        <v>https://d0f6bd738d7f1b3e5a7ca70fe4ff75f0.us-east-1.aws.found.io/app/kibana#/discover/Steve-Slow-Train-Analysis-(2080s-and-2083s)?_g=(refreshInterval:(display:Off,pause:!f,section:0,value:0),time:(from:'2017-02-17T09:36:18-0700',mode:absolute,to:'2017-02-17T12:21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3" s="188" t="str">
        <f t="shared" si="5"/>
        <v>N</v>
      </c>
      <c r="X63" s="188">
        <f t="shared" si="24"/>
        <v>1</v>
      </c>
      <c r="Y63" s="62">
        <f t="shared" si="15"/>
        <v>23.297699999999999</v>
      </c>
      <c r="Z63" s="62">
        <f t="shared" si="16"/>
        <v>1.43E-2</v>
      </c>
      <c r="AA63" s="62">
        <f t="shared" si="6"/>
        <v>23.2834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7"/>
        <v>0150-17</v>
      </c>
      <c r="AE63" s="85" t="str">
        <f t="shared" si="8"/>
        <v>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 &amp; aws s3 cp s3://rtdc.mdm.uploadarchive.raw/RTDC4026/ "%USERPROFILE%\AppData\Local\Temp\OnboardLogs"\RTDC4026\2017-02-18 --exclude "*" --recursive --include "*20170218*" &amp; "%USERPROFILE%\Documents\GitHub\mrs-test-scripts\Headless Mode &amp; Sideloading\WalkAndUnGZ.bat" "%USERPROFILE%\AppData\Local\Temp\OnboardLogs"\RTDC4026\2017-02-18</v>
      </c>
      <c r="AF63" s="82" t="str">
        <f t="shared" si="9"/>
        <v>"C:\Program Files (x86)\AstroGrep\AstroGrep.exe" /spath="%USERPROFILE%\AppData\Local\Temp\OnboardLogs" /stypes="app*4026*20170217*" /stext=" 18:.+((SYSTEM_STATE.+slice.+state.+changed )|(ment ac)|(multiple cpu faults)|(system.+state.+changed )|(\[timeout)|(PRM\|1\|D)|(kpr)|(kdp)|(\|lc)|(penalty))" /e /r /s</v>
      </c>
      <c r="AG63" s="1" t="str">
        <f t="shared" si="10"/>
        <v>EC</v>
      </c>
      <c r="AH63" s="86" t="str">
        <f t="shared" si="21"/>
        <v>"%USERPROFILE%\Documents\GitHub\eaglep3\Utilities\RefineRTDCRunTimes.py" --tripid 150-17 --locoid 4026 --swversion DE.1.0.9.0 --startMP 204:232977 --initTime 2017-02-17T10:36:18 --startdatetime 2017-02-17T10:41:14 --delay 1 --endMP 204:143 --enddatetime 2017-02-17T11:21:23 --enforcementcount 0 &gt;&gt;C:\Users\stu\Documents\GitHub\eaglep3-reporting\EC\2017-02-17-refined-times.txt</v>
      </c>
      <c r="AI63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{"issue":{"subject":"","project_id":79,"tracker_id":40,"status_id":1,"priority_id":2,"assigned_to_id":23,"start_date":"2017-02-17","description":"","custom_fields":[{"id":1,"name":"Subdivision","value":"EC"},{"id":4,"name":"Milepost","value":"0.0143"},{"id":17,"name":"Train ID","value":"150-17"},{"id":16,"name":"Locomotive ID","value":"4026"},{"id":130,"name":"Impact","value":""},{"id":150,"name":"Time of Event (Mountain Time)","value":"11:21:23"},{"id":151,"name":"Denver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3"/>
        <v>start /low /b %USERPROFILE%\Documents\GitHub\eaglep3\Utilities\DownloadLogsFromS3.py --loco 4026 --day 2017-02-17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"%USERPROFILE%\AppData\Local\Temp\OnboardLogs"\RTDC4026\*4026*20170217* | grep -SE "(Enforcement Action)|(\[TIMEOUT)|(CHR.+\|PRM\|1\|D.+(SWITCH|SIGNAL).+UNKNOWN)" - &gt;&gt; 2017-02-17-UncaughtWiMAX.txt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531</v>
      </c>
      <c r="B64" s="7">
        <v>4016</v>
      </c>
      <c r="C64" s="21" t="s">
        <v>682</v>
      </c>
      <c r="D64" s="21" t="s">
        <v>231</v>
      </c>
      <c r="E64" s="13">
        <v>42783.4141087963</v>
      </c>
      <c r="F64" s="13">
        <v>42783.417083333334</v>
      </c>
      <c r="G64" s="7">
        <v>1</v>
      </c>
      <c r="H64" s="21" t="s">
        <v>717</v>
      </c>
      <c r="I64" s="13">
        <v>42783.441631944443</v>
      </c>
      <c r="J64" s="7">
        <v>0</v>
      </c>
      <c r="K64" s="98" t="str">
        <f t="shared" si="0"/>
        <v>4015/4016</v>
      </c>
      <c r="L64" s="21" t="str">
        <f>VLOOKUP(A64,'Trips&amp;Operators'!$C$1:$G$99999,5,FALSE)</f>
        <v>LOZA FIDEL</v>
      </c>
      <c r="M64" s="6">
        <f t="shared" si="1"/>
        <v>2.4548611108912155E-2</v>
      </c>
      <c r="N64" s="7">
        <f t="shared" si="27"/>
        <v>35.349999996833503</v>
      </c>
      <c r="O64" s="7"/>
      <c r="P64" s="7"/>
      <c r="Q64" s="22"/>
      <c r="R64" s="22"/>
      <c r="S64" s="31">
        <f t="shared" si="26"/>
        <v>1</v>
      </c>
      <c r="T64" s="46" t="str">
        <f t="shared" si="3"/>
        <v>NorthBound</v>
      </c>
      <c r="U64" s="18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7" t="str">
        <f t="shared" si="4"/>
        <v>https://d0f6bd738d7f1b3e5a7ca70fe4ff75f0.us-east-1.aws.found.io/app/kibana#/discover/Steve-Slow-Train-Analysis-(2080s-and-2083s)?_g=(refreshInterval:(display:Off,pause:!f,section:0,value:0),time:(from:'2017-02-17T08:56:19-0700',mode:absolute,to:'2017-02-17T11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4" s="188" t="str">
        <f t="shared" si="5"/>
        <v>N</v>
      </c>
      <c r="X64" s="188">
        <f t="shared" si="24"/>
        <v>1</v>
      </c>
      <c r="Y64" s="62">
        <f t="shared" si="15"/>
        <v>4.5699999999999998E-2</v>
      </c>
      <c r="Z64" s="62">
        <f t="shared" si="16"/>
        <v>23.33</v>
      </c>
      <c r="AA64" s="62">
        <f t="shared" si="6"/>
        <v>23.284299999999998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7"/>
        <v>0151-17</v>
      </c>
      <c r="AE64" s="85" t="str">
        <f t="shared" si="8"/>
        <v>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 &amp; 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</v>
      </c>
      <c r="AF64" s="82" t="str">
        <f t="shared" si="9"/>
        <v>"C:\Program Files (x86)\AstroGrep\AstroGrep.exe" /spath="%USERPROFILE%\AppData\Local\Temp\OnboardLogs" /stypes="app*4016*20170217*" /stext=" 17:.+((SYSTEM_STATE.+slice.+state.+changed )|(ment ac)|(multiple cpu faults)|(system.+state.+changed )|(\[timeout)|(PRM\|1\|D)|(kpr)|(kdp)|(\|lc)|(penalty))" /e /r /s</v>
      </c>
      <c r="AG64" s="1" t="str">
        <f t="shared" si="10"/>
        <v>EC</v>
      </c>
      <c r="AH64" s="86" t="str">
        <f t="shared" si="21"/>
        <v>"%USERPROFILE%\Documents\GitHub\eaglep3\Utilities\RefineRTDCRunTimes.py" --tripid 151-17 --locoid 4016 --swversion DE.1.0.9.0 --startMP 204:457 --initTime 2017-02-17T09:56:19 --startdatetime 2017-02-17T10:00:36 --delay 1 --endMP 204:233300 --enddatetime 2017-02-17T10:35:57 --enforcementcount 0 &gt;&gt;C:\Users\stu\Documents\GitHub\eaglep3-reporting\EC\2017-02-17-refined-times.txt</v>
      </c>
      <c r="AI64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{"issue":{"subject":"","project_id":79,"tracker_id":40,"status_id":1,"priority_id":2,"assigned_to_id":23,"start_date":"2017-02-17","description":"","custom_fields":[{"id":1,"name":"Subdivision","value":"EC"},{"id":4,"name":"Milepost","value":"23.33"},{"id":17,"name":"Train ID","value":"151-17"},{"id":16,"name":"Locomotive ID","value":"4016"},{"id":130,"name":"Impact","value":""},{"id":150,"name":"Time of Event (Mountain Time)","value":"10:35:57"},{"id":151,"name":"Denver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3"/>
        <v>start /low /b %USERPROFILE%\Documents\GitHub\eaglep3\Utilities\DownloadLogsFromS3.py --loco 4016 --day 2017-02-17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"%USERPROFILE%\AppData\Local\Temp\OnboardLogs"\RTDC4016\*4016*20170217* | grep -SE "(Enforcement Action)|(\[TIMEOUT)|(CHR.+\|PRM\|1\|D.+(SWITCH|SIGNAL).+UNKNOWN)" - &gt;&gt; 2017-02-17-UncaughtWiMAX.txt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542</v>
      </c>
      <c r="B65" s="7">
        <v>4015</v>
      </c>
      <c r="C65" s="21" t="s">
        <v>682</v>
      </c>
      <c r="D65" s="21" t="s">
        <v>267</v>
      </c>
      <c r="E65" s="13">
        <v>42783.45113425926</v>
      </c>
      <c r="F65" s="13">
        <v>42783.456226851849</v>
      </c>
      <c r="G65" s="7">
        <v>1</v>
      </c>
      <c r="H65" s="21" t="s">
        <v>293</v>
      </c>
      <c r="I65" s="13">
        <v>42783.482141203705</v>
      </c>
      <c r="J65" s="7">
        <v>0</v>
      </c>
      <c r="K65" s="98" t="str">
        <f t="shared" si="0"/>
        <v>4015/4016</v>
      </c>
      <c r="L65" s="21" t="str">
        <f>VLOOKUP(A65,'Trips&amp;Operators'!$C$1:$G$99999,5,FALSE)</f>
        <v>LOZA FIDEL</v>
      </c>
      <c r="M65" s="6">
        <f t="shared" si="1"/>
        <v>2.5914351856044959E-2</v>
      </c>
      <c r="N65" s="7">
        <f t="shared" si="27"/>
        <v>37.316666672704741</v>
      </c>
      <c r="O65" s="7"/>
      <c r="P65" s="7"/>
      <c r="Q65" s="22"/>
      <c r="R65" s="22"/>
      <c r="S65" s="31">
        <f t="shared" si="26"/>
        <v>1</v>
      </c>
      <c r="T65" s="46" t="str">
        <f t="shared" si="3"/>
        <v>Southbound</v>
      </c>
      <c r="U65" s="18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7" t="str">
        <f t="shared" si="4"/>
        <v>https://d0f6bd738d7f1b3e5a7ca70fe4ff75f0.us-east-1.aws.found.io/app/kibana#/discover/Steve-Slow-Train-Analysis-(2080s-and-2083s)?_g=(refreshInterval:(display:Off,pause:!f,section:0,value:0),time:(from:'2017-02-17T09:49:38-0700',mode:absolute,to:'2017-02-17T12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5" s="188" t="str">
        <f t="shared" si="5"/>
        <v>N</v>
      </c>
      <c r="X65" s="188">
        <f t="shared" si="24"/>
        <v>1</v>
      </c>
      <c r="Y65" s="62">
        <f t="shared" si="15"/>
        <v>23.299299999999999</v>
      </c>
      <c r="Z65" s="62">
        <f t="shared" si="16"/>
        <v>1.5599999999999999E-2</v>
      </c>
      <c r="AA65" s="62">
        <f t="shared" si="6"/>
        <v>23.2837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7"/>
        <v>0152-17</v>
      </c>
      <c r="AE65" s="85" t="str">
        <f t="shared" si="8"/>
        <v>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 &amp; 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</v>
      </c>
      <c r="AF65" s="82" t="str">
        <f t="shared" si="9"/>
        <v>"C:\Program Files (x86)\AstroGrep\AstroGrep.exe" /spath="%USERPROFILE%\AppData\Local\Temp\OnboardLogs" /stypes="app*4015*20170217*" /stext=" 18:.+((SYSTEM_STATE.+slice.+state.+changed )|(ment ac)|(multiple cpu faults)|(system.+state.+changed )|(\[timeout)|(PRM\|1\|D)|(kpr)|(kdp)|(\|lc)|(penalty))" /e /r /s</v>
      </c>
      <c r="AG65" s="1" t="str">
        <f t="shared" si="10"/>
        <v>EC</v>
      </c>
      <c r="AH65" s="86" t="str">
        <f t="shared" si="21"/>
        <v>"%USERPROFILE%\Documents\GitHub\eaglep3\Utilities\RefineRTDCRunTimes.py" --tripid 152-17 --locoid 4015 --swversion DE.1.0.9.0 --startMP 204:232993 --initTime 2017-02-17T10:49:38 --startdatetime 2017-02-17T10:56:58 --delay 1 --endMP 204:156 --enddatetime 2017-02-17T11:34:17 --enforcementcount 0 &gt;&gt;C:\Users\stu\Documents\GitHub\eaglep3-reporting\EC\2017-02-17-refined-times.txt</v>
      </c>
      <c r="AI65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{"issue":{"subject":"","project_id":79,"tracker_id":40,"status_id":1,"priority_id":2,"assigned_to_id":23,"start_date":"2017-02-17","description":"","custom_fields":[{"id":1,"name":"Subdivision","value":"EC"},{"id":4,"name":"Milepost","value":"0.0156"},{"id":17,"name":"Train ID","value":"152-17"},{"id":16,"name":"Locomotive ID","value":"4015"},{"id":130,"name":"Impact","value":""},{"id":150,"name":"Time of Event (Mountain Time)","value":"11:34:17"},{"id":151,"name":"Denver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3"/>
        <v>start /low /b %USERPROFILE%\Documents\GitHub\eaglep3\Utilities\DownloadLogsFromS3.py --loco 4015 --day 2017-02-17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"%USERPROFILE%\AppData\Local\Temp\OnboardLogs"\RTDC4015\*4015*20170217* | grep -SE "(Enforcement Action)|(\[TIMEOUT)|(CHR.+\|PRM\|1\|D.+(SWITCH|SIGNAL).+UNKNOWN)" - &gt;&gt; 2017-02-17-UncaughtWiMAX.txt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534</v>
      </c>
      <c r="B66" s="7">
        <v>4044</v>
      </c>
      <c r="C66" s="21" t="s">
        <v>682</v>
      </c>
      <c r="D66" s="21" t="s">
        <v>321</v>
      </c>
      <c r="E66" s="13">
        <v>42783.423541666663</v>
      </c>
      <c r="F66" s="13">
        <v>42783.42728009259</v>
      </c>
      <c r="G66" s="7">
        <v>1</v>
      </c>
      <c r="H66" s="21" t="s">
        <v>270</v>
      </c>
      <c r="I66" s="13">
        <v>42783.452303240738</v>
      </c>
      <c r="J66" s="7">
        <v>0</v>
      </c>
      <c r="K66" s="98" t="str">
        <f t="shared" si="0"/>
        <v>4043/4044</v>
      </c>
      <c r="L66" s="21" t="str">
        <f>VLOOKUP(A66,'Trips&amp;Operators'!$C$1:$G$99999,5,FALSE)</f>
        <v>BONDS REYNALDO</v>
      </c>
      <c r="M66" s="6">
        <f t="shared" si="1"/>
        <v>2.5023148147738539E-2</v>
      </c>
      <c r="N66" s="7">
        <f t="shared" si="27"/>
        <v>36.033333332743496</v>
      </c>
      <c r="O66" s="7"/>
      <c r="P66" s="7"/>
      <c r="Q66" s="22"/>
      <c r="R66" s="22"/>
      <c r="S66" s="31">
        <f t="shared" si="26"/>
        <v>1</v>
      </c>
      <c r="T66" s="46" t="str">
        <f t="shared" si="3"/>
        <v>NorthBound</v>
      </c>
      <c r="U66" s="18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7" t="str">
        <f t="shared" si="4"/>
        <v>https://d0f6bd738d7f1b3e5a7ca70fe4ff75f0.us-east-1.aws.found.io/app/kibana#/discover/Steve-Slow-Train-Analysis-(2080s-and-2083s)?_g=(refreshInterval:(display:Off,pause:!f,section:0,value:0),time:(from:'2017-02-17T09:09:54-0700',mode:absolute,to:'2017-02-17T11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6" s="188" t="str">
        <f t="shared" si="5"/>
        <v>N</v>
      </c>
      <c r="X66" s="188">
        <f t="shared" si="24"/>
        <v>1</v>
      </c>
      <c r="Y66" s="62">
        <f t="shared" si="15"/>
        <v>4.7100000000000003E-2</v>
      </c>
      <c r="Z66" s="62">
        <f t="shared" si="16"/>
        <v>23.3293</v>
      </c>
      <c r="AA66" s="62">
        <f t="shared" si="6"/>
        <v>23.2822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7"/>
        <v>0153-17</v>
      </c>
      <c r="AE66" s="85" t="str">
        <f t="shared" si="8"/>
        <v>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 &amp; 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</v>
      </c>
      <c r="AF66" s="82" t="str">
        <f t="shared" si="9"/>
        <v>"C:\Program Files (x86)\AstroGrep\AstroGrep.exe" /spath="%USERPROFILE%\AppData\Local\Temp\OnboardLogs" /stypes="app*4044*20170217*" /stext=" 17:.+((SYSTEM_STATE.+slice.+state.+changed )|(ment ac)|(multiple cpu faults)|(system.+state.+changed )|(\[timeout)|(PRM\|1\|D)|(kpr)|(kdp)|(\|lc)|(penalty))" /e /r /s</v>
      </c>
      <c r="AG66" s="1" t="str">
        <f t="shared" si="10"/>
        <v>EC</v>
      </c>
      <c r="AH66" s="86" t="str">
        <f t="shared" si="21"/>
        <v>"%USERPROFILE%\Documents\GitHub\eaglep3\Utilities\RefineRTDCRunTimes.py" --tripid 153-17 --locoid 4044 --swversion DE.1.0.9.0 --startMP 204:471 --initTime 2017-02-17T10:09:54 --startdatetime 2017-02-17T10:15:17 --delay 1 --endMP 204:233293 --enddatetime 2017-02-17T10:51:19 --enforcementcount 0 &gt;&gt;C:\Users\stu\Documents\GitHub\eaglep3-reporting\EC\2017-02-17-refined-times.txt</v>
      </c>
      <c r="AI66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{"issue":{"subject":"","project_id":79,"tracker_id":40,"status_id":1,"priority_id":2,"assigned_to_id":23,"start_date":"2017-02-17","description":"","custom_fields":[{"id":1,"name":"Subdivision","value":"EC"},{"id":4,"name":"Milepost","value":"23.3293"},{"id":17,"name":"Train ID","value":"153-17"},{"id":16,"name":"Locomotive ID","value":"4044"},{"id":130,"name":"Impact","value":""},{"id":150,"name":"Time of Event (Mountain Time)","value":"10:51:19"},{"id":151,"name":"Denver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3"/>
        <v>start /low /b %USERPROFILE%\Documents\GitHub\eaglep3\Utilities\DownloadLogsFromS3.py --loco 4044 --day 2017-02-17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"%USERPROFILE%\AppData\Local\Temp\OnboardLogs"\RTDC4044\*4044*20170217* | grep -SE "(Enforcement Action)|(\[TIMEOUT)|(CHR.+\|PRM\|1\|D.+(SWITCH|SIGNAL).+UNKNOWN)" - &gt;&gt; 2017-02-17-UncaughtWiMAX.txt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546</v>
      </c>
      <c r="B67" s="7">
        <v>4043</v>
      </c>
      <c r="C67" s="21" t="s">
        <v>682</v>
      </c>
      <c r="D67" s="21" t="s">
        <v>284</v>
      </c>
      <c r="E67" s="13">
        <v>42783.460439814815</v>
      </c>
      <c r="F67" s="13">
        <v>42783.466400462959</v>
      </c>
      <c r="G67" s="7">
        <v>1</v>
      </c>
      <c r="H67" s="21" t="s">
        <v>300</v>
      </c>
      <c r="I67" s="13">
        <v>42783.49391203704</v>
      </c>
      <c r="J67" s="7">
        <v>0</v>
      </c>
      <c r="K67" s="98" t="str">
        <f t="shared" si="0"/>
        <v>4043/4044</v>
      </c>
      <c r="L67" s="21" t="str">
        <f>VLOOKUP(A67,'Trips&amp;Operators'!$C$1:$G$99999,5,FALSE)</f>
        <v>BONDS REYNALDO</v>
      </c>
      <c r="M67" s="6">
        <f t="shared" si="1"/>
        <v>2.751157408056315E-2</v>
      </c>
      <c r="N67" s="7">
        <f t="shared" si="27"/>
        <v>39.616666676010936</v>
      </c>
      <c r="O67" s="7"/>
      <c r="P67" s="7"/>
      <c r="Q67" s="22"/>
      <c r="R67" s="22"/>
      <c r="S67" s="31">
        <f t="shared" si="26"/>
        <v>1</v>
      </c>
      <c r="T67" s="46" t="str">
        <f t="shared" si="3"/>
        <v>Southbound</v>
      </c>
      <c r="U67" s="18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7" t="str">
        <f t="shared" si="4"/>
        <v>https://d0f6bd738d7f1b3e5a7ca70fe4ff75f0.us-east-1.aws.found.io/app/kibana#/discover/Steve-Slow-Train-Analysis-(2080s-and-2083s)?_g=(refreshInterval:(display:Off,pause:!f,section:0,value:0),time:(from:'2017-02-17T10:03:02-0700',mode:absolute,to:'2017-02-17T12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7" s="188" t="str">
        <f t="shared" si="5"/>
        <v>N</v>
      </c>
      <c r="X67" s="188">
        <f t="shared" si="24"/>
        <v>1</v>
      </c>
      <c r="Y67" s="62">
        <f t="shared" si="15"/>
        <v>23.297999999999998</v>
      </c>
      <c r="Z67" s="62">
        <f t="shared" si="16"/>
        <v>1.38E-2</v>
      </c>
      <c r="AA67" s="62">
        <f t="shared" si="6"/>
        <v>23.284199999999998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7"/>
        <v>0154-17</v>
      </c>
      <c r="AE67" s="85" t="str">
        <f t="shared" si="8"/>
        <v>aws s3 cp s3://rtdc.mdm.uploadarchive.raw/RTDC4043/ "%USERPROFILE%\AppData\Local\Temp\OnboardLogs"\RTDC4043\2017-02-17 --exclude "*" --recursive --include "*20170217*" &amp; "%USERPROFILE%\Documents\GitHub\mrs-test-scripts\Headless Mode &amp; Sideloading\WalkAndUnGZ.bat" "%USERPROFILE%\AppData\Local\Temp\OnboardLogs"\RTDC4043\2017-02-17 &amp; aws s3 cp s3://rtdc.mdm.uploadarchive.raw/RTDC4043/ "%USERPROFILE%\AppData\Local\Temp\OnboardLogs"\RTDC4043\2017-02-18 --exclude "*" --recursive --include "*20170218*" &amp; "%USERPROFILE%\Documents\GitHub\mrs-test-scripts\Headless Mode &amp; Sideloading\WalkAndUnGZ.bat" "%USERPROFILE%\AppData\Local\Temp\OnboardLogs"\RTDC4043\2017-02-18</v>
      </c>
      <c r="AF67" s="82" t="str">
        <f t="shared" si="9"/>
        <v>"C:\Program Files (x86)\AstroGrep\AstroGrep.exe" /spath="%USERPROFILE%\AppData\Local\Temp\OnboardLogs" /stypes="app*4043*20170217*" /stext=" 18:.+((SYSTEM_STATE.+slice.+state.+changed )|(ment ac)|(multiple cpu faults)|(system.+state.+changed )|(\[timeout)|(PRM\|1\|D)|(kpr)|(kdp)|(\|lc)|(penalty))" /e /r /s</v>
      </c>
      <c r="AG67" s="1" t="str">
        <f t="shared" si="10"/>
        <v>EC</v>
      </c>
      <c r="AH67" s="86" t="str">
        <f t="shared" si="21"/>
        <v>"%USERPROFILE%\Documents\GitHub\eaglep3\Utilities\RefineRTDCRunTimes.py" --tripid 154-17 --locoid 4043 --swversion DE.1.0.9.0 --startMP 204:232980 --initTime 2017-02-17T11:03:02 --startdatetime 2017-02-17T11:11:37 --delay 1 --endMP 204:138 --enddatetime 2017-02-17T11:51:14 --enforcementcount 0 &gt;&gt;C:\Users\stu\Documents\GitHub\eaglep3-reporting\EC\2017-02-17-refined-times.txt</v>
      </c>
      <c r="AI67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{"issue":{"subject":"","project_id":79,"tracker_id":40,"status_id":1,"priority_id":2,"assigned_to_id":23,"start_date":"2017-02-17","description":"","custom_fields":[{"id":1,"name":"Subdivision","value":"EC"},{"id":4,"name":"Milepost","value":"0.0138"},{"id":17,"name":"Train ID","value":"154-17"},{"id":16,"name":"Locomotive ID","value":"4043"},{"id":130,"name":"Impact","value":""},{"id":150,"name":"Time of Event (Mountain Time)","value":"11:51:14"},{"id":151,"name":"Denver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3"/>
        <v>start /low /b %USERPROFILE%\Documents\GitHub\eaglep3\Utilities\DownloadLogsFromS3.py --loco 4043 --day 2017-02-17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"%USERPROFILE%\AppData\Local\Temp\OnboardLogs"\RTDC4043\*4043*20170217* | grep -SE "(Enforcement Action)|(\[TIMEOUT)|(CHR.+\|PRM\|1\|D.+(SWITCH|SIGNAL).+UNKNOWN)" - &gt;&gt; 2017-02-17-UncaughtWiMAX.txt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536</v>
      </c>
      <c r="B68" s="7">
        <v>4027</v>
      </c>
      <c r="C68" s="21" t="s">
        <v>682</v>
      </c>
      <c r="D68" s="21" t="s">
        <v>398</v>
      </c>
      <c r="E68" s="13">
        <v>42783.435104166667</v>
      </c>
      <c r="F68" s="13">
        <v>42783.4377662037</v>
      </c>
      <c r="G68" s="7">
        <v>2</v>
      </c>
      <c r="H68" s="21" t="s">
        <v>718</v>
      </c>
      <c r="I68" s="13">
        <v>42783.462511574071</v>
      </c>
      <c r="J68" s="7">
        <v>0</v>
      </c>
      <c r="K68" s="98" t="str">
        <f t="shared" si="0"/>
        <v>4027/4028</v>
      </c>
      <c r="L68" s="21" t="str">
        <f>VLOOKUP(A68,'Trips&amp;Operators'!$C$1:$G$99999,5,FALSE)</f>
        <v>GEBRETEKLE DAGNEW</v>
      </c>
      <c r="M68" s="6">
        <f t="shared" si="1"/>
        <v>2.47453703705105E-2</v>
      </c>
      <c r="N68" s="7">
        <f t="shared" si="27"/>
        <v>35.63333333353512</v>
      </c>
      <c r="O68" s="7"/>
      <c r="P68" s="7"/>
      <c r="Q68" s="22"/>
      <c r="R68" s="22"/>
      <c r="S68" s="31">
        <f t="shared" si="26"/>
        <v>1</v>
      </c>
      <c r="T68" s="46" t="str">
        <f t="shared" si="3"/>
        <v>NorthBound</v>
      </c>
      <c r="U68" s="18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7" t="str">
        <f t="shared" si="4"/>
        <v>https://d0f6bd738d7f1b3e5a7ca70fe4ff75f0.us-east-1.aws.found.io/app/kibana#/discover/Steve-Slow-Train-Analysis-(2080s-and-2083s)?_g=(refreshInterval:(display:Off,pause:!f,section:0,value:0),time:(from:'2017-02-17T09:26:33-0700',mode:absolute,to:'2017-02-17T12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8" s="188" t="str">
        <f t="shared" si="5"/>
        <v>N</v>
      </c>
      <c r="X68" s="188">
        <f t="shared" si="24"/>
        <v>1</v>
      </c>
      <c r="Y68" s="62">
        <f t="shared" si="15"/>
        <v>4.3700000000000003E-2</v>
      </c>
      <c r="Z68" s="62">
        <f t="shared" si="16"/>
        <v>23.333100000000002</v>
      </c>
      <c r="AA68" s="62">
        <f t="shared" si="6"/>
        <v>23.289400000000001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7"/>
        <v>0155-17</v>
      </c>
      <c r="AE68" s="85" t="str">
        <f t="shared" si="8"/>
        <v>aws s3 cp s3://rtdc.mdm.uploadarchive.raw/RTDC4027/ "%USERPROFILE%\AppData\Local\Temp\OnboardLogs"\RTDC4027\2017-02-17 --exclude "*" --recursive --include "*20170217*" &amp; "%USERPROFILE%\Documents\GitHub\mrs-test-scripts\Headless Mode &amp; Sideloading\WalkAndUnGZ.bat" "%USERPROFILE%\AppData\Local\Temp\OnboardLogs"\RTDC4027\2017-02-17 &amp; 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</v>
      </c>
      <c r="AF68" s="82" t="str">
        <f t="shared" si="9"/>
        <v>"C:\Program Files (x86)\AstroGrep\AstroGrep.exe" /spath="%USERPROFILE%\AppData\Local\Temp\OnboardLogs" /stypes="app*4027*20170217*" /stext=" 18:.+((SYSTEM_STATE.+slice.+state.+changed )|(ment ac)|(multiple cpu faults)|(system.+state.+changed )|(\[timeout)|(PRM\|1\|D)|(kpr)|(kdp)|(\|lc)|(penalty))" /e /r /s</v>
      </c>
      <c r="AG68" s="1" t="str">
        <f t="shared" si="10"/>
        <v>EC</v>
      </c>
      <c r="AH68" s="86" t="str">
        <f t="shared" si="21"/>
        <v>"%USERPROFILE%\Documents\GitHub\eaglep3\Utilities\RefineRTDCRunTimes.py" --tripid 155-17 --locoid 4027 --swversion DE.1.0.9.0 --startMP 204:437 --initTime 2017-02-17T10:26:33 --startdatetime 2017-02-17T10:30:23 --delay 2 --endMP 204:233331 --enddatetime 2017-02-17T11:06:01 --enforcementcount 0 &gt;&gt;C:\Users\stu\Documents\GitHub\eaglep3-reporting\EC\2017-02-17-refined-times.txt</v>
      </c>
      <c r="AI68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{"issue":{"subject":"","project_id":79,"tracker_id":40,"status_id":1,"priority_id":2,"assigned_to_id":23,"start_date":"2017-02-17","description":"","custom_fields":[{"id":1,"name":"Subdivision","value":"EC"},{"id":4,"name":"Milepost","value":"23.3331"},{"id":17,"name":"Train ID","value":"155-17"},{"id":16,"name":"Locomotive ID","value":"4027"},{"id":130,"name":"Impact","value":""},{"id":150,"name":"Time of Event (Mountain Time)","value":"11:06:01"},{"id":151,"name":"Denver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3"/>
        <v>start /low /b %USERPROFILE%\Documents\GitHub\eaglep3\Utilities\DownloadLogsFromS3.py --loco 4027 --day 2017-02-17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"%USERPROFILE%\AppData\Local\Temp\OnboardLogs"\RTDC4027\*4027*20170217* | grep -SE "(Enforcement Action)|(\[TIMEOUT)|(CHR.+\|PRM\|1\|D.+(SWITCH|SIGNAL).+UNKNOWN)" - &gt;&gt; 2017-02-17-UncaughtWiMAX.txt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550</v>
      </c>
      <c r="B69" s="7">
        <v>4028</v>
      </c>
      <c r="C69" s="21" t="s">
        <v>682</v>
      </c>
      <c r="D69" s="21" t="s">
        <v>719</v>
      </c>
      <c r="E69" s="13">
        <v>42783.473136574074</v>
      </c>
      <c r="F69" s="13">
        <v>42783.476574074077</v>
      </c>
      <c r="G69" s="7">
        <v>1</v>
      </c>
      <c r="H69" s="21" t="s">
        <v>217</v>
      </c>
      <c r="I69" s="13">
        <v>42783.50304398148</v>
      </c>
      <c r="J69" s="7">
        <v>0</v>
      </c>
      <c r="K69" s="98" t="str">
        <f t="shared" si="0"/>
        <v>4027/4028</v>
      </c>
      <c r="L69" s="21" t="str">
        <f>VLOOKUP(A69,'Trips&amp;Operators'!$C$1:$G$99999,5,FALSE)</f>
        <v>GEBRETEKLE DAGNEW</v>
      </c>
      <c r="M69" s="6">
        <f t="shared" si="1"/>
        <v>2.6469907403225079E-2</v>
      </c>
      <c r="N69" s="7">
        <f t="shared" si="27"/>
        <v>38.116666660644114</v>
      </c>
      <c r="O69" s="7"/>
      <c r="P69" s="7"/>
      <c r="Q69" s="22"/>
      <c r="R69" s="22"/>
      <c r="S69" s="31">
        <f t="shared" si="26"/>
        <v>1</v>
      </c>
      <c r="T69" s="46" t="str">
        <f t="shared" si="3"/>
        <v>Southbound</v>
      </c>
      <c r="U69" s="18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7" t="str">
        <f t="shared" si="4"/>
        <v>https://d0f6bd738d7f1b3e5a7ca70fe4ff75f0.us-east-1.aws.found.io/app/kibana#/discover/Steve-Slow-Train-Analysis-(2080s-and-2083s)?_g=(refreshInterval:(display:Off,pause:!f,section:0,value:0),time:(from:'2017-02-17T10:21:19-0700',mode:absolute,to:'2017-02-17T13:04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9" s="188" t="str">
        <f t="shared" si="5"/>
        <v>N</v>
      </c>
      <c r="X69" s="188">
        <f t="shared" si="24"/>
        <v>1</v>
      </c>
      <c r="Y69" s="62">
        <f t="shared" si="15"/>
        <v>23.300799999999999</v>
      </c>
      <c r="Z69" s="62">
        <f t="shared" si="16"/>
        <v>1.54E-2</v>
      </c>
      <c r="AA69" s="62">
        <f t="shared" si="6"/>
        <v>23.285399999999999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7"/>
        <v>0156-17</v>
      </c>
      <c r="AE69" s="85" t="str">
        <f t="shared" si="8"/>
        <v>aws s3 cp s3://rtdc.mdm.uploadarchive.raw/RTDC4028/ "%USERPROFILE%\AppData\Local\Temp\OnboardLogs"\RTDC4028\2017-02-17 --exclude "*" --recursive --include "*20170217*" &amp; "%USERPROFILE%\Documents\GitHub\mrs-test-scripts\Headless Mode &amp; Sideloading\WalkAndUnGZ.bat" "%USERPROFILE%\AppData\Local\Temp\OnboardLogs"\RTDC4028\2017-02-17 &amp; 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</v>
      </c>
      <c r="AF69" s="82" t="str">
        <f t="shared" si="9"/>
        <v>"C:\Program Files (x86)\AstroGrep\AstroGrep.exe" /spath="%USERPROFILE%\AppData\Local\Temp\OnboardLogs" /stypes="app*4028*20170217*" /stext=" 19:.+((SYSTEM_STATE.+slice.+state.+changed )|(ment ac)|(multiple cpu faults)|(system.+state.+changed )|(\[timeout)|(PRM\|1\|D)|(kpr)|(kdp)|(\|lc)|(penalty))" /e /r /s</v>
      </c>
      <c r="AG69" s="1" t="str">
        <f t="shared" si="10"/>
        <v>EC</v>
      </c>
      <c r="AH69" s="86" t="str">
        <f t="shared" si="21"/>
        <v>"%USERPROFILE%\Documents\GitHub\eaglep3\Utilities\RefineRTDCRunTimes.py" --tripid 156-17 --locoid 4028 --swversion DE.1.0.9.0 --startMP 204:233008 --initTime 2017-02-17T11:21:19 --startdatetime 2017-02-17T11:26:16 --delay 1 --endMP 204:154 --enddatetime 2017-02-17T12:04:23 --enforcementcount 0 &gt;&gt;C:\Users\stu\Documents\GitHub\eaglep3-reporting\EC\2017-02-17-refined-times.txt</v>
      </c>
      <c r="AI69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{"issue":{"subject":"","project_id":79,"tracker_id":40,"status_id":1,"priority_id":2,"assigned_to_id":23,"start_date":"2017-02-17","description":"","custom_fields":[{"id":1,"name":"Subdivision","value":"EC"},{"id":4,"name":"Milepost","value":"0.0154"},{"id":17,"name":"Train ID","value":"156-17"},{"id":16,"name":"Locomotive ID","value":"4028"},{"id":130,"name":"Impact","value":""},{"id":150,"name":"Time of Event (Mountain Time)","value":"12:04:23"},{"id":151,"name":"Denver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3"/>
        <v>start /low /b %USERPROFILE%\Documents\GitHub\eaglep3\Utilities\DownloadLogsFromS3.py --loco 4028 --day 2017-02-17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"%USERPROFILE%\AppData\Local\Temp\OnboardLogs"\RTDC4028\*4028*20170217* | grep -SE "(Enforcement Action)|(\[TIMEOUT)|(CHR.+\|PRM\|1\|D.+(SWITCH|SIGNAL).+UNKNOWN)" - &gt;&gt; 2017-02-17-UncaughtWiMAX.txt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538</v>
      </c>
      <c r="B70" s="7">
        <v>4046</v>
      </c>
      <c r="C70" s="21" t="s">
        <v>682</v>
      </c>
      <c r="D70" s="21" t="s">
        <v>315</v>
      </c>
      <c r="E70" s="13">
        <v>42783.44258101852</v>
      </c>
      <c r="F70" s="13">
        <v>42783.448206018518</v>
      </c>
      <c r="G70" s="7">
        <v>1</v>
      </c>
      <c r="H70" s="21" t="s">
        <v>415</v>
      </c>
      <c r="I70" s="13">
        <v>42783.472662037035</v>
      </c>
      <c r="J70" s="7">
        <v>0</v>
      </c>
      <c r="K70" s="98" t="str">
        <f t="shared" si="0"/>
        <v>4045/4046</v>
      </c>
      <c r="L70" s="21" t="str">
        <f>VLOOKUP(A70,'Trips&amp;Operators'!$C$1:$G$99999,5,FALSE)</f>
        <v>DE LA ROSA ALEX</v>
      </c>
      <c r="M70" s="6">
        <f t="shared" si="1"/>
        <v>2.4456018516502809E-2</v>
      </c>
      <c r="N70" s="7">
        <f t="shared" si="27"/>
        <v>35.216666663764045</v>
      </c>
      <c r="O70" s="7"/>
      <c r="P70" s="7"/>
      <c r="Q70" s="22"/>
      <c r="R70" s="22"/>
      <c r="S70" s="31">
        <f t="shared" si="26"/>
        <v>1</v>
      </c>
      <c r="T70" s="46" t="str">
        <f t="shared" si="3"/>
        <v>NorthBound</v>
      </c>
      <c r="U70" s="18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7" t="str">
        <f t="shared" si="4"/>
        <v>https://d0f6bd738d7f1b3e5a7ca70fe4ff75f0.us-east-1.aws.found.io/app/kibana#/discover/Steve-Slow-Train-Analysis-(2080s-and-2083s)?_g=(refreshInterval:(display:Off,pause:!f,section:0,value:0),time:(from:'2017-02-17T09:37:19-0700',mode:absolute,to:'2017-02-17T12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0" s="188" t="str">
        <f t="shared" si="5"/>
        <v>N</v>
      </c>
      <c r="X70" s="188">
        <f t="shared" si="24"/>
        <v>1</v>
      </c>
      <c r="Y70" s="62">
        <f t="shared" si="15"/>
        <v>4.4200000000000003E-2</v>
      </c>
      <c r="Z70" s="62">
        <f t="shared" si="16"/>
        <v>23.328800000000001</v>
      </c>
      <c r="AA70" s="62">
        <f t="shared" si="6"/>
        <v>23.284600000000001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7"/>
        <v>0157-17</v>
      </c>
      <c r="AE70" s="85" t="str">
        <f t="shared" si="8"/>
        <v>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 &amp; aws s3 cp s3://rtdc.mdm.uploadarchive.raw/RTDC4046/ "%USERPROFILE%\AppData\Local\Temp\OnboardLogs"\RTDC4046\2017-02-18 --exclude "*" --recursive --include "*20170218*" &amp; "%USERPROFILE%\Documents\GitHub\mrs-test-scripts\Headless Mode &amp; Sideloading\WalkAndUnGZ.bat" "%USERPROFILE%\AppData\Local\Temp\OnboardLogs"\RTDC4046\2017-02-18</v>
      </c>
      <c r="AF70" s="82" t="str">
        <f t="shared" si="9"/>
        <v>"C:\Program Files (x86)\AstroGrep\AstroGrep.exe" /spath="%USERPROFILE%\AppData\Local\Temp\OnboardLogs" /stypes="app*4046*20170217*" /stext=" 18:.+((SYSTEM_STATE.+slice.+state.+changed )|(ment ac)|(multiple cpu faults)|(system.+state.+changed )|(\[timeout)|(PRM\|1\|D)|(kpr)|(kdp)|(\|lc)|(penalty))" /e /r /s</v>
      </c>
      <c r="AG70" s="1" t="str">
        <f t="shared" si="10"/>
        <v>EC</v>
      </c>
      <c r="AH70" s="86" t="str">
        <f t="shared" si="21"/>
        <v>"%USERPROFILE%\Documents\GitHub\eaglep3\Utilities\RefineRTDCRunTimes.py" --tripid 157-17 --locoid 4046 --swversion DE.1.0.9.0 --startMP 204:442 --initTime 2017-02-17T10:37:19 --startdatetime 2017-02-17T10:45:25 --delay 1 --endMP 204:233288 --enddatetime 2017-02-17T11:20:38 --enforcementcount 0 &gt;&gt;C:\Users\stu\Documents\GitHub\eaglep3-reporting\EC\2017-02-17-refined-times.txt</v>
      </c>
      <c r="AI70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{"issue":{"subject":"","project_id":79,"tracker_id":40,"status_id":1,"priority_id":2,"assigned_to_id":23,"start_date":"2017-02-17","description":"","custom_fields":[{"id":1,"name":"Subdivision","value":"EC"},{"id":4,"name":"Milepost","value":"23.3288"},{"id":17,"name":"Train ID","value":"157-17"},{"id":16,"name":"Locomotive ID","value":"4046"},{"id":130,"name":"Impact","value":""},{"id":150,"name":"Time of Event (Mountain Time)","value":"11:20:38"},{"id":151,"name":"Denver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3"/>
        <v>start /low /b %USERPROFILE%\Documents\GitHub\eaglep3\Utilities\DownloadLogsFromS3.py --loco 4046 --day 2017-02-17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"%USERPROFILE%\AppData\Local\Temp\OnboardLogs"\RTDC4046\*4046*20170217* | grep -SE "(Enforcement Action)|(\[TIMEOUT)|(CHR.+\|PRM\|1\|D.+(SWITCH|SIGNAL).+UNKNOWN)" - &gt;&gt; 2017-02-17-UncaughtWiMAX.txt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552</v>
      </c>
      <c r="B71" s="7">
        <v>4045</v>
      </c>
      <c r="C71" s="21" t="s">
        <v>682</v>
      </c>
      <c r="D71" s="21" t="s">
        <v>699</v>
      </c>
      <c r="E71" s="13">
        <v>42783.481944444444</v>
      </c>
      <c r="F71" s="13">
        <v>42783.487175925926</v>
      </c>
      <c r="G71" s="7">
        <v>1</v>
      </c>
      <c r="H71" s="21" t="s">
        <v>265</v>
      </c>
      <c r="I71" s="13">
        <v>42783.513773148145</v>
      </c>
      <c r="J71" s="7">
        <v>0</v>
      </c>
      <c r="K71" s="98" t="str">
        <f t="shared" si="0"/>
        <v>4045/4046</v>
      </c>
      <c r="L71" s="21" t="str">
        <f>VLOOKUP(A71,'Trips&amp;Operators'!$C$1:$G$99999,5,FALSE)</f>
        <v>DE LA ROSA ALEX</v>
      </c>
      <c r="M71" s="6">
        <f t="shared" si="1"/>
        <v>2.6597222218697425E-2</v>
      </c>
      <c r="N71" s="7">
        <f t="shared" si="27"/>
        <v>38.299999994924292</v>
      </c>
      <c r="O71" s="7"/>
      <c r="P71" s="7"/>
      <c r="Q71" s="22"/>
      <c r="R71" s="22"/>
      <c r="S71" s="31">
        <f t="shared" si="26"/>
        <v>1</v>
      </c>
      <c r="T71" s="46" t="str">
        <f t="shared" si="3"/>
        <v>Southbound</v>
      </c>
      <c r="U71" s="18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7" t="str">
        <f t="shared" si="4"/>
        <v>https://d0f6bd738d7f1b3e5a7ca70fe4ff75f0.us-east-1.aws.found.io/app/kibana#/discover/Steve-Slow-Train-Analysis-(2080s-and-2083s)?_g=(refreshInterval:(display:Off,pause:!f,section:0,value:0),time:(from:'2017-02-17T10:34:00-0700',mode:absolute,to:'2017-02-17T13:19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1" s="188" t="str">
        <f t="shared" si="5"/>
        <v>N</v>
      </c>
      <c r="X71" s="188">
        <f t="shared" si="24"/>
        <v>1</v>
      </c>
      <c r="Y71" s="62">
        <f t="shared" si="15"/>
        <v>23.2988</v>
      </c>
      <c r="Z71" s="62">
        <f t="shared" si="16"/>
        <v>1.3899999999999999E-2</v>
      </c>
      <c r="AA71" s="62">
        <f t="shared" si="6"/>
        <v>23.2849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7"/>
        <v>0158-17</v>
      </c>
      <c r="AE71" s="85" t="str">
        <f t="shared" si="8"/>
        <v>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 &amp; aws s3 cp s3://rtdc.mdm.uploadarchive.raw/RTDC4045/ "%USERPROFILE%\AppData\Local\Temp\OnboardLogs"\RTDC4045\2017-02-18 --exclude "*" --recursive --include "*20170218*" &amp; "%USERPROFILE%\Documents\GitHub\mrs-test-scripts\Headless Mode &amp; Sideloading\WalkAndUnGZ.bat" "%USERPROFILE%\AppData\Local\Temp\OnboardLogs"\RTDC4045\2017-02-18</v>
      </c>
      <c r="AF71" s="82" t="str">
        <f t="shared" si="9"/>
        <v>"C:\Program Files (x86)\AstroGrep\AstroGrep.exe" /spath="%USERPROFILE%\AppData\Local\Temp\OnboardLogs" /stypes="app*4045*20170217*" /stext=" 19:.+((SYSTEM_STATE.+slice.+state.+changed )|(ment ac)|(multiple cpu faults)|(system.+state.+changed )|(\[timeout)|(PRM\|1\|D)|(kpr)|(kdp)|(\|lc)|(penalty))" /e /r /s</v>
      </c>
      <c r="AG71" s="1" t="str">
        <f t="shared" si="10"/>
        <v>EC</v>
      </c>
      <c r="AH71" s="86" t="str">
        <f t="shared" si="21"/>
        <v>"%USERPROFILE%\Documents\GitHub\eaglep3\Utilities\RefineRTDCRunTimes.py" --tripid 158-17 --locoid 4045 --swversion DE.1.0.9.0 --startMP 204:232988 --initTime 2017-02-17T11:34:00 --startdatetime 2017-02-17T11:41:32 --delay 1 --endMP 204:139 --enddatetime 2017-02-17T12:19:50 --enforcementcount 0 &gt;&gt;C:\Users\stu\Documents\GitHub\eaglep3-reporting\EC\2017-02-17-refined-times.txt</v>
      </c>
      <c r="AI71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{"issue":{"subject":"","project_id":79,"tracker_id":40,"status_id":1,"priority_id":2,"assigned_to_id":23,"start_date":"2017-02-17","description":"","custom_fields":[{"id":1,"name":"Subdivision","value":"EC"},{"id":4,"name":"Milepost","value":"0.0139"},{"id":17,"name":"Train ID","value":"158-17"},{"id":16,"name":"Locomotive ID","value":"4045"},{"id":130,"name":"Impact","value":""},{"id":150,"name":"Time of Event (Mountain Time)","value":"12:19:50"},{"id":151,"name":"Denver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3"/>
        <v>start /low /b %USERPROFILE%\Documents\GitHub\eaglep3\Utilities\DownloadLogsFromS3.py --loco 4045 --day 2017-02-17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"%USERPROFILE%\AppData\Local\Temp\OnboardLogs"\RTDC4045\*4045*20170217* | grep -SE "(Enforcement Action)|(\[TIMEOUT)|(CHR.+\|PRM\|1\|D.+(SWITCH|SIGNAL).+UNKNOWN)" - &gt;&gt; 2017-02-17-UncaughtWiMAX.txt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543</v>
      </c>
      <c r="B72" s="7">
        <v>4018</v>
      </c>
      <c r="C72" s="21" t="s">
        <v>682</v>
      </c>
      <c r="D72" s="21" t="s">
        <v>263</v>
      </c>
      <c r="E72" s="13">
        <v>42783.453206018516</v>
      </c>
      <c r="F72" s="13">
        <v>42783.458495370367</v>
      </c>
      <c r="G72" s="7">
        <v>1</v>
      </c>
      <c r="H72" s="21" t="s">
        <v>717</v>
      </c>
      <c r="I72" s="13">
        <v>42783.484050925923</v>
      </c>
      <c r="J72" s="7">
        <v>0</v>
      </c>
      <c r="K72" s="98" t="str">
        <f t="shared" si="0"/>
        <v>4017/4018</v>
      </c>
      <c r="L72" s="21" t="str">
        <f>VLOOKUP(A72,'Trips&amp;Operators'!$C$1:$G$99999,5,FALSE)</f>
        <v>STEWART MICHAEL</v>
      </c>
      <c r="M72" s="6">
        <f t="shared" si="1"/>
        <v>2.5555555555911269E-2</v>
      </c>
      <c r="N72" s="7">
        <f t="shared" si="27"/>
        <v>36.800000000512227</v>
      </c>
      <c r="O72" s="7"/>
      <c r="P72" s="7"/>
      <c r="Q72" s="22"/>
      <c r="R72" s="22"/>
      <c r="S72" s="31">
        <f t="shared" si="26"/>
        <v>1</v>
      </c>
      <c r="T72" s="46" t="str">
        <f t="shared" si="3"/>
        <v>NorthBound</v>
      </c>
      <c r="U72" s="18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7" t="str">
        <f t="shared" si="4"/>
        <v>https://d0f6bd738d7f1b3e5a7ca70fe4ff75f0.us-east-1.aws.found.io/app/kibana#/discover/Steve-Slow-Train-Analysis-(2080s-and-2083s)?_g=(refreshInterval:(display:Off,pause:!f,section:0,value:0),time:(from:'2017-02-17T09:52:37-0700',mode:absolute,to:'2017-02-17T12:37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2" s="188" t="str">
        <f t="shared" si="5"/>
        <v>N</v>
      </c>
      <c r="X72" s="188">
        <f t="shared" si="24"/>
        <v>1</v>
      </c>
      <c r="Y72" s="62">
        <f t="shared" si="15"/>
        <v>4.5499999999999999E-2</v>
      </c>
      <c r="Z72" s="62">
        <f t="shared" si="16"/>
        <v>23.33</v>
      </c>
      <c r="AA72" s="62">
        <f t="shared" si="6"/>
        <v>23.284499999999998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7"/>
        <v>0159-17</v>
      </c>
      <c r="AE72" s="85" t="str">
        <f t="shared" si="8"/>
        <v>aws s3 cp s3://rtdc.mdm.uploadarchive.raw/RTDC4018/ "%USERPROFILE%\AppData\Local\Temp\OnboardLogs"\RTDC4018\2017-02-17 --exclude "*" --recursive --include "*20170217*" &amp; "%USERPROFILE%\Documents\GitHub\mrs-test-scripts\Headless Mode &amp; Sideloading\WalkAndUnGZ.bat" "%USERPROFILE%\AppData\Local\Temp\OnboardLogs"\RTDC4018\2017-02-17 &amp; 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</v>
      </c>
      <c r="AF72" s="82" t="str">
        <f t="shared" si="9"/>
        <v>"C:\Program Files (x86)\AstroGrep\AstroGrep.exe" /spath="%USERPROFILE%\AppData\Local\Temp\OnboardLogs" /stypes="app*4018*20170217*" /stext=" 18:.+((SYSTEM_STATE.+slice.+state.+changed )|(ment ac)|(multiple cpu faults)|(system.+state.+changed )|(\[timeout)|(PRM\|1\|D)|(kpr)|(kdp)|(\|lc)|(penalty))" /e /r /s</v>
      </c>
      <c r="AG72" s="1" t="str">
        <f t="shared" si="10"/>
        <v>EC</v>
      </c>
      <c r="AH72" s="86" t="str">
        <f t="shared" si="21"/>
        <v>"%USERPROFILE%\Documents\GitHub\eaglep3\Utilities\RefineRTDCRunTimes.py" --tripid 159-17 --locoid 4018 --swversion DE.1.0.9.0 --startMP 204:455 --initTime 2017-02-17T10:52:37 --startdatetime 2017-02-17T11:00:14 --delay 1 --endMP 204:233300 --enddatetime 2017-02-17T11:37:02 --enforcementcount 0 &gt;&gt;C:\Users\stu\Documents\GitHub\eaglep3-reporting\EC\2017-02-17-refined-times.txt</v>
      </c>
      <c r="AI72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{"issue":{"subject":"","project_id":79,"tracker_id":40,"status_id":1,"priority_id":2,"assigned_to_id":23,"start_date":"2017-02-17","description":"","custom_fields":[{"id":1,"name":"Subdivision","value":"EC"},{"id":4,"name":"Milepost","value":"23.33"},{"id":17,"name":"Train ID","value":"159-17"},{"id":16,"name":"Locomotive ID","value":"4018"},{"id":130,"name":"Impact","value":""},{"id":150,"name":"Time of Event (Mountain Time)","value":"11:37:02"},{"id":151,"name":"Denver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3"/>
        <v>start /low /b %USERPROFILE%\Documents\GitHub\eaglep3\Utilities\DownloadLogsFromS3.py --loco 4018 --day 2017-02-17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"%USERPROFILE%\AppData\Local\Temp\OnboardLogs"\RTDC4018\*4018*20170217* | grep -SE "(Enforcement Action)|(\[TIMEOUT)|(CHR.+\|PRM\|1\|D.+(SWITCH|SIGNAL).+UNKNOWN)" - &gt;&gt; 2017-02-17-UncaughtWiMAX.txt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20" customFormat="1" x14ac:dyDescent="0.25">
      <c r="A73" s="33" t="s">
        <v>555</v>
      </c>
      <c r="B73" s="7">
        <v>4017</v>
      </c>
      <c r="C73" s="21" t="s">
        <v>682</v>
      </c>
      <c r="D73" s="21" t="s">
        <v>403</v>
      </c>
      <c r="E73" s="13">
        <v>42783.494270833333</v>
      </c>
      <c r="F73" s="13">
        <v>42783.497407407405</v>
      </c>
      <c r="G73" s="7">
        <v>1</v>
      </c>
      <c r="H73" s="21" t="s">
        <v>184</v>
      </c>
      <c r="I73" s="13">
        <v>42783.525046296294</v>
      </c>
      <c r="J73" s="7">
        <v>0</v>
      </c>
      <c r="K73" s="98" t="str">
        <f t="shared" si="0"/>
        <v>4017/4018</v>
      </c>
      <c r="L73" s="21" t="str">
        <f>VLOOKUP(A73,'Trips&amp;Operators'!$C$1:$G$99999,5,FALSE)</f>
        <v>STEWART MICHAEL</v>
      </c>
      <c r="M73" s="6">
        <f t="shared" si="1"/>
        <v>2.7638888888759539E-2</v>
      </c>
      <c r="N73" s="7">
        <f t="shared" si="27"/>
        <v>39.799999999813735</v>
      </c>
      <c r="O73" s="7"/>
      <c r="P73" s="7"/>
      <c r="Q73" s="22"/>
      <c r="R73" s="22"/>
      <c r="S73" s="31">
        <f t="shared" si="26"/>
        <v>1</v>
      </c>
      <c r="T73" s="46" t="str">
        <f t="shared" si="3"/>
        <v>Southbound</v>
      </c>
      <c r="U73" s="18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7" t="str">
        <f t="shared" si="4"/>
        <v>https://d0f6bd738d7f1b3e5a7ca70fe4ff75f0.us-east-1.aws.found.io/app/kibana#/discover/Steve-Slow-Train-Analysis-(2080s-and-2083s)?_g=(refreshInterval:(display:Off,pause:!f,section:0,value:0),time:(from:'2017-02-17T10:51:45-0700',mode:absolute,to:'2017-02-17T13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3" s="188" t="str">
        <f t="shared" si="5"/>
        <v>N</v>
      </c>
      <c r="X73" s="188">
        <f t="shared" si="24"/>
        <v>1</v>
      </c>
      <c r="Y73" s="62">
        <f t="shared" si="15"/>
        <v>23.297599999999999</v>
      </c>
      <c r="Z73" s="62">
        <f t="shared" si="16"/>
        <v>1.49E-2</v>
      </c>
      <c r="AA73" s="62">
        <f t="shared" si="6"/>
        <v>23.282699999999998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7"/>
        <v>0160-17</v>
      </c>
      <c r="AE73" s="85" t="str">
        <f t="shared" si="8"/>
        <v>aws s3 cp s3://rtdc.mdm.uploadarchive.raw/RTDC4017/ "%USERPROFILE%\AppData\Local\Temp\OnboardLogs"\RTDC4017\2017-02-17 --exclude "*" --recursive --include "*20170217*" &amp; "%USERPROFILE%\Documents\GitHub\mrs-test-scripts\Headless Mode &amp; Sideloading\WalkAndUnGZ.bat" "%USERPROFILE%\AppData\Local\Temp\OnboardLogs"\RTDC4017\2017-02-17 &amp; 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</v>
      </c>
      <c r="AF73" s="82" t="str">
        <f t="shared" si="9"/>
        <v>"C:\Program Files (x86)\AstroGrep\AstroGrep.exe" /spath="%USERPROFILE%\AppData\Local\Temp\OnboardLogs" /stypes="app*4017*20170217*" /stext=" 19:.+((SYSTEM_STATE.+slice.+state.+changed )|(ment ac)|(multiple cpu faults)|(system.+state.+changed )|(\[timeout)|(PRM\|1\|D)|(kpr)|(kdp)|(\|lc)|(penalty))" /e /r /s</v>
      </c>
      <c r="AG73" s="1" t="str">
        <f t="shared" si="10"/>
        <v>EC</v>
      </c>
      <c r="AH73" s="86" t="str">
        <f t="shared" si="21"/>
        <v>"%USERPROFILE%\Documents\GitHub\eaglep3\Utilities\RefineRTDCRunTimes.py" --tripid 160-17 --locoid 4017 --swversion DE.1.0.9.0 --startMP 204:232976 --initTime 2017-02-17T11:51:45 --startdatetime 2017-02-17T11:56:16 --delay 1 --endMP 204:149 --enddatetime 2017-02-17T12:36:04 --enforcementcount 0 &gt;&gt;C:\Users\stu\Documents\GitHub\eaglep3-reporting\EC\2017-02-17-refined-times.txt</v>
      </c>
      <c r="AI73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{"issue":{"subject":"","project_id":79,"tracker_id":40,"status_id":1,"priority_id":2,"assigned_to_id":23,"start_date":"2017-02-17","description":"","custom_fields":[{"id":1,"name":"Subdivision","value":"EC"},{"id":4,"name":"Milepost","value":"0.0149"},{"id":17,"name":"Train ID","value":"160-17"},{"id":16,"name":"Locomotive ID","value":"4017"},{"id":130,"name":"Impact","value":""},{"id":150,"name":"Time of Event (Mountain Time)","value":"12:36:04"},{"id":151,"name":"Denver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3"/>
        <v>start /low /b %USERPROFILE%\Documents\GitHub\eaglep3\Utilities\DownloadLogsFromS3.py --loco 4017 --day 2017-02-17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"%USERPROFILE%\AppData\Local\Temp\OnboardLogs"\RTDC4017\*4017*20170217* | grep -SE "(Enforcement Action)|(\[TIMEOUT)|(CHR.+\|PRM\|1\|D.+(SWITCH|SIGNAL).+UNKNOWN)" - &gt;&gt; 2017-02-17-UncaughtWiMAX.txt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547</v>
      </c>
      <c r="B74" s="7">
        <v>4029</v>
      </c>
      <c r="C74" s="21" t="s">
        <v>682</v>
      </c>
      <c r="D74" s="21" t="s">
        <v>234</v>
      </c>
      <c r="E74" s="13">
        <v>42783.464328703703</v>
      </c>
      <c r="F74" s="13">
        <v>42783.468946759262</v>
      </c>
      <c r="G74" s="7">
        <v>1</v>
      </c>
      <c r="H74" s="21" t="s">
        <v>402</v>
      </c>
      <c r="I74" s="13">
        <v>42783.493078703701</v>
      </c>
      <c r="J74" s="7">
        <v>0</v>
      </c>
      <c r="K74" s="98" t="str">
        <f t="shared" si="0"/>
        <v>4029/4030</v>
      </c>
      <c r="L74" s="21" t="str">
        <f>VLOOKUP(A74,'Trips&amp;Operators'!$C$1:$G$99999,5,FALSE)</f>
        <v>ROMERO CHAD</v>
      </c>
      <c r="M74" s="6">
        <f t="shared" si="1"/>
        <v>2.4131944439432118E-2</v>
      </c>
      <c r="N74" s="7">
        <f t="shared" si="27"/>
        <v>34.74999999278225</v>
      </c>
      <c r="O74" s="7"/>
      <c r="P74" s="7"/>
      <c r="Q74" s="22"/>
      <c r="R74" s="22"/>
      <c r="S74" s="31">
        <f t="shared" si="26"/>
        <v>1</v>
      </c>
      <c r="T74" s="46" t="str">
        <f t="shared" si="3"/>
        <v>NorthBound</v>
      </c>
      <c r="U74" s="18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7" t="str">
        <f t="shared" si="4"/>
        <v>https://d0f6bd738d7f1b3e5a7ca70fe4ff75f0.us-east-1.aws.found.io/app/kibana#/discover/Steve-Slow-Train-Analysis-(2080s-and-2083s)?_g=(refreshInterval:(display:Off,pause:!f,section:0,value:0),time:(from:'2017-02-17T10:08:38-0700',mode:absolute,to:'2017-02-17T12:50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4" s="188" t="str">
        <f t="shared" si="5"/>
        <v>N</v>
      </c>
      <c r="X74" s="188">
        <f t="shared" si="24"/>
        <v>1</v>
      </c>
      <c r="Y74" s="62">
        <f t="shared" si="15"/>
        <v>4.5999999999999999E-2</v>
      </c>
      <c r="Z74" s="62">
        <f t="shared" si="16"/>
        <v>23.329499999999999</v>
      </c>
      <c r="AA74" s="62">
        <f t="shared" si="6"/>
        <v>23.2835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7"/>
        <v>0161-17</v>
      </c>
      <c r="AE74" s="85" t="str">
        <f t="shared" si="8"/>
        <v>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 &amp; 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</v>
      </c>
      <c r="AF74" s="82" t="str">
        <f t="shared" si="9"/>
        <v>"C:\Program Files (x86)\AstroGrep\AstroGrep.exe" /spath="%USERPROFILE%\AppData\Local\Temp\OnboardLogs" /stypes="app*4029*20170217*" /stext=" 18:.+((SYSTEM_STATE.+slice.+state.+changed )|(ment ac)|(multiple cpu faults)|(system.+state.+changed )|(\[timeout)|(PRM\|1\|D)|(kpr)|(kdp)|(\|lc)|(penalty))" /e /r /s</v>
      </c>
      <c r="AG74" s="1" t="str">
        <f t="shared" si="10"/>
        <v>EC</v>
      </c>
      <c r="AH74" s="86" t="str">
        <f t="shared" si="21"/>
        <v>"%USERPROFILE%\Documents\GitHub\eaglep3\Utilities\RefineRTDCRunTimes.py" --tripid 161-17 --locoid 4029 --swversion DE.1.0.9.0 --startMP 204:460 --initTime 2017-02-17T11:08:38 --startdatetime 2017-02-17T11:15:17 --delay 1 --endMP 204:233295 --enddatetime 2017-02-17T11:50:02 --enforcementcount 0 &gt;&gt;C:\Users\stu\Documents\GitHub\eaglep3-reporting\EC\2017-02-17-refined-times.txt</v>
      </c>
      <c r="AI74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{"issue":{"subject":"","project_id":79,"tracker_id":40,"status_id":1,"priority_id":2,"assigned_to_id":23,"start_date":"2017-02-17","description":"","custom_fields":[{"id":1,"name":"Subdivision","value":"EC"},{"id":4,"name":"Milepost","value":"23.3295"},{"id":17,"name":"Train ID","value":"161-17"},{"id":16,"name":"Locomotive ID","value":"4029"},{"id":130,"name":"Impact","value":""},{"id":150,"name":"Time of Event (Mountain Time)","value":"11:50:02"},{"id":151,"name":"Denver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3"/>
        <v>start /low /b %USERPROFILE%\Documents\GitHub\eaglep3\Utilities\DownloadLogsFromS3.py --loco 4029 --day 2017-02-17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"%USERPROFILE%\AppData\Local\Temp\OnboardLogs"\RTDC4029\*4029*20170217* | grep -SE "(Enforcement Action)|(\[TIMEOUT)|(CHR.+\|PRM\|1\|D.+(SWITCH|SIGNAL).+UNKNOWN)" - &gt;&gt; 2017-02-17-UncaughtWiMAX.txt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452</v>
      </c>
      <c r="B75" s="7">
        <v>4030</v>
      </c>
      <c r="C75" s="21" t="s">
        <v>682</v>
      </c>
      <c r="D75" s="21" t="s">
        <v>268</v>
      </c>
      <c r="E75" s="13">
        <v>42783.502384259256</v>
      </c>
      <c r="F75" s="13">
        <v>42783.507835648146</v>
      </c>
      <c r="G75" s="7">
        <v>1</v>
      </c>
      <c r="H75" s="21" t="s">
        <v>720</v>
      </c>
      <c r="I75" s="13">
        <v>42783.526180555556</v>
      </c>
      <c r="J75" s="7">
        <v>0</v>
      </c>
      <c r="K75" s="98" t="str">
        <f t="shared" si="0"/>
        <v>4029/4030</v>
      </c>
      <c r="L75" s="21" t="str">
        <f>VLOOKUP(A75,'Trips&amp;Operators'!$C$1:$G$99999,5,FALSE)</f>
        <v>ROMERO CHAD</v>
      </c>
      <c r="M75" s="6">
        <f t="shared" si="1"/>
        <v>1.8344907410209998E-2</v>
      </c>
      <c r="N75" s="7"/>
      <c r="O75" s="7"/>
      <c r="P75" s="7">
        <f>24*60*SUM($M75:$M75)</f>
        <v>26.416666670702398</v>
      </c>
      <c r="Q75" s="22"/>
      <c r="R75" s="22" t="s">
        <v>859</v>
      </c>
      <c r="S75" s="31">
        <f t="shared" si="26"/>
        <v>0.75</v>
      </c>
      <c r="T75" s="46" t="str">
        <f t="shared" si="3"/>
        <v>Southbound</v>
      </c>
      <c r="U75" s="18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9</v>
      </c>
      <c r="V75" s="187" t="str">
        <f t="shared" si="4"/>
        <v>https://d0f6bd738d7f1b3e5a7ca70fe4ff75f0.us-east-1.aws.found.io/app/kibana#/discover/Steve-Slow-Train-Analysis-(2080s-and-2083s)?_g=(refreshInterval:(display:Off,pause:!f,section:0,value:0),time:(from:'2017-02-17T11:03:26-0700',mode:absolute,to:'2017-02-17T13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5" s="188" t="str">
        <f t="shared" si="5"/>
        <v>Y</v>
      </c>
      <c r="X75" s="188">
        <f t="shared" si="24"/>
        <v>1</v>
      </c>
      <c r="Y75" s="62">
        <f t="shared" si="15"/>
        <v>23.297699999999999</v>
      </c>
      <c r="Z75" s="62">
        <f t="shared" si="16"/>
        <v>3.7222</v>
      </c>
      <c r="AA75" s="62">
        <f t="shared" si="6"/>
        <v>19.575499999999998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7"/>
        <v>0162-17</v>
      </c>
      <c r="AE75" s="85" t="str">
        <f t="shared" si="8"/>
        <v>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 &amp; 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</v>
      </c>
      <c r="AF75" s="82" t="str">
        <f t="shared" si="9"/>
        <v>"C:\Program Files (x86)\AstroGrep\AstroGrep.exe" /spath="%USERPROFILE%\AppData\Local\Temp\OnboardLogs" /stypes="app*4030*20170217*" /stext=" 19:.+((SYSTEM_STATE.+slice.+state.+changed )|(ment ac)|(multiple cpu faults)|(system.+state.+changed )|(\[timeout)|(PRM\|1\|D)|(kpr)|(kdp)|(\|lc)|(penalty))" /e /r /s</v>
      </c>
      <c r="AG75" s="1" t="str">
        <f t="shared" si="10"/>
        <v>EC</v>
      </c>
      <c r="AH75" s="86" t="str">
        <f t="shared" si="21"/>
        <v>"%USERPROFILE%\Documents\GitHub\eaglep3\Utilities\RefineRTDCRunTimes.py" --tripid 162-17 --locoid 4030 --swversion DE.1.0.9.0 --startMP 204:232977 --initTime 2017-02-17T12:03:26 --startdatetime 2017-02-17T12:11:17 --delay 1 --endMP 204:37222 --enddatetime 2017-02-17T12:37:42 --enforcementcount 0 &gt;&gt;C:\Users\stu\Documents\GitHub\eaglep3-reporting\EC\2017-02-17-refined-times.txt</v>
      </c>
      <c r="AI75" s="108" t="str">
        <f t="shared" si="22"/>
        <v>echo {"issue":{"subject":"Wi-MAX data drop","project_id":79,"tracker_id":40,"status_id":1,"priority_id":2,"assigned_to_id":23,"start_date":"2017-02-17","description":"","custom_fields":[{"id":1,"name":"Subdivision","value":"EC"},{"id":4,"name":"Milepost","value":"3.7222"},{"id":17,"name":"Train ID","value":"162-17"},{"id":16,"name":"Locomotive ID","value":"4030"},{"id":130,"name":"Impact","value":""},{"id":150,"name":"Time of Event (Mountain Time)","value":"12:37:42"},{"id":151,"name":"Denver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3"/>
        <v>start /low /b %USERPROFILE%\Documents\GitHub\eaglep3\Utilities\DownloadLogsFromS3.py --loco 4030 --day 2017-02-17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"%USERPROFILE%\AppData\Local\Temp\OnboardLogs"\RTDC4030\*4030*20170217* | grep -SE "(Enforcement Action)|(\[TIMEOUT)|(CHR.+\|PRM\|1\|D.+(SWITCH|SIGNAL).+UNKNOWN)" - &gt;&gt; 2017-02-17-UncaughtWiMAX.txt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x14ac:dyDescent="0.25">
      <c r="A76" s="33" t="s">
        <v>551</v>
      </c>
      <c r="B76" s="7">
        <v>4025</v>
      </c>
      <c r="C76" s="21" t="s">
        <v>682</v>
      </c>
      <c r="D76" s="21" t="s">
        <v>262</v>
      </c>
      <c r="E76" s="13">
        <v>42783.475752314815</v>
      </c>
      <c r="F76" s="13">
        <v>42783.479328703703</v>
      </c>
      <c r="G76" s="7">
        <v>1</v>
      </c>
      <c r="H76" s="21" t="s">
        <v>402</v>
      </c>
      <c r="I76" s="13">
        <v>42783.506030092591</v>
      </c>
      <c r="J76" s="7">
        <v>0</v>
      </c>
      <c r="K76" s="98" t="str">
        <f t="shared" si="0"/>
        <v>4025/4026</v>
      </c>
      <c r="L76" s="21" t="str">
        <f>VLOOKUP(A76,'Trips&amp;Operators'!$C$1:$G$99999,5,FALSE)</f>
        <v>CLARK KATHLEEN</v>
      </c>
      <c r="M76" s="6">
        <f t="shared" si="1"/>
        <v>2.6701388887886424E-2</v>
      </c>
      <c r="N76" s="7">
        <f t="shared" ref="N76:N107" si="28">24*60*SUM($M76:$M76)</f>
        <v>38.44999999855645</v>
      </c>
      <c r="O76" s="7"/>
      <c r="P76" s="7"/>
      <c r="Q76" s="22"/>
      <c r="R76" s="22"/>
      <c r="S76" s="31">
        <f t="shared" si="26"/>
        <v>1</v>
      </c>
      <c r="T76" s="46" t="str">
        <f t="shared" si="3"/>
        <v>NorthBound</v>
      </c>
      <c r="U76" s="18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7" t="str">
        <f t="shared" si="4"/>
        <v>https://d0f6bd738d7f1b3e5a7ca70fe4ff75f0.us-east-1.aws.found.io/app/kibana#/discover/Steve-Slow-Train-Analysis-(2080s-and-2083s)?_g=(refreshInterval:(display:Off,pause:!f,section:0,value:0),time:(from:'2017-02-17T10:25:05-0700',mode:absolute,to:'2017-02-17T13:08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6" s="188" t="str">
        <f t="shared" si="5"/>
        <v>N</v>
      </c>
      <c r="X76" s="188">
        <f t="shared" si="24"/>
        <v>1</v>
      </c>
      <c r="Y76" s="62">
        <f t="shared" si="15"/>
        <v>4.4600000000000001E-2</v>
      </c>
      <c r="Z76" s="62">
        <f t="shared" si="16"/>
        <v>23.329499999999999</v>
      </c>
      <c r="AA76" s="62">
        <f t="shared" si="6"/>
        <v>23.2849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7"/>
        <v>0163-17</v>
      </c>
      <c r="AE76" s="85" t="str">
        <f t="shared" si="8"/>
        <v>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 &amp; aws s3 cp s3://rtdc.mdm.uploadarchive.raw/RTDC4025/ "%USERPROFILE%\AppData\Local\Temp\OnboardLogs"\RTDC4025\2017-02-18 --exclude "*" --recursive --include "*20170218*" &amp; "%USERPROFILE%\Documents\GitHub\mrs-test-scripts\Headless Mode &amp; Sideloading\WalkAndUnGZ.bat" "%USERPROFILE%\AppData\Local\Temp\OnboardLogs"\RTDC4025\2017-02-18</v>
      </c>
      <c r="AF76" s="82" t="str">
        <f t="shared" si="9"/>
        <v>"C:\Program Files (x86)\AstroGrep\AstroGrep.exe" /spath="%USERPROFILE%\AppData\Local\Temp\OnboardLogs" /stypes="app*4025*20170217*" /stext=" 19:.+((SYSTEM_STATE.+slice.+state.+changed )|(ment ac)|(multiple cpu faults)|(system.+state.+changed )|(\[timeout)|(PRM\|1\|D)|(kpr)|(kdp)|(\|lc)|(penalty))" /e /r /s</v>
      </c>
      <c r="AG76" s="1" t="str">
        <f t="shared" si="10"/>
        <v>EC</v>
      </c>
      <c r="AH76" s="86" t="str">
        <f t="shared" si="21"/>
        <v>"%USERPROFILE%\Documents\GitHub\eaglep3\Utilities\RefineRTDCRunTimes.py" --tripid 163-17 --locoid 4025 --swversion DE.1.0.9.0 --startMP 204:446 --initTime 2017-02-17T11:25:05 --startdatetime 2017-02-17T11:30:14 --delay 1 --endMP 204:233295 --enddatetime 2017-02-17T12:08:41 --enforcementcount 0 &gt;&gt;C:\Users\stu\Documents\GitHub\eaglep3-reporting\EC\2017-02-17-refined-times.txt</v>
      </c>
      <c r="AI76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{"issue":{"subject":"","project_id":79,"tracker_id":40,"status_id":1,"priority_id":2,"assigned_to_id":23,"start_date":"2017-02-17","description":"","custom_fields":[{"id":1,"name":"Subdivision","value":"EC"},{"id":4,"name":"Milepost","value":"23.3295"},{"id":17,"name":"Train ID","value":"163-17"},{"id":16,"name":"Locomotive ID","value":"4025"},{"id":130,"name":"Impact","value":""},{"id":150,"name":"Time of Event (Mountain Time)","value":"12:08:41"},{"id":151,"name":"Denver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3"/>
        <v>start /low /b %USERPROFILE%\Documents\GitHub\eaglep3\Utilities\DownloadLogsFromS3.py --loco 4025 --day 2017-02-17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"%USERPROFILE%\AppData\Local\Temp\OnboardLogs"\RTDC4025\*4025*20170217* | grep -SE "(Enforcement Action)|(\[TIMEOUT)|(CHR.+\|PRM\|1\|D.+(SWITCH|SIGNAL).+UNKNOWN)" - &gt;&gt; 2017-02-17-UncaughtWiMAX.txt</v>
      </c>
    </row>
    <row r="77" spans="1:91" x14ac:dyDescent="0.25">
      <c r="A77" s="33" t="s">
        <v>558</v>
      </c>
      <c r="B77" s="7">
        <v>4026</v>
      </c>
      <c r="C77" s="21" t="s">
        <v>682</v>
      </c>
      <c r="D77" s="21" t="s">
        <v>721</v>
      </c>
      <c r="E77" s="13">
        <v>42783.51363425926</v>
      </c>
      <c r="F77" s="13">
        <v>42783.518229166664</v>
      </c>
      <c r="G77" s="7">
        <v>1</v>
      </c>
      <c r="H77" s="21" t="s">
        <v>295</v>
      </c>
      <c r="I77" s="13">
        <v>42783.545937499999</v>
      </c>
      <c r="J77" s="7">
        <v>0</v>
      </c>
      <c r="K77" s="98" t="str">
        <f t="shared" ref="K77:K140" si="29">IF(ISEVEN(B77),(B77-1)&amp;"/"&amp;B77,B77&amp;"/"&amp;(B77+1))</f>
        <v>4025/4026</v>
      </c>
      <c r="L77" s="21" t="str">
        <f>VLOOKUP(A77,'Trips&amp;Operators'!$C$1:$G$99999,5,FALSE)</f>
        <v>CLARK KATHLEEN</v>
      </c>
      <c r="M77" s="6">
        <f t="shared" ref="M77:M140" si="30">I77-F77</f>
        <v>2.7708333334885538E-2</v>
      </c>
      <c r="N77" s="7">
        <f t="shared" si="28"/>
        <v>39.900000002235174</v>
      </c>
      <c r="O77" s="7"/>
      <c r="P77" s="7"/>
      <c r="Q77" s="22"/>
      <c r="R77" s="22"/>
      <c r="S77" s="31">
        <f t="shared" ref="S77:S108" si="31">SUM(U77:U77)/IF(AG77="EC",12,1)</f>
        <v>1</v>
      </c>
      <c r="T77" s="46" t="str">
        <f t="shared" ref="T77:T140" si="32">IF(ISEVEN(LEFT(AD77,4)),"Southbound","NorthBound")</f>
        <v>Southbound</v>
      </c>
      <c r="U77" s="18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7" t="str">
        <f t="shared" ref="V77:V140" si="3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-17T11:19:38-0700',mode:absolute,to:'2017-02-17T14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7" s="188" t="str">
        <f t="shared" ref="W77:W140" si="34">IF(AA77&lt;IF(AG77="EC",23,5.65),"Y","N")</f>
        <v>N</v>
      </c>
      <c r="X77" s="188">
        <f t="shared" si="24"/>
        <v>1</v>
      </c>
      <c r="Y77" s="62">
        <f t="shared" si="15"/>
        <v>23.2972</v>
      </c>
      <c r="Z77" s="62">
        <f t="shared" si="16"/>
        <v>1.47E-2</v>
      </c>
      <c r="AA77" s="62">
        <f t="shared" ref="AA77:AA140" si="35">ABS(Z77-Y77)</f>
        <v>23.282499999999999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6">IF(LEN(A77)=6,"0"&amp;A77,A77)</f>
        <v>0164-17</v>
      </c>
      <c r="AE77" s="85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 &amp; aws s3 cp s3://rtdc.mdm.uploadarchive.raw/RTDC4026/ "%USERPROFILE%\AppData\Local\Temp\OnboardLogs"\RTDC4026\2017-02-18 --exclude "*" --recursive --include "*20170218*" &amp; "%USERPROFILE%\Documents\GitHub\mrs-test-scripts\Headless Mode &amp; Sideloading\WalkAndUnGZ.bat" "%USERPROFILE%\AppData\Local\Temp\OnboardLogs"\RTDC4026\2017-02-18</v>
      </c>
      <c r="AF77" s="82" t="str">
        <f t="shared" ref="AF77:AF140" si="38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/stypes="app*4026*20170217*" /stext=" 20:.+((SYSTEM_STATE.+slice.+state.+changed )|(ment ac)|(multiple cpu faults)|(system.+state.+changed )|(\[timeout)|(PRM\|1\|D)|(kpr)|(kdp)|(\|lc)|(penalty))" /e /r /s</v>
      </c>
      <c r="AG77" s="1" t="str">
        <f t="shared" ref="AG77:AG140" si="39">IFERROR(IF(VALUE(LEFT(AD77,2))&lt;=2,"EC",IF(OR(VALUE(LEFT(AD77,2))=8,VALUE(LEFT(AD77,2))=18),"NW","Other")),"Other")</f>
        <v>EC</v>
      </c>
      <c r="AH77" s="86" t="str">
        <f t="shared" si="21"/>
        <v>"%USERPROFILE%\Documents\GitHub\eaglep3\Utilities\RefineRTDCRunTimes.py" --tripid 164-17 --locoid 4026 --swversion DE.1.0.9.0 --startMP 204:232972 --initTime 2017-02-17T12:19:38 --startdatetime 2017-02-17T12:26:15 --delay 1 --endMP 204:147 --enddatetime 2017-02-17T13:06:09 --enforcementcount 0 &gt;&gt;C:\Users\stu\Documents\GitHub\eaglep3-reporting\EC\2017-02-17-refined-times.txt</v>
      </c>
      <c r="AI77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{"issue":{"subject":"","project_id":79,"tracker_id":40,"status_id":1,"priority_id":2,"assigned_to_id":23,"start_date":"2017-02-17","description":"","custom_fields":[{"id":1,"name":"Subdivision","value":"EC"},{"id":4,"name":"Milepost","value":"0.0147"},{"id":17,"name":"Train ID","value":"164-17"},{"id":16,"name":"Locomotive ID","value":"4026"},{"id":130,"name":"Impact","value":""},{"id":150,"name":"Time of Event (Mountain Time)","value":"13:06:09"},{"id":151,"name":"Denver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3"/>
        <v>start /low /b %USERPROFILE%\Documents\GitHub\eaglep3\Utilities\DownloadLogsFromS3.py --loco 4026 --day 2017-02-17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"%USERPROFILE%\AppData\Local\Temp\OnboardLogs"\RTDC4026\*4026*20170217* | grep -SE "(Enforcement Action)|(\[TIMEOUT)|(CHR.+\|PRM\|1\|D.+(SWITCH|SIGNAL).+UNKNOWN)" - &gt;&gt; 2017-02-17-UncaughtWiMAX.txt</v>
      </c>
    </row>
    <row r="78" spans="1:91" s="20" customFormat="1" x14ac:dyDescent="0.25">
      <c r="A78" s="33" t="s">
        <v>554</v>
      </c>
      <c r="B78" s="7">
        <v>4016</v>
      </c>
      <c r="C78" s="21" t="s">
        <v>682</v>
      </c>
      <c r="D78" s="21" t="s">
        <v>315</v>
      </c>
      <c r="E78" s="13">
        <v>42783.485752314817</v>
      </c>
      <c r="F78" s="13">
        <v>42783.489768518521</v>
      </c>
      <c r="G78" s="7">
        <v>2</v>
      </c>
      <c r="H78" s="21" t="s">
        <v>367</v>
      </c>
      <c r="I78" s="13">
        <v>42783.514247685183</v>
      </c>
      <c r="J78" s="7">
        <v>0</v>
      </c>
      <c r="K78" s="98" t="str">
        <f t="shared" si="29"/>
        <v>4015/4016</v>
      </c>
      <c r="L78" s="21" t="str">
        <f>VLOOKUP(A78,'Trips&amp;Operators'!$C$1:$G$99999,5,FALSE)</f>
        <v>BRUDER RICHARD</v>
      </c>
      <c r="M78" s="6">
        <f t="shared" si="30"/>
        <v>2.4479166662786156E-2</v>
      </c>
      <c r="N78" s="7">
        <f t="shared" si="28"/>
        <v>35.249999994412065</v>
      </c>
      <c r="O78" s="7"/>
      <c r="P78" s="7"/>
      <c r="Q78" s="22"/>
      <c r="R78" s="22"/>
      <c r="S78" s="31">
        <f t="shared" si="31"/>
        <v>1</v>
      </c>
      <c r="T78" s="46" t="str">
        <f t="shared" si="32"/>
        <v>NorthBound</v>
      </c>
      <c r="U78" s="18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7" t="str">
        <f t="shared" si="33"/>
        <v>https://d0f6bd738d7f1b3e5a7ca70fe4ff75f0.us-east-1.aws.found.io/app/kibana#/discover/Steve-Slow-Train-Analysis-(2080s-and-2083s)?_g=(refreshInterval:(display:Off,pause:!f,section:0,value:0),time:(from:'2017-02-17T10:39:29-0700',mode:absolute,to:'2017-02-17T13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8" s="188" t="str">
        <f t="shared" si="34"/>
        <v>N</v>
      </c>
      <c r="X78" s="188">
        <f t="shared" si="24"/>
        <v>1</v>
      </c>
      <c r="Y78" s="62">
        <f t="shared" ref="Y78:Y141" si="40">RIGHT(D78,LEN(D78)-4)/10000</f>
        <v>4.4200000000000003E-2</v>
      </c>
      <c r="Z78" s="62">
        <f t="shared" ref="Z78:Z141" si="41">RIGHT(H78,LEN(H78)-4)/10000</f>
        <v>23.330500000000001</v>
      </c>
      <c r="AA78" s="62">
        <f t="shared" si="35"/>
        <v>23.286300000000001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6"/>
        <v>0165-17</v>
      </c>
      <c r="AE78" s="85" t="str">
        <f t="shared" si="37"/>
        <v>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 &amp; 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</v>
      </c>
      <c r="AF78" s="82" t="str">
        <f t="shared" si="38"/>
        <v>"C:\Program Files (x86)\AstroGrep\AstroGrep.exe" /spath="%USERPROFILE%\AppData\Local\Temp\OnboardLogs" /stypes="app*4016*20170217*" /stext=" 19:.+((SYSTEM_STATE.+slice.+state.+changed )|(ment ac)|(multiple cpu faults)|(system.+state.+changed )|(\[timeout)|(PRM\|1\|D)|(kpr)|(kdp)|(\|lc)|(penalty))" /e /r /s</v>
      </c>
      <c r="AG78" s="1" t="str">
        <f t="shared" si="39"/>
        <v>EC</v>
      </c>
      <c r="AH78" s="86" t="str">
        <f t="shared" si="21"/>
        <v>"%USERPROFILE%\Documents\GitHub\eaglep3\Utilities\RefineRTDCRunTimes.py" --tripid 165-17 --locoid 4016 --swversion DE.1.0.9.0 --startMP 204:442 --initTime 2017-02-17T11:39:29 --startdatetime 2017-02-17T11:45:16 --delay 2 --endMP 204:233305 --enddatetime 2017-02-17T12:20:31 --enforcementcount 0 &gt;&gt;C:\Users\stu\Documents\GitHub\eaglep3-reporting\EC\2017-02-17-refined-times.txt</v>
      </c>
      <c r="AI78" s="108" t="str">
        <f t="shared" si="22"/>
        <v>echo {"issue":{"subject":"","project_id":79,"tracker_id":40,"status_id":1,"priority_id":2,"assigned_to_id":23,"start_date":"2017-02-17","description":"","custom_fields":[{"id":1,"name":"Subdivision","value":"EC"},{"id":4,"name":"Milepost","value":"23.3305"},{"id":17,"name":"Train ID","value":"165-17"},{"id":16,"name":"Locomotive ID","value":"4016"},{"id":130,"name":"Impact","value":""},{"id":150,"name":"Time of Event (Mountain Time)","value":"12:20:31"},{"id":151,"name":"Denver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23"/>
        <v>start /low /b %USERPROFILE%\Documents\GitHub\eaglep3\Utilities\DownloadLogsFromS3.py --loco 4016 --day 2017-02-17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"%USERPROFILE%\AppData\Local\Temp\OnboardLogs"\RTDC4016\*4016*20170217* | grep -SE "(Enforcement Action)|(\[TIMEOUT)|(CHR.+\|PRM\|1\|D.+(SWITCH|SIGNAL).+UNKNOWN)" - &gt;&gt; 2017-02-17-UncaughtWiMAX.txt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560</v>
      </c>
      <c r="B79" s="7">
        <v>4015</v>
      </c>
      <c r="C79" s="21" t="s">
        <v>682</v>
      </c>
      <c r="D79" s="21" t="s">
        <v>709</v>
      </c>
      <c r="E79" s="13">
        <v>42783.523946759262</v>
      </c>
      <c r="F79" s="13">
        <v>42783.528657407405</v>
      </c>
      <c r="G79" s="7">
        <v>1</v>
      </c>
      <c r="H79" s="21" t="s">
        <v>279</v>
      </c>
      <c r="I79" s="13">
        <v>42783.555185185185</v>
      </c>
      <c r="J79" s="7">
        <v>0</v>
      </c>
      <c r="K79" s="98" t="str">
        <f t="shared" si="29"/>
        <v>4015/4016</v>
      </c>
      <c r="L79" s="21" t="str">
        <f>VLOOKUP(A79,'Trips&amp;Operators'!$C$1:$G$99999,5,FALSE)</f>
        <v>BRUDER RICHARD</v>
      </c>
      <c r="M79" s="6">
        <f t="shared" si="30"/>
        <v>2.6527777779847383E-2</v>
      </c>
      <c r="N79" s="7">
        <f t="shared" si="28"/>
        <v>38.200000002980232</v>
      </c>
      <c r="O79" s="7"/>
      <c r="P79" s="7"/>
      <c r="Q79" s="22"/>
      <c r="R79" s="22"/>
      <c r="S79" s="31">
        <f t="shared" si="31"/>
        <v>1</v>
      </c>
      <c r="T79" s="46" t="str">
        <f t="shared" si="32"/>
        <v>Southbound</v>
      </c>
      <c r="U79" s="18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7" t="str">
        <f t="shared" si="33"/>
        <v>https://d0f6bd738d7f1b3e5a7ca70fe4ff75f0.us-east-1.aws.found.io/app/kibana#/discover/Steve-Slow-Train-Analysis-(2080s-and-2083s)?_g=(refreshInterval:(display:Off,pause:!f,section:0,value:0),time:(from:'2017-02-17T11:34:29-0700',mode:absolute,to:'2017-02-17T14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9" s="188" t="str">
        <f t="shared" si="34"/>
        <v>N</v>
      </c>
      <c r="X79" s="188">
        <f t="shared" si="24"/>
        <v>1</v>
      </c>
      <c r="Y79" s="62">
        <f t="shared" si="40"/>
        <v>23.298999999999999</v>
      </c>
      <c r="Z79" s="62">
        <f t="shared" si="41"/>
        <v>1.41E-2</v>
      </c>
      <c r="AA79" s="62">
        <f t="shared" si="35"/>
        <v>23.2849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6"/>
        <v>0166-17</v>
      </c>
      <c r="AE79" s="85" t="str">
        <f t="shared" si="37"/>
        <v>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 &amp; 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</v>
      </c>
      <c r="AF79" s="82" t="str">
        <f t="shared" si="38"/>
        <v>"C:\Program Files (x86)\AstroGrep\AstroGrep.exe" /spath="%USERPROFILE%\AppData\Local\Temp\OnboardLogs" /stypes="app*4015*20170217*" /stext=" 20:.+((SYSTEM_STATE.+slice.+state.+changed )|(ment ac)|(multiple cpu faults)|(system.+state.+changed )|(\[timeout)|(PRM\|1\|D)|(kpr)|(kdp)|(\|lc)|(penalty))" /e /r /s</v>
      </c>
      <c r="AG79" s="1" t="str">
        <f t="shared" si="39"/>
        <v>EC</v>
      </c>
      <c r="AH79" s="86" t="str">
        <f t="shared" ref="AH79:AH142" si="42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166-17 --locoid 4015 --swversion DE.1.0.9.0 --startMP 204:232990 --initTime 2017-02-17T12:34:29 --startdatetime 2017-02-17T12:41:16 --delay 1 --endMP 204:141 --enddatetime 2017-02-17T13:19:28 --enforcementcount 0 &gt;&gt;C:\Users\stu\Documents\GitHub\eaglep3-reporting\EC\2017-02-17-refined-times.txt</v>
      </c>
      <c r="AI79" s="108" t="str">
        <f t="shared" ref="AI79:AI142" si="43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{"issue":{"subject":"","project_id":79,"tracker_id":40,"status_id":1,"priority_id":2,"assigned_to_id":23,"start_date":"2017-02-17","description":"","custom_fields":[{"id":1,"name":"Subdivision","value":"EC"},{"id":4,"name":"Milepost","value":"0.0141"},{"id":17,"name":"Train ID","value":"166-17"},{"id":16,"name":"Locomotive ID","value":"4015"},{"id":130,"name":"Impact","value":""},{"id":150,"name":"Time of Event (Mountain Time)","value":"13:19:28"},{"id":151,"name":"Denver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ref="AM79:AM142" si="44">"start /low /b "&amp;dls3logs&amp;" --loco "&amp;B79&amp;" --day "&amp;TEXT(F79,"YYYY-MM-DD")</f>
        <v>start /low /b %USERPROFILE%\Documents\GitHub\eaglep3\Utilities\DownloadLogsFromS3.py --loco 4015 --day 2017-02-17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"%USERPROFILE%\AppData\Local\Temp\OnboardLogs"\RTDC4015\*4015*20170217* | grep -SE "(Enforcement Action)|(\[TIMEOUT)|(CHR.+\|PRM\|1\|D.+(SWITCH|SIGNAL).+UNKNOWN)" - &gt;&gt; 2017-02-17-UncaughtWiMAX.txt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556</v>
      </c>
      <c r="B80" s="7">
        <v>4044</v>
      </c>
      <c r="C80" s="21" t="s">
        <v>682</v>
      </c>
      <c r="D80" s="21" t="s">
        <v>722</v>
      </c>
      <c r="E80" s="13">
        <v>42783.496689814812</v>
      </c>
      <c r="F80" s="13">
        <v>42783.500231481485</v>
      </c>
      <c r="G80" s="7">
        <v>1</v>
      </c>
      <c r="H80" s="21" t="s">
        <v>301</v>
      </c>
      <c r="I80" s="13">
        <v>42783.524976851855</v>
      </c>
      <c r="J80" s="7">
        <v>0</v>
      </c>
      <c r="K80" s="98" t="str">
        <f t="shared" si="29"/>
        <v>4043/4044</v>
      </c>
      <c r="L80" s="21" t="str">
        <f>VLOOKUP(A80,'Trips&amp;Operators'!$C$1:$G$99999,5,FALSE)</f>
        <v>HELVIE ADAM</v>
      </c>
      <c r="M80" s="6">
        <f t="shared" si="30"/>
        <v>2.47453703705105E-2</v>
      </c>
      <c r="N80" s="7">
        <f t="shared" si="28"/>
        <v>35.63333333353512</v>
      </c>
      <c r="O80" s="7"/>
      <c r="P80" s="7"/>
      <c r="Q80" s="22"/>
      <c r="R80" s="22"/>
      <c r="S80" s="31">
        <f t="shared" si="31"/>
        <v>1</v>
      </c>
      <c r="T80" s="46" t="str">
        <f t="shared" si="32"/>
        <v>NorthBound</v>
      </c>
      <c r="U80" s="18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7" t="str">
        <f t="shared" si="33"/>
        <v>https://d0f6bd738d7f1b3e5a7ca70fe4ff75f0.us-east-1.aws.found.io/app/kibana#/discover/Steve-Slow-Train-Analysis-(2080s-and-2083s)?_g=(refreshInterval:(display:Off,pause:!f,section:0,value:0),time:(from:'2017-02-17T10:55:14-0700',mode:absolute,to:'2017-02-17T13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0" s="188" t="str">
        <f t="shared" si="34"/>
        <v>N</v>
      </c>
      <c r="X80" s="188">
        <f t="shared" si="24"/>
        <v>1</v>
      </c>
      <c r="Y80" s="62">
        <f t="shared" si="40"/>
        <v>4.2000000000000003E-2</v>
      </c>
      <c r="Z80" s="62">
        <f t="shared" si="41"/>
        <v>23.330200000000001</v>
      </c>
      <c r="AA80" s="62">
        <f t="shared" si="35"/>
        <v>23.2882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6"/>
        <v>0167-17</v>
      </c>
      <c r="AE80" s="85" t="str">
        <f t="shared" si="37"/>
        <v>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 &amp; 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</v>
      </c>
      <c r="AF80" s="82" t="str">
        <f t="shared" si="38"/>
        <v>"C:\Program Files (x86)\AstroGrep\AstroGrep.exe" /spath="%USERPROFILE%\AppData\Local\Temp\OnboardLogs" /stypes="app*4044*20170217*" /stext=" 19:.+((SYSTEM_STATE.+slice.+state.+changed )|(ment ac)|(multiple cpu faults)|(system.+state.+changed )|(\[timeout)|(PRM\|1\|D)|(kpr)|(kdp)|(\|lc)|(penalty))" /e /r /s</v>
      </c>
      <c r="AG80" s="1" t="str">
        <f t="shared" si="39"/>
        <v>EC</v>
      </c>
      <c r="AH80" s="86" t="str">
        <f t="shared" si="42"/>
        <v>"%USERPROFILE%\Documents\GitHub\eaglep3\Utilities\RefineRTDCRunTimes.py" --tripid 167-17 --locoid 4044 --swversion DE.1.0.9.0 --startMP 204:420 --initTime 2017-02-17T11:55:14 --startdatetime 2017-02-17T12:00:20 --delay 1 --endMP 204:233302 --enddatetime 2017-02-17T12:35:58 --enforcementcount 0 &gt;&gt;C:\Users\stu\Documents\GitHub\eaglep3-reporting\EC\2017-02-17-refined-times.txt</v>
      </c>
      <c r="AI80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{"issue":{"subject":"","project_id":79,"tracker_id":40,"status_id":1,"priority_id":2,"assigned_to_id":23,"start_date":"2017-02-17","description":"","custom_fields":[{"id":1,"name":"Subdivision","value":"EC"},{"id":4,"name":"Milepost","value":"23.3302"},{"id":17,"name":"Train ID","value":"167-17"},{"id":16,"name":"Locomotive ID","value":"4044"},{"id":130,"name":"Impact","value":""},{"id":150,"name":"Time of Event (Mountain Time)","value":"12:35:58"},{"id":151,"name":"Denver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44"/>
        <v>start /low /b %USERPROFILE%\Documents\GitHub\eaglep3\Utilities\DownloadLogsFromS3.py --loco 4044 --day 2017-02-17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"%USERPROFILE%\AppData\Local\Temp\OnboardLogs"\RTDC4044\*4044*20170217* | grep -SE "(Enforcement Action)|(\[TIMEOUT)|(CHR.+\|PRM\|1\|D.+(SWITCH|SIGNAL).+UNKNOWN)" - &gt;&gt; 2017-02-17-UncaughtWiMAX.txt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566</v>
      </c>
      <c r="B81" s="7">
        <v>4043</v>
      </c>
      <c r="C81" s="21" t="s">
        <v>682</v>
      </c>
      <c r="D81" s="21" t="s">
        <v>282</v>
      </c>
      <c r="E81" s="13">
        <v>42783.535775462966</v>
      </c>
      <c r="F81" s="13">
        <v>42783.539131944446</v>
      </c>
      <c r="G81" s="7">
        <v>1</v>
      </c>
      <c r="H81" s="21" t="s">
        <v>217</v>
      </c>
      <c r="I81" s="13">
        <v>42783.564965277779</v>
      </c>
      <c r="J81" s="7">
        <v>0</v>
      </c>
      <c r="K81" s="98" t="str">
        <f t="shared" si="29"/>
        <v>4043/4044</v>
      </c>
      <c r="L81" s="21" t="str">
        <f>VLOOKUP(A81,'Trips&amp;Operators'!$C$1:$G$99999,5,FALSE)</f>
        <v>HELVIE ADAM</v>
      </c>
      <c r="M81" s="6">
        <f t="shared" si="30"/>
        <v>2.5833333333139308E-2</v>
      </c>
      <c r="N81" s="7">
        <f t="shared" si="28"/>
        <v>37.199999999720603</v>
      </c>
      <c r="O81" s="7"/>
      <c r="P81" s="7"/>
      <c r="Q81" s="22"/>
      <c r="R81" s="22"/>
      <c r="S81" s="31">
        <f t="shared" si="31"/>
        <v>1</v>
      </c>
      <c r="T81" s="46" t="str">
        <f t="shared" si="32"/>
        <v>Southbound</v>
      </c>
      <c r="U81" s="18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7" t="str">
        <f t="shared" si="33"/>
        <v>https://d0f6bd738d7f1b3e5a7ca70fe4ff75f0.us-east-1.aws.found.io/app/kibana#/discover/Steve-Slow-Train-Analysis-(2080s-and-2083s)?_g=(refreshInterval:(display:Off,pause:!f,section:0,value:0),time:(from:'2017-02-17T11:51:31-0700',mode:absolute,to:'2017-02-17T14:33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1" s="188" t="str">
        <f t="shared" si="34"/>
        <v>N</v>
      </c>
      <c r="X81" s="188">
        <f t="shared" ref="X81:X144" si="45">VALUE(LEFT(AD81,4))-VALUE(LEFT(AD80,4))</f>
        <v>1</v>
      </c>
      <c r="Y81" s="62">
        <f t="shared" si="40"/>
        <v>23.299600000000002</v>
      </c>
      <c r="Z81" s="62">
        <f t="shared" si="41"/>
        <v>1.54E-2</v>
      </c>
      <c r="AA81" s="62">
        <f t="shared" si="35"/>
        <v>23.284200000000002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6"/>
        <v>0168-17</v>
      </c>
      <c r="AE81" s="85" t="str">
        <f t="shared" si="37"/>
        <v>aws s3 cp s3://rtdc.mdm.uploadarchive.raw/RTDC4043/ "%USERPROFILE%\AppData\Local\Temp\OnboardLogs"\RTDC4043\2017-02-17 --exclude "*" --recursive --include "*20170217*" &amp; "%USERPROFILE%\Documents\GitHub\mrs-test-scripts\Headless Mode &amp; Sideloading\WalkAndUnGZ.bat" "%USERPROFILE%\AppData\Local\Temp\OnboardLogs"\RTDC4043\2017-02-17 &amp; aws s3 cp s3://rtdc.mdm.uploadarchive.raw/RTDC4043/ "%USERPROFILE%\AppData\Local\Temp\OnboardLogs"\RTDC4043\2017-02-18 --exclude "*" --recursive --include "*20170218*" &amp; "%USERPROFILE%\Documents\GitHub\mrs-test-scripts\Headless Mode &amp; Sideloading\WalkAndUnGZ.bat" "%USERPROFILE%\AppData\Local\Temp\OnboardLogs"\RTDC4043\2017-02-18</v>
      </c>
      <c r="AF81" s="82" t="str">
        <f t="shared" si="38"/>
        <v>"C:\Program Files (x86)\AstroGrep\AstroGrep.exe" /spath="%USERPROFILE%\AppData\Local\Temp\OnboardLogs" /stypes="app*4043*20170217*" /stext=" 20:.+((SYSTEM_STATE.+slice.+state.+changed )|(ment ac)|(multiple cpu faults)|(system.+state.+changed )|(\[timeout)|(PRM\|1\|D)|(kpr)|(kdp)|(\|lc)|(penalty))" /e /r /s</v>
      </c>
      <c r="AG81" s="1" t="str">
        <f t="shared" si="39"/>
        <v>EC</v>
      </c>
      <c r="AH81" s="86" t="str">
        <f t="shared" si="42"/>
        <v>"%USERPROFILE%\Documents\GitHub\eaglep3\Utilities\RefineRTDCRunTimes.py" --tripid 168-17 --locoid 4043 --swversion DE.1.0.9.0 --startMP 204:232996 --initTime 2017-02-17T12:51:31 --startdatetime 2017-02-17T12:56:21 --delay 1 --endMP 204:154 --enddatetime 2017-02-17T13:33:33 --enforcementcount 0 &gt;&gt;C:\Users\stu\Documents\GitHub\eaglep3-reporting\EC\2017-02-17-refined-times.txt</v>
      </c>
      <c r="AI81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{"issue":{"subject":"","project_id":79,"tracker_id":40,"status_id":1,"priority_id":2,"assigned_to_id":23,"start_date":"2017-02-17","description":"","custom_fields":[{"id":1,"name":"Subdivision","value":"EC"},{"id":4,"name":"Milepost","value":"0.0154"},{"id":17,"name":"Train ID","value":"168-17"},{"id":16,"name":"Locomotive ID","value":"4043"},{"id":130,"name":"Impact","value":""},{"id":150,"name":"Time of Event (Mountain Time)","value":"13:33:33"},{"id":151,"name":"Denver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44"/>
        <v>start /low /b %USERPROFILE%\Documents\GitHub\eaglep3\Utilities\DownloadLogsFromS3.py --loco 4043 --day 2017-02-17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"%USERPROFILE%\AppData\Local\Temp\OnboardLogs"\RTDC4043\*4043*20170217* | grep -SE "(Enforcement Action)|(\[TIMEOUT)|(CHR.+\|PRM\|1\|D.+(SWITCH|SIGNAL).+UNKNOWN)" - &gt;&gt; 2017-02-17-UncaughtWiMAX.txt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451</v>
      </c>
      <c r="B82" s="7">
        <v>4027</v>
      </c>
      <c r="C82" s="21" t="s">
        <v>682</v>
      </c>
      <c r="D82" s="21" t="s">
        <v>272</v>
      </c>
      <c r="E82" s="13">
        <v>42783.504618055558</v>
      </c>
      <c r="F82" s="13">
        <v>42783.510648148149</v>
      </c>
      <c r="G82" s="7">
        <v>2</v>
      </c>
      <c r="H82" s="21" t="s">
        <v>367</v>
      </c>
      <c r="I82" s="13">
        <v>42783.535439814812</v>
      </c>
      <c r="J82" s="7">
        <v>0</v>
      </c>
      <c r="K82" s="98" t="str">
        <f t="shared" si="29"/>
        <v>4027/4028</v>
      </c>
      <c r="L82" s="21" t="str">
        <f>VLOOKUP(A82,'Trips&amp;Operators'!$C$1:$G$99999,5,FALSE)</f>
        <v>KILLION DAVID</v>
      </c>
      <c r="M82" s="6">
        <f t="shared" si="30"/>
        <v>2.4791666663077194E-2</v>
      </c>
      <c r="N82" s="7">
        <f t="shared" si="28"/>
        <v>35.69999999483116</v>
      </c>
      <c r="O82" s="7"/>
      <c r="P82" s="7"/>
      <c r="Q82" s="22"/>
      <c r="R82" s="22"/>
      <c r="S82" s="31">
        <f t="shared" si="31"/>
        <v>1</v>
      </c>
      <c r="T82" s="46" t="str">
        <f t="shared" si="32"/>
        <v>NorthBound</v>
      </c>
      <c r="U82" s="18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7" t="str">
        <f t="shared" si="33"/>
        <v>https://d0f6bd738d7f1b3e5a7ca70fe4ff75f0.us-east-1.aws.found.io/app/kibana#/discover/Steve-Slow-Train-Analysis-(2080s-and-2083s)?_g=(refreshInterval:(display:Off,pause:!f,section:0,value:0),time:(from:'2017-02-17T11:06:39-0700',mode:absolute,to:'2017-02-17T13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2" s="188" t="str">
        <f t="shared" si="34"/>
        <v>N</v>
      </c>
      <c r="X82" s="188">
        <f t="shared" si="45"/>
        <v>1</v>
      </c>
      <c r="Y82" s="62">
        <f t="shared" si="40"/>
        <v>4.6399999999999997E-2</v>
      </c>
      <c r="Z82" s="62">
        <f t="shared" si="41"/>
        <v>23.330500000000001</v>
      </c>
      <c r="AA82" s="62">
        <f t="shared" si="35"/>
        <v>23.284100000000002</v>
      </c>
      <c r="AB82" s="59" t="str">
        <f>VLOOKUP(A82,Enforcements!$C$7:$K$13,8,0)</f>
        <v>Bulletin (2)</v>
      </c>
      <c r="AC82" s="55" t="str">
        <f>VLOOKUP(A82,Enforcements!$C$7:$E$13,3,0)</f>
        <v>GRADE CROSSING</v>
      </c>
      <c r="AD82" s="56" t="str">
        <f t="shared" si="36"/>
        <v>0169-17</v>
      </c>
      <c r="AE82" s="85" t="str">
        <f t="shared" si="37"/>
        <v>aws s3 cp s3://rtdc.mdm.uploadarchive.raw/RTDC4027/ "%USERPROFILE%\AppData\Local\Temp\OnboardLogs"\RTDC4027\2017-02-17 --exclude "*" --recursive --include "*20170217*" &amp; "%USERPROFILE%\Documents\GitHub\mrs-test-scripts\Headless Mode &amp; Sideloading\WalkAndUnGZ.bat" "%USERPROFILE%\AppData\Local\Temp\OnboardLogs"\RTDC4027\2017-02-17 &amp; 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</v>
      </c>
      <c r="AF82" s="82" t="str">
        <f t="shared" si="38"/>
        <v>"C:\Program Files (x86)\AstroGrep\AstroGrep.exe" /spath="%USERPROFILE%\AppData\Local\Temp\OnboardLogs" /stypes="app*4027*20170217*" /stext=" 19:.+((SYSTEM_STATE.+slice.+state.+changed )|(ment ac)|(multiple cpu faults)|(system.+state.+changed )|(\[timeout)|(PRM\|1\|D)|(kpr)|(kdp)|(\|lc)|(penalty))" /e /r /s</v>
      </c>
      <c r="AG82" s="1" t="str">
        <f t="shared" si="39"/>
        <v>EC</v>
      </c>
      <c r="AH82" s="86" t="str">
        <f t="shared" si="42"/>
        <v>"%USERPROFILE%\Documents\GitHub\eaglep3\Utilities\RefineRTDCRunTimes.py" --tripid 169-17 --locoid 4027 --swversion DE.1.0.9.0 --startMP 204:464 --initTime 2017-02-17T12:06:39 --startdatetime 2017-02-17T12:15:20 --delay 2 --endMP 204:233305 --enddatetime 2017-02-17T12:51:02 --enforcementcount 0 &gt;&gt;C:\Users\stu\Documents\GitHub\eaglep3-reporting\EC\2017-02-17-refined-times.txt</v>
      </c>
      <c r="AI82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{"issue":{"subject":"","project_id":79,"tracker_id":40,"status_id":1,"priority_id":2,"assigned_to_id":23,"start_date":"2017-02-17","description":"","custom_fields":[{"id":1,"name":"Subdivision","value":"EC"},{"id":4,"name":"Milepost","value":"23.3305"},{"id":17,"name":"Train ID","value":"169-17"},{"id":16,"name":"Locomotive ID","value":"4027"},{"id":130,"name":"Impact","value":""},{"id":150,"name":"Time of Event (Mountain Time)","value":"12:51:02"},{"id":151,"name":"Denver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44"/>
        <v>start /low /b %USERPROFILE%\Documents\GitHub\eaglep3\Utilities\DownloadLogsFromS3.py --loco 4027 --day 2017-02-17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"%USERPROFILE%\AppData\Local\Temp\OnboardLogs"\RTDC4027\*4027*20170217* | grep -SE "(Enforcement Action)|(\[TIMEOUT)|(CHR.+\|PRM\|1\|D.+(SWITCH|SIGNAL).+UNKNOWN)" - &gt;&gt; 2017-02-17-UncaughtWiMAX.txt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 s="33" t="s">
        <v>567</v>
      </c>
      <c r="B83" s="7">
        <v>4028</v>
      </c>
      <c r="C83" s="21" t="s">
        <v>682</v>
      </c>
      <c r="D83" s="21" t="s">
        <v>268</v>
      </c>
      <c r="E83" s="13">
        <v>42783.545023148145</v>
      </c>
      <c r="F83" s="13">
        <v>42783.549490740741</v>
      </c>
      <c r="G83" s="7">
        <v>1</v>
      </c>
      <c r="H83" s="21" t="s">
        <v>209</v>
      </c>
      <c r="I83" s="13">
        <v>42783.576273148145</v>
      </c>
      <c r="J83" s="7">
        <v>0</v>
      </c>
      <c r="K83" s="98" t="str">
        <f t="shared" si="29"/>
        <v>4027/4028</v>
      </c>
      <c r="L83" s="21" t="str">
        <f>VLOOKUP(A83,'Trips&amp;Operators'!$C$1:$G$99999,5,FALSE)</f>
        <v>KILLION DAVID</v>
      </c>
      <c r="M83" s="6">
        <f t="shared" si="30"/>
        <v>2.6782407403516117E-2</v>
      </c>
      <c r="N83" s="7">
        <f t="shared" si="28"/>
        <v>38.566666661063209</v>
      </c>
      <c r="O83" s="7"/>
      <c r="P83" s="7"/>
      <c r="Q83" s="22"/>
      <c r="R83" s="22"/>
      <c r="S83" s="31">
        <f t="shared" si="31"/>
        <v>1</v>
      </c>
      <c r="T83" s="46" t="str">
        <f t="shared" si="32"/>
        <v>Southbound</v>
      </c>
      <c r="U83" s="18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7" t="str">
        <f t="shared" si="33"/>
        <v>https://d0f6bd738d7f1b3e5a7ca70fe4ff75f0.us-east-1.aws.found.io/app/kibana#/discover/Steve-Slow-Train-Analysis-(2080s-and-2083s)?_g=(refreshInterval:(display:Off,pause:!f,section:0,value:0),time:(from:'2017-02-17T12:04:50-0700',mode:absolute,to:'2017-02-17T14:49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3" s="188" t="str">
        <f t="shared" si="34"/>
        <v>N</v>
      </c>
      <c r="X83" s="188">
        <f t="shared" si="45"/>
        <v>1</v>
      </c>
      <c r="Y83" s="62">
        <f t="shared" si="40"/>
        <v>23.297699999999999</v>
      </c>
      <c r="Z83" s="62">
        <f t="shared" si="41"/>
        <v>1.5800000000000002E-2</v>
      </c>
      <c r="AA83" s="62">
        <f t="shared" si="35"/>
        <v>23.2819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6"/>
        <v>0170-17</v>
      </c>
      <c r="AE83" s="85" t="str">
        <f t="shared" si="37"/>
        <v>aws s3 cp s3://rtdc.mdm.uploadarchive.raw/RTDC4028/ "%USERPROFILE%\AppData\Local\Temp\OnboardLogs"\RTDC4028\2017-02-17 --exclude "*" --recursive --include "*20170217*" &amp; "%USERPROFILE%\Documents\GitHub\mrs-test-scripts\Headless Mode &amp; Sideloading\WalkAndUnGZ.bat" "%USERPROFILE%\AppData\Local\Temp\OnboardLogs"\RTDC4028\2017-02-17 &amp; 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</v>
      </c>
      <c r="AF83" s="82" t="str">
        <f t="shared" si="38"/>
        <v>"C:\Program Files (x86)\AstroGrep\AstroGrep.exe" /spath="%USERPROFILE%\AppData\Local\Temp\OnboardLogs" /stypes="app*4028*20170217*" /stext=" 20:.+((SYSTEM_STATE.+slice.+state.+changed )|(ment ac)|(multiple cpu faults)|(system.+state.+changed )|(\[timeout)|(PRM\|1\|D)|(kpr)|(kdp)|(\|lc)|(penalty))" /e /r /s</v>
      </c>
      <c r="AG83" s="1" t="str">
        <f t="shared" si="39"/>
        <v>EC</v>
      </c>
      <c r="AH83" s="86" t="str">
        <f t="shared" si="42"/>
        <v>"%USERPROFILE%\Documents\GitHub\eaglep3\Utilities\RefineRTDCRunTimes.py" --tripid 170-17 --locoid 4028 --swversion DE.1.0.9.0 --startMP 204:232977 --initTime 2017-02-17T13:04:50 --startdatetime 2017-02-17T13:11:16 --delay 1 --endMP 204:158 --enddatetime 2017-02-17T13:49:50 --enforcementcount 0 &gt;&gt;C:\Users\stu\Documents\GitHub\eaglep3-reporting\EC\2017-02-17-refined-times.txt</v>
      </c>
      <c r="AI83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{"issue":{"subject":"","project_id":79,"tracker_id":40,"status_id":1,"priority_id":2,"assigned_to_id":23,"start_date":"2017-02-17","description":"","custom_fields":[{"id":1,"name":"Subdivision","value":"EC"},{"id":4,"name":"Milepost","value":"0.0158"},{"id":17,"name":"Train ID","value":"170-17"},{"id":16,"name":"Locomotive ID","value":"4028"},{"id":130,"name":"Impact","value":""},{"id":150,"name":"Time of Event (Mountain Time)","value":"13:49:50"},{"id":151,"name":"Denver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44"/>
        <v>start /low /b %USERPROFILE%\Documents\GitHub\eaglep3\Utilities\DownloadLogsFromS3.py --loco 4028 --day 2017-02-17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"%USERPROFILE%\AppData\Local\Temp\OnboardLogs"\RTDC4028\*4028*20170217* | grep -SE "(Enforcement Action)|(\[TIMEOUT)|(CHR.+\|PRM\|1\|D.+(SWITCH|SIGNAL).+UNKNOWN)" - &gt;&gt; 2017-02-17-UncaughtWiMAX.txt</v>
      </c>
    </row>
    <row r="84" spans="1:91" s="20" customFormat="1" x14ac:dyDescent="0.25">
      <c r="A84" s="33" t="s">
        <v>559</v>
      </c>
      <c r="B84" s="7">
        <v>4046</v>
      </c>
      <c r="C84" s="21" t="s">
        <v>682</v>
      </c>
      <c r="D84" s="21" t="s">
        <v>285</v>
      </c>
      <c r="E84" s="13">
        <v>42783.515972222223</v>
      </c>
      <c r="F84" s="13">
        <v>42783.520983796298</v>
      </c>
      <c r="G84" s="7">
        <v>1</v>
      </c>
      <c r="H84" s="21" t="s">
        <v>370</v>
      </c>
      <c r="I84" s="13">
        <v>42783.545972222222</v>
      </c>
      <c r="J84" s="7">
        <v>0</v>
      </c>
      <c r="K84" s="98" t="str">
        <f t="shared" si="29"/>
        <v>4045/4046</v>
      </c>
      <c r="L84" s="21" t="str">
        <f>VLOOKUP(A84,'Trips&amp;Operators'!$C$1:$G$99999,5,FALSE)</f>
        <v>BRANNON JEFFREY</v>
      </c>
      <c r="M84" s="6">
        <f t="shared" si="30"/>
        <v>2.4988425924675539E-2</v>
      </c>
      <c r="N84" s="7">
        <f t="shared" si="28"/>
        <v>35.983333331532776</v>
      </c>
      <c r="O84" s="7"/>
      <c r="P84" s="7"/>
      <c r="Q84" s="22"/>
      <c r="R84" s="22"/>
      <c r="S84" s="31">
        <f t="shared" si="31"/>
        <v>1</v>
      </c>
      <c r="T84" s="46" t="str">
        <f t="shared" si="32"/>
        <v>NorthBound</v>
      </c>
      <c r="U84" s="18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7" t="str">
        <f t="shared" si="33"/>
        <v>https://d0f6bd738d7f1b3e5a7ca70fe4ff75f0.us-east-1.aws.found.io/app/kibana#/discover/Steve-Slow-Train-Analysis-(2080s-and-2083s)?_g=(refreshInterval:(display:Off,pause:!f,section:0,value:0),time:(from:'2017-02-17T11:23:00-0700',mode:absolute,to:'2017-02-17T14:06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4" s="188" t="str">
        <f t="shared" si="34"/>
        <v>N</v>
      </c>
      <c r="X84" s="188">
        <f t="shared" si="45"/>
        <v>1</v>
      </c>
      <c r="Y84" s="62">
        <f t="shared" si="40"/>
        <v>4.3999999999999997E-2</v>
      </c>
      <c r="Z84" s="62">
        <f t="shared" si="41"/>
        <v>23.331700000000001</v>
      </c>
      <c r="AA84" s="62">
        <f t="shared" si="35"/>
        <v>23.287700000000001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6"/>
        <v>0171-17</v>
      </c>
      <c r="AE84" s="85" t="str">
        <f t="shared" si="37"/>
        <v>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 &amp; aws s3 cp s3://rtdc.mdm.uploadarchive.raw/RTDC4046/ "%USERPROFILE%\AppData\Local\Temp\OnboardLogs"\RTDC4046\2017-02-18 --exclude "*" --recursive --include "*20170218*" &amp; "%USERPROFILE%\Documents\GitHub\mrs-test-scripts\Headless Mode &amp; Sideloading\WalkAndUnGZ.bat" "%USERPROFILE%\AppData\Local\Temp\OnboardLogs"\RTDC4046\2017-02-18</v>
      </c>
      <c r="AF84" s="82" t="str">
        <f t="shared" si="38"/>
        <v>"C:\Program Files (x86)\AstroGrep\AstroGrep.exe" /spath="%USERPROFILE%\AppData\Local\Temp\OnboardLogs" /stypes="app*4046*20170217*" /stext=" 20:.+((SYSTEM_STATE.+slice.+state.+changed )|(ment ac)|(multiple cpu faults)|(system.+state.+changed )|(\[timeout)|(PRM\|1\|D)|(kpr)|(kdp)|(\|lc)|(penalty))" /e /r /s</v>
      </c>
      <c r="AG84" s="1" t="str">
        <f t="shared" si="39"/>
        <v>EC</v>
      </c>
      <c r="AH84" s="86" t="str">
        <f t="shared" si="42"/>
        <v>"%USERPROFILE%\Documents\GitHub\eaglep3\Utilities\RefineRTDCRunTimes.py" --tripid 171-17 --locoid 4046 --swversion DE.1.0.9.0 --startMP 204:440 --initTime 2017-02-17T12:23:00 --startdatetime 2017-02-17T12:30:13 --delay 1 --endMP 204:233317 --enddatetime 2017-02-17T13:06:12 --enforcementcount 0 &gt;&gt;C:\Users\stu\Documents\GitHub\eaglep3-reporting\EC\2017-02-17-refined-times.txt</v>
      </c>
      <c r="AI84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{"issue":{"subject":"","project_id":79,"tracker_id":40,"status_id":1,"priority_id":2,"assigned_to_id":23,"start_date":"2017-02-17","description":"","custom_fields":[{"id":1,"name":"Subdivision","value":"EC"},{"id":4,"name":"Milepost","value":"23.3317"},{"id":17,"name":"Train ID","value":"171-17"},{"id":16,"name":"Locomotive ID","value":"4046"},{"id":130,"name":"Impact","value":""},{"id":150,"name":"Time of Event (Mountain Time)","value":"13:06:12"},{"id":151,"name":"Denver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44"/>
        <v>start /low /b %USERPROFILE%\Documents\GitHub\eaglep3\Utilities\DownloadLogsFromS3.py --loco 4046 --day 2017-02-17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"%USERPROFILE%\AppData\Local\Temp\OnboardLogs"\RTDC4046\*4046*20170217* | grep -SE "(Enforcement Action)|(\[TIMEOUT)|(CHR.+\|PRM\|1\|D.+(SWITCH|SIGNAL).+UNKNOWN)" - &gt;&gt; 2017-02-17-UncaughtWiMAX.txt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570</v>
      </c>
      <c r="B85" s="7">
        <v>4045</v>
      </c>
      <c r="C85" s="21" t="s">
        <v>682</v>
      </c>
      <c r="D85" s="21" t="s">
        <v>298</v>
      </c>
      <c r="E85" s="13">
        <v>42783.555243055554</v>
      </c>
      <c r="F85" s="13">
        <v>42783.559884259259</v>
      </c>
      <c r="G85" s="7">
        <v>1</v>
      </c>
      <c r="H85" s="21" t="s">
        <v>265</v>
      </c>
      <c r="I85" s="13">
        <v>42783.586122685185</v>
      </c>
      <c r="J85" s="7">
        <v>0</v>
      </c>
      <c r="K85" s="98" t="str">
        <f t="shared" si="29"/>
        <v>4045/4046</v>
      </c>
      <c r="L85" s="21" t="str">
        <f>VLOOKUP(A85,'Trips&amp;Operators'!$C$1:$G$99999,5,FALSE)</f>
        <v>BRANNON JEFFREY</v>
      </c>
      <c r="M85" s="6">
        <f t="shared" si="30"/>
        <v>2.6238425925839692E-2</v>
      </c>
      <c r="N85" s="7">
        <f t="shared" si="28"/>
        <v>37.783333333209157</v>
      </c>
      <c r="O85" s="7"/>
      <c r="P85" s="7"/>
      <c r="Q85" s="22"/>
      <c r="R85" s="22"/>
      <c r="S85" s="31">
        <f t="shared" si="31"/>
        <v>1</v>
      </c>
      <c r="T85" s="46" t="str">
        <f t="shared" si="32"/>
        <v>Southbound</v>
      </c>
      <c r="U85" s="18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7" t="str">
        <f t="shared" si="33"/>
        <v>https://d0f6bd738d7f1b3e5a7ca70fe4ff75f0.us-east-1.aws.found.io/app/kibana#/discover/Steve-Slow-Train-Analysis-(2080s-and-2083s)?_g=(refreshInterval:(display:Off,pause:!f,section:0,value:0),time:(from:'2017-02-17T12:19:33-0700',mode:absolute,to:'2017-02-17T15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5" s="188" t="str">
        <f t="shared" si="34"/>
        <v>N</v>
      </c>
      <c r="X85" s="188">
        <f t="shared" si="45"/>
        <v>1</v>
      </c>
      <c r="Y85" s="62">
        <f t="shared" si="40"/>
        <v>23.299800000000001</v>
      </c>
      <c r="Z85" s="62">
        <f t="shared" si="41"/>
        <v>1.3899999999999999E-2</v>
      </c>
      <c r="AA85" s="62">
        <f t="shared" si="35"/>
        <v>23.285900000000002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6"/>
        <v>0172-17</v>
      </c>
      <c r="AE85" s="85" t="str">
        <f t="shared" si="37"/>
        <v>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 &amp; aws s3 cp s3://rtdc.mdm.uploadarchive.raw/RTDC4045/ "%USERPROFILE%\AppData\Local\Temp\OnboardLogs"\RTDC4045\2017-02-18 --exclude "*" --recursive --include "*20170218*" &amp; "%USERPROFILE%\Documents\GitHub\mrs-test-scripts\Headless Mode &amp; Sideloading\WalkAndUnGZ.bat" "%USERPROFILE%\AppData\Local\Temp\OnboardLogs"\RTDC4045\2017-02-18</v>
      </c>
      <c r="AF85" s="82" t="str">
        <f t="shared" si="38"/>
        <v>"C:\Program Files (x86)\AstroGrep\AstroGrep.exe" /spath="%USERPROFILE%\AppData\Local\Temp\OnboardLogs" /stypes="app*4045*20170217*" /stext=" 21:.+((SYSTEM_STATE.+slice.+state.+changed )|(ment ac)|(multiple cpu faults)|(system.+state.+changed )|(\[timeout)|(PRM\|1\|D)|(kpr)|(kdp)|(\|lc)|(penalty))" /e /r /s</v>
      </c>
      <c r="AG85" s="1" t="str">
        <f t="shared" si="39"/>
        <v>EC</v>
      </c>
      <c r="AH85" s="86" t="str">
        <f t="shared" si="42"/>
        <v>"%USERPROFILE%\Documents\GitHub\eaglep3\Utilities\RefineRTDCRunTimes.py" --tripid 172-17 --locoid 4045 --swversion DE.1.0.9.0 --startMP 204:232998 --initTime 2017-02-17T13:19:33 --startdatetime 2017-02-17T13:26:14 --delay 1 --endMP 204:139 --enddatetime 2017-02-17T14:04:01 --enforcementcount 0 &gt;&gt;C:\Users\stu\Documents\GitHub\eaglep3-reporting\EC\2017-02-17-refined-times.txt</v>
      </c>
      <c r="AI85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{"issue":{"subject":"","project_id":79,"tracker_id":40,"status_id":1,"priority_id":2,"assigned_to_id":23,"start_date":"2017-02-17","description":"","custom_fields":[{"id":1,"name":"Subdivision","value":"EC"},{"id":4,"name":"Milepost","value":"0.0139"},{"id":17,"name":"Train ID","value":"172-17"},{"id":16,"name":"Locomotive ID","value":"4045"},{"id":130,"name":"Impact","value":""},{"id":150,"name":"Time of Event (Mountain Time)","value":"14:04:01"},{"id":151,"name":"Denver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44"/>
        <v>start /low /b %USERPROFILE%\Documents\GitHub\eaglep3\Utilities\DownloadLogsFromS3.py --loco 4045 --day 2017-02-17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"%USERPROFILE%\AppData\Local\Temp\OnboardLogs"\RTDC4045\*4045*20170217* | grep -SE "(Enforcement Action)|(\[TIMEOUT)|(CHR.+\|PRM\|1\|D.+(SWITCH|SIGNAL).+UNKNOWN)" - &gt;&gt; 2017-02-17-UncaughtWiMAX.txt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562</v>
      </c>
      <c r="B86" s="7">
        <v>4018</v>
      </c>
      <c r="C86" s="21" t="s">
        <v>682</v>
      </c>
      <c r="D86" s="21" t="s">
        <v>231</v>
      </c>
      <c r="E86" s="13">
        <v>42783.52784722222</v>
      </c>
      <c r="F86" s="13">
        <v>42783.531747685185</v>
      </c>
      <c r="G86" s="7">
        <v>1</v>
      </c>
      <c r="H86" s="21" t="s">
        <v>723</v>
      </c>
      <c r="I86" s="13">
        <v>42783.555694444447</v>
      </c>
      <c r="J86" s="7">
        <v>0</v>
      </c>
      <c r="K86" s="98" t="str">
        <f t="shared" si="29"/>
        <v>4017/4018</v>
      </c>
      <c r="L86" s="21" t="str">
        <f>VLOOKUP(A86,'Trips&amp;Operators'!$C$1:$G$99999,5,FALSE)</f>
        <v>STEWART MICHAEL</v>
      </c>
      <c r="M86" s="6">
        <f t="shared" si="30"/>
        <v>2.3946759261889383E-2</v>
      </c>
      <c r="N86" s="7">
        <f t="shared" si="28"/>
        <v>34.483333337120712</v>
      </c>
      <c r="O86" s="7"/>
      <c r="P86" s="7"/>
      <c r="Q86" s="22"/>
      <c r="R86" s="22"/>
      <c r="S86" s="31">
        <f t="shared" si="31"/>
        <v>1</v>
      </c>
      <c r="T86" s="46" t="str">
        <f t="shared" si="32"/>
        <v>NorthBound</v>
      </c>
      <c r="U86" s="18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7" t="str">
        <f t="shared" si="33"/>
        <v>https://d0f6bd738d7f1b3e5a7ca70fe4ff75f0.us-east-1.aws.found.io/app/kibana#/discover/Steve-Slow-Train-Analysis-(2080s-and-2083s)?_g=(refreshInterval:(display:Off,pause:!f,section:0,value:0),time:(from:'2017-02-17T11:40:06-0700',mode:absolute,to:'2017-02-17T14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6" s="188" t="str">
        <f t="shared" si="34"/>
        <v>N</v>
      </c>
      <c r="X86" s="188">
        <f t="shared" si="45"/>
        <v>1</v>
      </c>
      <c r="Y86" s="62">
        <f t="shared" si="40"/>
        <v>4.5699999999999998E-2</v>
      </c>
      <c r="Z86" s="62">
        <f t="shared" si="41"/>
        <v>23.332000000000001</v>
      </c>
      <c r="AA86" s="62">
        <f t="shared" si="35"/>
        <v>23.286300000000001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6"/>
        <v>0173-17</v>
      </c>
      <c r="AE86" s="85" t="str">
        <f t="shared" si="37"/>
        <v>aws s3 cp s3://rtdc.mdm.uploadarchive.raw/RTDC4018/ "%USERPROFILE%\AppData\Local\Temp\OnboardLogs"\RTDC4018\2017-02-17 --exclude "*" --recursive --include "*20170217*" &amp; "%USERPROFILE%\Documents\GitHub\mrs-test-scripts\Headless Mode &amp; Sideloading\WalkAndUnGZ.bat" "%USERPROFILE%\AppData\Local\Temp\OnboardLogs"\RTDC4018\2017-02-17 &amp; 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</v>
      </c>
      <c r="AF86" s="82" t="str">
        <f t="shared" si="38"/>
        <v>"C:\Program Files (x86)\AstroGrep\AstroGrep.exe" /spath="%USERPROFILE%\AppData\Local\Temp\OnboardLogs" /stypes="app*4018*20170217*" /stext=" 20:.+((SYSTEM_STATE.+slice.+state.+changed )|(ment ac)|(multiple cpu faults)|(system.+state.+changed )|(\[timeout)|(PRM\|1\|D)|(kpr)|(kdp)|(\|lc)|(penalty))" /e /r /s</v>
      </c>
      <c r="AG86" s="1" t="str">
        <f t="shared" si="39"/>
        <v>EC</v>
      </c>
      <c r="AH86" s="86" t="str">
        <f t="shared" si="42"/>
        <v>"%USERPROFILE%\Documents\GitHub\eaglep3\Utilities\RefineRTDCRunTimes.py" --tripid 173-17 --locoid 4018 --swversion DE.1.0.9.0 --startMP 204:457 --initTime 2017-02-17T12:40:06 --startdatetime 2017-02-17T12:45:43 --delay 1 --endMP 204:233320 --enddatetime 2017-02-17T13:20:12 --enforcementcount 0 &gt;&gt;C:\Users\stu\Documents\GitHub\eaglep3-reporting\EC\2017-02-17-refined-times.txt</v>
      </c>
      <c r="AI86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{"issue":{"subject":"","project_id":79,"tracker_id":40,"status_id":1,"priority_id":2,"assigned_to_id":23,"start_date":"2017-02-17","description":"","custom_fields":[{"id":1,"name":"Subdivision","value":"EC"},{"id":4,"name":"Milepost","value":"23.332"},{"id":17,"name":"Train ID","value":"173-17"},{"id":16,"name":"Locomotive ID","value":"4018"},{"id":130,"name":"Impact","value":""},{"id":150,"name":"Time of Event (Mountain Time)","value":"13:20:12"},{"id":151,"name":"Denver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44"/>
        <v>start /low /b %USERPROFILE%\Documents\GitHub\eaglep3\Utilities\DownloadLogsFromS3.py --loco 4018 --day 2017-02-17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"%USERPROFILE%\AppData\Local\Temp\OnboardLogs"\RTDC4018\*4018*20170217* | grep -SE "(Enforcement Action)|(\[TIMEOUT)|(CHR.+\|PRM\|1\|D.+(SWITCH|SIGNAL).+UNKNOWN)" - &gt;&gt; 2017-02-17-UncaughtWiMAX.txt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572</v>
      </c>
      <c r="B87" s="7">
        <v>4017</v>
      </c>
      <c r="C87" s="21" t="s">
        <v>682</v>
      </c>
      <c r="D87" s="21" t="s">
        <v>709</v>
      </c>
      <c r="E87" s="13">
        <v>42783.565613425926</v>
      </c>
      <c r="F87" s="13">
        <v>42783.570381944446</v>
      </c>
      <c r="G87" s="7">
        <v>2</v>
      </c>
      <c r="H87" s="21" t="s">
        <v>204</v>
      </c>
      <c r="I87" s="13">
        <v>42783.596851851849</v>
      </c>
      <c r="J87" s="7">
        <v>0</v>
      </c>
      <c r="K87" s="98" t="str">
        <f t="shared" si="29"/>
        <v>4017/4018</v>
      </c>
      <c r="L87" s="21" t="str">
        <f>VLOOKUP(A87,'Trips&amp;Operators'!$C$1:$G$99999,5,FALSE)</f>
        <v>STEWART MICHAEL</v>
      </c>
      <c r="M87" s="6">
        <f t="shared" si="30"/>
        <v>2.6469907403225079E-2</v>
      </c>
      <c r="N87" s="7">
        <f t="shared" si="28"/>
        <v>38.116666660644114</v>
      </c>
      <c r="O87" s="7"/>
      <c r="P87" s="7"/>
      <c r="Q87" s="22"/>
      <c r="R87" s="22"/>
      <c r="S87" s="31">
        <f t="shared" si="31"/>
        <v>1</v>
      </c>
      <c r="T87" s="46" t="str">
        <f t="shared" si="32"/>
        <v>Southbound</v>
      </c>
      <c r="U87" s="18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7" t="str">
        <f t="shared" si="33"/>
        <v>https://d0f6bd738d7f1b3e5a7ca70fe4ff75f0.us-east-1.aws.found.io/app/kibana#/discover/Steve-Slow-Train-Analysis-(2080s-and-2083s)?_g=(refreshInterval:(display:Off,pause:!f,section:0,value:0),time:(from:'2017-02-17T12:34:29-0700',mode:absolute,to:'2017-02-17T15:19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7" s="188" t="str">
        <f t="shared" si="34"/>
        <v>N</v>
      </c>
      <c r="X87" s="188">
        <f t="shared" si="45"/>
        <v>1</v>
      </c>
      <c r="Y87" s="62">
        <f t="shared" si="40"/>
        <v>23.298999999999999</v>
      </c>
      <c r="Z87" s="62">
        <f t="shared" si="41"/>
        <v>1.6E-2</v>
      </c>
      <c r="AA87" s="62">
        <f t="shared" si="35"/>
        <v>23.283000000000001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6"/>
        <v>0174-17</v>
      </c>
      <c r="AE87" s="85" t="str">
        <f t="shared" si="37"/>
        <v>aws s3 cp s3://rtdc.mdm.uploadarchive.raw/RTDC4017/ "%USERPROFILE%\AppData\Local\Temp\OnboardLogs"\RTDC4017\2017-02-17 --exclude "*" --recursive --include "*20170217*" &amp; "%USERPROFILE%\Documents\GitHub\mrs-test-scripts\Headless Mode &amp; Sideloading\WalkAndUnGZ.bat" "%USERPROFILE%\AppData\Local\Temp\OnboardLogs"\RTDC4017\2017-02-17 &amp; 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</v>
      </c>
      <c r="AF87" s="82" t="str">
        <f t="shared" si="38"/>
        <v>"C:\Program Files (x86)\AstroGrep\AstroGrep.exe" /spath="%USERPROFILE%\AppData\Local\Temp\OnboardLogs" /stypes="app*4017*20170217*" /stext=" 21:.+((SYSTEM_STATE.+slice.+state.+changed )|(ment ac)|(multiple cpu faults)|(system.+state.+changed )|(\[timeout)|(PRM\|1\|D)|(kpr)|(kdp)|(\|lc)|(penalty))" /e /r /s</v>
      </c>
      <c r="AG87" s="1" t="str">
        <f t="shared" si="39"/>
        <v>EC</v>
      </c>
      <c r="AH87" s="86" t="str">
        <f t="shared" si="42"/>
        <v>"%USERPROFILE%\Documents\GitHub\eaglep3\Utilities\RefineRTDCRunTimes.py" --tripid 174-17 --locoid 4017 --swversion DE.1.0.9.0 --startMP 204:232990 --initTime 2017-02-17T13:34:29 --startdatetime 2017-02-17T13:41:21 --delay 2 --endMP 204:160 --enddatetime 2017-02-17T14:19:28 --enforcementcount 0 &gt;&gt;C:\Users\stu\Documents\GitHub\eaglep3-reporting\EC\2017-02-17-refined-times.txt</v>
      </c>
      <c r="AI87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{"issue":{"subject":"","project_id":79,"tracker_id":40,"status_id":1,"priority_id":2,"assigned_to_id":23,"start_date":"2017-02-17","description":"","custom_fields":[{"id":1,"name":"Subdivision","value":"EC"},{"id":4,"name":"Milepost","value":"0.016"},{"id":17,"name":"Train ID","value":"174-17"},{"id":16,"name":"Locomotive ID","value":"4017"},{"id":130,"name":"Impact","value":""},{"id":150,"name":"Time of Event (Mountain Time)","value":"14:19:28"},{"id":151,"name":"Denver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44"/>
        <v>start /low /b %USERPROFILE%\Documents\GitHub\eaglep3\Utilities\DownloadLogsFromS3.py --loco 4017 --day 2017-02-17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"%USERPROFILE%\AppData\Local\Temp\OnboardLogs"\RTDC4017\*4017*20170217* | grep -SE "(Enforcement Action)|(\[TIMEOUT)|(CHR.+\|PRM\|1\|D.+(SWITCH|SIGNAL).+UNKNOWN)" - &gt;&gt; 2017-02-17-UncaughtWiMAX.txt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563</v>
      </c>
      <c r="B88" s="7">
        <v>4029</v>
      </c>
      <c r="C88" s="21" t="s">
        <v>682</v>
      </c>
      <c r="D88" s="21" t="s">
        <v>408</v>
      </c>
      <c r="E88" s="13">
        <v>42783.535428240742</v>
      </c>
      <c r="F88" s="13">
        <v>42783.541851851849</v>
      </c>
      <c r="G88" s="7">
        <v>1</v>
      </c>
      <c r="H88" s="21" t="s">
        <v>724</v>
      </c>
      <c r="I88" s="13">
        <v>42783.567708333336</v>
      </c>
      <c r="J88" s="7">
        <v>0</v>
      </c>
      <c r="K88" s="98" t="str">
        <f t="shared" si="29"/>
        <v>4029/4030</v>
      </c>
      <c r="L88" s="21" t="str">
        <f>VLOOKUP(A88,'Trips&amp;Operators'!$C$1:$G$99999,5,FALSE)</f>
        <v>DELGADO DIANAH</v>
      </c>
      <c r="M88" s="6">
        <f t="shared" si="30"/>
        <v>2.5856481486698613E-2</v>
      </c>
      <c r="N88" s="7">
        <f t="shared" si="28"/>
        <v>37.233333340846002</v>
      </c>
      <c r="O88" s="7"/>
      <c r="P88" s="7"/>
      <c r="Q88" s="22"/>
      <c r="R88" s="22"/>
      <c r="S88" s="31">
        <f t="shared" si="31"/>
        <v>1</v>
      </c>
      <c r="T88" s="46" t="str">
        <f t="shared" si="32"/>
        <v>NorthBound</v>
      </c>
      <c r="U88" s="18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7" t="str">
        <f t="shared" si="33"/>
        <v>https://d0f6bd738d7f1b3e5a7ca70fe4ff75f0.us-east-1.aws.found.io/app/kibana#/discover/Steve-Slow-Train-Analysis-(2080s-and-2083s)?_g=(refreshInterval:(display:Off,pause:!f,section:0,value:0),time:(from:'2017-02-17T11:51:01-0700',mode:absolute,to:'2017-02-17T14:37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8" s="188" t="str">
        <f t="shared" si="34"/>
        <v>N</v>
      </c>
      <c r="X88" s="188">
        <f t="shared" si="45"/>
        <v>1</v>
      </c>
      <c r="Y88" s="62">
        <f t="shared" si="40"/>
        <v>4.4699999999999997E-2</v>
      </c>
      <c r="Z88" s="62">
        <f t="shared" si="41"/>
        <v>23.332899999999999</v>
      </c>
      <c r="AA88" s="62">
        <f t="shared" si="35"/>
        <v>23.2882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6"/>
        <v>0175-17</v>
      </c>
      <c r="AE88" s="85" t="str">
        <f t="shared" si="37"/>
        <v>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 &amp; 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</v>
      </c>
      <c r="AF88" s="82" t="str">
        <f t="shared" si="38"/>
        <v>"C:\Program Files (x86)\AstroGrep\AstroGrep.exe" /spath="%USERPROFILE%\AppData\Local\Temp\OnboardLogs" /stypes="app*4029*20170217*" /stext=" 20:.+((SYSTEM_STATE.+slice.+state.+changed )|(ment ac)|(multiple cpu faults)|(system.+state.+changed )|(\[timeout)|(PRM\|1\|D)|(kpr)|(kdp)|(\|lc)|(penalty))" /e /r /s</v>
      </c>
      <c r="AG88" s="1" t="str">
        <f t="shared" si="39"/>
        <v>EC</v>
      </c>
      <c r="AH88" s="86" t="str">
        <f t="shared" si="42"/>
        <v>"%USERPROFILE%\Documents\GitHub\eaglep3\Utilities\RefineRTDCRunTimes.py" --tripid 175-17 --locoid 4029 --swversion DE.1.0.9.0 --startMP 204:447 --initTime 2017-02-17T12:51:01 --startdatetime 2017-02-17T13:00:16 --delay 1 --endMP 204:233329 --enddatetime 2017-02-17T13:37:30 --enforcementcount 0 &gt;&gt;C:\Users\stu\Documents\GitHub\eaglep3-reporting\EC\2017-02-17-refined-times.txt</v>
      </c>
      <c r="AI88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{"issue":{"subject":"","project_id":79,"tracker_id":40,"status_id":1,"priority_id":2,"assigned_to_id":23,"start_date":"2017-02-17","description":"","custom_fields":[{"id":1,"name":"Subdivision","value":"EC"},{"id":4,"name":"Milepost","value":"23.3329"},{"id":17,"name":"Train ID","value":"175-17"},{"id":16,"name":"Locomotive ID","value":"4029"},{"id":130,"name":"Impact","value":""},{"id":150,"name":"Time of Event (Mountain Time)","value":"13:37:30"},{"id":151,"name":"Denver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44"/>
        <v>start /low /b %USERPROFILE%\Documents\GitHub\eaglep3\Utilities\DownloadLogsFromS3.py --loco 4029 --day 2017-02-17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"%USERPROFILE%\AppData\Local\Temp\OnboardLogs"\RTDC4029\*4029*20170217* | grep -SE "(Enforcement Action)|(\[TIMEOUT)|(CHR.+\|PRM\|1\|D.+(SWITCH|SIGNAL).+UNKNOWN)" - &gt;&gt; 2017-02-17-UncaughtWiMAX.txt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576</v>
      </c>
      <c r="B89" s="7">
        <v>4030</v>
      </c>
      <c r="C89" s="21" t="s">
        <v>682</v>
      </c>
      <c r="D89" s="21" t="s">
        <v>725</v>
      </c>
      <c r="E89" s="13">
        <v>42783.570416666669</v>
      </c>
      <c r="F89" s="13">
        <v>42783.580787037034</v>
      </c>
      <c r="G89" s="7">
        <v>1</v>
      </c>
      <c r="H89" s="21" t="s">
        <v>209</v>
      </c>
      <c r="I89" s="13">
        <v>42783.606979166667</v>
      </c>
      <c r="J89" s="7">
        <v>0</v>
      </c>
      <c r="K89" s="98" t="str">
        <f t="shared" si="29"/>
        <v>4029/4030</v>
      </c>
      <c r="L89" s="21" t="str">
        <f>VLOOKUP(A89,'Trips&amp;Operators'!$C$1:$G$99999,5,FALSE)</f>
        <v>DELGADO DIANAH</v>
      </c>
      <c r="M89" s="6">
        <f t="shared" si="30"/>
        <v>2.6192129633272998E-2</v>
      </c>
      <c r="N89" s="7">
        <f t="shared" si="28"/>
        <v>37.716666671913117</v>
      </c>
      <c r="O89" s="7"/>
      <c r="P89" s="7"/>
      <c r="Q89" s="22"/>
      <c r="R89" s="22"/>
      <c r="S89" s="31">
        <f t="shared" si="31"/>
        <v>1</v>
      </c>
      <c r="T89" s="46" t="str">
        <f t="shared" si="32"/>
        <v>Southbound</v>
      </c>
      <c r="U89" s="18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7" t="str">
        <f t="shared" si="33"/>
        <v>https://d0f6bd738d7f1b3e5a7ca70fe4ff75f0.us-east-1.aws.found.io/app/kibana#/discover/Steve-Slow-Train-Analysis-(2080s-and-2083s)?_g=(refreshInterval:(display:Off,pause:!f,section:0,value:0),time:(from:'2017-02-17T12:41:24-0700',mode:absolute,to:'2017-02-17T15:34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9" s="188" t="str">
        <f t="shared" si="34"/>
        <v>N</v>
      </c>
      <c r="X89" s="188">
        <f t="shared" si="45"/>
        <v>1</v>
      </c>
      <c r="Y89" s="62">
        <f t="shared" si="40"/>
        <v>23.3002</v>
      </c>
      <c r="Z89" s="62">
        <f t="shared" si="41"/>
        <v>1.5800000000000002E-2</v>
      </c>
      <c r="AA89" s="62">
        <f t="shared" si="35"/>
        <v>23.284400000000002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6"/>
        <v>0176-17</v>
      </c>
      <c r="AE89" s="85" t="str">
        <f t="shared" si="37"/>
        <v>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 &amp; 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</v>
      </c>
      <c r="AF89" s="82" t="str">
        <f t="shared" si="38"/>
        <v>"C:\Program Files (x86)\AstroGrep\AstroGrep.exe" /spath="%USERPROFILE%\AppData\Local\Temp\OnboardLogs" /stypes="app*4030*20170217*" /stext=" 21:.+((SYSTEM_STATE.+slice.+state.+changed )|(ment ac)|(multiple cpu faults)|(system.+state.+changed )|(\[timeout)|(PRM\|1\|D)|(kpr)|(kdp)|(\|lc)|(penalty))" /e /r /s</v>
      </c>
      <c r="AG89" s="1" t="str">
        <f t="shared" si="39"/>
        <v>EC</v>
      </c>
      <c r="AH89" s="86" t="str">
        <f t="shared" si="42"/>
        <v>"%USERPROFILE%\Documents\GitHub\eaglep3\Utilities\RefineRTDCRunTimes.py" --tripid 176-17 --locoid 4030 --swversion DE.1.0.9.0 --startMP 204:233002 --initTime 2017-02-17T13:41:24 --startdatetime 2017-02-17T13:56:20 --delay 1 --endMP 204:158 --enddatetime 2017-02-17T14:34:03 --enforcementcount 0 &gt;&gt;C:\Users\stu\Documents\GitHub\eaglep3-reporting\EC\2017-02-17-refined-times.txt</v>
      </c>
      <c r="AI89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{"issue":{"subject":"","project_id":79,"tracker_id":40,"status_id":1,"priority_id":2,"assigned_to_id":23,"start_date":"2017-02-17","description":"","custom_fields":[{"id":1,"name":"Subdivision","value":"EC"},{"id":4,"name":"Milepost","value":"0.0158"},{"id":17,"name":"Train ID","value":"176-17"},{"id":16,"name":"Locomotive ID","value":"4030"},{"id":130,"name":"Impact","value":""},{"id":150,"name":"Time of Event (Mountain Time)","value":"14:34:03"},{"id":151,"name":"Denver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44"/>
        <v>start /low /b %USERPROFILE%\Documents\GitHub\eaglep3\Utilities\DownloadLogsFromS3.py --loco 4030 --day 2017-02-17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"%USERPROFILE%\AppData\Local\Temp\OnboardLogs"\RTDC4030\*4030*20170217* | grep -SE "(Enforcement Action)|(\[TIMEOUT)|(CHR.+\|PRM\|1\|D.+(SWITCH|SIGNAL).+UNKNOWN)" - &gt;&gt; 2017-02-17-UncaughtWiMAX.txt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569</v>
      </c>
      <c r="B90" s="7">
        <v>4025</v>
      </c>
      <c r="C90" s="21" t="s">
        <v>682</v>
      </c>
      <c r="D90" s="21" t="s">
        <v>321</v>
      </c>
      <c r="E90" s="13">
        <v>42783.547627314816</v>
      </c>
      <c r="F90" s="13">
        <v>42783.552256944444</v>
      </c>
      <c r="G90" s="7">
        <v>1</v>
      </c>
      <c r="H90" s="21" t="s">
        <v>323</v>
      </c>
      <c r="I90" s="13">
        <v>42783.577951388892</v>
      </c>
      <c r="J90" s="7">
        <v>0</v>
      </c>
      <c r="K90" s="98" t="str">
        <f t="shared" si="29"/>
        <v>4025/4026</v>
      </c>
      <c r="L90" s="21" t="str">
        <f>VLOOKUP(A90,'Trips&amp;Operators'!$C$1:$G$99999,5,FALSE)</f>
        <v>CLARK KATHLEEN</v>
      </c>
      <c r="M90" s="6">
        <f t="shared" si="30"/>
        <v>2.5694444448163267E-2</v>
      </c>
      <c r="N90" s="7">
        <f t="shared" si="28"/>
        <v>37.000000005355105</v>
      </c>
      <c r="O90" s="7"/>
      <c r="P90" s="7"/>
      <c r="Q90" s="22"/>
      <c r="R90" s="22"/>
      <c r="S90" s="31">
        <f t="shared" si="31"/>
        <v>1</v>
      </c>
      <c r="T90" s="46" t="str">
        <f t="shared" si="32"/>
        <v>NorthBound</v>
      </c>
      <c r="U90" s="18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7" t="str">
        <f t="shared" si="33"/>
        <v>https://d0f6bd738d7f1b3e5a7ca70fe4ff75f0.us-east-1.aws.found.io/app/kibana#/discover/Steve-Slow-Train-Analysis-(2080s-and-2083s)?_g=(refreshInterval:(display:Off,pause:!f,section:0,value:0),time:(from:'2017-02-17T12:08:35-0700',mode:absolute,to:'2017-02-17T14:52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0" s="188" t="str">
        <f t="shared" si="34"/>
        <v>N</v>
      </c>
      <c r="X90" s="188">
        <f t="shared" si="45"/>
        <v>1</v>
      </c>
      <c r="Y90" s="62">
        <f t="shared" si="40"/>
        <v>4.7100000000000003E-2</v>
      </c>
      <c r="Z90" s="62">
        <f t="shared" si="41"/>
        <v>23.326799999999999</v>
      </c>
      <c r="AA90" s="62">
        <f t="shared" si="35"/>
        <v>23.279699999999998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6"/>
        <v>0177-17</v>
      </c>
      <c r="AE90" s="85" t="str">
        <f t="shared" si="37"/>
        <v>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 &amp; aws s3 cp s3://rtdc.mdm.uploadarchive.raw/RTDC4025/ "%USERPROFILE%\AppData\Local\Temp\OnboardLogs"\RTDC4025\2017-02-18 --exclude "*" --recursive --include "*20170218*" &amp; "%USERPROFILE%\Documents\GitHub\mrs-test-scripts\Headless Mode &amp; Sideloading\WalkAndUnGZ.bat" "%USERPROFILE%\AppData\Local\Temp\OnboardLogs"\RTDC4025\2017-02-18</v>
      </c>
      <c r="AF90" s="82" t="str">
        <f t="shared" si="38"/>
        <v>"C:\Program Files (x86)\AstroGrep\AstroGrep.exe" /spath="%USERPROFILE%\AppData\Local\Temp\OnboardLogs" /stypes="app*4025*20170217*" /stext=" 20:.+((SYSTEM_STATE.+slice.+state.+changed )|(ment ac)|(multiple cpu faults)|(system.+state.+changed )|(\[timeout)|(PRM\|1\|D)|(kpr)|(kdp)|(\|lc)|(penalty))" /e /r /s</v>
      </c>
      <c r="AG90" s="1" t="str">
        <f t="shared" si="39"/>
        <v>EC</v>
      </c>
      <c r="AH90" s="86" t="str">
        <f t="shared" si="42"/>
        <v>"%USERPROFILE%\Documents\GitHub\eaglep3\Utilities\RefineRTDCRunTimes.py" --tripid 177-17 --locoid 4025 --swversion DE.1.0.9.0 --startMP 204:471 --initTime 2017-02-17T13:08:35 --startdatetime 2017-02-17T13:15:15 --delay 1 --endMP 204:233268 --enddatetime 2017-02-17T13:52:15 --enforcementcount 0 &gt;&gt;C:\Users\stu\Documents\GitHub\eaglep3-reporting\EC\2017-02-17-refined-times.txt</v>
      </c>
      <c r="AI90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{"issue":{"subject":"","project_id":79,"tracker_id":40,"status_id":1,"priority_id":2,"assigned_to_id":23,"start_date":"2017-02-17","description":"","custom_fields":[{"id":1,"name":"Subdivision","value":"EC"},{"id":4,"name":"Milepost","value":"23.3268"},{"id":17,"name":"Train ID","value":"177-17"},{"id":16,"name":"Locomotive ID","value":"4025"},{"id":130,"name":"Impact","value":""},{"id":150,"name":"Time of Event (Mountain Time)","value":"13:52:15"},{"id":151,"name":"Denver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44"/>
        <v>start /low /b %USERPROFILE%\Documents\GitHub\eaglep3\Utilities\DownloadLogsFromS3.py --loco 4025 --day 2017-02-17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"%USERPROFILE%\AppData\Local\Temp\OnboardLogs"\RTDC4025\*4025*20170217* | grep -SE "(Enforcement Action)|(\[TIMEOUT)|(CHR.+\|PRM\|1\|D.+(SWITCH|SIGNAL).+UNKNOWN)" - &gt;&gt; 2017-02-17-UncaughtWiMAX.txt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3" t="s">
        <v>578</v>
      </c>
      <c r="B91" s="7">
        <v>4026</v>
      </c>
      <c r="C91" s="21" t="s">
        <v>682</v>
      </c>
      <c r="D91" s="21" t="s">
        <v>726</v>
      </c>
      <c r="E91" s="13">
        <v>42783.586168981485</v>
      </c>
      <c r="F91" s="13">
        <v>42783.591180555559</v>
      </c>
      <c r="G91" s="7">
        <v>1</v>
      </c>
      <c r="H91" s="21" t="s">
        <v>303</v>
      </c>
      <c r="I91" s="13">
        <v>42783.619305555556</v>
      </c>
      <c r="J91" s="7">
        <v>0</v>
      </c>
      <c r="K91" s="98" t="str">
        <f t="shared" si="29"/>
        <v>4025/4026</v>
      </c>
      <c r="L91" s="21" t="str">
        <f>VLOOKUP(A91,'Trips&amp;Operators'!$C$1:$G$99999,5,FALSE)</f>
        <v>CLARK KATHLEEN</v>
      </c>
      <c r="M91" s="6">
        <f t="shared" si="30"/>
        <v>2.8124999997089617E-2</v>
      </c>
      <c r="N91" s="7">
        <f t="shared" si="28"/>
        <v>40.499999995809048</v>
      </c>
      <c r="O91" s="7"/>
      <c r="P91" s="7"/>
      <c r="Q91" s="22"/>
      <c r="R91" s="22"/>
      <c r="S91" s="31">
        <f t="shared" si="31"/>
        <v>1</v>
      </c>
      <c r="T91" s="46" t="str">
        <f t="shared" si="32"/>
        <v>Southbound</v>
      </c>
      <c r="U91" s="18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7" t="str">
        <f t="shared" si="33"/>
        <v>https://d0f6bd738d7f1b3e5a7ca70fe4ff75f0.us-east-1.aws.found.io/app/kibana#/discover/Steve-Slow-Train-Analysis-(2080s-and-2083s)?_g=(refreshInterval:(display:Off,pause:!f,section:0,value:0),time:(from:'2017-02-17T13:04:05-0700',mode:absolute,to:'2017-02-17T15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1" s="188" t="str">
        <f t="shared" si="34"/>
        <v>N</v>
      </c>
      <c r="X91" s="188">
        <f t="shared" si="45"/>
        <v>1</v>
      </c>
      <c r="Y91" s="62">
        <f t="shared" si="40"/>
        <v>23.2957</v>
      </c>
      <c r="Z91" s="62">
        <f t="shared" si="41"/>
        <v>1.7000000000000001E-2</v>
      </c>
      <c r="AA91" s="62">
        <f t="shared" si="35"/>
        <v>23.278700000000001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6"/>
        <v>0178-17</v>
      </c>
      <c r="AE91" s="85" t="str">
        <f t="shared" si="37"/>
        <v>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 &amp; aws s3 cp s3://rtdc.mdm.uploadarchive.raw/RTDC4026/ "%USERPROFILE%\AppData\Local\Temp\OnboardLogs"\RTDC4026\2017-02-18 --exclude "*" --recursive --include "*20170218*" &amp; "%USERPROFILE%\Documents\GitHub\mrs-test-scripts\Headless Mode &amp; Sideloading\WalkAndUnGZ.bat" "%USERPROFILE%\AppData\Local\Temp\OnboardLogs"\RTDC4026\2017-02-18</v>
      </c>
      <c r="AF91" s="82" t="str">
        <f t="shared" si="38"/>
        <v>"C:\Program Files (x86)\AstroGrep\AstroGrep.exe" /spath="%USERPROFILE%\AppData\Local\Temp\OnboardLogs" /stypes="app*4026*20170217*" /stext=" 21:.+((SYSTEM_STATE.+slice.+state.+changed )|(ment ac)|(multiple cpu faults)|(system.+state.+changed )|(\[timeout)|(PRM\|1\|D)|(kpr)|(kdp)|(\|lc)|(penalty))" /e /r /s</v>
      </c>
      <c r="AG91" s="1" t="str">
        <f t="shared" si="39"/>
        <v>EC</v>
      </c>
      <c r="AH91" s="86" t="str">
        <f t="shared" si="42"/>
        <v>"%USERPROFILE%\Documents\GitHub\eaglep3\Utilities\RefineRTDCRunTimes.py" --tripid 178-17 --locoid 4026 --swversion DE.1.0.9.0 --startMP 204:232957 --initTime 2017-02-17T14:04:05 --startdatetime 2017-02-17T14:11:18 --delay 1 --endMP 204:170 --enddatetime 2017-02-17T14:51:48 --enforcementcount 0 &gt;&gt;C:\Users\stu\Documents\GitHub\eaglep3-reporting\EC\2017-02-17-refined-times.txt</v>
      </c>
      <c r="AI91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{"issue":{"subject":"","project_id":79,"tracker_id":40,"status_id":1,"priority_id":2,"assigned_to_id":23,"start_date":"2017-02-17","description":"","custom_fields":[{"id":1,"name":"Subdivision","value":"EC"},{"id":4,"name":"Milepost","value":"0.017"},{"id":17,"name":"Train ID","value":"178-17"},{"id":16,"name":"Locomotive ID","value":"4026"},{"id":130,"name":"Impact","value":""},{"id":150,"name":"Time of Event (Mountain Time)","value":"14:51:48"},{"id":151,"name":"Denver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44"/>
        <v>start /low /b %USERPROFILE%\Documents\GitHub\eaglep3\Utilities\DownloadLogsFromS3.py --loco 4026 --day 2017-02-17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"%USERPROFILE%\AppData\Local\Temp\OnboardLogs"\RTDC4026\*4026*20170217* | grep -SE "(Enforcement Action)|(\[TIMEOUT)|(CHR.+\|PRM\|1\|D.+(SWITCH|SIGNAL).+UNKNOWN)" - &gt;&gt; 2017-02-17-UncaughtWiMAX.txt</v>
      </c>
    </row>
    <row r="92" spans="1:91" s="20" customFormat="1" x14ac:dyDescent="0.25">
      <c r="A92" s="33" t="s">
        <v>571</v>
      </c>
      <c r="B92" s="7">
        <v>4016</v>
      </c>
      <c r="C92" s="21" t="s">
        <v>682</v>
      </c>
      <c r="D92" s="21" t="s">
        <v>727</v>
      </c>
      <c r="E92" s="13">
        <v>42783.557430555556</v>
      </c>
      <c r="F92" s="13">
        <v>42783.562673611108</v>
      </c>
      <c r="G92" s="7">
        <v>1</v>
      </c>
      <c r="H92" s="21" t="s">
        <v>414</v>
      </c>
      <c r="I92" s="13">
        <v>42783.587592592594</v>
      </c>
      <c r="J92" s="7">
        <v>0</v>
      </c>
      <c r="K92" s="98" t="str">
        <f t="shared" si="29"/>
        <v>4015/4016</v>
      </c>
      <c r="L92" s="21" t="str">
        <f>VLOOKUP(A92,'Trips&amp;Operators'!$C$1:$G$99999,5,FALSE)</f>
        <v>BRUDER RICHARD</v>
      </c>
      <c r="M92" s="6">
        <f t="shared" si="30"/>
        <v>2.4918981485825498E-2</v>
      </c>
      <c r="N92" s="7">
        <f t="shared" si="28"/>
        <v>35.883333339588717</v>
      </c>
      <c r="O92" s="7"/>
      <c r="P92" s="7"/>
      <c r="Q92" s="22"/>
      <c r="R92" s="22"/>
      <c r="S92" s="31">
        <f t="shared" si="31"/>
        <v>1</v>
      </c>
      <c r="T92" s="46" t="str">
        <f t="shared" si="32"/>
        <v>NorthBound</v>
      </c>
      <c r="U92" s="18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7" t="str">
        <f t="shared" si="33"/>
        <v>https://d0f6bd738d7f1b3e5a7ca70fe4ff75f0.us-east-1.aws.found.io/app/kibana#/discover/Steve-Slow-Train-Analysis-(2080s-and-2083s)?_g=(refreshInterval:(display:Off,pause:!f,section:0,value:0),time:(from:'2017-02-17T12:22:42-0700',mode:absolute,to:'2017-02-17T15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2" s="188" t="str">
        <f t="shared" si="34"/>
        <v>N</v>
      </c>
      <c r="X92" s="188">
        <f t="shared" si="45"/>
        <v>1</v>
      </c>
      <c r="Y92" s="62">
        <f t="shared" si="40"/>
        <v>4.58E-2</v>
      </c>
      <c r="Z92" s="62">
        <f t="shared" si="41"/>
        <v>23.330400000000001</v>
      </c>
      <c r="AA92" s="62">
        <f t="shared" si="35"/>
        <v>23.284600000000001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6"/>
        <v>0179-17</v>
      </c>
      <c r="AE92" s="85" t="str">
        <f t="shared" si="37"/>
        <v>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 &amp; 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</v>
      </c>
      <c r="AF92" s="82" t="str">
        <f t="shared" si="38"/>
        <v>"C:\Program Files (x86)\AstroGrep\AstroGrep.exe" /spath="%USERPROFILE%\AppData\Local\Temp\OnboardLogs" /stypes="app*4016*20170217*" /stext=" 21:.+((SYSTEM_STATE.+slice.+state.+changed )|(ment ac)|(multiple cpu faults)|(system.+state.+changed )|(\[timeout)|(PRM\|1\|D)|(kpr)|(kdp)|(\|lc)|(penalty))" /e /r /s</v>
      </c>
      <c r="AG92" s="1" t="str">
        <f t="shared" si="39"/>
        <v>EC</v>
      </c>
      <c r="AH92" s="86" t="str">
        <f t="shared" si="42"/>
        <v>"%USERPROFILE%\Documents\GitHub\eaglep3\Utilities\RefineRTDCRunTimes.py" --tripid 179-17 --locoid 4016 --swversion DE.1.0.9.0 --startMP 204:458 --initTime 2017-02-17T13:22:42 --startdatetime 2017-02-17T13:30:15 --delay 1 --endMP 204:233304 --enddatetime 2017-02-17T14:06:08 --enforcementcount 0 &gt;&gt;C:\Users\stu\Documents\GitHub\eaglep3-reporting\EC\2017-02-17-refined-times.txt</v>
      </c>
      <c r="AI92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{"issue":{"subject":"","project_id":79,"tracker_id":40,"status_id":1,"priority_id":2,"assigned_to_id":23,"start_date":"2017-02-17","description":"","custom_fields":[{"id":1,"name":"Subdivision","value":"EC"},{"id":4,"name":"Milepost","value":"23.3304"},{"id":17,"name":"Train ID","value":"179-17"},{"id":16,"name":"Locomotive ID","value":"4016"},{"id":130,"name":"Impact","value":""},{"id":150,"name":"Time of Event (Mountain Time)","value":"14:06:08"},{"id":151,"name":"Denver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44"/>
        <v>start /low /b %USERPROFILE%\Documents\GitHub\eaglep3\Utilities\DownloadLogsFromS3.py --loco 4016 --day 2017-02-17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"%USERPROFILE%\AppData\Local\Temp\OnboardLogs"\RTDC4016\*4016*20170217* | grep -SE "(Enforcement Action)|(\[TIMEOUT)|(CHR.+\|PRM\|1\|D.+(SWITCH|SIGNAL).+UNKNOWN)" - &gt;&gt; 2017-02-17-UncaughtWiMAX.txt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581</v>
      </c>
      <c r="B93" s="7">
        <v>4015</v>
      </c>
      <c r="C93" s="21" t="s">
        <v>682</v>
      </c>
      <c r="D93" s="21" t="s">
        <v>698</v>
      </c>
      <c r="E93" s="13">
        <v>42783.596539351849</v>
      </c>
      <c r="F93" s="13">
        <v>42783.601793981485</v>
      </c>
      <c r="G93" s="7">
        <v>1</v>
      </c>
      <c r="H93" s="21" t="s">
        <v>208</v>
      </c>
      <c r="I93" s="13">
        <v>42783.628136574072</v>
      </c>
      <c r="J93" s="7">
        <v>0</v>
      </c>
      <c r="K93" s="98" t="str">
        <f t="shared" si="29"/>
        <v>4015/4016</v>
      </c>
      <c r="L93" s="21" t="str">
        <f>VLOOKUP(A93,'Trips&amp;Operators'!$C$1:$G$99999,5,FALSE)</f>
        <v>BRUDER RICHARD</v>
      </c>
      <c r="M93" s="6">
        <f t="shared" si="30"/>
        <v>2.6342592587752733E-2</v>
      </c>
      <c r="N93" s="7">
        <f t="shared" si="28"/>
        <v>37.933333326363936</v>
      </c>
      <c r="O93" s="7"/>
      <c r="P93" s="7"/>
      <c r="Q93" s="22"/>
      <c r="R93" s="22"/>
      <c r="S93" s="31">
        <f t="shared" si="31"/>
        <v>1</v>
      </c>
      <c r="T93" s="46" t="str">
        <f t="shared" si="32"/>
        <v>Southbound</v>
      </c>
      <c r="U93" s="18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7" t="str">
        <f t="shared" si="33"/>
        <v>https://d0f6bd738d7f1b3e5a7ca70fe4ff75f0.us-east-1.aws.found.io/app/kibana#/discover/Steve-Slow-Train-Analysis-(2080s-and-2083s)?_g=(refreshInterval:(display:Off,pause:!f,section:0,value:0),time:(from:'2017-02-17T13:19:01-0700',mode:absolute,to:'2017-02-17T16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3" s="188" t="str">
        <f t="shared" si="34"/>
        <v>N</v>
      </c>
      <c r="X93" s="188">
        <f t="shared" si="45"/>
        <v>1</v>
      </c>
      <c r="Y93" s="62">
        <f t="shared" si="40"/>
        <v>23.299399999999999</v>
      </c>
      <c r="Z93" s="62">
        <f t="shared" si="41"/>
        <v>1.52E-2</v>
      </c>
      <c r="AA93" s="62">
        <f t="shared" si="35"/>
        <v>23.284199999999998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6"/>
        <v>0180-17</v>
      </c>
      <c r="AE93" s="85" t="str">
        <f t="shared" si="37"/>
        <v>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 &amp; 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</v>
      </c>
      <c r="AF93" s="82" t="str">
        <f t="shared" si="38"/>
        <v>"C:\Program Files (x86)\AstroGrep\AstroGrep.exe" /spath="%USERPROFILE%\AppData\Local\Temp\OnboardLogs" /stypes="app*4015*20170217*" /stext=" 22:.+((SYSTEM_STATE.+slice.+state.+changed )|(ment ac)|(multiple cpu faults)|(system.+state.+changed )|(\[timeout)|(PRM\|1\|D)|(kpr)|(kdp)|(\|lc)|(penalty))" /e /r /s</v>
      </c>
      <c r="AG93" s="1" t="str">
        <f t="shared" si="39"/>
        <v>EC</v>
      </c>
      <c r="AH93" s="86" t="str">
        <f t="shared" si="42"/>
        <v>"%USERPROFILE%\Documents\GitHub\eaglep3\Utilities\RefineRTDCRunTimes.py" --tripid 180-17 --locoid 4015 --swversion DE.1.0.9.0 --startMP 204:232994 --initTime 2017-02-17T14:19:01 --startdatetime 2017-02-17T14:26:35 --delay 1 --endMP 204:152 --enddatetime 2017-02-17T15:04:31 --enforcementcount 0 &gt;&gt;C:\Users\stu\Documents\GitHub\eaglep3-reporting\EC\2017-02-17-refined-times.txt</v>
      </c>
      <c r="AI93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{"issue":{"subject":"","project_id":79,"tracker_id":40,"status_id":1,"priority_id":2,"assigned_to_id":23,"start_date":"2017-02-17","description":"","custom_fields":[{"id":1,"name":"Subdivision","value":"EC"},{"id":4,"name":"Milepost","value":"0.0152"},{"id":17,"name":"Train ID","value":"180-17"},{"id":16,"name":"Locomotive ID","value":"4015"},{"id":130,"name":"Impact","value":""},{"id":150,"name":"Time of Event (Mountain Time)","value":"15:04:31"},{"id":151,"name":"Denver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44"/>
        <v>start /low /b %USERPROFILE%\Documents\GitHub\eaglep3\Utilities\DownloadLogsFromS3.py --loco 4015 --day 2017-02-17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"%USERPROFILE%\AppData\Local\Temp\OnboardLogs"\RTDC4015\*4015*20170217* | grep -SE "(Enforcement Action)|(\[TIMEOUT)|(CHR.+\|PRM\|1\|D.+(SWITCH|SIGNAL).+UNKNOWN)" - &gt;&gt; 2017-02-17-UncaughtWiMAX.txt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453</v>
      </c>
      <c r="B94" s="7">
        <v>4044</v>
      </c>
      <c r="C94" s="21" t="s">
        <v>682</v>
      </c>
      <c r="D94" s="21" t="s">
        <v>410</v>
      </c>
      <c r="E94" s="13">
        <v>42783.566979166666</v>
      </c>
      <c r="F94" s="13">
        <v>42783.573263888888</v>
      </c>
      <c r="G94" s="7">
        <v>2</v>
      </c>
      <c r="H94" s="21" t="s">
        <v>283</v>
      </c>
      <c r="I94" s="13">
        <v>42783.598298611112</v>
      </c>
      <c r="J94" s="7">
        <v>0</v>
      </c>
      <c r="K94" s="98" t="str">
        <f t="shared" si="29"/>
        <v>4043/4044</v>
      </c>
      <c r="L94" s="21" t="str">
        <f>VLOOKUP(A94,'Trips&amp;Operators'!$C$1:$G$99999,5,FALSE)</f>
        <v>HOLCOMB KAMDEN</v>
      </c>
      <c r="M94" s="6">
        <f t="shared" si="30"/>
        <v>2.5034722224518191E-2</v>
      </c>
      <c r="N94" s="7">
        <f t="shared" si="28"/>
        <v>36.050000003306195</v>
      </c>
      <c r="O94" s="7"/>
      <c r="P94" s="7"/>
      <c r="Q94" s="22"/>
      <c r="R94" s="22"/>
      <c r="S94" s="31">
        <f t="shared" si="31"/>
        <v>1</v>
      </c>
      <c r="T94" s="46" t="str">
        <f t="shared" si="32"/>
        <v>NorthBound</v>
      </c>
      <c r="U94" s="18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7" t="str">
        <f t="shared" si="33"/>
        <v>https://d0f6bd738d7f1b3e5a7ca70fe4ff75f0.us-east-1.aws.found.io/app/kibana#/discover/Steve-Slow-Train-Analysis-(2080s-and-2083s)?_g=(refreshInterval:(display:Off,pause:!f,section:0,value:0),time:(from:'2017-02-17T12:36:27-0700',mode:absolute,to:'2017-02-17T15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4" s="188" t="str">
        <f t="shared" si="34"/>
        <v>N</v>
      </c>
      <c r="X94" s="188">
        <f t="shared" si="45"/>
        <v>1</v>
      </c>
      <c r="Y94" s="62">
        <f t="shared" si="40"/>
        <v>4.6600000000000003E-2</v>
      </c>
      <c r="Z94" s="62">
        <f t="shared" si="41"/>
        <v>23.331199999999999</v>
      </c>
      <c r="AA94" s="62">
        <f t="shared" si="35"/>
        <v>23.284599999999998</v>
      </c>
      <c r="AB94" s="59" t="str">
        <f>VLOOKUP(A94,Enforcements!$C$7:$K$13,8,0)</f>
        <v>Bulletin (2)</v>
      </c>
      <c r="AC94" s="55" t="str">
        <f>VLOOKUP(A94,Enforcements!$C$7:$E$13,3,0)</f>
        <v>GRADE CROSSING</v>
      </c>
      <c r="AD94" s="56" t="str">
        <f t="shared" si="36"/>
        <v>0181-17</v>
      </c>
      <c r="AE94" s="85" t="str">
        <f t="shared" si="37"/>
        <v>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 &amp; 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</v>
      </c>
      <c r="AF94" s="82" t="str">
        <f t="shared" si="38"/>
        <v>"C:\Program Files (x86)\AstroGrep\AstroGrep.exe" /spath="%USERPROFILE%\AppData\Local\Temp\OnboardLogs" /stypes="app*4044*20170217*" /stext=" 21:.+((SYSTEM_STATE.+slice.+state.+changed )|(ment ac)|(multiple cpu faults)|(system.+state.+changed )|(\[timeout)|(PRM\|1\|D)|(kpr)|(kdp)|(\|lc)|(penalty))" /e /r /s</v>
      </c>
      <c r="AG94" s="1" t="str">
        <f t="shared" si="39"/>
        <v>EC</v>
      </c>
      <c r="AH94" s="86" t="str">
        <f t="shared" si="42"/>
        <v>"%USERPROFILE%\Documents\GitHub\eaglep3\Utilities\RefineRTDCRunTimes.py" --tripid 181-17 --locoid 4044 --swversion DE.1.0.9.0 --startMP 204:466 --initTime 2017-02-17T13:36:27 --startdatetime 2017-02-17T13:45:30 --delay 2 --endMP 204:233312 --enddatetime 2017-02-17T14:21:33 --enforcementcount 0 &gt;&gt;C:\Users\stu\Documents\GitHub\eaglep3-reporting\EC\2017-02-17-refined-times.txt</v>
      </c>
      <c r="AI94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{"issue":{"subject":"","project_id":79,"tracker_id":40,"status_id":1,"priority_id":2,"assigned_to_id":23,"start_date":"2017-02-17","description":"","custom_fields":[{"id":1,"name":"Subdivision","value":"EC"},{"id":4,"name":"Milepost","value":"23.3312"},{"id":17,"name":"Train ID","value":"181-17"},{"id":16,"name":"Locomotive ID","value":"4044"},{"id":130,"name":"Impact","value":""},{"id":150,"name":"Time of Event (Mountain Time)","value":"14:21:33"},{"id":151,"name":"Denver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44"/>
        <v>start /low /b %USERPROFILE%\Documents\GitHub\eaglep3\Utilities\DownloadLogsFromS3.py --loco 4044 --day 2017-02-17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"%USERPROFILE%\AppData\Local\Temp\OnboardLogs"\RTDC4044\*4044*20170217* | grep -SE "(Enforcement Action)|(\[TIMEOUT)|(CHR.+\|PRM\|1\|D.+(SWITCH|SIGNAL).+UNKNOWN)" - &gt;&gt; 2017-02-17-UncaughtWiMAX.txt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454</v>
      </c>
      <c r="B95" s="7">
        <v>4043</v>
      </c>
      <c r="C95" s="21" t="s">
        <v>682</v>
      </c>
      <c r="D95" s="21" t="s">
        <v>728</v>
      </c>
      <c r="E95" s="13">
        <v>42783.608553240738</v>
      </c>
      <c r="F95" s="13">
        <v>42783.61204861111</v>
      </c>
      <c r="G95" s="7">
        <v>1</v>
      </c>
      <c r="H95" s="21" t="s">
        <v>197</v>
      </c>
      <c r="I95" s="13">
        <v>42783.640092592592</v>
      </c>
      <c r="J95" s="7">
        <v>0</v>
      </c>
      <c r="K95" s="98" t="str">
        <f t="shared" si="29"/>
        <v>4043/4044</v>
      </c>
      <c r="L95" s="21" t="str">
        <f>VLOOKUP(A95,'Trips&amp;Operators'!$C$1:$G$99999,5,FALSE)</f>
        <v>HOLCOMB KAMDEN</v>
      </c>
      <c r="M95" s="6">
        <f t="shared" si="30"/>
        <v>2.8043981481459923E-2</v>
      </c>
      <c r="N95" s="7">
        <f t="shared" si="28"/>
        <v>40.383333333302289</v>
      </c>
      <c r="O95" s="7"/>
      <c r="P95" s="7"/>
      <c r="Q95" s="22"/>
      <c r="R95" s="22"/>
      <c r="S95" s="31">
        <f t="shared" si="31"/>
        <v>1</v>
      </c>
      <c r="T95" s="46" t="str">
        <f t="shared" si="32"/>
        <v>Southbound</v>
      </c>
      <c r="U95" s="18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7" t="str">
        <f t="shared" si="33"/>
        <v>https://d0f6bd738d7f1b3e5a7ca70fe4ff75f0.us-east-1.aws.found.io/app/kibana#/discover/Steve-Slow-Train-Analysis-(2080s-and-2083s)?_g=(refreshInterval:(display:Off,pause:!f,section:0,value:0),time:(from:'2017-02-17T13:36:19-0700',mode:absolute,to:'2017-02-17T16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5" s="188" t="str">
        <f t="shared" si="34"/>
        <v>N</v>
      </c>
      <c r="X95" s="188">
        <f t="shared" si="45"/>
        <v>1</v>
      </c>
      <c r="Y95" s="62">
        <f t="shared" si="40"/>
        <v>23.300699999999999</v>
      </c>
      <c r="Z95" s="62">
        <f t="shared" si="41"/>
        <v>1.4500000000000001E-2</v>
      </c>
      <c r="AA95" s="62">
        <f t="shared" si="35"/>
        <v>23.286199999999997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6"/>
        <v>0182-17</v>
      </c>
      <c r="AE95" s="85" t="str">
        <f t="shared" si="37"/>
        <v>aws s3 cp s3://rtdc.mdm.uploadarchive.raw/RTDC4043/ "%USERPROFILE%\AppData\Local\Temp\OnboardLogs"\RTDC4043\2017-02-17 --exclude "*" --recursive --include "*20170217*" &amp; "%USERPROFILE%\Documents\GitHub\mrs-test-scripts\Headless Mode &amp; Sideloading\WalkAndUnGZ.bat" "%USERPROFILE%\AppData\Local\Temp\OnboardLogs"\RTDC4043\2017-02-17 &amp; aws s3 cp s3://rtdc.mdm.uploadarchive.raw/RTDC4043/ "%USERPROFILE%\AppData\Local\Temp\OnboardLogs"\RTDC4043\2017-02-18 --exclude "*" --recursive --include "*20170218*" &amp; "%USERPROFILE%\Documents\GitHub\mrs-test-scripts\Headless Mode &amp; Sideloading\WalkAndUnGZ.bat" "%USERPROFILE%\AppData\Local\Temp\OnboardLogs"\RTDC4043\2017-02-18</v>
      </c>
      <c r="AF95" s="82" t="str">
        <f t="shared" si="38"/>
        <v>"C:\Program Files (x86)\AstroGrep\AstroGrep.exe" /spath="%USERPROFILE%\AppData\Local\Temp\OnboardLogs" /stypes="app*4043*20170217*" /stext=" 22:.+((SYSTEM_STATE.+slice.+state.+changed )|(ment ac)|(multiple cpu faults)|(system.+state.+changed )|(\[timeout)|(PRM\|1\|D)|(kpr)|(kdp)|(\|lc)|(penalty))" /e /r /s</v>
      </c>
      <c r="AG95" s="1" t="str">
        <f t="shared" si="39"/>
        <v>EC</v>
      </c>
      <c r="AH95" s="86" t="str">
        <f t="shared" si="42"/>
        <v>"%USERPROFILE%\Documents\GitHub\eaglep3\Utilities\RefineRTDCRunTimes.py" --tripid 182-17 --locoid 4043 --swversion DE.1.0.9.0 --startMP 204:233007 --initTime 2017-02-17T14:36:19 --startdatetime 2017-02-17T14:41:21 --delay 1 --endMP 204:145 --enddatetime 2017-02-17T15:21:44 --enforcementcount 0 &gt;&gt;C:\Users\stu\Documents\GitHub\eaglep3-reporting\EC\2017-02-17-refined-times.txt</v>
      </c>
      <c r="AI95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{"issue":{"subject":"","project_id":79,"tracker_id":40,"status_id":1,"priority_id":2,"assigned_to_id":23,"start_date":"2017-02-17","description":"","custom_fields":[{"id":1,"name":"Subdivision","value":"EC"},{"id":4,"name":"Milepost","value":"0.0145"},{"id":17,"name":"Train ID","value":"182-17"},{"id":16,"name":"Locomotive ID","value":"4043"},{"id":130,"name":"Impact","value":""},{"id":150,"name":"Time of Event (Mountain Time)","value":"15:21:44"},{"id":151,"name":"Denver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44"/>
        <v>start /low /b %USERPROFILE%\Documents\GitHub\eaglep3\Utilities\DownloadLogsFromS3.py --loco 4043 --day 2017-02-17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"%USERPROFILE%\AppData\Local\Temp\OnboardLogs"\RTDC4043\*4043*20170217* | grep -SE "(Enforcement Action)|(\[TIMEOUT)|(CHR.+\|PRM\|1\|D.+(SWITCH|SIGNAL).+UNKNOWN)" - &gt;&gt; 2017-02-17-UncaughtWiMAX.txt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577</v>
      </c>
      <c r="B96" s="7">
        <v>4027</v>
      </c>
      <c r="C96" s="21" t="s">
        <v>682</v>
      </c>
      <c r="D96" s="21" t="s">
        <v>231</v>
      </c>
      <c r="E96" s="13">
        <v>42783.578935185185</v>
      </c>
      <c r="F96" s="13">
        <v>42783.583634259259</v>
      </c>
      <c r="G96" s="7">
        <v>2</v>
      </c>
      <c r="H96" s="21" t="s">
        <v>264</v>
      </c>
      <c r="I96" s="13">
        <v>42783.608634259261</v>
      </c>
      <c r="J96" s="7">
        <v>0</v>
      </c>
      <c r="K96" s="98" t="str">
        <f t="shared" si="29"/>
        <v>4027/4028</v>
      </c>
      <c r="L96" s="21" t="str">
        <f>VLOOKUP(A96,'Trips&amp;Operators'!$C$1:$G$99999,5,FALSE)</f>
        <v>KILLION DAVID</v>
      </c>
      <c r="M96" s="6">
        <f t="shared" si="30"/>
        <v>2.5000000001455192E-2</v>
      </c>
      <c r="N96" s="7">
        <f t="shared" si="28"/>
        <v>36.000000002095476</v>
      </c>
      <c r="O96" s="7"/>
      <c r="P96" s="7"/>
      <c r="Q96" s="22"/>
      <c r="R96" s="22"/>
      <c r="S96" s="31">
        <f t="shared" si="31"/>
        <v>1</v>
      </c>
      <c r="T96" s="46" t="str">
        <f t="shared" si="32"/>
        <v>NorthBound</v>
      </c>
      <c r="U96" s="18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7" t="str">
        <f t="shared" si="33"/>
        <v>https://d0f6bd738d7f1b3e5a7ca70fe4ff75f0.us-east-1.aws.found.io/app/kibana#/discover/Steve-Slow-Train-Analysis-(2080s-and-2083s)?_g=(refreshInterval:(display:Off,pause:!f,section:0,value:0),time:(from:'2017-02-17T12:53:40-0700',mode:absolute,to:'2017-02-17T15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6" s="188" t="str">
        <f t="shared" si="34"/>
        <v>N</v>
      </c>
      <c r="X96" s="188">
        <f t="shared" si="45"/>
        <v>1</v>
      </c>
      <c r="Y96" s="62">
        <f t="shared" si="40"/>
        <v>4.5699999999999998E-2</v>
      </c>
      <c r="Z96" s="62">
        <f t="shared" si="41"/>
        <v>23.3308</v>
      </c>
      <c r="AA96" s="62">
        <f t="shared" si="35"/>
        <v>23.2851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6"/>
        <v>0183-17</v>
      </c>
      <c r="AE96" s="85" t="str">
        <f t="shared" si="37"/>
        <v>aws s3 cp s3://rtdc.mdm.uploadarchive.raw/RTDC4027/ "%USERPROFILE%\AppData\Local\Temp\OnboardLogs"\RTDC4027\2017-02-17 --exclude "*" --recursive --include "*20170217*" &amp; "%USERPROFILE%\Documents\GitHub\mrs-test-scripts\Headless Mode &amp; Sideloading\WalkAndUnGZ.bat" "%USERPROFILE%\AppData\Local\Temp\OnboardLogs"\RTDC4027\2017-02-17 &amp; 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</v>
      </c>
      <c r="AF96" s="82" t="str">
        <f t="shared" si="38"/>
        <v>"C:\Program Files (x86)\AstroGrep\AstroGrep.exe" /spath="%USERPROFILE%\AppData\Local\Temp\OnboardLogs" /stypes="app*4027*20170217*" /stext=" 21:.+((SYSTEM_STATE.+slice.+state.+changed )|(ment ac)|(multiple cpu faults)|(system.+state.+changed )|(\[timeout)|(PRM\|1\|D)|(kpr)|(kdp)|(\|lc)|(penalty))" /e /r /s</v>
      </c>
      <c r="AG96" s="1" t="str">
        <f t="shared" si="39"/>
        <v>EC</v>
      </c>
      <c r="AH96" s="86" t="str">
        <f t="shared" si="42"/>
        <v>"%USERPROFILE%\Documents\GitHub\eaglep3\Utilities\RefineRTDCRunTimes.py" --tripid 183-17 --locoid 4027 --swversion DE.1.0.9.0 --startMP 204:457 --initTime 2017-02-17T13:53:40 --startdatetime 2017-02-17T14:00:26 --delay 2 --endMP 204:233308 --enddatetime 2017-02-17T14:36:26 --enforcementcount 0 &gt;&gt;C:\Users\stu\Documents\GitHub\eaglep3-reporting\EC\2017-02-17-refined-times.txt</v>
      </c>
      <c r="AI96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{"issue":{"subject":"","project_id":79,"tracker_id":40,"status_id":1,"priority_id":2,"assigned_to_id":23,"start_date":"2017-02-17","description":"","custom_fields":[{"id":1,"name":"Subdivision","value":"EC"},{"id":4,"name":"Milepost","value":"23.3308"},{"id":17,"name":"Train ID","value":"183-17"},{"id":16,"name":"Locomotive ID","value":"4027"},{"id":130,"name":"Impact","value":""},{"id":150,"name":"Time of Event (Mountain Time)","value":"14:36:26"},{"id":151,"name":"Denver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44"/>
        <v>start /low /b %USERPROFILE%\Documents\GitHub\eaglep3\Utilities\DownloadLogsFromS3.py --loco 4027 --day 2017-02-17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"%USERPROFILE%\AppData\Local\Temp\OnboardLogs"\RTDC4027\*4027*20170217* | grep -SE "(Enforcement Action)|(\[TIMEOUT)|(CHR.+\|PRM\|1\|D.+(SWITCH|SIGNAL).+UNKNOWN)" - &gt;&gt; 2017-02-17-UncaughtWiMAX.txt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585</v>
      </c>
      <c r="B97" s="7">
        <v>4028</v>
      </c>
      <c r="C97" s="21" t="s">
        <v>682</v>
      </c>
      <c r="D97" s="21" t="s">
        <v>406</v>
      </c>
      <c r="E97" s="13">
        <v>42783.618483796294</v>
      </c>
      <c r="F97" s="13">
        <v>42783.622534722221</v>
      </c>
      <c r="G97" s="7">
        <v>1</v>
      </c>
      <c r="H97" s="21" t="s">
        <v>184</v>
      </c>
      <c r="I97" s="13">
        <v>42783.649224537039</v>
      </c>
      <c r="J97" s="7">
        <v>0</v>
      </c>
      <c r="K97" s="98" t="str">
        <f t="shared" si="29"/>
        <v>4027/4028</v>
      </c>
      <c r="L97" s="21" t="str">
        <f>VLOOKUP(A97,'Trips&amp;Operators'!$C$1:$G$99999,5,FALSE)</f>
        <v>KILLION DAVID</v>
      </c>
      <c r="M97" s="6">
        <f t="shared" si="30"/>
        <v>2.6689814818382729E-2</v>
      </c>
      <c r="N97" s="7">
        <f t="shared" si="28"/>
        <v>38.43333333847113</v>
      </c>
      <c r="O97" s="7"/>
      <c r="P97" s="7"/>
      <c r="Q97" s="22"/>
      <c r="R97" s="22"/>
      <c r="S97" s="31">
        <f t="shared" si="31"/>
        <v>1</v>
      </c>
      <c r="T97" s="46" t="str">
        <f t="shared" si="32"/>
        <v>Southbound</v>
      </c>
      <c r="U97" s="18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7" t="str">
        <f t="shared" si="33"/>
        <v>https://d0f6bd738d7f1b3e5a7ca70fe4ff75f0.us-east-1.aws.found.io/app/kibana#/discover/Steve-Slow-Train-Analysis-(2080s-and-2083s)?_g=(refreshInterval:(display:Off,pause:!f,section:0,value:0),time:(from:'2017-02-17T13:50:37-0700',mode:absolute,to:'2017-02-17T16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7" s="188" t="str">
        <f t="shared" si="34"/>
        <v>N</v>
      </c>
      <c r="X97" s="188">
        <f t="shared" si="45"/>
        <v>1</v>
      </c>
      <c r="Y97" s="62">
        <f t="shared" si="40"/>
        <v>23.298100000000002</v>
      </c>
      <c r="Z97" s="62">
        <f t="shared" si="41"/>
        <v>1.49E-2</v>
      </c>
      <c r="AA97" s="62">
        <f t="shared" si="35"/>
        <v>23.283200000000001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6"/>
        <v>0184-17</v>
      </c>
      <c r="AE97" s="85" t="str">
        <f t="shared" si="37"/>
        <v>aws s3 cp s3://rtdc.mdm.uploadarchive.raw/RTDC4028/ "%USERPROFILE%\AppData\Local\Temp\OnboardLogs"\RTDC4028\2017-02-17 --exclude "*" --recursive --include "*20170217*" &amp; "%USERPROFILE%\Documents\GitHub\mrs-test-scripts\Headless Mode &amp; Sideloading\WalkAndUnGZ.bat" "%USERPROFILE%\AppData\Local\Temp\OnboardLogs"\RTDC4028\2017-02-17 &amp; 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</v>
      </c>
      <c r="AF97" s="82" t="str">
        <f t="shared" si="38"/>
        <v>"C:\Program Files (x86)\AstroGrep\AstroGrep.exe" /spath="%USERPROFILE%\AppData\Local\Temp\OnboardLogs" /stypes="app*4028*20170217*" /stext=" 22:.+((SYSTEM_STATE.+slice.+state.+changed )|(ment ac)|(multiple cpu faults)|(system.+state.+changed )|(\[timeout)|(PRM\|1\|D)|(kpr)|(kdp)|(\|lc)|(penalty))" /e /r /s</v>
      </c>
      <c r="AG97" s="1" t="str">
        <f t="shared" si="39"/>
        <v>EC</v>
      </c>
      <c r="AH97" s="86" t="str">
        <f t="shared" si="42"/>
        <v>"%USERPROFILE%\Documents\GitHub\eaglep3\Utilities\RefineRTDCRunTimes.py" --tripid 184-17 --locoid 4028 --swversion DE.1.0.9.0 --startMP 204:232981 --initTime 2017-02-17T14:50:37 --startdatetime 2017-02-17T14:56:27 --delay 1 --endMP 204:149 --enddatetime 2017-02-17T15:34:53 --enforcementcount 0 &gt;&gt;C:\Users\stu\Documents\GitHub\eaglep3-reporting\EC\2017-02-17-refined-times.txt</v>
      </c>
      <c r="AI97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{"issue":{"subject":"","project_id":79,"tracker_id":40,"status_id":1,"priority_id":2,"assigned_to_id":23,"start_date":"2017-02-17","description":"","custom_fields":[{"id":1,"name":"Subdivision","value":"EC"},{"id":4,"name":"Milepost","value":"0.0149"},{"id":17,"name":"Train ID","value":"184-17"},{"id":16,"name":"Locomotive ID","value":"4028"},{"id":130,"name":"Impact","value":""},{"id":150,"name":"Time of Event (Mountain Time)","value":"15:34:53"},{"id":151,"name":"Denver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44"/>
        <v>start /low /b %USERPROFILE%\Documents\GitHub\eaglep3\Utilities\DownloadLogsFromS3.py --loco 4028 --day 2017-02-17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"%USERPROFILE%\AppData\Local\Temp\OnboardLogs"\RTDC4028\*4028*20170217* | grep -SE "(Enforcement Action)|(\[TIMEOUT)|(CHR.+\|PRM\|1\|D.+(SWITCH|SIGNAL).+UNKNOWN)" - &gt;&gt; 2017-02-17-UncaughtWiMAX.txt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579</v>
      </c>
      <c r="B98" s="7">
        <v>4046</v>
      </c>
      <c r="C98" s="21" t="s">
        <v>682</v>
      </c>
      <c r="D98" s="21" t="s">
        <v>729</v>
      </c>
      <c r="E98" s="13">
        <v>42783.587407407409</v>
      </c>
      <c r="F98" s="13">
        <v>42783.593900462962</v>
      </c>
      <c r="G98" s="7">
        <v>1</v>
      </c>
      <c r="H98" s="21" t="s">
        <v>402</v>
      </c>
      <c r="I98" s="13">
        <v>42783.618391203701</v>
      </c>
      <c r="J98" s="7">
        <v>0</v>
      </c>
      <c r="K98" s="98" t="str">
        <f t="shared" si="29"/>
        <v>4045/4046</v>
      </c>
      <c r="L98" s="21" t="str">
        <f>VLOOKUP(A98,'Trips&amp;Operators'!$C$1:$G$99999,5,FALSE)</f>
        <v>BRANNON JEFFREY</v>
      </c>
      <c r="M98" s="6">
        <f t="shared" si="30"/>
        <v>2.4490740739565808E-2</v>
      </c>
      <c r="N98" s="7">
        <f t="shared" si="28"/>
        <v>35.266666664974764</v>
      </c>
      <c r="O98" s="7"/>
      <c r="P98" s="7"/>
      <c r="Q98" s="22"/>
      <c r="R98" s="22"/>
      <c r="S98" s="31">
        <f t="shared" si="31"/>
        <v>1</v>
      </c>
      <c r="T98" s="46" t="str">
        <f t="shared" si="32"/>
        <v>NorthBound</v>
      </c>
      <c r="U98" s="18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7" t="str">
        <f t="shared" si="33"/>
        <v>https://d0f6bd738d7f1b3e5a7ca70fe4ff75f0.us-east-1.aws.found.io/app/kibana#/discover/Steve-Slow-Train-Analysis-(2080s-and-2083s)?_g=(refreshInterval:(display:Off,pause:!f,section:0,value:0),time:(from:'2017-02-17T13:05:52-0700',mode:absolute,to:'2017-02-17T15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8" s="188" t="str">
        <f t="shared" si="34"/>
        <v>N</v>
      </c>
      <c r="X98" s="188">
        <f t="shared" si="45"/>
        <v>1</v>
      </c>
      <c r="Y98" s="62">
        <f t="shared" si="40"/>
        <v>4.8899999999999999E-2</v>
      </c>
      <c r="Z98" s="62">
        <f t="shared" si="41"/>
        <v>23.329499999999999</v>
      </c>
      <c r="AA98" s="62">
        <f t="shared" si="35"/>
        <v>23.2806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6"/>
        <v>0185-17</v>
      </c>
      <c r="AE98" s="85" t="str">
        <f t="shared" si="37"/>
        <v>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 &amp; aws s3 cp s3://rtdc.mdm.uploadarchive.raw/RTDC4046/ "%USERPROFILE%\AppData\Local\Temp\OnboardLogs"\RTDC4046\2017-02-18 --exclude "*" --recursive --include "*20170218*" &amp; "%USERPROFILE%\Documents\GitHub\mrs-test-scripts\Headless Mode &amp; Sideloading\WalkAndUnGZ.bat" "%USERPROFILE%\AppData\Local\Temp\OnboardLogs"\RTDC4046\2017-02-18</v>
      </c>
      <c r="AF98" s="82" t="str">
        <f t="shared" si="38"/>
        <v>"C:\Program Files (x86)\AstroGrep\AstroGrep.exe" /spath="%USERPROFILE%\AppData\Local\Temp\OnboardLogs" /stypes="app*4046*20170217*" /stext=" 21:.+((SYSTEM_STATE.+slice.+state.+changed )|(ment ac)|(multiple cpu faults)|(system.+state.+changed )|(\[timeout)|(PRM\|1\|D)|(kpr)|(kdp)|(\|lc)|(penalty))" /e /r /s</v>
      </c>
      <c r="AG98" s="1" t="str">
        <f t="shared" si="39"/>
        <v>EC</v>
      </c>
      <c r="AH98" s="86" t="str">
        <f t="shared" si="42"/>
        <v>"%USERPROFILE%\Documents\GitHub\eaglep3\Utilities\RefineRTDCRunTimes.py" --tripid 185-17 --locoid 4046 --swversion DE.1.0.9.0 --startMP 204:489 --initTime 2017-02-17T14:05:52 --startdatetime 2017-02-17T14:15:13 --delay 1 --endMP 204:233295 --enddatetime 2017-02-17T14:50:29 --enforcementcount 0 &gt;&gt;C:\Users\stu\Documents\GitHub\eaglep3-reporting\EC\2017-02-17-refined-times.txt</v>
      </c>
      <c r="AI98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{"issue":{"subject":"","project_id":79,"tracker_id":40,"status_id":1,"priority_id":2,"assigned_to_id":23,"start_date":"2017-02-17","description":"","custom_fields":[{"id":1,"name":"Subdivision","value":"EC"},{"id":4,"name":"Milepost","value":"23.3295"},{"id":17,"name":"Train ID","value":"185-17"},{"id":16,"name":"Locomotive ID","value":"4046"},{"id":130,"name":"Impact","value":""},{"id":150,"name":"Time of Event (Mountain Time)","value":"14:50:29"},{"id":151,"name":"Denver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44"/>
        <v>start /low /b %USERPROFILE%\Documents\GitHub\eaglep3\Utilities\DownloadLogsFromS3.py --loco 4046 --day 2017-02-17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"%USERPROFILE%\AppData\Local\Temp\OnboardLogs"\RTDC4046\*4046*20170217* | grep -SE "(Enforcement Action)|(\[TIMEOUT)|(CHR.+\|PRM\|1\|D.+(SWITCH|SIGNAL).+UNKNOWN)" - &gt;&gt; 2017-02-17-UncaughtWiMAX.txt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587</v>
      </c>
      <c r="B99" s="7">
        <v>4045</v>
      </c>
      <c r="C99" s="21" t="s">
        <v>682</v>
      </c>
      <c r="D99" s="21" t="s">
        <v>268</v>
      </c>
      <c r="E99" s="13">
        <v>42783.626747685186</v>
      </c>
      <c r="F99" s="13">
        <v>42783.633101851854</v>
      </c>
      <c r="G99" s="7">
        <v>1</v>
      </c>
      <c r="H99" s="21" t="s">
        <v>279</v>
      </c>
      <c r="I99" s="13">
        <v>42783.659930555557</v>
      </c>
      <c r="J99" s="7">
        <v>0</v>
      </c>
      <c r="K99" s="98" t="str">
        <f t="shared" si="29"/>
        <v>4045/4046</v>
      </c>
      <c r="L99" s="21" t="str">
        <f>VLOOKUP(A99,'Trips&amp;Operators'!$C$1:$G$99999,5,FALSE)</f>
        <v>POLLOCK JASON</v>
      </c>
      <c r="M99" s="6">
        <f t="shared" si="30"/>
        <v>2.6828703703358769E-2</v>
      </c>
      <c r="N99" s="7">
        <f t="shared" si="28"/>
        <v>38.633333332836628</v>
      </c>
      <c r="O99" s="7"/>
      <c r="P99" s="7"/>
      <c r="Q99" s="22"/>
      <c r="R99" s="22"/>
      <c r="S99" s="31">
        <f t="shared" si="31"/>
        <v>1</v>
      </c>
      <c r="T99" s="46" t="str">
        <f t="shared" si="32"/>
        <v>Southbound</v>
      </c>
      <c r="U99" s="18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7" t="str">
        <f t="shared" si="33"/>
        <v>https://d0f6bd738d7f1b3e5a7ca70fe4ff75f0.us-east-1.aws.found.io/app/kibana#/discover/Steve-Slow-Train-Analysis-(2080s-and-2083s)?_g=(refreshInterval:(display:Off,pause:!f,section:0,value:0),time:(from:'2017-02-17T14:02:31-0700',mode:absolute,to:'2017-02-17T16:50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9" s="188" t="str">
        <f t="shared" si="34"/>
        <v>N</v>
      </c>
      <c r="X99" s="188">
        <f t="shared" si="45"/>
        <v>1</v>
      </c>
      <c r="Y99" s="62">
        <f t="shared" si="40"/>
        <v>23.297699999999999</v>
      </c>
      <c r="Z99" s="62">
        <f t="shared" si="41"/>
        <v>1.41E-2</v>
      </c>
      <c r="AA99" s="62">
        <f t="shared" si="35"/>
        <v>23.2836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6"/>
        <v>0186-17</v>
      </c>
      <c r="AE99" s="85" t="str">
        <f t="shared" si="37"/>
        <v>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 &amp; aws s3 cp s3://rtdc.mdm.uploadarchive.raw/RTDC4045/ "%USERPROFILE%\AppData\Local\Temp\OnboardLogs"\RTDC4045\2017-02-18 --exclude "*" --recursive --include "*20170218*" &amp; "%USERPROFILE%\Documents\GitHub\mrs-test-scripts\Headless Mode &amp; Sideloading\WalkAndUnGZ.bat" "%USERPROFILE%\AppData\Local\Temp\OnboardLogs"\RTDC4045\2017-02-18</v>
      </c>
      <c r="AF99" s="82" t="str">
        <f t="shared" si="38"/>
        <v>"C:\Program Files (x86)\AstroGrep\AstroGrep.exe" /spath="%USERPROFILE%\AppData\Local\Temp\OnboardLogs" /stypes="app*4045*20170217*" /stext=" 22:.+((SYSTEM_STATE.+slice.+state.+changed )|(ment ac)|(multiple cpu faults)|(system.+state.+changed )|(\[timeout)|(PRM\|1\|D)|(kpr)|(kdp)|(\|lc)|(penalty))" /e /r /s</v>
      </c>
      <c r="AG99" s="1" t="str">
        <f t="shared" si="39"/>
        <v>EC</v>
      </c>
      <c r="AH99" s="86" t="str">
        <f t="shared" si="42"/>
        <v>"%USERPROFILE%\Documents\GitHub\eaglep3\Utilities\RefineRTDCRunTimes.py" --tripid 186-17 --locoid 4045 --swversion DE.1.0.9.0 --startMP 204:232977 --initTime 2017-02-17T15:02:31 --startdatetime 2017-02-17T15:11:40 --delay 1 --endMP 204:141 --enddatetime 2017-02-17T15:50:18 --enforcementcount 0 &gt;&gt;C:\Users\stu\Documents\GitHub\eaglep3-reporting\EC\2017-02-17-refined-times.txt</v>
      </c>
      <c r="AI99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{"issue":{"subject":"","project_id":79,"tracker_id":40,"status_id":1,"priority_id":2,"assigned_to_id":23,"start_date":"2017-02-17","description":"","custom_fields":[{"id":1,"name":"Subdivision","value":"EC"},{"id":4,"name":"Milepost","value":"0.0141"},{"id":17,"name":"Train ID","value":"186-17"},{"id":16,"name":"Locomotive ID","value":"4045"},{"id":130,"name":"Impact","value":""},{"id":150,"name":"Time of Event (Mountain Time)","value":"15:50:18"},{"id":151,"name":"Denver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44"/>
        <v>start /low /b %USERPROFILE%\Documents\GitHub\eaglep3\Utilities\DownloadLogsFromS3.py --loco 4045 --day 2017-02-17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"%USERPROFILE%\AppData\Local\Temp\OnboardLogs"\RTDC4045\*4045*20170217* | grep -SE "(Enforcement Action)|(\[TIMEOUT)|(CHR.+\|PRM\|1\|D.+(SWITCH|SIGNAL).+UNKNOWN)" - &gt;&gt; 2017-02-17-UncaughtWiMAX.txt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582</v>
      </c>
      <c r="B100" s="7">
        <v>4018</v>
      </c>
      <c r="C100" s="21" t="s">
        <v>682</v>
      </c>
      <c r="D100" s="21" t="s">
        <v>730</v>
      </c>
      <c r="E100" s="13">
        <v>42783.59983796296</v>
      </c>
      <c r="F100" s="13">
        <v>42783.604398148149</v>
      </c>
      <c r="G100" s="7">
        <v>1</v>
      </c>
      <c r="H100" s="21" t="s">
        <v>294</v>
      </c>
      <c r="I100" s="13">
        <v>42783.629444444443</v>
      </c>
      <c r="J100" s="7">
        <v>0</v>
      </c>
      <c r="K100" s="98" t="str">
        <f t="shared" si="29"/>
        <v>4017/4018</v>
      </c>
      <c r="L100" s="21" t="str">
        <f>VLOOKUP(A100,'Trips&amp;Operators'!$C$1:$G$99999,5,FALSE)</f>
        <v>STEWART MICHAEL</v>
      </c>
      <c r="M100" s="6">
        <f t="shared" si="30"/>
        <v>2.5046296294021886E-2</v>
      </c>
      <c r="N100" s="7">
        <f t="shared" si="28"/>
        <v>36.066666663391516</v>
      </c>
      <c r="O100" s="7"/>
      <c r="P100" s="7"/>
      <c r="Q100" s="22"/>
      <c r="R100" s="22"/>
      <c r="S100" s="31">
        <f t="shared" si="31"/>
        <v>1</v>
      </c>
      <c r="T100" s="46" t="str">
        <f t="shared" si="32"/>
        <v>NorthBound</v>
      </c>
      <c r="U100" s="18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7" t="str">
        <f t="shared" si="33"/>
        <v>https://d0f6bd738d7f1b3e5a7ca70fe4ff75f0.us-east-1.aws.found.io/app/kibana#/discover/Steve-Slow-Train-Analysis-(2080s-and-2083s)?_g=(refreshInterval:(display:Off,pause:!f,section:0,value:0),time:(from:'2017-02-17T13:23:46-0700',mode:absolute,to:'2017-02-17T16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0" s="188" t="str">
        <f t="shared" si="34"/>
        <v>N</v>
      </c>
      <c r="X100" s="188">
        <f t="shared" si="45"/>
        <v>1</v>
      </c>
      <c r="Y100" s="62">
        <f t="shared" si="40"/>
        <v>4.82E-2</v>
      </c>
      <c r="Z100" s="62">
        <f t="shared" si="41"/>
        <v>23.328900000000001</v>
      </c>
      <c r="AA100" s="62">
        <f t="shared" si="35"/>
        <v>23.2807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6"/>
        <v>0187-17</v>
      </c>
      <c r="AE100" s="85" t="str">
        <f t="shared" si="37"/>
        <v>aws s3 cp s3://rtdc.mdm.uploadarchive.raw/RTDC4018/ "%USERPROFILE%\AppData\Local\Temp\OnboardLogs"\RTDC4018\2017-02-17 --exclude "*" --recursive --include "*20170217*" &amp; "%USERPROFILE%\Documents\GitHub\mrs-test-scripts\Headless Mode &amp; Sideloading\WalkAndUnGZ.bat" "%USERPROFILE%\AppData\Local\Temp\OnboardLogs"\RTDC4018\2017-02-17 &amp; 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</v>
      </c>
      <c r="AF100" s="82" t="str">
        <f t="shared" si="38"/>
        <v>"C:\Program Files (x86)\AstroGrep\AstroGrep.exe" /spath="%USERPROFILE%\AppData\Local\Temp\OnboardLogs" /stypes="app*4018*20170217*" /stext=" 22:.+((SYSTEM_STATE.+slice.+state.+changed )|(ment ac)|(multiple cpu faults)|(system.+state.+changed )|(\[timeout)|(PRM\|1\|D)|(kpr)|(kdp)|(\|lc)|(penalty))" /e /r /s</v>
      </c>
      <c r="AG100" s="1" t="str">
        <f t="shared" si="39"/>
        <v>EC</v>
      </c>
      <c r="AH100" s="86" t="str">
        <f t="shared" si="42"/>
        <v>"%USERPROFILE%\Documents\GitHub\eaglep3\Utilities\RefineRTDCRunTimes.py" --tripid 187-17 --locoid 4018 --swversion DE.1.0.9.0 --startMP 204:482 --initTime 2017-02-17T14:23:46 --startdatetime 2017-02-17T14:30:20 --delay 1 --endMP 204:233289 --enddatetime 2017-02-17T15:06:24 --enforcementcount 0 &gt;&gt;C:\Users\stu\Documents\GitHub\eaglep3-reporting\EC\2017-02-17-refined-times.txt</v>
      </c>
      <c r="AI100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{"issue":{"subject":"","project_id":79,"tracker_id":40,"status_id":1,"priority_id":2,"assigned_to_id":23,"start_date":"2017-02-17","description":"","custom_fields":[{"id":1,"name":"Subdivision","value":"EC"},{"id":4,"name":"Milepost","value":"23.3289"},{"id":17,"name":"Train ID","value":"187-17"},{"id":16,"name":"Locomotive ID","value":"4018"},{"id":130,"name":"Impact","value":""},{"id":150,"name":"Time of Event (Mountain Time)","value":"15:06:24"},{"id":151,"name":"Denver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44"/>
        <v>start /low /b %USERPROFILE%\Documents\GitHub\eaglep3\Utilities\DownloadLogsFromS3.py --loco 4018 --day 2017-02-17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"%USERPROFILE%\AppData\Local\Temp\OnboardLogs"\RTDC4018\*4018*20170217* | grep -SE "(Enforcement Action)|(\[TIMEOUT)|(CHR.+\|PRM\|1\|D.+(SWITCH|SIGNAL).+UNKNOWN)" - &gt;&gt; 2017-02-17-UncaughtWiMAX.txt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592</v>
      </c>
      <c r="B101" s="7">
        <v>4017</v>
      </c>
      <c r="C101" s="21" t="s">
        <v>682</v>
      </c>
      <c r="D101" s="21" t="s">
        <v>282</v>
      </c>
      <c r="E101" s="13">
        <v>42783.637499999997</v>
      </c>
      <c r="F101" s="13">
        <v>42783.643321759257</v>
      </c>
      <c r="G101" s="7">
        <v>1</v>
      </c>
      <c r="H101" s="21" t="s">
        <v>400</v>
      </c>
      <c r="I101" s="13">
        <v>42783.670312499999</v>
      </c>
      <c r="J101" s="7">
        <v>0</v>
      </c>
      <c r="K101" s="98" t="str">
        <f t="shared" si="29"/>
        <v>4017/4018</v>
      </c>
      <c r="L101" s="21" t="str">
        <f>VLOOKUP(A101,'Trips&amp;Operators'!$C$1:$G$99999,5,FALSE)</f>
        <v>STEWART MICHAEL</v>
      </c>
      <c r="M101" s="6">
        <f t="shared" si="30"/>
        <v>2.6990740741894115E-2</v>
      </c>
      <c r="N101" s="7">
        <f t="shared" si="28"/>
        <v>38.866666668327525</v>
      </c>
      <c r="O101" s="7"/>
      <c r="P101" s="7"/>
      <c r="Q101" s="22"/>
      <c r="R101" s="22"/>
      <c r="S101" s="31">
        <f t="shared" si="31"/>
        <v>1</v>
      </c>
      <c r="T101" s="46" t="str">
        <f t="shared" si="32"/>
        <v>Southbound</v>
      </c>
      <c r="U101" s="18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7" t="str">
        <f t="shared" si="33"/>
        <v>https://d0f6bd738d7f1b3e5a7ca70fe4ff75f0.us-east-1.aws.found.io/app/kibana#/discover/Steve-Slow-Train-Analysis-(2080s-and-2083s)?_g=(refreshInterval:(display:Off,pause:!f,section:0,value:0),time:(from:'2017-02-17T14:18:00-0700',mode:absolute,to:'2017-02-17T17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1" s="188" t="str">
        <f t="shared" si="34"/>
        <v>N</v>
      </c>
      <c r="X101" s="188">
        <f t="shared" si="45"/>
        <v>1</v>
      </c>
      <c r="Y101" s="62">
        <f t="shared" si="40"/>
        <v>23.299600000000002</v>
      </c>
      <c r="Z101" s="62">
        <f t="shared" si="41"/>
        <v>1.6299999999999999E-2</v>
      </c>
      <c r="AA101" s="62">
        <f t="shared" si="35"/>
        <v>23.283300000000001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6"/>
        <v>0188-17</v>
      </c>
      <c r="AE101" s="85" t="str">
        <f t="shared" si="37"/>
        <v>aws s3 cp s3://rtdc.mdm.uploadarchive.raw/RTDC4017/ "%USERPROFILE%\AppData\Local\Temp\OnboardLogs"\RTDC4017\2017-02-17 --exclude "*" --recursive --include "*20170217*" &amp; "%USERPROFILE%\Documents\GitHub\mrs-test-scripts\Headless Mode &amp; Sideloading\WalkAndUnGZ.bat" "%USERPROFILE%\AppData\Local\Temp\OnboardLogs"\RTDC4017\2017-02-17 &amp; 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</v>
      </c>
      <c r="AF101" s="82" t="str">
        <f t="shared" si="38"/>
        <v>"C:\Program Files (x86)\AstroGrep\AstroGrep.exe" /spath="%USERPROFILE%\AppData\Local\Temp\OnboardLogs" /stypes="app*4017*20170217*" /stext=" 23:.+((SYSTEM_STATE.+slice.+state.+changed )|(ment ac)|(multiple cpu faults)|(system.+state.+changed )|(\[timeout)|(PRM\|1\|D)|(kpr)|(kdp)|(\|lc)|(penalty))" /e /r /s</v>
      </c>
      <c r="AG101" s="1" t="str">
        <f t="shared" si="39"/>
        <v>EC</v>
      </c>
      <c r="AH101" s="86" t="str">
        <f t="shared" si="42"/>
        <v>"%USERPROFILE%\Documents\GitHub\eaglep3\Utilities\RefineRTDCRunTimes.py" --tripid 188-17 --locoid 4017 --swversion DE.1.0.9.0 --startMP 204:232996 --initTime 2017-02-17T15:18:00 --startdatetime 2017-02-17T15:26:23 --delay 1 --endMP 204:163 --enddatetime 2017-02-17T16:05:15 --enforcementcount 0 &gt;&gt;C:\Users\stu\Documents\GitHub\eaglep3-reporting\EC\2017-02-17-refined-times.txt</v>
      </c>
      <c r="AI101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{"issue":{"subject":"","project_id":79,"tracker_id":40,"status_id":1,"priority_id":2,"assigned_to_id":23,"start_date":"2017-02-17","description":"","custom_fields":[{"id":1,"name":"Subdivision","value":"EC"},{"id":4,"name":"Milepost","value":"0.0163"},{"id":17,"name":"Train ID","value":"188-17"},{"id":16,"name":"Locomotive ID","value":"4017"},{"id":130,"name":"Impact","value":""},{"id":150,"name":"Time of Event (Mountain Time)","value":"16:05:15"},{"id":151,"name":"Denver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44"/>
        <v>start /low /b %USERPROFILE%\Documents\GitHub\eaglep3\Utilities\DownloadLogsFromS3.py --loco 4017 --day 2017-02-17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"%USERPROFILE%\AppData\Local\Temp\OnboardLogs"\RTDC4017\*4017*20170217* | grep -SE "(Enforcement Action)|(\[TIMEOUT)|(CHR.+\|PRM\|1\|D.+(SWITCH|SIGNAL).+UNKNOWN)" - &gt;&gt; 2017-02-17-UncaughtWiMAX.txt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584</v>
      </c>
      <c r="B102" s="7">
        <v>4029</v>
      </c>
      <c r="C102" s="21" t="s">
        <v>682</v>
      </c>
      <c r="D102" s="21" t="s">
        <v>234</v>
      </c>
      <c r="E102" s="13">
        <v>42783.611157407409</v>
      </c>
      <c r="F102" s="13">
        <v>42783.614872685182</v>
      </c>
      <c r="G102" s="7">
        <v>3</v>
      </c>
      <c r="H102" s="21" t="s">
        <v>731</v>
      </c>
      <c r="I102" s="13">
        <v>42783.639074074075</v>
      </c>
      <c r="J102" s="7">
        <v>0</v>
      </c>
      <c r="K102" s="98" t="str">
        <f t="shared" si="29"/>
        <v>4029/4030</v>
      </c>
      <c r="L102" s="21" t="str">
        <f>VLOOKUP(A102,'Trips&amp;Operators'!$C$1:$G$99999,5,FALSE)</f>
        <v>ROMERO CHAD</v>
      </c>
      <c r="M102" s="6">
        <f t="shared" si="30"/>
        <v>2.4201388892834075E-2</v>
      </c>
      <c r="N102" s="7">
        <f t="shared" si="28"/>
        <v>34.850000005681068</v>
      </c>
      <c r="O102" s="7"/>
      <c r="P102" s="7"/>
      <c r="Q102" s="22"/>
      <c r="R102" s="22"/>
      <c r="S102" s="31">
        <f t="shared" si="31"/>
        <v>1</v>
      </c>
      <c r="T102" s="46" t="str">
        <f t="shared" si="32"/>
        <v>NorthBound</v>
      </c>
      <c r="U102" s="18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7" t="str">
        <f t="shared" si="33"/>
        <v>https://d0f6bd738d7f1b3e5a7ca70fe4ff75f0.us-east-1.aws.found.io/app/kibana#/discover/Steve-Slow-Train-Analysis-(2080s-and-2083s)?_g=(refreshInterval:(display:Off,pause:!f,section:0,value:0),time:(from:'2017-02-17T13:40:04-0700',mode:absolute,to:'2017-02-17T16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2" s="188" t="str">
        <f t="shared" si="34"/>
        <v>N</v>
      </c>
      <c r="X102" s="188">
        <f t="shared" si="45"/>
        <v>1</v>
      </c>
      <c r="Y102" s="62">
        <f t="shared" si="40"/>
        <v>4.5999999999999999E-2</v>
      </c>
      <c r="Z102" s="62">
        <f t="shared" si="41"/>
        <v>23.337</v>
      </c>
      <c r="AA102" s="62">
        <f t="shared" si="35"/>
        <v>23.291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6"/>
        <v>0189-17</v>
      </c>
      <c r="AE102" s="85" t="str">
        <f t="shared" si="37"/>
        <v>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 &amp; 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</v>
      </c>
      <c r="AF102" s="82" t="str">
        <f t="shared" si="38"/>
        <v>"C:\Program Files (x86)\AstroGrep\AstroGrep.exe" /spath="%USERPROFILE%\AppData\Local\Temp\OnboardLogs" /stypes="app*4029*20170217*" /stext=" 22:.+((SYSTEM_STATE.+slice.+state.+changed )|(ment ac)|(multiple cpu faults)|(system.+state.+changed )|(\[timeout)|(PRM\|1\|D)|(kpr)|(kdp)|(\|lc)|(penalty))" /e /r /s</v>
      </c>
      <c r="AG102" s="1" t="str">
        <f t="shared" si="39"/>
        <v>EC</v>
      </c>
      <c r="AH102" s="86" t="str">
        <f t="shared" si="42"/>
        <v>"%USERPROFILE%\Documents\GitHub\eaglep3\Utilities\RefineRTDCRunTimes.py" --tripid 189-17 --locoid 4029 --swversion DE.1.0.9.0 --startMP 204:460 --initTime 2017-02-17T14:40:04 --startdatetime 2017-02-17T14:45:25 --delay 3 --endMP 204:233370 --enddatetime 2017-02-17T15:20:16 --enforcementcount 0 &gt;&gt;C:\Users\stu\Documents\GitHub\eaglep3-reporting\EC\2017-02-17-refined-times.txt</v>
      </c>
      <c r="AI102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{"issue":{"subject":"","project_id":79,"tracker_id":40,"status_id":1,"priority_id":2,"assigned_to_id":23,"start_date":"2017-02-17","description":"","custom_fields":[{"id":1,"name":"Subdivision","value":"EC"},{"id":4,"name":"Milepost","value":"23.337"},{"id":17,"name":"Train ID","value":"189-17"},{"id":16,"name":"Locomotive ID","value":"4029"},{"id":130,"name":"Impact","value":""},{"id":150,"name":"Time of Event (Mountain Time)","value":"15:20:16"},{"id":151,"name":"Denver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44"/>
        <v>start /low /b %USERPROFILE%\Documents\GitHub\eaglep3\Utilities\DownloadLogsFromS3.py --loco 4029 --day 2017-02-17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"%USERPROFILE%\AppData\Local\Temp\OnboardLogs"\RTDC4029\*4029*20170217* | grep -SE "(Enforcement Action)|(\[TIMEOUT)|(CHR.+\|PRM\|1\|D.+(SWITCH|SIGNAL).+UNKNOWN)" - &gt;&gt; 2017-02-17-UncaughtWiMAX.txt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456</v>
      </c>
      <c r="B103" s="7">
        <v>4030</v>
      </c>
      <c r="C103" s="21" t="s">
        <v>682</v>
      </c>
      <c r="D103" s="21" t="s">
        <v>732</v>
      </c>
      <c r="E103" s="13">
        <v>42783.648946759262</v>
      </c>
      <c r="F103" s="13">
        <v>42783.653622685182</v>
      </c>
      <c r="G103" s="7">
        <v>1</v>
      </c>
      <c r="H103" s="21" t="s">
        <v>418</v>
      </c>
      <c r="I103" s="13">
        <v>42783.679456018515</v>
      </c>
      <c r="J103" s="7">
        <v>0</v>
      </c>
      <c r="K103" s="98" t="str">
        <f t="shared" si="29"/>
        <v>4029/4030</v>
      </c>
      <c r="L103" s="21" t="str">
        <f>VLOOKUP(A103,'Trips&amp;Operators'!$C$1:$G$99999,5,FALSE)</f>
        <v>ROMERO CHAD</v>
      </c>
      <c r="M103" s="6">
        <f t="shared" si="30"/>
        <v>2.5833333333139308E-2</v>
      </c>
      <c r="N103" s="7">
        <f t="shared" si="28"/>
        <v>37.199999999720603</v>
      </c>
      <c r="O103" s="7"/>
      <c r="P103" s="7"/>
      <c r="Q103" s="22"/>
      <c r="R103" s="22"/>
      <c r="S103" s="31">
        <f t="shared" si="31"/>
        <v>1</v>
      </c>
      <c r="T103" s="46" t="str">
        <f t="shared" si="32"/>
        <v>Southbound</v>
      </c>
      <c r="U103" s="18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7" t="str">
        <f t="shared" si="33"/>
        <v>https://d0f6bd738d7f1b3e5a7ca70fe4ff75f0.us-east-1.aws.found.io/app/kibana#/discover/Steve-Slow-Train-Analysis-(2080s-and-2083s)?_g=(refreshInterval:(display:Off,pause:!f,section:0,value:0),time:(from:'2017-02-17T14:34:29-0700',mode:absolute,to:'2017-02-17T17:18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3" s="188" t="str">
        <f t="shared" si="34"/>
        <v>N</v>
      </c>
      <c r="X103" s="188">
        <f t="shared" si="45"/>
        <v>1</v>
      </c>
      <c r="Y103" s="62">
        <f t="shared" si="40"/>
        <v>23.305499999999999</v>
      </c>
      <c r="Z103" s="62">
        <f t="shared" si="41"/>
        <v>1.2500000000000001E-2</v>
      </c>
      <c r="AA103" s="62">
        <f t="shared" si="35"/>
        <v>23.292999999999999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6"/>
        <v>0190-17</v>
      </c>
      <c r="AE103" s="85" t="str">
        <f t="shared" si="37"/>
        <v>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 &amp; 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</v>
      </c>
      <c r="AF103" s="82" t="str">
        <f t="shared" si="38"/>
        <v>"C:\Program Files (x86)\AstroGrep\AstroGrep.exe" /spath="%USERPROFILE%\AppData\Local\Temp\OnboardLogs" /stypes="app*4030*20170217*" /stext=" 23:.+((SYSTEM_STATE.+slice.+state.+changed )|(ment ac)|(multiple cpu faults)|(system.+state.+changed )|(\[timeout)|(PRM\|1\|D)|(kpr)|(kdp)|(\|lc)|(penalty))" /e /r /s</v>
      </c>
      <c r="AG103" s="1" t="str">
        <f t="shared" si="39"/>
        <v>EC</v>
      </c>
      <c r="AH103" s="86" t="str">
        <f t="shared" si="42"/>
        <v>"%USERPROFILE%\Documents\GitHub\eaglep3\Utilities\RefineRTDCRunTimes.py" --tripid 190-17 --locoid 4030 --swversion DE.1.0.9.0 --startMP 204:233055 --initTime 2017-02-17T15:34:29 --startdatetime 2017-02-17T15:41:13 --delay 1 --endMP 204:125 --enddatetime 2017-02-17T16:18:25 --enforcementcount 0 &gt;&gt;C:\Users\stu\Documents\GitHub\eaglep3-reporting\EC\2017-02-17-refined-times.txt</v>
      </c>
      <c r="AI103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{"issue":{"subject":"","project_id":79,"tracker_id":40,"status_id":1,"priority_id":2,"assigned_to_id":23,"start_date":"2017-02-17","description":"","custom_fields":[{"id":1,"name":"Subdivision","value":"EC"},{"id":4,"name":"Milepost","value":"0.0125"},{"id":17,"name":"Train ID","value":"190-17"},{"id":16,"name":"Locomotive ID","value":"4030"},{"id":130,"name":"Impact","value":""},{"id":150,"name":"Time of Event (Mountain Time)","value":"16:18:25"},{"id":151,"name":"Denver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44"/>
        <v>start /low /b %USERPROFILE%\Documents\GitHub\eaglep3\Utilities\DownloadLogsFromS3.py --loco 4030 --day 2017-02-17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"%USERPROFILE%\AppData\Local\Temp\OnboardLogs"\RTDC4030\*4030*20170217* | grep -SE "(Enforcement Action)|(\[TIMEOUT)|(CHR.+\|PRM\|1\|D.+(SWITCH|SIGNAL).+UNKNOWN)" - &gt;&gt; 2017-02-17-UncaughtWiMAX.txt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586</v>
      </c>
      <c r="B104" s="7">
        <v>4025</v>
      </c>
      <c r="C104" s="21" t="s">
        <v>682</v>
      </c>
      <c r="D104" s="21" t="s">
        <v>730</v>
      </c>
      <c r="E104" s="13">
        <v>42783.62091435185</v>
      </c>
      <c r="F104" s="13">
        <v>42783.625208333331</v>
      </c>
      <c r="G104" s="7">
        <v>1</v>
      </c>
      <c r="H104" s="21" t="s">
        <v>416</v>
      </c>
      <c r="I104" s="13">
        <v>42783.651284722226</v>
      </c>
      <c r="J104" s="7">
        <v>0</v>
      </c>
      <c r="K104" s="98" t="str">
        <f t="shared" si="29"/>
        <v>4025/4026</v>
      </c>
      <c r="L104" s="21" t="str">
        <f>VLOOKUP(A104,'Trips&amp;Operators'!$C$1:$G$99999,5,FALSE)</f>
        <v>CLARK KATHLEEN</v>
      </c>
      <c r="M104" s="6">
        <f t="shared" si="30"/>
        <v>2.6076388894580305E-2</v>
      </c>
      <c r="N104" s="7">
        <f t="shared" si="28"/>
        <v>37.550000008195639</v>
      </c>
      <c r="O104" s="7"/>
      <c r="P104" s="7"/>
      <c r="Q104" s="22"/>
      <c r="R104" s="22"/>
      <c r="S104" s="31">
        <f t="shared" si="31"/>
        <v>1</v>
      </c>
      <c r="T104" s="46" t="str">
        <f t="shared" si="32"/>
        <v>NorthBound</v>
      </c>
      <c r="U104" s="18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7" t="str">
        <f t="shared" si="33"/>
        <v>https://d0f6bd738d7f1b3e5a7ca70fe4ff75f0.us-east-1.aws.found.io/app/kibana#/discover/Steve-Slow-Train-Analysis-(2080s-and-2083s)?_g=(refreshInterval:(display:Off,pause:!f,section:0,value:0),time:(from:'2017-02-17T13:54:07-0700',mode:absolute,to:'2017-02-17T16:37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4" s="188" t="str">
        <f t="shared" si="34"/>
        <v>N</v>
      </c>
      <c r="X104" s="188">
        <f t="shared" si="45"/>
        <v>1</v>
      </c>
      <c r="Y104" s="62">
        <f t="shared" si="40"/>
        <v>4.82E-2</v>
      </c>
      <c r="Z104" s="62">
        <f t="shared" si="41"/>
        <v>23.333600000000001</v>
      </c>
      <c r="AA104" s="62">
        <f t="shared" si="35"/>
        <v>23.285399999999999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6"/>
        <v>0191-17</v>
      </c>
      <c r="AE104" s="85" t="str">
        <f t="shared" si="37"/>
        <v>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 &amp; aws s3 cp s3://rtdc.mdm.uploadarchive.raw/RTDC4025/ "%USERPROFILE%\AppData\Local\Temp\OnboardLogs"\RTDC4025\2017-02-18 --exclude "*" --recursive --include "*20170218*" &amp; "%USERPROFILE%\Documents\GitHub\mrs-test-scripts\Headless Mode &amp; Sideloading\WalkAndUnGZ.bat" "%USERPROFILE%\AppData\Local\Temp\OnboardLogs"\RTDC4025\2017-02-18</v>
      </c>
      <c r="AF104" s="82" t="str">
        <f t="shared" si="38"/>
        <v>"C:\Program Files (x86)\AstroGrep\AstroGrep.exe" /spath="%USERPROFILE%\AppData\Local\Temp\OnboardLogs" /stypes="app*4025*20170217*" /stext=" 22:.+((SYSTEM_STATE.+slice.+state.+changed )|(ment ac)|(multiple cpu faults)|(system.+state.+changed )|(\[timeout)|(PRM\|1\|D)|(kpr)|(kdp)|(\|lc)|(penalty))" /e /r /s</v>
      </c>
      <c r="AG104" s="1" t="str">
        <f t="shared" si="39"/>
        <v>EC</v>
      </c>
      <c r="AH104" s="86" t="str">
        <f t="shared" si="42"/>
        <v>"%USERPROFILE%\Documents\GitHub\eaglep3\Utilities\RefineRTDCRunTimes.py" --tripid 191-17 --locoid 4025 --swversion DE.1.0.9.0 --startMP 204:482 --initTime 2017-02-17T14:54:07 --startdatetime 2017-02-17T15:00:18 --delay 1 --endMP 204:233336 --enddatetime 2017-02-17T15:37:51 --enforcementcount 0 &gt;&gt;C:\Users\stu\Documents\GitHub\eaglep3-reporting\EC\2017-02-17-refined-times.txt</v>
      </c>
      <c r="AI104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{"issue":{"subject":"","project_id":79,"tracker_id":40,"status_id":1,"priority_id":2,"assigned_to_id":23,"start_date":"2017-02-17","description":"","custom_fields":[{"id":1,"name":"Subdivision","value":"EC"},{"id":4,"name":"Milepost","value":"23.3336"},{"id":17,"name":"Train ID","value":"191-17"},{"id":16,"name":"Locomotive ID","value":"4025"},{"id":130,"name":"Impact","value":""},{"id":150,"name":"Time of Event (Mountain Time)","value":"15:37:51"},{"id":151,"name":"Denver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44"/>
        <v>start /low /b %USERPROFILE%\Documents\GitHub\eaglep3\Utilities\DownloadLogsFromS3.py --loco 4025 --day 2017-02-17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"%USERPROFILE%\AppData\Local\Temp\OnboardLogs"\RTDC4025\*4025*20170217* | grep -SE "(Enforcement Action)|(\[TIMEOUT)|(CHR.+\|PRM\|1\|D.+(SWITCH|SIGNAL).+UNKNOWN)" - &gt;&gt; 2017-02-17-UncaughtWiMAX.txt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597</v>
      </c>
      <c r="B105" s="7">
        <v>4026</v>
      </c>
      <c r="C105" s="21" t="s">
        <v>682</v>
      </c>
      <c r="D105" s="21" t="s">
        <v>374</v>
      </c>
      <c r="E105" s="13">
        <v>42783.659513888888</v>
      </c>
      <c r="F105" s="13">
        <v>42783.664074074077</v>
      </c>
      <c r="G105" s="7">
        <v>1</v>
      </c>
      <c r="H105" s="21" t="s">
        <v>733</v>
      </c>
      <c r="I105" s="13">
        <v>42783.692395833335</v>
      </c>
      <c r="J105" s="7">
        <v>0</v>
      </c>
      <c r="K105" s="98" t="str">
        <f t="shared" si="29"/>
        <v>4025/4026</v>
      </c>
      <c r="L105" s="21" t="str">
        <f>VLOOKUP(A105,'Trips&amp;Operators'!$C$1:$G$99999,5,FALSE)</f>
        <v>CLARK KATHLEEN</v>
      </c>
      <c r="M105" s="6">
        <f t="shared" si="30"/>
        <v>2.8321759258687962E-2</v>
      </c>
      <c r="N105" s="7">
        <f t="shared" si="28"/>
        <v>40.783333332510665</v>
      </c>
      <c r="O105" s="7"/>
      <c r="P105" s="7"/>
      <c r="Q105" s="22"/>
      <c r="R105" s="22"/>
      <c r="S105" s="31">
        <f t="shared" si="31"/>
        <v>1</v>
      </c>
      <c r="T105" s="46" t="str">
        <f t="shared" si="32"/>
        <v>Southbound</v>
      </c>
      <c r="U105" s="18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7" t="str">
        <f t="shared" si="33"/>
        <v>https://d0f6bd738d7f1b3e5a7ca70fe4ff75f0.us-east-1.aws.found.io/app/kibana#/discover/Steve-Slow-Train-Analysis-(2080s-and-2083s)?_g=(refreshInterval:(display:Off,pause:!f,section:0,value:0),time:(from:'2017-02-17T14:49:42-0700',mode:absolute,to:'2017-02-17T17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5" s="188" t="str">
        <f t="shared" si="34"/>
        <v>N</v>
      </c>
      <c r="X105" s="188">
        <f t="shared" si="45"/>
        <v>1</v>
      </c>
      <c r="Y105" s="62">
        <f t="shared" si="40"/>
        <v>23.301500000000001</v>
      </c>
      <c r="Z105" s="62">
        <f t="shared" si="41"/>
        <v>2.1100000000000001E-2</v>
      </c>
      <c r="AA105" s="62">
        <f t="shared" si="35"/>
        <v>23.2804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6"/>
        <v>0192-17</v>
      </c>
      <c r="AE105" s="85" t="str">
        <f t="shared" si="37"/>
        <v>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 &amp; aws s3 cp s3://rtdc.mdm.uploadarchive.raw/RTDC4026/ "%USERPROFILE%\AppData\Local\Temp\OnboardLogs"\RTDC4026\2017-02-18 --exclude "*" --recursive --include "*20170218*" &amp; "%USERPROFILE%\Documents\GitHub\mrs-test-scripts\Headless Mode &amp; Sideloading\WalkAndUnGZ.bat" "%USERPROFILE%\AppData\Local\Temp\OnboardLogs"\RTDC4026\2017-02-18</v>
      </c>
      <c r="AF105" s="82" t="str">
        <f t="shared" si="38"/>
        <v>"C:\Program Files (x86)\AstroGrep\AstroGrep.exe" /spath="%USERPROFILE%\AppData\Local\Temp\OnboardLogs" /stypes="app*4026*20170217*" /stext=" 23:.+((SYSTEM_STATE.+slice.+state.+changed )|(ment ac)|(multiple cpu faults)|(system.+state.+changed )|(\[timeout)|(PRM\|1\|D)|(kpr)|(kdp)|(\|lc)|(penalty))" /e /r /s</v>
      </c>
      <c r="AG105" s="1" t="str">
        <f t="shared" si="39"/>
        <v>EC</v>
      </c>
      <c r="AH105" s="86" t="str">
        <f t="shared" si="42"/>
        <v>"%USERPROFILE%\Documents\GitHub\eaglep3\Utilities\RefineRTDCRunTimes.py" --tripid 192-17 --locoid 4026 --swversion DE.1.0.9.0 --startMP 204:233015 --initTime 2017-02-17T15:49:42 --startdatetime 2017-02-17T15:56:16 --delay 1 --endMP 204:211 --enddatetime 2017-02-17T16:37:03 --enforcementcount 0 &gt;&gt;C:\Users\stu\Documents\GitHub\eaglep3-reporting\EC\2017-02-17-refined-times.txt</v>
      </c>
      <c r="AI105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{"issue":{"subject":"","project_id":79,"tracker_id":40,"status_id":1,"priority_id":2,"assigned_to_id":23,"start_date":"2017-02-17","description":"","custom_fields":[{"id":1,"name":"Subdivision","value":"EC"},{"id":4,"name":"Milepost","value":"0.0211"},{"id":17,"name":"Train ID","value":"192-17"},{"id":16,"name":"Locomotive ID","value":"4026"},{"id":130,"name":"Impact","value":""},{"id":150,"name":"Time of Event (Mountain Time)","value":"16:37:03"},{"id":151,"name":"Denver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44"/>
        <v>start /low /b %USERPROFILE%\Documents\GitHub\eaglep3\Utilities\DownloadLogsFromS3.py --loco 4026 --day 2017-02-17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"%USERPROFILE%\AppData\Local\Temp\OnboardLogs"\RTDC4026\*4026*20170217* | grep -SE "(Enforcement Action)|(\[TIMEOUT)|(CHR.+\|PRM\|1\|D.+(SWITCH|SIGNAL).+UNKNOWN)" - &gt;&gt; 2017-02-17-UncaughtWiMAX.txt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3" t="s">
        <v>590</v>
      </c>
      <c r="B106" s="7">
        <v>4016</v>
      </c>
      <c r="C106" s="21" t="s">
        <v>682</v>
      </c>
      <c r="D106" s="21" t="s">
        <v>316</v>
      </c>
      <c r="E106" s="13">
        <v>42783.63071759259</v>
      </c>
      <c r="F106" s="13">
        <v>42783.635740740741</v>
      </c>
      <c r="G106" s="7">
        <v>1</v>
      </c>
      <c r="H106" s="21" t="s">
        <v>734</v>
      </c>
      <c r="I106" s="13">
        <v>42783.65997685185</v>
      </c>
      <c r="J106" s="7">
        <v>0</v>
      </c>
      <c r="K106" s="98" t="str">
        <f t="shared" si="29"/>
        <v>4015/4016</v>
      </c>
      <c r="L106" s="21" t="str">
        <f>VLOOKUP(A106,'Trips&amp;Operators'!$C$1:$G$99999,5,FALSE)</f>
        <v>BRUDER RICHARD</v>
      </c>
      <c r="M106" s="6">
        <f t="shared" si="30"/>
        <v>2.4236111108621117E-2</v>
      </c>
      <c r="N106" s="7">
        <f t="shared" si="28"/>
        <v>34.899999996414408</v>
      </c>
      <c r="O106" s="7"/>
      <c r="P106" s="7"/>
      <c r="Q106" s="22"/>
      <c r="R106" s="22"/>
      <c r="S106" s="31">
        <f t="shared" si="31"/>
        <v>1</v>
      </c>
      <c r="T106" s="46" t="str">
        <f t="shared" si="32"/>
        <v>NorthBound</v>
      </c>
      <c r="U106" s="18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7" t="str">
        <f t="shared" si="33"/>
        <v>https://d0f6bd738d7f1b3e5a7ca70fe4ff75f0.us-east-1.aws.found.io/app/kibana#/discover/Steve-Slow-Train-Analysis-(2080s-and-2083s)?_g=(refreshInterval:(display:Off,pause:!f,section:0,value:0),time:(from:'2017-02-17T14:08:14-0700',mode:absolute,to:'2017-02-17T16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6" s="188" t="str">
        <f t="shared" si="34"/>
        <v>N</v>
      </c>
      <c r="X106" s="188">
        <f t="shared" si="45"/>
        <v>1</v>
      </c>
      <c r="Y106" s="62">
        <f t="shared" si="40"/>
        <v>4.7800000000000002E-2</v>
      </c>
      <c r="Z106" s="62">
        <f t="shared" si="41"/>
        <v>23.3322</v>
      </c>
      <c r="AA106" s="62">
        <f t="shared" si="35"/>
        <v>23.284400000000002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6"/>
        <v>0193-17</v>
      </c>
      <c r="AE106" s="85" t="str">
        <f t="shared" si="37"/>
        <v>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 &amp; 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</v>
      </c>
      <c r="AF106" s="82" t="str">
        <f t="shared" si="38"/>
        <v>"C:\Program Files (x86)\AstroGrep\AstroGrep.exe" /spath="%USERPROFILE%\AppData\Local\Temp\OnboardLogs" /stypes="app*4016*20170217*" /stext=" 22:.+((SYSTEM_STATE.+slice.+state.+changed )|(ment ac)|(multiple cpu faults)|(system.+state.+changed )|(\[timeout)|(PRM\|1\|D)|(kpr)|(kdp)|(\|lc)|(penalty))" /e /r /s</v>
      </c>
      <c r="AG106" s="1" t="str">
        <f t="shared" si="39"/>
        <v>EC</v>
      </c>
      <c r="AH106" s="86" t="str">
        <f t="shared" si="42"/>
        <v>"%USERPROFILE%\Documents\GitHub\eaglep3\Utilities\RefineRTDCRunTimes.py" --tripid 193-17 --locoid 4016 --swversion DE.1.0.9.0 --startMP 204:478 --initTime 2017-02-17T15:08:14 --startdatetime 2017-02-17T15:15:28 --delay 1 --endMP 204:233322 --enddatetime 2017-02-17T15:50:22 --enforcementcount 0 &gt;&gt;C:\Users\stu\Documents\GitHub\eaglep3-reporting\EC\2017-02-17-refined-times.txt</v>
      </c>
      <c r="AI106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{"issue":{"subject":"","project_id":79,"tracker_id":40,"status_id":1,"priority_id":2,"assigned_to_id":23,"start_date":"2017-02-17","description":"","custom_fields":[{"id":1,"name":"Subdivision","value":"EC"},{"id":4,"name":"Milepost","value":"23.3322"},{"id":17,"name":"Train ID","value":"193-17"},{"id":16,"name":"Locomotive ID","value":"4016"},{"id":130,"name":"Impact","value":""},{"id":150,"name":"Time of Event (Mountain Time)","value":"15:50:22"},{"id":151,"name":"Denver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44"/>
        <v>start /low /b %USERPROFILE%\Documents\GitHub\eaglep3\Utilities\DownloadLogsFromS3.py --loco 4016 --day 2017-02-17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"%USERPROFILE%\AppData\Local\Temp\OnboardLogs"\RTDC4016\*4016*20170217* | grep -SE "(Enforcement Action)|(\[TIMEOUT)|(CHR.+\|PRM\|1\|D.+(SWITCH|SIGNAL).+UNKNOWN)" - &gt;&gt; 2017-02-17-UncaughtWiMAX.txt</v>
      </c>
    </row>
    <row r="107" spans="1:91" s="20" customFormat="1" x14ac:dyDescent="0.25">
      <c r="A107" s="33" t="s">
        <v>598</v>
      </c>
      <c r="B107" s="7">
        <v>4015</v>
      </c>
      <c r="C107" s="21" t="s">
        <v>682</v>
      </c>
      <c r="D107" s="21" t="s">
        <v>284</v>
      </c>
      <c r="E107" s="13">
        <v>42783.66978009259</v>
      </c>
      <c r="F107" s="13">
        <v>42783.674467592595</v>
      </c>
      <c r="G107" s="7">
        <v>1</v>
      </c>
      <c r="H107" s="21" t="s">
        <v>197</v>
      </c>
      <c r="I107" s="13">
        <v>42783.701006944444</v>
      </c>
      <c r="J107" s="7">
        <v>0</v>
      </c>
      <c r="K107" s="98" t="str">
        <f t="shared" si="29"/>
        <v>4015/4016</v>
      </c>
      <c r="L107" s="21" t="str">
        <f>VLOOKUP(A107,'Trips&amp;Operators'!$C$1:$G$99999,5,FALSE)</f>
        <v>BRUDER RICHARD</v>
      </c>
      <c r="M107" s="6">
        <f t="shared" si="30"/>
        <v>2.6539351849351078E-2</v>
      </c>
      <c r="N107" s="7">
        <f t="shared" si="28"/>
        <v>38.216666663065553</v>
      </c>
      <c r="O107" s="7"/>
      <c r="P107" s="7"/>
      <c r="Q107" s="22"/>
      <c r="R107" s="22"/>
      <c r="S107" s="31">
        <f t="shared" si="31"/>
        <v>1</v>
      </c>
      <c r="T107" s="46" t="str">
        <f t="shared" si="32"/>
        <v>Southbound</v>
      </c>
      <c r="U107" s="18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7" t="str">
        <f t="shared" si="33"/>
        <v>https://d0f6bd738d7f1b3e5a7ca70fe4ff75f0.us-east-1.aws.found.io/app/kibana#/discover/Steve-Slow-Train-Analysis-(2080s-and-2083s)?_g=(refreshInterval:(display:Off,pause:!f,section:0,value:0),time:(from:'2017-02-17T15:04:29-0700',mode:absolute,to:'2017-02-17T17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7" s="188" t="str">
        <f t="shared" si="34"/>
        <v>N</v>
      </c>
      <c r="X107" s="188">
        <f t="shared" si="45"/>
        <v>1</v>
      </c>
      <c r="Y107" s="62">
        <f t="shared" si="40"/>
        <v>23.297999999999998</v>
      </c>
      <c r="Z107" s="62">
        <f t="shared" si="41"/>
        <v>1.4500000000000001E-2</v>
      </c>
      <c r="AA107" s="62">
        <f t="shared" si="35"/>
        <v>23.283499999999997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6"/>
        <v>0194-17</v>
      </c>
      <c r="AE107" s="85" t="str">
        <f t="shared" si="37"/>
        <v>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 &amp; 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</v>
      </c>
      <c r="AF107" s="82" t="str">
        <f t="shared" si="38"/>
        <v>"C:\Program Files (x86)\AstroGrep\AstroGrep.exe" /spath="%USERPROFILE%\AppData\Local\Temp\OnboardLogs" /stypes="app*4015*20170217*" /stext=" 23:.+((SYSTEM_STATE.+slice.+state.+changed )|(ment ac)|(multiple cpu faults)|(system.+state.+changed )|(\[timeout)|(PRM\|1\|D)|(kpr)|(kdp)|(\|lc)|(penalty))" /e /r /s</v>
      </c>
      <c r="AG107" s="1" t="str">
        <f t="shared" si="39"/>
        <v>EC</v>
      </c>
      <c r="AH107" s="86" t="str">
        <f t="shared" si="42"/>
        <v>"%USERPROFILE%\Documents\GitHub\eaglep3\Utilities\RefineRTDCRunTimes.py" --tripid 194-17 --locoid 4015 --swversion DE.1.0.9.0 --startMP 204:232980 --initTime 2017-02-17T16:04:29 --startdatetime 2017-02-17T16:11:14 --delay 1 --endMP 204:145 --enddatetime 2017-02-17T16:49:27 --enforcementcount 0 &gt;&gt;C:\Users\stu\Documents\GitHub\eaglep3-reporting\EC\2017-02-17-refined-times.txt</v>
      </c>
      <c r="AI107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{"issue":{"subject":"","project_id":79,"tracker_id":40,"status_id":1,"priority_id":2,"assigned_to_id":23,"start_date":"2017-02-17","description":"","custom_fields":[{"id":1,"name":"Subdivision","value":"EC"},{"id":4,"name":"Milepost","value":"0.0145"},{"id":17,"name":"Train ID","value":"194-17"},{"id":16,"name":"Locomotive ID","value":"4015"},{"id":130,"name":"Impact","value":""},{"id":150,"name":"Time of Event (Mountain Time)","value":"16:49:27"},{"id":151,"name":"Denver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44"/>
        <v>start /low /b %USERPROFILE%\Documents\GitHub\eaglep3\Utilities\DownloadLogsFromS3.py --loco 4015 --day 2017-02-17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"%USERPROFILE%\AppData\Local\Temp\OnboardLogs"\RTDC4015\*4015*20170217* | grep -SE "(Enforcement Action)|(\[TIMEOUT)|(CHR.+\|PRM\|1\|D.+(SWITCH|SIGNAL).+UNKNOWN)" - &gt;&gt; 2017-02-17-UncaughtWiMAX.txt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3" t="s">
        <v>593</v>
      </c>
      <c r="B108" s="7">
        <v>4044</v>
      </c>
      <c r="C108" s="21" t="s">
        <v>682</v>
      </c>
      <c r="D108" s="21" t="s">
        <v>231</v>
      </c>
      <c r="E108" s="13">
        <v>42783.64162037037</v>
      </c>
      <c r="F108" s="13">
        <v>42783.646122685182</v>
      </c>
      <c r="G108" s="7">
        <v>1</v>
      </c>
      <c r="H108" s="21" t="s">
        <v>717</v>
      </c>
      <c r="I108" s="13">
        <v>42783.671747685185</v>
      </c>
      <c r="J108" s="7">
        <v>0</v>
      </c>
      <c r="K108" s="98" t="str">
        <f t="shared" si="29"/>
        <v>4043/4044</v>
      </c>
      <c r="L108" s="21" t="str">
        <f>VLOOKUP(A108,'Trips&amp;Operators'!$C$1:$G$99999,5,FALSE)</f>
        <v>HELVIE ADAM</v>
      </c>
      <c r="M108" s="6">
        <f t="shared" si="30"/>
        <v>2.5625000002037268E-2</v>
      </c>
      <c r="N108" s="7">
        <f t="shared" ref="N108:N139" si="46">24*60*SUM($M108:$M108)</f>
        <v>36.900000002933666</v>
      </c>
      <c r="O108" s="7"/>
      <c r="P108" s="7"/>
      <c r="Q108" s="22"/>
      <c r="R108" s="22"/>
      <c r="S108" s="31">
        <f t="shared" si="31"/>
        <v>1</v>
      </c>
      <c r="T108" s="46" t="str">
        <f t="shared" si="32"/>
        <v>NorthBound</v>
      </c>
      <c r="U108" s="18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7" t="str">
        <f t="shared" si="33"/>
        <v>https://d0f6bd738d7f1b3e5a7ca70fe4ff75f0.us-east-1.aws.found.io/app/kibana#/discover/Steve-Slow-Train-Analysis-(2080s-and-2083s)?_g=(refreshInterval:(display:Off,pause:!f,section:0,value:0),time:(from:'2017-02-17T14:23:56-0700',mode:absolute,to:'2017-02-17T17:07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8" s="188" t="str">
        <f t="shared" si="34"/>
        <v>N</v>
      </c>
      <c r="X108" s="188">
        <f t="shared" si="45"/>
        <v>1</v>
      </c>
      <c r="Y108" s="62">
        <f t="shared" si="40"/>
        <v>4.5699999999999998E-2</v>
      </c>
      <c r="Z108" s="62">
        <f t="shared" si="41"/>
        <v>23.33</v>
      </c>
      <c r="AA108" s="62">
        <f t="shared" si="35"/>
        <v>23.284299999999998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6"/>
        <v>0195-17</v>
      </c>
      <c r="AE108" s="85" t="str">
        <f t="shared" si="37"/>
        <v>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 &amp; 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</v>
      </c>
      <c r="AF108" s="82" t="str">
        <f t="shared" si="38"/>
        <v>"C:\Program Files (x86)\AstroGrep\AstroGrep.exe" /spath="%USERPROFILE%\AppData\Local\Temp\OnboardLogs" /stypes="app*4044*20170217*" /stext=" 23:.+((SYSTEM_STATE.+slice.+state.+changed )|(ment ac)|(multiple cpu faults)|(system.+state.+changed )|(\[timeout)|(PRM\|1\|D)|(kpr)|(kdp)|(\|lc)|(penalty))" /e /r /s</v>
      </c>
      <c r="AG108" s="1" t="str">
        <f t="shared" si="39"/>
        <v>EC</v>
      </c>
      <c r="AH108" s="86" t="str">
        <f t="shared" si="42"/>
        <v>"%USERPROFILE%\Documents\GitHub\eaglep3\Utilities\RefineRTDCRunTimes.py" --tripid 195-17 --locoid 4044 --swversion DE.1.0.9.0 --startMP 204:457 --initTime 2017-02-17T15:23:56 --startdatetime 2017-02-17T15:30:25 --delay 1 --endMP 204:233300 --enddatetime 2017-02-17T16:07:19 --enforcementcount 0 &gt;&gt;C:\Users\stu\Documents\GitHub\eaglep3-reporting\EC\2017-02-17-refined-times.txt</v>
      </c>
      <c r="AI108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{"issue":{"subject":"","project_id":79,"tracker_id":40,"status_id":1,"priority_id":2,"assigned_to_id":23,"start_date":"2017-02-17","description":"","custom_fields":[{"id":1,"name":"Subdivision","value":"EC"},{"id":4,"name":"Milepost","value":"23.33"},{"id":17,"name":"Train ID","value":"195-17"},{"id":16,"name":"Locomotive ID","value":"4044"},{"id":130,"name":"Impact","value":""},{"id":150,"name":"Time of Event (Mountain Time)","value":"16:07:19"},{"id":151,"name":"Denver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44"/>
        <v>start /low /b %USERPROFILE%\Documents\GitHub\eaglep3\Utilities\DownloadLogsFromS3.py --loco 4044 --day 2017-02-17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"%USERPROFILE%\AppData\Local\Temp\OnboardLogs"\RTDC4044\*4044*20170217* | grep -SE "(Enforcement Action)|(\[TIMEOUT)|(CHR.+\|PRM\|1\|D.+(SWITCH|SIGNAL).+UNKNOWN)" - &gt;&gt; 2017-02-17-UncaughtWiMAX.txt</v>
      </c>
    </row>
    <row r="109" spans="1:91" s="20" customFormat="1" x14ac:dyDescent="0.25">
      <c r="A109" s="33" t="s">
        <v>602</v>
      </c>
      <c r="B109" s="7">
        <v>4043</v>
      </c>
      <c r="C109" s="21" t="s">
        <v>682</v>
      </c>
      <c r="D109" s="21" t="s">
        <v>280</v>
      </c>
      <c r="E109" s="13">
        <v>42783.682187500002</v>
      </c>
      <c r="F109" s="13">
        <v>42783.685208333336</v>
      </c>
      <c r="G109" s="7">
        <v>2</v>
      </c>
      <c r="H109" s="21" t="s">
        <v>265</v>
      </c>
      <c r="I109" s="13">
        <v>42783.711886574078</v>
      </c>
      <c r="J109" s="7">
        <v>0</v>
      </c>
      <c r="K109" s="98" t="str">
        <f t="shared" si="29"/>
        <v>4043/4044</v>
      </c>
      <c r="L109" s="21" t="str">
        <f>VLOOKUP(A109,'Trips&amp;Operators'!$C$1:$G$99999,5,FALSE)</f>
        <v>HELVIE ADAM</v>
      </c>
      <c r="M109" s="6">
        <f t="shared" si="30"/>
        <v>2.6678240741603076E-2</v>
      </c>
      <c r="N109" s="7">
        <f t="shared" si="46"/>
        <v>38.41666666790843</v>
      </c>
      <c r="O109" s="7"/>
      <c r="P109" s="7"/>
      <c r="Q109" s="22"/>
      <c r="R109" s="22"/>
      <c r="S109" s="31">
        <f t="shared" ref="S109:S140" si="47">SUM(U109:U109)/IF(AG109="EC",12,1)</f>
        <v>1</v>
      </c>
      <c r="T109" s="46" t="str">
        <f t="shared" si="32"/>
        <v>Southbound</v>
      </c>
      <c r="U109" s="18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7" t="str">
        <f t="shared" si="33"/>
        <v>https://d0f6bd738d7f1b3e5a7ca70fe4ff75f0.us-east-1.aws.found.io/app/kibana#/discover/Steve-Slow-Train-Analysis-(2080s-and-2083s)?_g=(refreshInterval:(display:Off,pause:!f,section:0,value:0),time:(from:'2017-02-17T15:22:21-0700',mode:absolute,to:'2017-02-17T18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9" s="188" t="str">
        <f t="shared" si="34"/>
        <v>N</v>
      </c>
      <c r="X109" s="188">
        <f t="shared" si="45"/>
        <v>1</v>
      </c>
      <c r="Y109" s="62">
        <f t="shared" si="40"/>
        <v>23.2987</v>
      </c>
      <c r="Z109" s="62">
        <f t="shared" si="41"/>
        <v>1.3899999999999999E-2</v>
      </c>
      <c r="AA109" s="62">
        <f t="shared" si="35"/>
        <v>23.284800000000001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6"/>
        <v>0196-17</v>
      </c>
      <c r="AE109" s="85" t="str">
        <f t="shared" si="37"/>
        <v>aws s3 cp s3://rtdc.mdm.uploadarchive.raw/RTDC4043/ "%USERPROFILE%\AppData\Local\Temp\OnboardLogs"\RTDC4043\2017-02-17 --exclude "*" --recursive --include "*20170217*" &amp; "%USERPROFILE%\Documents\GitHub\mrs-test-scripts\Headless Mode &amp; Sideloading\WalkAndUnGZ.bat" "%USERPROFILE%\AppData\Local\Temp\OnboardLogs"\RTDC4043\2017-02-17 &amp; aws s3 cp s3://rtdc.mdm.uploadarchive.raw/RTDC4043/ "%USERPROFILE%\AppData\Local\Temp\OnboardLogs"\RTDC4043\2017-02-18 --exclude "*" --recursive --include "*20170218*" &amp; "%USERPROFILE%\Documents\GitHub\mrs-test-scripts\Headless Mode &amp; Sideloading\WalkAndUnGZ.bat" "%USERPROFILE%\AppData\Local\Temp\OnboardLogs"\RTDC4043\2017-02-18</v>
      </c>
      <c r="AF109" s="82" t="str">
        <f t="shared" si="38"/>
        <v>"C:\Program Files (x86)\AstroGrep\AstroGrep.exe" /spath="%USERPROFILE%\AppData\Local\Temp\OnboardLogs" /stypes="app*4043*20170218*" /stext=" 00:.+((SYSTEM_STATE.+slice.+state.+changed )|(ment ac)|(multiple cpu faults)|(system.+state.+changed )|(\[timeout)|(PRM\|1\|D)|(kpr)|(kdp)|(\|lc)|(penalty))" /e /r /s</v>
      </c>
      <c r="AG109" s="1" t="str">
        <f t="shared" si="39"/>
        <v>EC</v>
      </c>
      <c r="AH109" s="86" t="str">
        <f t="shared" si="42"/>
        <v>"%USERPROFILE%\Documents\GitHub\eaglep3\Utilities\RefineRTDCRunTimes.py" --tripid 196-17 --locoid 4043 --swversion DE.1.0.9.0 --startMP 204:232987 --initTime 2017-02-17T16:22:21 --startdatetime 2017-02-17T16:26:42 --delay 2 --endMP 204:139 --enddatetime 2017-02-17T17:05:07 --enforcementcount 0 &gt;&gt;C:\Users\stu\Documents\GitHub\eaglep3-reporting\EC\2017-02-17-refined-times.txt</v>
      </c>
      <c r="AI109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{"issue":{"subject":"","project_id":79,"tracker_id":40,"status_id":1,"priority_id":2,"assigned_to_id":23,"start_date":"2017-02-17","description":"","custom_fields":[{"id":1,"name":"Subdivision","value":"EC"},{"id":4,"name":"Milepost","value":"0.0139"},{"id":17,"name":"Train ID","value":"196-17"},{"id":16,"name":"Locomotive ID","value":"4043"},{"id":130,"name":"Impact","value":""},{"id":150,"name":"Time of Event (Mountain Time)","value":"17:05:07"},{"id":151,"name":"Denver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44"/>
        <v>start /low /b %USERPROFILE%\Documents\GitHub\eaglep3\Utilities\DownloadLogsFromS3.py --loco 4043 --day 2017-02-17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"%USERPROFILE%\AppData\Local\Temp\OnboardLogs"\RTDC4043\*4043*20170217* | grep -SE "(Enforcement Action)|(\[TIMEOUT)|(CHR.+\|PRM\|1\|D.+(SWITCH|SIGNAL).+UNKNOWN)" - &gt;&gt; 2017-02-17-UncaughtWiMAX.txt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595</v>
      </c>
      <c r="B110" s="7">
        <v>4027</v>
      </c>
      <c r="C110" s="21" t="s">
        <v>682</v>
      </c>
      <c r="D110" s="21" t="s">
        <v>735</v>
      </c>
      <c r="E110" s="13">
        <v>42783.65253472222</v>
      </c>
      <c r="F110" s="13">
        <v>42783.656550925924</v>
      </c>
      <c r="G110" s="7">
        <v>1</v>
      </c>
      <c r="H110" s="21" t="s">
        <v>402</v>
      </c>
      <c r="I110" s="13">
        <v>42783.681458333333</v>
      </c>
      <c r="J110" s="7">
        <v>0</v>
      </c>
      <c r="K110" s="98" t="str">
        <f t="shared" si="29"/>
        <v>4027/4028</v>
      </c>
      <c r="L110" s="21" t="str">
        <f>VLOOKUP(A110,'Trips&amp;Operators'!$C$1:$G$99999,5,FALSE)</f>
        <v>KILLION DAVID</v>
      </c>
      <c r="M110" s="6">
        <f t="shared" si="30"/>
        <v>2.4907407409045845E-2</v>
      </c>
      <c r="N110" s="7">
        <f t="shared" si="46"/>
        <v>35.866666669026017</v>
      </c>
      <c r="O110" s="7"/>
      <c r="P110" s="7"/>
      <c r="Q110" s="22"/>
      <c r="R110" s="22"/>
      <c r="S110" s="31">
        <f t="shared" si="47"/>
        <v>1</v>
      </c>
      <c r="T110" s="46" t="str">
        <f t="shared" si="32"/>
        <v>NorthBound</v>
      </c>
      <c r="U110" s="18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7" t="str">
        <f t="shared" si="33"/>
        <v>https://d0f6bd738d7f1b3e5a7ca70fe4ff75f0.us-east-1.aws.found.io/app/kibana#/discover/Steve-Slow-Train-Analysis-(2080s-and-2083s)?_g=(refreshInterval:(display:Off,pause:!f,section:0,value:0),time:(from:'2017-02-17T14:39:39-0700',mode:absolute,to:'2017-02-17T17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0" s="188" t="str">
        <f t="shared" si="34"/>
        <v>N</v>
      </c>
      <c r="X110" s="188">
        <f t="shared" si="45"/>
        <v>1</v>
      </c>
      <c r="Y110" s="62">
        <f t="shared" si="40"/>
        <v>4.07E-2</v>
      </c>
      <c r="Z110" s="62">
        <f t="shared" si="41"/>
        <v>23.329499999999999</v>
      </c>
      <c r="AA110" s="62">
        <f t="shared" si="35"/>
        <v>23.288799999999998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6"/>
        <v>0197-17</v>
      </c>
      <c r="AE110" s="85" t="str">
        <f t="shared" si="37"/>
        <v>aws s3 cp s3://rtdc.mdm.uploadarchive.raw/RTDC4027/ "%USERPROFILE%\AppData\Local\Temp\OnboardLogs"\RTDC4027\2017-02-17 --exclude "*" --recursive --include "*20170217*" &amp; "%USERPROFILE%\Documents\GitHub\mrs-test-scripts\Headless Mode &amp; Sideloading\WalkAndUnGZ.bat" "%USERPROFILE%\AppData\Local\Temp\OnboardLogs"\RTDC4027\2017-02-17 &amp; 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</v>
      </c>
      <c r="AF110" s="82" t="str">
        <f t="shared" si="38"/>
        <v>"C:\Program Files (x86)\AstroGrep\AstroGrep.exe" /spath="%USERPROFILE%\AppData\Local\Temp\OnboardLogs" /stypes="app*4027*20170217*" /stext=" 23:.+((SYSTEM_STATE.+slice.+state.+changed )|(ment ac)|(multiple cpu faults)|(system.+state.+changed )|(\[timeout)|(PRM\|1\|D)|(kpr)|(kdp)|(\|lc)|(penalty))" /e /r /s</v>
      </c>
      <c r="AG110" s="1" t="str">
        <f t="shared" si="39"/>
        <v>EC</v>
      </c>
      <c r="AH110" s="86" t="str">
        <f t="shared" si="42"/>
        <v>"%USERPROFILE%\Documents\GitHub\eaglep3\Utilities\RefineRTDCRunTimes.py" --tripid 197-17 --locoid 4027 --swversion DE.1.0.9.0 --startMP 204:407 --initTime 2017-02-17T15:39:39 --startdatetime 2017-02-17T15:45:26 --delay 1 --endMP 204:233295 --enddatetime 2017-02-17T16:21:18 --enforcementcount 0 &gt;&gt;C:\Users\stu\Documents\GitHub\eaglep3-reporting\EC\2017-02-17-refined-times.txt</v>
      </c>
      <c r="AI110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{"issue":{"subject":"","project_id":79,"tracker_id":40,"status_id":1,"priority_id":2,"assigned_to_id":23,"start_date":"2017-02-17","description":"","custom_fields":[{"id":1,"name":"Subdivision","value":"EC"},{"id":4,"name":"Milepost","value":"23.3295"},{"id":17,"name":"Train ID","value":"197-17"},{"id":16,"name":"Locomotive ID","value":"4027"},{"id":130,"name":"Impact","value":""},{"id":150,"name":"Time of Event (Mountain Time)","value":"16:21:18"},{"id":151,"name":"Denver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44"/>
        <v>start /low /b %USERPROFILE%\Documents\GitHub\eaglep3\Utilities\DownloadLogsFromS3.py --loco 4027 --day 2017-02-17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"%USERPROFILE%\AppData\Local\Temp\OnboardLogs"\RTDC4027\*4027*20170217* | grep -SE "(Enforcement Action)|(\[TIMEOUT)|(CHR.+\|PRM\|1\|D.+(SWITCH|SIGNAL).+UNKNOWN)" - &gt;&gt; 2017-02-17-UncaughtWiMAX.txt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604</v>
      </c>
      <c r="B111" s="7">
        <v>4028</v>
      </c>
      <c r="C111" s="21" t="s">
        <v>682</v>
      </c>
      <c r="D111" s="21" t="s">
        <v>366</v>
      </c>
      <c r="E111" s="13">
        <v>42783.689942129633</v>
      </c>
      <c r="F111" s="13">
        <v>42783.695405092592</v>
      </c>
      <c r="G111" s="7">
        <v>1</v>
      </c>
      <c r="H111" s="21" t="s">
        <v>204</v>
      </c>
      <c r="I111" s="13">
        <v>42783.727060185185</v>
      </c>
      <c r="J111" s="7">
        <v>0</v>
      </c>
      <c r="K111" s="98" t="str">
        <f t="shared" si="29"/>
        <v>4027/4028</v>
      </c>
      <c r="L111" s="21" t="str">
        <f>VLOOKUP(A111,'Trips&amp;Operators'!$C$1:$G$99999,5,FALSE)</f>
        <v>KILLION DAVID</v>
      </c>
      <c r="M111" s="6">
        <f t="shared" si="30"/>
        <v>3.1655092592700385E-2</v>
      </c>
      <c r="N111" s="7">
        <f t="shared" si="46"/>
        <v>45.583333333488554</v>
      </c>
      <c r="O111" s="7"/>
      <c r="P111" s="7"/>
      <c r="Q111" s="22"/>
      <c r="R111" s="22"/>
      <c r="S111" s="31">
        <f t="shared" si="47"/>
        <v>1</v>
      </c>
      <c r="T111" s="46" t="str">
        <f t="shared" si="32"/>
        <v>Southbound</v>
      </c>
      <c r="U111" s="18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7" t="str">
        <f t="shared" si="33"/>
        <v>https://d0f6bd738d7f1b3e5a7ca70fe4ff75f0.us-east-1.aws.found.io/app/kibana#/discover/Steve-Slow-Train-Analysis-(2080s-and-2083s)?_g=(refreshInterval:(display:Off,pause:!f,section:0,value:0),time:(from:'2017-02-17T15:33:31-0700',mode:absolute,to:'2017-02-17T18:26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1" s="188" t="str">
        <f t="shared" si="34"/>
        <v>N</v>
      </c>
      <c r="X111" s="188">
        <f t="shared" si="45"/>
        <v>1</v>
      </c>
      <c r="Y111" s="62">
        <f t="shared" si="40"/>
        <v>23.297499999999999</v>
      </c>
      <c r="Z111" s="62">
        <f t="shared" si="41"/>
        <v>1.6E-2</v>
      </c>
      <c r="AA111" s="62">
        <f t="shared" si="35"/>
        <v>23.281500000000001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6"/>
        <v>0198-17</v>
      </c>
      <c r="AE111" s="85" t="str">
        <f t="shared" si="37"/>
        <v>aws s3 cp s3://rtdc.mdm.uploadarchive.raw/RTDC4028/ "%USERPROFILE%\AppData\Local\Temp\OnboardLogs"\RTDC4028\2017-02-17 --exclude "*" --recursive --include "*20170217*" &amp; "%USERPROFILE%\Documents\GitHub\mrs-test-scripts\Headless Mode &amp; Sideloading\WalkAndUnGZ.bat" "%USERPROFILE%\AppData\Local\Temp\OnboardLogs"\RTDC4028\2017-02-17 &amp; 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</v>
      </c>
      <c r="AF111" s="82" t="str">
        <f t="shared" si="38"/>
        <v>"C:\Program Files (x86)\AstroGrep\AstroGrep.exe" /spath="%USERPROFILE%\AppData\Local\Temp\OnboardLogs" /stypes="app*4028*20170218*" /stext=" 00:.+((SYSTEM_STATE.+slice.+state.+changed )|(ment ac)|(multiple cpu faults)|(system.+state.+changed )|(\[timeout)|(PRM\|1\|D)|(kpr)|(kdp)|(\|lc)|(penalty))" /e /r /s</v>
      </c>
      <c r="AG111" s="1" t="str">
        <f t="shared" si="39"/>
        <v>EC</v>
      </c>
      <c r="AH111" s="86" t="str">
        <f t="shared" si="42"/>
        <v>"%USERPROFILE%\Documents\GitHub\eaglep3\Utilities\RefineRTDCRunTimes.py" --tripid 198-17 --locoid 4028 --swversion DE.1.0.9.0 --startMP 204:232975 --initTime 2017-02-17T16:33:31 --startdatetime 2017-02-17T16:41:23 --delay 1 --endMP 204:160 --enddatetime 2017-02-17T17:26:58 --enforcementcount 0 &gt;&gt;C:\Users\stu\Documents\GitHub\eaglep3-reporting\EC\2017-02-17-refined-times.txt</v>
      </c>
      <c r="AI111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{"issue":{"subject":"","project_id":79,"tracker_id":40,"status_id":1,"priority_id":2,"assigned_to_id":23,"start_date":"2017-02-17","description":"","custom_fields":[{"id":1,"name":"Subdivision","value":"EC"},{"id":4,"name":"Milepost","value":"0.016"},{"id":17,"name":"Train ID","value":"198-17"},{"id":16,"name":"Locomotive ID","value":"4028"},{"id":130,"name":"Impact","value":""},{"id":150,"name":"Time of Event (Mountain Time)","value":"17:26:58"},{"id":151,"name":"Denver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44"/>
        <v>start /low /b %USERPROFILE%\Documents\GitHub\eaglep3\Utilities\DownloadLogsFromS3.py --loco 4028 --day 2017-02-17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2017-02-17-UncaughtWiMAX.txt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457</v>
      </c>
      <c r="B112" s="7">
        <v>4046</v>
      </c>
      <c r="C112" s="21" t="s">
        <v>682</v>
      </c>
      <c r="D112" s="21" t="s">
        <v>207</v>
      </c>
      <c r="E112" s="13">
        <v>42783.66097222222</v>
      </c>
      <c r="F112" s="13">
        <v>42783.666828703703</v>
      </c>
      <c r="G112" s="7">
        <v>1</v>
      </c>
      <c r="H112" s="21" t="s">
        <v>283</v>
      </c>
      <c r="I112" s="13">
        <v>42783.692129629628</v>
      </c>
      <c r="J112" s="7">
        <v>0</v>
      </c>
      <c r="K112" s="98" t="str">
        <f t="shared" si="29"/>
        <v>4045/4046</v>
      </c>
      <c r="L112" s="21" t="str">
        <f>VLOOKUP(A112,'Trips&amp;Operators'!$C$1:$G$99999,5,FALSE)</f>
        <v>BRANNON JEFFREY</v>
      </c>
      <c r="M112" s="6">
        <f t="shared" si="30"/>
        <v>2.5300925924966577E-2</v>
      </c>
      <c r="N112" s="7">
        <f t="shared" si="46"/>
        <v>36.433333331951872</v>
      </c>
      <c r="O112" s="7"/>
      <c r="P112" s="7"/>
      <c r="Q112" s="22"/>
      <c r="R112" s="22"/>
      <c r="S112" s="31">
        <f t="shared" si="47"/>
        <v>1</v>
      </c>
      <c r="T112" s="46" t="str">
        <f t="shared" si="32"/>
        <v>NorthBound</v>
      </c>
      <c r="U112" s="18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7" t="str">
        <f t="shared" si="33"/>
        <v>https://d0f6bd738d7f1b3e5a7ca70fe4ff75f0.us-east-1.aws.found.io/app/kibana#/discover/Steve-Slow-Train-Analysis-(2080s-and-2083s)?_g=(refreshInterval:(display:Off,pause:!f,section:0,value:0),time:(from:'2017-02-17T14:51:48-0700',mode:absolute,to:'2017-02-17T17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2" s="188" t="str">
        <f t="shared" si="34"/>
        <v>N</v>
      </c>
      <c r="X112" s="188">
        <f t="shared" si="45"/>
        <v>1</v>
      </c>
      <c r="Y112" s="62">
        <f t="shared" si="40"/>
        <v>4.4900000000000002E-2</v>
      </c>
      <c r="Z112" s="62">
        <f t="shared" si="41"/>
        <v>23.331199999999999</v>
      </c>
      <c r="AA112" s="62">
        <f t="shared" si="35"/>
        <v>23.286300000000001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6"/>
        <v>0199-17</v>
      </c>
      <c r="AE112" s="85" t="str">
        <f t="shared" si="37"/>
        <v>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 &amp; aws s3 cp s3://rtdc.mdm.uploadarchive.raw/RTDC4046/ "%USERPROFILE%\AppData\Local\Temp\OnboardLogs"\RTDC4046\2017-02-18 --exclude "*" --recursive --include "*20170218*" &amp; "%USERPROFILE%\Documents\GitHub\mrs-test-scripts\Headless Mode &amp; Sideloading\WalkAndUnGZ.bat" "%USERPROFILE%\AppData\Local\Temp\OnboardLogs"\RTDC4046\2017-02-18</v>
      </c>
      <c r="AF112" s="82" t="str">
        <f t="shared" si="38"/>
        <v>"C:\Program Files (x86)\AstroGrep\AstroGrep.exe" /spath="%USERPROFILE%\AppData\Local\Temp\OnboardLogs" /stypes="app*4046*20170217*" /stext=" 23:.+((SYSTEM_STATE.+slice.+state.+changed )|(ment ac)|(multiple cpu faults)|(system.+state.+changed )|(\[timeout)|(PRM\|1\|D)|(kpr)|(kdp)|(\|lc)|(penalty))" /e /r /s</v>
      </c>
      <c r="AG112" s="1" t="str">
        <f t="shared" si="39"/>
        <v>EC</v>
      </c>
      <c r="AH112" s="86" t="str">
        <f t="shared" si="42"/>
        <v>"%USERPROFILE%\Documents\GitHub\eaglep3\Utilities\RefineRTDCRunTimes.py" --tripid 199-17 --locoid 4046 --swversion DE.1.0.9.0 --startMP 204:449 --initTime 2017-02-17T15:51:48 --startdatetime 2017-02-17T16:00:14 --delay 1 --endMP 204:233312 --enddatetime 2017-02-17T16:36:40 --enforcementcount 0 &gt;&gt;C:\Users\stu\Documents\GitHub\eaglep3-reporting\EC\2017-02-17-refined-times.txt</v>
      </c>
      <c r="AI112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{"issue":{"subject":"","project_id":79,"tracker_id":40,"status_id":1,"priority_id":2,"assigned_to_id":23,"start_date":"2017-02-17","description":"","custom_fields":[{"id":1,"name":"Subdivision","value":"EC"},{"id":4,"name":"Milepost","value":"23.3312"},{"id":17,"name":"Train ID","value":"199-17"},{"id":16,"name":"Locomotive ID","value":"4046"},{"id":130,"name":"Impact","value":""},{"id":150,"name":"Time of Event (Mountain Time)","value":"16:36:40"},{"id":151,"name":"Denver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44"/>
        <v>start /low /b %USERPROFILE%\Documents\GitHub\eaglep3\Utilities\DownloadLogsFromS3.py --loco 4046 --day 2017-02-17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"%USERPROFILE%\AppData\Local\Temp\OnboardLogs"\RTDC4046\*4046*20170217* | grep -SE "(Enforcement Action)|(\[TIMEOUT)|(CHR.+\|PRM\|1\|D.+(SWITCH|SIGNAL).+UNKNOWN)" - &gt;&gt; 2017-02-17-UncaughtWiMAX.txt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608</v>
      </c>
      <c r="B113" s="7">
        <v>4045</v>
      </c>
      <c r="C113" s="21" t="s">
        <v>682</v>
      </c>
      <c r="D113" s="21" t="s">
        <v>701</v>
      </c>
      <c r="E113" s="13">
        <v>42783.696701388886</v>
      </c>
      <c r="F113" s="13">
        <v>42783.705706018518</v>
      </c>
      <c r="G113" s="7">
        <v>1</v>
      </c>
      <c r="H113" s="21" t="s">
        <v>195</v>
      </c>
      <c r="I113" s="13">
        <v>42783.732187499998</v>
      </c>
      <c r="J113" s="7">
        <v>0</v>
      </c>
      <c r="K113" s="98" t="str">
        <f t="shared" si="29"/>
        <v>4045/4046</v>
      </c>
      <c r="L113" s="21" t="str">
        <f>VLOOKUP(A113,'Trips&amp;Operators'!$C$1:$G$99999,5,FALSE)</f>
        <v>BRANNON JEFFREY</v>
      </c>
      <c r="M113" s="6">
        <f t="shared" si="30"/>
        <v>2.6481481480004732E-2</v>
      </c>
      <c r="N113" s="7">
        <f t="shared" si="46"/>
        <v>38.133333331206813</v>
      </c>
      <c r="O113" s="7"/>
      <c r="P113" s="7"/>
      <c r="Q113" s="22"/>
      <c r="R113" s="22"/>
      <c r="S113" s="31">
        <f t="shared" si="47"/>
        <v>1</v>
      </c>
      <c r="T113" s="46" t="str">
        <f t="shared" si="32"/>
        <v>Southbound</v>
      </c>
      <c r="U113" s="18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7" t="str">
        <f t="shared" si="33"/>
        <v>https://d0f6bd738d7f1b3e5a7ca70fe4ff75f0.us-east-1.aws.found.io/app/kibana#/discover/Steve-Slow-Train-Analysis-(2080s-and-2083s)?_g=(refreshInterval:(display:Off,pause:!f,section:0,value:0),time:(from:'2017-02-17T15:43:15-0700',mode:absolute,to:'2017-02-17T18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3" s="188" t="str">
        <f t="shared" si="34"/>
        <v>N</v>
      </c>
      <c r="X113" s="188">
        <f t="shared" si="45"/>
        <v>1</v>
      </c>
      <c r="Y113" s="62">
        <f t="shared" si="40"/>
        <v>23.3</v>
      </c>
      <c r="Z113" s="62">
        <f t="shared" si="41"/>
        <v>1.4999999999999999E-2</v>
      </c>
      <c r="AA113" s="62">
        <f t="shared" si="35"/>
        <v>23.285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6"/>
        <v>0200-17</v>
      </c>
      <c r="AE113" s="85" t="str">
        <f t="shared" si="37"/>
        <v>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 &amp; aws s3 cp s3://rtdc.mdm.uploadarchive.raw/RTDC4045/ "%USERPROFILE%\AppData\Local\Temp\OnboardLogs"\RTDC4045\2017-02-18 --exclude "*" --recursive --include "*20170218*" &amp; "%USERPROFILE%\Documents\GitHub\mrs-test-scripts\Headless Mode &amp; Sideloading\WalkAndUnGZ.bat" "%USERPROFILE%\AppData\Local\Temp\OnboardLogs"\RTDC4045\2017-02-18</v>
      </c>
      <c r="AF113" s="82" t="str">
        <f t="shared" si="38"/>
        <v>"C:\Program Files (x86)\AstroGrep\AstroGrep.exe" /spath="%USERPROFILE%\AppData\Local\Temp\OnboardLogs" /stypes="app*4045*20170218*" /stext=" 00:.+((SYSTEM_STATE.+slice.+state.+changed )|(ment ac)|(multiple cpu faults)|(system.+state.+changed )|(\[timeout)|(PRM\|1\|D)|(kpr)|(kdp)|(\|lc)|(penalty))" /e /r /s</v>
      </c>
      <c r="AG113" s="1" t="str">
        <f t="shared" si="39"/>
        <v>EC</v>
      </c>
      <c r="AH113" s="86" t="str">
        <f t="shared" si="42"/>
        <v>"%USERPROFILE%\Documents\GitHub\eaglep3\Utilities\RefineRTDCRunTimes.py" --tripid 200-17 --locoid 4045 --swversion DE.1.0.9.0 --startMP 204:233000 --initTime 2017-02-17T16:43:15 --startdatetime 2017-02-17T16:56:13 --delay 1 --endMP 204:150 --enddatetime 2017-02-17T17:34:21 --enforcementcount 0 &gt;&gt;C:\Users\stu\Documents\GitHub\eaglep3-reporting\EC\2017-02-17-refined-times.txt</v>
      </c>
      <c r="AI113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{"issue":{"subject":"","project_id":79,"tracker_id":40,"status_id":1,"priority_id":2,"assigned_to_id":23,"start_date":"2017-02-17","description":"","custom_fields":[{"id":1,"name":"Subdivision","value":"EC"},{"id":4,"name":"Milepost","value":"0.015"},{"id":17,"name":"Train ID","value":"200-17"},{"id":16,"name":"Locomotive ID","value":"4045"},{"id":130,"name":"Impact","value":""},{"id":150,"name":"Time of Event (Mountain Time)","value":"17:34:21"},{"id":151,"name":"Denver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44"/>
        <v>start /low /b %USERPROFILE%\Documents\GitHub\eaglep3\Utilities\DownloadLogsFromS3.py --loco 4045 --day 2017-02-17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"%USERPROFILE%\AppData\Local\Temp\OnboardLogs"\RTDC4045\*4045*20170218* | grep -SE "(Enforcement Action)|(\[TIMEOUT)|(CHR.+\|PRM\|1\|D.+(SWITCH|SIGNAL).+UNKNOWN)" - &gt;&gt; 2017-02-17-UncaughtWiMAX.txt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600</v>
      </c>
      <c r="B114" s="7">
        <v>4018</v>
      </c>
      <c r="C114" s="21" t="s">
        <v>682</v>
      </c>
      <c r="D114" s="21" t="s">
        <v>736</v>
      </c>
      <c r="E114" s="13">
        <v>42783.672418981485</v>
      </c>
      <c r="F114" s="13">
        <v>42783.716261574074</v>
      </c>
      <c r="G114" s="7">
        <v>1</v>
      </c>
      <c r="H114" s="21" t="s">
        <v>302</v>
      </c>
      <c r="I114" s="13">
        <v>42783.744641203702</v>
      </c>
      <c r="J114" s="7">
        <v>0</v>
      </c>
      <c r="K114" s="98" t="str">
        <f t="shared" si="29"/>
        <v>4017/4018</v>
      </c>
      <c r="L114" s="21" t="str">
        <f>VLOOKUP(A114,'Trips&amp;Operators'!$C$1:$G$99999,5,FALSE)</f>
        <v>STEWART MICHAEL</v>
      </c>
      <c r="M114" s="6">
        <f t="shared" si="30"/>
        <v>2.8379629628034309E-2</v>
      </c>
      <c r="N114" s="7">
        <f t="shared" si="46"/>
        <v>40.866666664369404</v>
      </c>
      <c r="O114" s="7"/>
      <c r="P114" s="7"/>
      <c r="Q114" s="22"/>
      <c r="R114" s="22"/>
      <c r="S114" s="31">
        <f t="shared" si="47"/>
        <v>1</v>
      </c>
      <c r="T114" s="46" t="str">
        <f t="shared" si="32"/>
        <v>NorthBound</v>
      </c>
      <c r="U114" s="18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7" t="str">
        <f t="shared" si="33"/>
        <v>https://d0f6bd738d7f1b3e5a7ca70fe4ff75f0.us-east-1.aws.found.io/app/kibana#/discover/Steve-Slow-Train-Analysis-(2080s-and-2083s)?_g=(refreshInterval:(display:Off,pause:!f,section:0,value:0),time:(from:'2017-02-17T15:08:17-0700',mode:absolute,to:'2017-02-17T18:52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4" s="188" t="str">
        <f t="shared" si="34"/>
        <v>N</v>
      </c>
      <c r="X114" s="188">
        <f t="shared" si="45"/>
        <v>1</v>
      </c>
      <c r="Y114" s="62">
        <f t="shared" si="40"/>
        <v>4.8000000000000001E-2</v>
      </c>
      <c r="Z114" s="62">
        <f t="shared" si="41"/>
        <v>23.331099999999999</v>
      </c>
      <c r="AA114" s="62">
        <f t="shared" si="35"/>
        <v>23.283100000000001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6"/>
        <v>0201-17</v>
      </c>
      <c r="AE114" s="85" t="str">
        <f t="shared" si="37"/>
        <v>aws s3 cp s3://rtdc.mdm.uploadarchive.raw/RTDC4018/ "%USERPROFILE%\AppData\Local\Temp\OnboardLogs"\RTDC4018\2017-02-17 --exclude "*" --recursive --include "*20170217*" &amp; "%USERPROFILE%\Documents\GitHub\mrs-test-scripts\Headless Mode &amp; Sideloading\WalkAndUnGZ.bat" "%USERPROFILE%\AppData\Local\Temp\OnboardLogs"\RTDC4018\2017-02-17 &amp; 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</v>
      </c>
      <c r="AF114" s="82" t="str">
        <f t="shared" si="38"/>
        <v>"C:\Program Files (x86)\AstroGrep\AstroGrep.exe" /spath="%USERPROFILE%\AppData\Local\Temp\OnboardLogs" /stypes="app*4018*20170218*" /stext=" 00:.+((SYSTEM_STATE.+slice.+state.+changed )|(ment ac)|(multiple cpu faults)|(system.+state.+changed )|(\[timeout)|(PRM\|1\|D)|(kpr)|(kdp)|(\|lc)|(penalty))" /e /r /s</v>
      </c>
      <c r="AG114" s="1" t="str">
        <f t="shared" si="39"/>
        <v>EC</v>
      </c>
      <c r="AH114" s="86" t="str">
        <f t="shared" si="42"/>
        <v>"%USERPROFILE%\Documents\GitHub\eaglep3\Utilities\RefineRTDCRunTimes.py" --tripid 201-17 --locoid 4018 --swversion DE.1.0.9.0 --startMP 204:480 --initTime 2017-02-17T16:08:17 --startdatetime 2017-02-17T17:11:25 --delay 1 --endMP 204:233311 --enddatetime 2017-02-17T17:52:17 --enforcementcount 0 &gt;&gt;C:\Users\stu\Documents\GitHub\eaglep3-reporting\EC\2017-02-17-refined-times.txt</v>
      </c>
      <c r="AI114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{"issue":{"subject":"","project_id":79,"tracker_id":40,"status_id":1,"priority_id":2,"assigned_to_id":23,"start_date":"2017-02-17","description":"","custom_fields":[{"id":1,"name":"Subdivision","value":"EC"},{"id":4,"name":"Milepost","value":"23.3311"},{"id":17,"name":"Train ID","value":"201-17"},{"id":16,"name":"Locomotive ID","value":"4018"},{"id":130,"name":"Impact","value":""},{"id":150,"name":"Time of Event (Mountain Time)","value":"17:52:17"},{"id":151,"name":"Denver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44"/>
        <v>start /low /b %USERPROFILE%\Documents\GitHub\eaglep3\Utilities\DownloadLogsFromS3.py --loco 4018 --day 2017-02-17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"%USERPROFILE%\AppData\Local\Temp\OnboardLogs"\RTDC4018\*4018*20170218* | grep -SE "(Enforcement Action)|(\[TIMEOUT)|(CHR.+\|PRM\|1\|D.+(SWITCH|SIGNAL).+UNKNOWN)" - &gt;&gt; 2017-02-17-UncaughtWiMAX.txt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610</v>
      </c>
      <c r="B115" s="7">
        <v>4017</v>
      </c>
      <c r="C115" s="21" t="s">
        <v>682</v>
      </c>
      <c r="D115" s="21" t="s">
        <v>284</v>
      </c>
      <c r="E115" s="13">
        <v>42783.712314814817</v>
      </c>
      <c r="F115" s="13">
        <v>42783.716261574074</v>
      </c>
      <c r="G115" s="7">
        <v>1</v>
      </c>
      <c r="H115" s="21" t="s">
        <v>737</v>
      </c>
      <c r="I115" s="13">
        <v>42783.744641203702</v>
      </c>
      <c r="J115" s="7">
        <v>0</v>
      </c>
      <c r="K115" s="98" t="str">
        <f t="shared" si="29"/>
        <v>4017/4018</v>
      </c>
      <c r="L115" s="21" t="str">
        <f>VLOOKUP(A115,'Trips&amp;Operators'!$C$1:$G$99999,5,FALSE)</f>
        <v>STEWART MICHAEL</v>
      </c>
      <c r="M115" s="6">
        <f t="shared" si="30"/>
        <v>2.8379629628034309E-2</v>
      </c>
      <c r="N115" s="7">
        <f t="shared" si="46"/>
        <v>40.866666664369404</v>
      </c>
      <c r="O115" s="7"/>
      <c r="P115" s="7"/>
      <c r="Q115" s="22"/>
      <c r="R115" s="22"/>
      <c r="S115" s="31">
        <f t="shared" si="47"/>
        <v>1</v>
      </c>
      <c r="T115" s="46" t="str">
        <f t="shared" si="32"/>
        <v>Southbound</v>
      </c>
      <c r="U115" s="18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7" t="str">
        <f t="shared" si="33"/>
        <v>https://d0f6bd738d7f1b3e5a7ca70fe4ff75f0.us-east-1.aws.found.io/app/kibana#/discover/Steve-Slow-Train-Analysis-(2080s-and-2083s)?_g=(refreshInterval:(display:Off,pause:!f,section:0,value:0),time:(from:'2017-02-17T16:05:44-0700',mode:absolute,to:'2017-02-17T18:52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5" s="188" t="str">
        <f t="shared" si="34"/>
        <v>N</v>
      </c>
      <c r="X115" s="188">
        <f t="shared" si="45"/>
        <v>1</v>
      </c>
      <c r="Y115" s="62">
        <f t="shared" si="40"/>
        <v>23.297999999999998</v>
      </c>
      <c r="Z115" s="62">
        <f t="shared" si="41"/>
        <v>1.72E-2</v>
      </c>
      <c r="AA115" s="62">
        <f t="shared" si="35"/>
        <v>23.280799999999999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6"/>
        <v>0202-17</v>
      </c>
      <c r="AE115" s="85" t="str">
        <f t="shared" si="37"/>
        <v>aws s3 cp s3://rtdc.mdm.uploadarchive.raw/RTDC4017/ "%USERPROFILE%\AppData\Local\Temp\OnboardLogs"\RTDC4017\2017-02-17 --exclude "*" --recursive --include "*20170217*" &amp; "%USERPROFILE%\Documents\GitHub\mrs-test-scripts\Headless Mode &amp; Sideloading\WalkAndUnGZ.bat" "%USERPROFILE%\AppData\Local\Temp\OnboardLogs"\RTDC4017\2017-02-17 &amp; 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</v>
      </c>
      <c r="AF115" s="82" t="str">
        <f t="shared" si="38"/>
        <v>"C:\Program Files (x86)\AstroGrep\AstroGrep.exe" /spath="%USERPROFILE%\AppData\Local\Temp\OnboardLogs" /stypes="app*4017*20170218*" /stext=" 00:.+((SYSTEM_STATE.+slice.+state.+changed )|(ment ac)|(multiple cpu faults)|(system.+state.+changed )|(\[timeout)|(PRM\|1\|D)|(kpr)|(kdp)|(\|lc)|(penalty))" /e /r /s</v>
      </c>
      <c r="AG115" s="1" t="str">
        <f t="shared" si="39"/>
        <v>EC</v>
      </c>
      <c r="AH115" s="86" t="str">
        <f t="shared" si="42"/>
        <v>"%USERPROFILE%\Documents\GitHub\eaglep3\Utilities\RefineRTDCRunTimes.py" --tripid 202-17 --locoid 4017 --swversion DE.1.0.9.0 --startMP 204:232980 --initTime 2017-02-17T17:05:44 --startdatetime 2017-02-17T17:11:25 --delay 1 --endMP 204:172 --enddatetime 2017-02-17T17:52:17 --enforcementcount 0 &gt;&gt;C:\Users\stu\Documents\GitHub\eaglep3-reporting\EC\2017-02-17-refined-times.txt</v>
      </c>
      <c r="AI115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{"issue":{"subject":"","project_id":79,"tracker_id":40,"status_id":1,"priority_id":2,"assigned_to_id":23,"start_date":"2017-02-17","description":"","custom_fields":[{"id":1,"name":"Subdivision","value":"EC"},{"id":4,"name":"Milepost","value":"0.0172"},{"id":17,"name":"Train ID","value":"202-17"},{"id":16,"name":"Locomotive ID","value":"4017"},{"id":130,"name":"Impact","value":""},{"id":150,"name":"Time of Event (Mountain Time)","value":"17:52:17"},{"id":151,"name":"Denver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44"/>
        <v>start /low /b %USERPROFILE%\Documents\GitHub\eaglep3\Utilities\DownloadLogsFromS3.py --loco 4017 --day 2017-02-17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2017-02-17-UncaughtWiMAX.txt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603</v>
      </c>
      <c r="B116" s="7">
        <v>4029</v>
      </c>
      <c r="C116" s="21" t="s">
        <v>682</v>
      </c>
      <c r="D116" s="21" t="s">
        <v>262</v>
      </c>
      <c r="E116" s="13">
        <v>42783.683171296296</v>
      </c>
      <c r="F116" s="13">
        <v>42783.687696759262</v>
      </c>
      <c r="G116" s="7">
        <v>1</v>
      </c>
      <c r="H116" s="21" t="s">
        <v>718</v>
      </c>
      <c r="I116" s="13">
        <v>42783.712743055556</v>
      </c>
      <c r="J116" s="7">
        <v>0</v>
      </c>
      <c r="K116" s="98" t="str">
        <f t="shared" si="29"/>
        <v>4029/4030</v>
      </c>
      <c r="L116" s="21" t="str">
        <f>VLOOKUP(A116,'Trips&amp;Operators'!$C$1:$G$99999,5,FALSE)</f>
        <v>ROMERO CHAD</v>
      </c>
      <c r="M116" s="6">
        <f t="shared" si="30"/>
        <v>2.5046296294021886E-2</v>
      </c>
      <c r="N116" s="7">
        <f t="shared" si="46"/>
        <v>36.066666663391516</v>
      </c>
      <c r="O116" s="7"/>
      <c r="P116" s="7"/>
      <c r="Q116" s="22"/>
      <c r="R116" s="22"/>
      <c r="S116" s="31">
        <f t="shared" si="47"/>
        <v>1</v>
      </c>
      <c r="T116" s="46" t="str">
        <f t="shared" si="32"/>
        <v>NorthBound</v>
      </c>
      <c r="U116" s="18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7" t="str">
        <f t="shared" si="33"/>
        <v>https://d0f6bd738d7f1b3e5a7ca70fe4ff75f0.us-east-1.aws.found.io/app/kibana#/discover/Steve-Slow-Train-Analysis-(2080s-and-2083s)?_g=(refreshInterval:(display:Off,pause:!f,section:0,value:0),time:(from:'2017-02-17T15:23:46-0700',mode:absolute,to:'2017-02-17T18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6" s="188" t="str">
        <f t="shared" si="34"/>
        <v>N</v>
      </c>
      <c r="X116" s="188">
        <f t="shared" si="45"/>
        <v>1</v>
      </c>
      <c r="Y116" s="62">
        <f t="shared" si="40"/>
        <v>4.4600000000000001E-2</v>
      </c>
      <c r="Z116" s="62">
        <f t="shared" si="41"/>
        <v>23.333100000000002</v>
      </c>
      <c r="AA116" s="62">
        <f t="shared" si="35"/>
        <v>23.288500000000003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6"/>
        <v>0203-17</v>
      </c>
      <c r="AE116" s="85" t="str">
        <f t="shared" si="37"/>
        <v>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 &amp; 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</v>
      </c>
      <c r="AF116" s="82" t="str">
        <f t="shared" si="38"/>
        <v>"C:\Program Files (x86)\AstroGrep\AstroGrep.exe" /spath="%USERPROFILE%\AppData\Local\Temp\OnboardLogs" /stypes="app*4029*20170218*" /stext=" 00:.+((SYSTEM_STATE.+slice.+state.+changed )|(ment ac)|(multiple cpu faults)|(system.+state.+changed )|(\[timeout)|(PRM\|1\|D)|(kpr)|(kdp)|(\|lc)|(penalty))" /e /r /s</v>
      </c>
      <c r="AG116" s="1" t="str">
        <f t="shared" si="39"/>
        <v>EC</v>
      </c>
      <c r="AH116" s="86" t="str">
        <f t="shared" si="42"/>
        <v>"%USERPROFILE%\Documents\GitHub\eaglep3\Utilities\RefineRTDCRunTimes.py" --tripid 203-17 --locoid 4029 --swversion DE.1.0.9.0 --startMP 204:446 --initTime 2017-02-17T16:23:46 --startdatetime 2017-02-17T16:30:17 --delay 1 --endMP 204:233331 --enddatetime 2017-02-17T17:06:21 --enforcementcount 0 &gt;&gt;C:\Users\stu\Documents\GitHub\eaglep3-reporting\EC\2017-02-17-refined-times.txt</v>
      </c>
      <c r="AI116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{"issue":{"subject":"","project_id":79,"tracker_id":40,"status_id":1,"priority_id":2,"assigned_to_id":23,"start_date":"2017-02-17","description":"","custom_fields":[{"id":1,"name":"Subdivision","value":"EC"},{"id":4,"name":"Milepost","value":"23.3331"},{"id":17,"name":"Train ID","value":"203-17"},{"id":16,"name":"Locomotive ID","value":"4029"},{"id":130,"name":"Impact","value":""},{"id":150,"name":"Time of Event (Mountain Time)","value":"17:06:21"},{"id":151,"name":"Denver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44"/>
        <v>start /low /b %USERPROFILE%\Documents\GitHub\eaglep3\Utilities\DownloadLogsFromS3.py --loco 4029 --day 2017-02-17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"%USERPROFILE%\AppData\Local\Temp\OnboardLogs"\RTDC4029\*4029*20170217* | grep -SE "(Enforcement Action)|(\[TIMEOUT)|(CHR.+\|PRM\|1\|D.+(SWITCH|SIGNAL).+UNKNOWN)" - &gt;&gt; 2017-02-17-UncaughtWiMAX.txt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458</v>
      </c>
      <c r="B117" s="7">
        <v>4030</v>
      </c>
      <c r="C117" s="21" t="s">
        <v>682</v>
      </c>
      <c r="D117" s="21" t="s">
        <v>738</v>
      </c>
      <c r="E117" s="13">
        <v>42783.714074074072</v>
      </c>
      <c r="F117" s="13">
        <v>42783.726550925923</v>
      </c>
      <c r="G117" s="7">
        <v>1</v>
      </c>
      <c r="H117" s="21" t="s">
        <v>739</v>
      </c>
      <c r="I117" s="13">
        <v>42783.751898148148</v>
      </c>
      <c r="J117" s="7">
        <v>0</v>
      </c>
      <c r="K117" s="98" t="str">
        <f t="shared" si="29"/>
        <v>4029/4030</v>
      </c>
      <c r="L117" s="21" t="str">
        <f>VLOOKUP(A117,'Trips&amp;Operators'!$C$1:$G$99999,5,FALSE)</f>
        <v>ROMERO CHAD</v>
      </c>
      <c r="M117" s="6">
        <f t="shared" si="30"/>
        <v>2.5347222224809229E-2</v>
      </c>
      <c r="N117" s="7">
        <f t="shared" si="46"/>
        <v>36.50000000372529</v>
      </c>
      <c r="O117" s="7"/>
      <c r="P117" s="7"/>
      <c r="Q117" s="22"/>
      <c r="R117" s="22"/>
      <c r="S117" s="31">
        <f t="shared" si="47"/>
        <v>1</v>
      </c>
      <c r="T117" s="46" t="str">
        <f t="shared" si="32"/>
        <v>Southbound</v>
      </c>
      <c r="U117" s="18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7" t="str">
        <f t="shared" si="33"/>
        <v>https://d0f6bd738d7f1b3e5a7ca70fe4ff75f0.us-east-1.aws.found.io/app/kibana#/discover/Steve-Slow-Train-Analysis-(2080s-and-2083s)?_g=(refreshInterval:(display:Off,pause:!f,section:0,value:0),time:(from:'2017-02-17T16:08:16-0700',mode:absolute,to:'2017-02-17T19:02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7" s="188" t="str">
        <f t="shared" si="34"/>
        <v>N</v>
      </c>
      <c r="X117" s="188">
        <f t="shared" si="45"/>
        <v>1</v>
      </c>
      <c r="Y117" s="62">
        <f t="shared" si="40"/>
        <v>23.302499999999998</v>
      </c>
      <c r="Z117" s="62">
        <f t="shared" si="41"/>
        <v>0.1149</v>
      </c>
      <c r="AA117" s="62">
        <f t="shared" si="35"/>
        <v>23.1876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6"/>
        <v>0204-17</v>
      </c>
      <c r="AE117" s="85" t="str">
        <f t="shared" si="37"/>
        <v>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 &amp; 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</v>
      </c>
      <c r="AF117" s="82" t="str">
        <f t="shared" si="38"/>
        <v>"C:\Program Files (x86)\AstroGrep\AstroGrep.exe" /spath="%USERPROFILE%\AppData\Local\Temp\OnboardLogs" /stypes="app*4030*20170218*" /stext=" 01:.+((SYSTEM_STATE.+slice.+state.+changed )|(ment ac)|(multiple cpu faults)|(system.+state.+changed )|(\[timeout)|(PRM\|1\|D)|(kpr)|(kdp)|(\|lc)|(penalty))" /e /r /s</v>
      </c>
      <c r="AG117" s="1" t="str">
        <f t="shared" si="39"/>
        <v>EC</v>
      </c>
      <c r="AH117" s="86" t="str">
        <f t="shared" si="42"/>
        <v>"%USERPROFILE%\Documents\GitHub\eaglep3\Utilities\RefineRTDCRunTimes.py" --tripid 204-17 --locoid 4030 --swversion DE.1.0.9.0 --startMP 204:233025 --initTime 2017-02-17T17:08:16 --startdatetime 2017-02-17T17:26:14 --delay 1 --endMP 204:1149 --enddatetime 2017-02-17T18:02:44 --enforcementcount 0 &gt;&gt;C:\Users\stu\Documents\GitHub\eaglep3-reporting\EC\2017-02-17-refined-times.txt</v>
      </c>
      <c r="AI117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{"issue":{"subject":"","project_id":79,"tracker_id":40,"status_id":1,"priority_id":2,"assigned_to_id":23,"start_date":"2017-02-17","description":"","custom_fields":[{"id":1,"name":"Subdivision","value":"EC"},{"id":4,"name":"Milepost","value":"0.1149"},{"id":17,"name":"Train ID","value":"204-17"},{"id":16,"name":"Locomotive ID","value":"4030"},{"id":130,"name":"Impact","value":""},{"id":150,"name":"Time of Event (Mountain Time)","value":"18:02:44"},{"id":151,"name":"Denver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44"/>
        <v>start /low /b %USERPROFILE%\Documents\GitHub\eaglep3\Utilities\DownloadLogsFromS3.py --loco 4030 --day 2017-02-17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"%USERPROFILE%\AppData\Local\Temp\OnboardLogs"\RTDC4030\*4030*20170218* | grep -SE "(Enforcement Action)|(\[TIMEOUT)|(CHR.+\|PRM\|1\|D.+(SWITCH|SIGNAL).+UNKNOWN)" - &gt;&gt; 2017-02-17-UncaughtWiMAX.txt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606</v>
      </c>
      <c r="B118" s="7">
        <v>4025</v>
      </c>
      <c r="C118" s="21" t="s">
        <v>682</v>
      </c>
      <c r="D118" s="21" t="s">
        <v>740</v>
      </c>
      <c r="E118" s="13">
        <v>42783.693807870368</v>
      </c>
      <c r="F118" s="13">
        <v>42783.698101851849</v>
      </c>
      <c r="G118" s="7">
        <v>1</v>
      </c>
      <c r="H118" s="21" t="s">
        <v>294</v>
      </c>
      <c r="I118" s="13">
        <v>42783.724386574075</v>
      </c>
      <c r="J118" s="7">
        <v>0</v>
      </c>
      <c r="K118" s="98" t="str">
        <f t="shared" si="29"/>
        <v>4025/4026</v>
      </c>
      <c r="L118" s="21" t="str">
        <f>VLOOKUP(A118,'Trips&amp;Operators'!$C$1:$G$99999,5,FALSE)</f>
        <v>CLARK KATHLEEN</v>
      </c>
      <c r="M118" s="6">
        <f t="shared" si="30"/>
        <v>2.6284722225682344E-2</v>
      </c>
      <c r="N118" s="7">
        <f t="shared" si="46"/>
        <v>37.850000004982576</v>
      </c>
      <c r="O118" s="7"/>
      <c r="P118" s="7"/>
      <c r="Q118" s="22"/>
      <c r="R118" s="22"/>
      <c r="S118" s="31">
        <f t="shared" si="47"/>
        <v>1</v>
      </c>
      <c r="T118" s="46" t="str">
        <f t="shared" si="32"/>
        <v>NorthBound</v>
      </c>
      <c r="U118" s="18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7" t="str">
        <f t="shared" si="33"/>
        <v>https://d0f6bd738d7f1b3e5a7ca70fe4ff75f0.us-east-1.aws.found.io/app/kibana#/discover/Steve-Slow-Train-Analysis-(2080s-and-2083s)?_g=(refreshInterval:(display:Off,pause:!f,section:0,value:0),time:(from:'2017-02-17T15:39:05-0700',mode:absolute,to:'2017-02-17T18:23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8" s="188" t="str">
        <f t="shared" si="34"/>
        <v>N</v>
      </c>
      <c r="X118" s="188">
        <f t="shared" si="45"/>
        <v>1</v>
      </c>
      <c r="Y118" s="62">
        <f t="shared" si="40"/>
        <v>5.5300000000000002E-2</v>
      </c>
      <c r="Z118" s="62">
        <f t="shared" si="41"/>
        <v>23.328900000000001</v>
      </c>
      <c r="AA118" s="62">
        <f t="shared" si="35"/>
        <v>23.273600000000002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6"/>
        <v>0205-17</v>
      </c>
      <c r="AE118" s="85" t="str">
        <f t="shared" si="37"/>
        <v>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 &amp; aws s3 cp s3://rtdc.mdm.uploadarchive.raw/RTDC4025/ "%USERPROFILE%\AppData\Local\Temp\OnboardLogs"\RTDC4025\2017-02-18 --exclude "*" --recursive --include "*20170218*" &amp; "%USERPROFILE%\Documents\GitHub\mrs-test-scripts\Headless Mode &amp; Sideloading\WalkAndUnGZ.bat" "%USERPROFILE%\AppData\Local\Temp\OnboardLogs"\RTDC4025\2017-02-18</v>
      </c>
      <c r="AF118" s="82" t="str">
        <f t="shared" si="38"/>
        <v>"C:\Program Files (x86)\AstroGrep\AstroGrep.exe" /spath="%USERPROFILE%\AppData\Local\Temp\OnboardLogs" /stypes="app*4025*20170218*" /stext=" 00:.+((SYSTEM_STATE.+slice.+state.+changed )|(ment ac)|(multiple cpu faults)|(system.+state.+changed )|(\[timeout)|(PRM\|1\|D)|(kpr)|(kdp)|(\|lc)|(penalty))" /e /r /s</v>
      </c>
      <c r="AG118" s="1" t="str">
        <f t="shared" si="39"/>
        <v>EC</v>
      </c>
      <c r="AH118" s="86" t="str">
        <f t="shared" si="42"/>
        <v>"%USERPROFILE%\Documents\GitHub\eaglep3\Utilities\RefineRTDCRunTimes.py" --tripid 205-17 --locoid 4025 --swversion DE.1.0.9.0 --startMP 204:553 --initTime 2017-02-17T16:39:05 --startdatetime 2017-02-17T16:45:16 --delay 1 --endMP 204:233289 --enddatetime 2017-02-17T17:23:07 --enforcementcount 0 &gt;&gt;C:\Users\stu\Documents\GitHub\eaglep3-reporting\EC\2017-02-17-refined-times.txt</v>
      </c>
      <c r="AI118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{"issue":{"subject":"","project_id":79,"tracker_id":40,"status_id":1,"priority_id":2,"assigned_to_id":23,"start_date":"2017-02-17","description":"","custom_fields":[{"id":1,"name":"Subdivision","value":"EC"},{"id":4,"name":"Milepost","value":"23.3289"},{"id":17,"name":"Train ID","value":"205-17"},{"id":16,"name":"Locomotive ID","value":"4025"},{"id":130,"name":"Impact","value":""},{"id":150,"name":"Time of Event (Mountain Time)","value":"17:23:07"},{"id":151,"name":"Denver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44"/>
        <v>start /low /b %USERPROFILE%\Documents\GitHub\eaglep3\Utilities\DownloadLogsFromS3.py --loco 4025 --day 2017-02-17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"%USERPROFILE%\AppData\Local\Temp\OnboardLogs"\RTDC4025\*4025*20170218* | grep -SE "(Enforcement Action)|(\[TIMEOUT)|(CHR.+\|PRM\|1\|D.+(SWITCH|SIGNAL).+UNKNOWN)" - &gt;&gt; 2017-02-17-UncaughtWiMAX.txt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615</v>
      </c>
      <c r="B119" s="7">
        <v>4026</v>
      </c>
      <c r="C119" s="21" t="s">
        <v>682</v>
      </c>
      <c r="D119" s="21" t="s">
        <v>324</v>
      </c>
      <c r="E119" s="13">
        <v>42783.730624999997</v>
      </c>
      <c r="F119" s="13">
        <v>42783.737141203703</v>
      </c>
      <c r="G119" s="7">
        <v>0</v>
      </c>
      <c r="H119" s="21" t="s">
        <v>733</v>
      </c>
      <c r="I119" s="13">
        <v>42783.765648148146</v>
      </c>
      <c r="J119" s="7">
        <v>0</v>
      </c>
      <c r="K119" s="98" t="str">
        <f t="shared" si="29"/>
        <v>4025/4026</v>
      </c>
      <c r="L119" s="21" t="str">
        <f>VLOOKUP(A119,'Trips&amp;Operators'!$C$1:$G$99999,5,FALSE)</f>
        <v>CLARK KATHLEEN</v>
      </c>
      <c r="M119" s="6">
        <f t="shared" si="30"/>
        <v>2.8506944443506654E-2</v>
      </c>
      <c r="N119" s="7">
        <f t="shared" si="46"/>
        <v>41.049999998649582</v>
      </c>
      <c r="O119" s="7"/>
      <c r="P119" s="7"/>
      <c r="Q119" s="22"/>
      <c r="R119" s="22"/>
      <c r="S119" s="31">
        <f t="shared" si="47"/>
        <v>1</v>
      </c>
      <c r="T119" s="46" t="str">
        <f t="shared" si="32"/>
        <v>Southbound</v>
      </c>
      <c r="U119" s="18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7" t="str">
        <f t="shared" si="33"/>
        <v>https://d0f6bd738d7f1b3e5a7ca70fe4ff75f0.us-east-1.aws.found.io/app/kibana#/discover/Steve-Slow-Train-Analysis-(2080s-and-2083s)?_g=(refreshInterval:(display:Off,pause:!f,section:0,value:0),time:(from:'2017-02-17T16:32:06-0700',mode:absolute,to:'2017-02-17T19:22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9" s="188" t="str">
        <f t="shared" si="34"/>
        <v>N</v>
      </c>
      <c r="X119" s="188">
        <f t="shared" si="45"/>
        <v>1</v>
      </c>
      <c r="Y119" s="62">
        <f t="shared" si="40"/>
        <v>23.2971</v>
      </c>
      <c r="Z119" s="62">
        <f t="shared" si="41"/>
        <v>2.1100000000000001E-2</v>
      </c>
      <c r="AA119" s="62">
        <f t="shared" si="35"/>
        <v>23.276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6"/>
        <v>0206-17</v>
      </c>
      <c r="AE119" s="85" t="str">
        <f t="shared" si="37"/>
        <v>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 &amp; aws s3 cp s3://rtdc.mdm.uploadarchive.raw/RTDC4026/ "%USERPROFILE%\AppData\Local\Temp\OnboardLogs"\RTDC4026\2017-02-18 --exclude "*" --recursive --include "*20170218*" &amp; "%USERPROFILE%\Documents\GitHub\mrs-test-scripts\Headless Mode &amp; Sideloading\WalkAndUnGZ.bat" "%USERPROFILE%\AppData\Local\Temp\OnboardLogs"\RTDC4026\2017-02-18</v>
      </c>
      <c r="AF119" s="82" t="str">
        <f t="shared" si="38"/>
        <v>"C:\Program Files (x86)\AstroGrep\AstroGrep.exe" /spath="%USERPROFILE%\AppData\Local\Temp\OnboardLogs" /stypes="app*4026*20170218*" /stext=" 01:.+((SYSTEM_STATE.+slice.+state.+changed )|(ment ac)|(multiple cpu faults)|(system.+state.+changed )|(\[timeout)|(PRM\|1\|D)|(kpr)|(kdp)|(\|lc)|(penalty))" /e /r /s</v>
      </c>
      <c r="AG119" s="1" t="str">
        <f t="shared" si="39"/>
        <v>EC</v>
      </c>
      <c r="AH119" s="86" t="str">
        <f t="shared" si="42"/>
        <v>"%USERPROFILE%\Documents\GitHub\eaglep3\Utilities\RefineRTDCRunTimes.py" --tripid 206-17 --locoid 4026 --swversion DE.1.0.9.0 --startMP 204:232971 --initTime 2017-02-17T17:32:06 --startdatetime 2017-02-17T17:41:29 --delay 0 --endMP 204:211 --enddatetime 2017-02-17T18:22:32 --enforcementcount 0 &gt;&gt;C:\Users\stu\Documents\GitHub\eaglep3-reporting\EC\2017-02-17-refined-times.txt</v>
      </c>
      <c r="AI119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{"issue":{"subject":"","project_id":79,"tracker_id":40,"status_id":1,"priority_id":2,"assigned_to_id":23,"start_date":"2017-02-17","description":"","custom_fields":[{"id":1,"name":"Subdivision","value":"EC"},{"id":4,"name":"Milepost","value":"0.0211"},{"id":17,"name":"Train ID","value":"206-17"},{"id":16,"name":"Locomotive ID","value":"4026"},{"id":130,"name":"Impact","value":""},{"id":150,"name":"Time of Event (Mountain Time)","value":"18:22:32"},{"id":151,"name":"Denver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44"/>
        <v>start /low /b %USERPROFILE%\Documents\GitHub\eaglep3\Utilities\DownloadLogsFromS3.py --loco 4026 --day 2017-02-17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"%USERPROFILE%\AppData\Local\Temp\OnboardLogs"\RTDC4026\*4026*20170218* | grep -SE "(Enforcement Action)|(\[TIMEOUT)|(CHR.+\|PRM\|1\|D.+(SWITCH|SIGNAL).+UNKNOWN)" - &gt;&gt; 2017-02-17-UncaughtWiMAX.txt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609</v>
      </c>
      <c r="B120" s="7">
        <v>4016</v>
      </c>
      <c r="C120" s="21" t="s">
        <v>682</v>
      </c>
      <c r="D120" s="21" t="s">
        <v>231</v>
      </c>
      <c r="E120" s="13">
        <v>42783.703738425924</v>
      </c>
      <c r="F120" s="13">
        <v>42783.708599537036</v>
      </c>
      <c r="G120" s="7">
        <v>1</v>
      </c>
      <c r="H120" s="21" t="s">
        <v>322</v>
      </c>
      <c r="I120" s="13">
        <v>42783.733287037037</v>
      </c>
      <c r="J120" s="7">
        <v>0</v>
      </c>
      <c r="K120" s="98" t="str">
        <f t="shared" si="29"/>
        <v>4015/4016</v>
      </c>
      <c r="L120" s="21" t="str">
        <f>VLOOKUP(A120,'Trips&amp;Operators'!$C$1:$G$99999,5,FALSE)</f>
        <v>BRUDER RICHARD</v>
      </c>
      <c r="M120" s="6">
        <f t="shared" si="30"/>
        <v>2.4687500001164153E-2</v>
      </c>
      <c r="N120" s="7">
        <f t="shared" si="46"/>
        <v>35.550000001676381</v>
      </c>
      <c r="O120" s="7"/>
      <c r="P120" s="7"/>
      <c r="Q120" s="22"/>
      <c r="R120" s="22"/>
      <c r="S120" s="31">
        <f t="shared" si="47"/>
        <v>1</v>
      </c>
      <c r="T120" s="46" t="str">
        <f t="shared" si="32"/>
        <v>NorthBound</v>
      </c>
      <c r="U120" s="18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7" t="str">
        <f t="shared" si="33"/>
        <v>https://d0f6bd738d7f1b3e5a7ca70fe4ff75f0.us-east-1.aws.found.io/app/kibana#/discover/Steve-Slow-Train-Analysis-(2080s-and-2083s)?_g=(refreshInterval:(display:Off,pause:!f,section:0,value:0),time:(from:'2017-02-17T15:53:23-0700',mode:absolute,to:'2017-02-17T18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0" s="188" t="str">
        <f t="shared" si="34"/>
        <v>N</v>
      </c>
      <c r="X120" s="188">
        <f t="shared" si="45"/>
        <v>1</v>
      </c>
      <c r="Y120" s="62">
        <f t="shared" si="40"/>
        <v>4.5699999999999998E-2</v>
      </c>
      <c r="Z120" s="62">
        <f t="shared" si="41"/>
        <v>23.3306</v>
      </c>
      <c r="AA120" s="62">
        <f t="shared" si="35"/>
        <v>23.2849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6"/>
        <v>0207-17</v>
      </c>
      <c r="AE120" s="85" t="str">
        <f t="shared" si="37"/>
        <v>aws s3 cp s3://rtdc.mdm.uploadarchive.raw/RTDC4016/ "%USERPROFILE%\AppData\Local\Temp\OnboardLogs"\RTDC4016\2017-02-17 --exclude "*" --recursive --include "*20170217*" &amp; "%USERPROFILE%\Documents\GitHub\mrs-test-scripts\Headless Mode &amp; Sideloading\WalkAndUnGZ.bat" "%USERPROFILE%\AppData\Local\Temp\OnboardLogs"\RTDC4016\2017-02-17 &amp; aws s3 cp s3://rtdc.mdm.uploadarchive.raw/RTDC4016/ "%USERPROFILE%\AppData\Local\Temp\OnboardLogs"\RTDC4016\2017-02-18 --exclude "*" --recursive --include "*20170218*" &amp; "%USERPROFILE%\Documents\GitHub\mrs-test-scripts\Headless Mode &amp; Sideloading\WalkAndUnGZ.bat" "%USERPROFILE%\AppData\Local\Temp\OnboardLogs"\RTDC4016\2017-02-18</v>
      </c>
      <c r="AF120" s="82" t="str">
        <f t="shared" si="38"/>
        <v>"C:\Program Files (x86)\AstroGrep\AstroGrep.exe" /spath="%USERPROFILE%\AppData\Local\Temp\OnboardLogs" /stypes="app*4016*20170218*" /stext=" 00:.+((SYSTEM_STATE.+slice.+state.+changed )|(ment ac)|(multiple cpu faults)|(system.+state.+changed )|(\[timeout)|(PRM\|1\|D)|(kpr)|(kdp)|(\|lc)|(penalty))" /e /r /s</v>
      </c>
      <c r="AG120" s="1" t="str">
        <f t="shared" si="39"/>
        <v>EC</v>
      </c>
      <c r="AH120" s="86" t="str">
        <f t="shared" si="42"/>
        <v>"%USERPROFILE%\Documents\GitHub\eaglep3\Utilities\RefineRTDCRunTimes.py" --tripid 207-17 --locoid 4016 --swversion DE.1.0.9.0 --startMP 204:457 --initTime 2017-02-17T16:53:23 --startdatetime 2017-02-17T17:00:23 --delay 1 --endMP 204:233306 --enddatetime 2017-02-17T17:35:56 --enforcementcount 0 &gt;&gt;C:\Users\stu\Documents\GitHub\eaglep3-reporting\EC\2017-02-17-refined-times.txt</v>
      </c>
      <c r="AI120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{"issue":{"subject":"","project_id":79,"tracker_id":40,"status_id":1,"priority_id":2,"assigned_to_id":23,"start_date":"2017-02-17","description":"","custom_fields":[{"id":1,"name":"Subdivision","value":"EC"},{"id":4,"name":"Milepost","value":"23.3306"},{"id":17,"name":"Train ID","value":"207-17"},{"id":16,"name":"Locomotive ID","value":"4016"},{"id":130,"name":"Impact","value":""},{"id":150,"name":"Time of Event (Mountain Time)","value":"17:35:56"},{"id":151,"name":"Denver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44"/>
        <v>start /low /b %USERPROFILE%\Documents\GitHub\eaglep3\Utilities\DownloadLogsFromS3.py --loco 4016 --day 2017-02-17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"%USERPROFILE%\AppData\Local\Temp\OnboardLogs"\RTDC4016\*4016*20170218* | grep -SE "(Enforcement Action)|(\[TIMEOUT)|(CHR.+\|PRM\|1\|D.+(SWITCH|SIGNAL).+UNKNOWN)" - &gt;&gt; 2017-02-17-UncaughtWiMAX.txt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619</v>
      </c>
      <c r="B121" s="7">
        <v>4015</v>
      </c>
      <c r="C121" s="21" t="s">
        <v>682</v>
      </c>
      <c r="D121" s="21" t="s">
        <v>698</v>
      </c>
      <c r="E121" s="13">
        <v>42783.7421875</v>
      </c>
      <c r="F121" s="13">
        <v>42783.747418981482</v>
      </c>
      <c r="G121" s="7">
        <v>1</v>
      </c>
      <c r="H121" s="21" t="s">
        <v>195</v>
      </c>
      <c r="I121" s="13">
        <v>42783.774641203701</v>
      </c>
      <c r="J121" s="7">
        <v>0</v>
      </c>
      <c r="K121" s="98" t="str">
        <f t="shared" si="29"/>
        <v>4015/4016</v>
      </c>
      <c r="L121" s="21" t="str">
        <f>VLOOKUP(A121,'Trips&amp;Operators'!$C$1:$G$99999,5,FALSE)</f>
        <v>BRUDER RICHARD</v>
      </c>
      <c r="M121" s="6">
        <f t="shared" si="30"/>
        <v>2.7222222219279502E-2</v>
      </c>
      <c r="N121" s="7">
        <f t="shared" si="46"/>
        <v>39.199999995762482</v>
      </c>
      <c r="O121" s="7"/>
      <c r="P121" s="7"/>
      <c r="Q121" s="22"/>
      <c r="R121" s="22"/>
      <c r="S121" s="31">
        <f t="shared" si="47"/>
        <v>1</v>
      </c>
      <c r="T121" s="46" t="str">
        <f t="shared" si="32"/>
        <v>Southbound</v>
      </c>
      <c r="U121" s="18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7" t="str">
        <f t="shared" si="33"/>
        <v>https://d0f6bd738d7f1b3e5a7ca70fe4ff75f0.us-east-1.aws.found.io/app/kibana#/discover/Steve-Slow-Train-Analysis-(2080s-and-2083s)?_g=(refreshInterval:(display:Off,pause:!f,section:0,value:0),time:(from:'2017-02-17T16:48:45-0700',mode:absolute,to:'2017-02-17T19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1" s="188" t="str">
        <f t="shared" si="34"/>
        <v>N</v>
      </c>
      <c r="X121" s="188">
        <f t="shared" si="45"/>
        <v>1</v>
      </c>
      <c r="Y121" s="62">
        <f t="shared" si="40"/>
        <v>23.299399999999999</v>
      </c>
      <c r="Z121" s="62">
        <f t="shared" si="41"/>
        <v>1.4999999999999999E-2</v>
      </c>
      <c r="AA121" s="62">
        <f t="shared" si="35"/>
        <v>23.284399999999998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6"/>
        <v>0208-17</v>
      </c>
      <c r="AE121" s="85" t="str">
        <f t="shared" si="37"/>
        <v>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 &amp; 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</v>
      </c>
      <c r="AF121" s="82" t="str">
        <f t="shared" si="38"/>
        <v>"C:\Program Files (x86)\AstroGrep\AstroGrep.exe" /spath="%USERPROFILE%\AppData\Local\Temp\OnboardLogs" /stypes="app*4015*20170218*" /stext=" 01:.+((SYSTEM_STATE.+slice.+state.+changed )|(ment ac)|(multiple cpu faults)|(system.+state.+changed )|(\[timeout)|(PRM\|1\|D)|(kpr)|(kdp)|(\|lc)|(penalty))" /e /r /s</v>
      </c>
      <c r="AG121" s="1" t="str">
        <f t="shared" si="39"/>
        <v>EC</v>
      </c>
      <c r="AH121" s="86" t="str">
        <f t="shared" si="42"/>
        <v>"%USERPROFILE%\Documents\GitHub\eaglep3\Utilities\RefineRTDCRunTimes.py" --tripid 208-17 --locoid 4015 --swversion DE.1.0.9.0 --startMP 204:232994 --initTime 2017-02-17T17:48:45 --startdatetime 2017-02-17T17:56:17 --delay 1 --endMP 204:150 --enddatetime 2017-02-17T18:35:29 --enforcementcount 0 &gt;&gt;C:\Users\stu\Documents\GitHub\eaglep3-reporting\EC\2017-02-17-refined-times.txt</v>
      </c>
      <c r="AI121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{"issue":{"subject":"","project_id":79,"tracker_id":40,"status_id":1,"priority_id":2,"assigned_to_id":23,"start_date":"2017-02-17","description":"","custom_fields":[{"id":1,"name":"Subdivision","value":"EC"},{"id":4,"name":"Milepost","value":"0.015"},{"id":17,"name":"Train ID","value":"208-17"},{"id":16,"name":"Locomotive ID","value":"4015"},{"id":130,"name":"Impact","value":""},{"id":150,"name":"Time of Event (Mountain Time)","value":"18:35:29"},{"id":151,"name":"Denver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44"/>
        <v>start /low /b %USERPROFILE%\Documents\GitHub\eaglep3\Utilities\DownloadLogsFromS3.py --loco 4015 --day 2017-02-17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"%USERPROFILE%\AppData\Local\Temp\OnboardLogs"\RTDC4015\*4015*20170218* | grep -SE "(Enforcement Action)|(\[TIMEOUT)|(CHR.+\|PRM\|1\|D.+(SWITCH|SIGNAL).+UNKNOWN)" - &gt;&gt; 2017-02-17-UncaughtWiMAX.txt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613</v>
      </c>
      <c r="B122" s="7">
        <v>4044</v>
      </c>
      <c r="C122" s="21" t="s">
        <v>682</v>
      </c>
      <c r="D122" s="21" t="s">
        <v>405</v>
      </c>
      <c r="E122" s="13">
        <v>42783.71502314815</v>
      </c>
      <c r="F122" s="13">
        <v>42783.719050925924</v>
      </c>
      <c r="G122" s="7">
        <v>1</v>
      </c>
      <c r="H122" s="21" t="s">
        <v>368</v>
      </c>
      <c r="I122" s="13">
        <v>42783.743344907409</v>
      </c>
      <c r="J122" s="7">
        <v>0</v>
      </c>
      <c r="K122" s="98" t="str">
        <f t="shared" si="29"/>
        <v>4043/4044</v>
      </c>
      <c r="L122" s="21" t="str">
        <f>VLOOKUP(A122,'Trips&amp;Operators'!$C$1:$G$99999,5,FALSE)</f>
        <v>HELVIE ADAM</v>
      </c>
      <c r="M122" s="6">
        <f t="shared" si="30"/>
        <v>2.4293981485243421E-2</v>
      </c>
      <c r="N122" s="7">
        <f t="shared" si="46"/>
        <v>34.983333338750526</v>
      </c>
      <c r="O122" s="7"/>
      <c r="P122" s="7"/>
      <c r="Q122" s="22"/>
      <c r="R122" s="22"/>
      <c r="S122" s="31">
        <f t="shared" si="47"/>
        <v>1</v>
      </c>
      <c r="T122" s="46" t="str">
        <f t="shared" si="32"/>
        <v>NorthBound</v>
      </c>
      <c r="U122" s="18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7" t="str">
        <f t="shared" si="33"/>
        <v>https://d0f6bd738d7f1b3e5a7ca70fe4ff75f0.us-east-1.aws.found.io/app/kibana#/discover/Steve-Slow-Train-Analysis-(2080s-and-2083s)?_g=(refreshInterval:(display:Off,pause:!f,section:0,value:0),time:(from:'2017-02-17T16:09:38-0700',mode:absolute,to:'2017-02-17T18:50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2" s="188" t="str">
        <f t="shared" si="34"/>
        <v>N</v>
      </c>
      <c r="X122" s="188">
        <f t="shared" si="45"/>
        <v>1</v>
      </c>
      <c r="Y122" s="62">
        <f t="shared" si="40"/>
        <v>4.7500000000000001E-2</v>
      </c>
      <c r="Z122" s="62">
        <f t="shared" si="41"/>
        <v>23.3276</v>
      </c>
      <c r="AA122" s="62">
        <f t="shared" si="35"/>
        <v>23.280100000000001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6"/>
        <v>0209-17</v>
      </c>
      <c r="AE122" s="85" t="str">
        <f t="shared" si="37"/>
        <v>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 &amp; 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</v>
      </c>
      <c r="AF122" s="82" t="str">
        <f t="shared" si="38"/>
        <v>"C:\Program Files (x86)\AstroGrep\AstroGrep.exe" /spath="%USERPROFILE%\AppData\Local\Temp\OnboardLogs" /stypes="app*4044*20170218*" /stext=" 00:.+((SYSTEM_STATE.+slice.+state.+changed )|(ment ac)|(multiple cpu faults)|(system.+state.+changed )|(\[timeout)|(PRM\|1\|D)|(kpr)|(kdp)|(\|lc)|(penalty))" /e /r /s</v>
      </c>
      <c r="AG122" s="1" t="str">
        <f t="shared" si="39"/>
        <v>EC</v>
      </c>
      <c r="AH122" s="86" t="str">
        <f t="shared" si="42"/>
        <v>"%USERPROFILE%\Documents\GitHub\eaglep3\Utilities\RefineRTDCRunTimes.py" --tripid 209-17 --locoid 4044 --swversion DE.1.0.9.0 --startMP 204:475 --initTime 2017-02-17T17:09:38 --startdatetime 2017-02-17T17:15:26 --delay 1 --endMP 204:233276 --enddatetime 2017-02-17T17:50:25 --enforcementcount 0 &gt;&gt;C:\Users\stu\Documents\GitHub\eaglep3-reporting\EC\2017-02-17-refined-times.txt</v>
      </c>
      <c r="AI122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{"issue":{"subject":"","project_id":79,"tracker_id":40,"status_id":1,"priority_id":2,"assigned_to_id":23,"start_date":"2017-02-17","description":"","custom_fields":[{"id":1,"name":"Subdivision","value":"EC"},{"id":4,"name":"Milepost","value":"23.3276"},{"id":17,"name":"Train ID","value":"209-17"},{"id":16,"name":"Locomotive ID","value":"4044"},{"id":130,"name":"Impact","value":""},{"id":150,"name":"Time of Event (Mountain Time)","value":"17:50:25"},{"id":151,"name":"Denver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44"/>
        <v>start /low /b %USERPROFILE%\Documents\GitHub\eaglep3\Utilities\DownloadLogsFromS3.py --loco 4044 --day 2017-02-17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"%USERPROFILE%\AppData\Local\Temp\OnboardLogs"\RTDC4044\*4044*20170218* | grep -SE "(Enforcement Action)|(\[TIMEOUT)|(CHR.+\|PRM\|1\|D.+(SWITCH|SIGNAL).+UNKNOWN)" - &gt;&gt; 2017-02-17-UncaughtWiMAX.txt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621</v>
      </c>
      <c r="B123" s="7">
        <v>4043</v>
      </c>
      <c r="C123" s="21" t="s">
        <v>682</v>
      </c>
      <c r="D123" s="21" t="s">
        <v>371</v>
      </c>
      <c r="E123" s="13">
        <v>42783.752754629626</v>
      </c>
      <c r="F123" s="13">
        <v>42783.757974537039</v>
      </c>
      <c r="G123" s="7">
        <v>1</v>
      </c>
      <c r="H123" s="21" t="s">
        <v>317</v>
      </c>
      <c r="I123" s="13">
        <v>42783.784837962965</v>
      </c>
      <c r="J123" s="7">
        <v>0</v>
      </c>
      <c r="K123" s="98" t="str">
        <f t="shared" si="29"/>
        <v>4043/4044</v>
      </c>
      <c r="L123" s="21" t="str">
        <f>VLOOKUP(A123,'Trips&amp;Operators'!$C$1:$G$99999,5,FALSE)</f>
        <v>HELVIE ADAM</v>
      </c>
      <c r="M123" s="6">
        <f t="shared" si="30"/>
        <v>2.6863425926421769E-2</v>
      </c>
      <c r="N123" s="7">
        <f t="shared" si="46"/>
        <v>38.683333334047347</v>
      </c>
      <c r="O123" s="7"/>
      <c r="P123" s="7"/>
      <c r="Q123" s="22"/>
      <c r="R123" s="22"/>
      <c r="S123" s="31">
        <f t="shared" si="47"/>
        <v>1</v>
      </c>
      <c r="T123" s="46" t="str">
        <f t="shared" si="32"/>
        <v>Southbound</v>
      </c>
      <c r="U123" s="18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7" t="str">
        <f t="shared" si="33"/>
        <v>https://d0f6bd738d7f1b3e5a7ca70fe4ff75f0.us-east-1.aws.found.io/app/kibana#/discover/Steve-Slow-Train-Analysis-(2080s-and-2083s)?_g=(refreshInterval:(display:Off,pause:!f,section:0,value:0),time:(from:'2017-02-17T17:03:58-0700',mode:absolute,to:'2017-02-17T19:50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3" s="188" t="str">
        <f t="shared" si="34"/>
        <v>N</v>
      </c>
      <c r="X123" s="188">
        <f t="shared" si="45"/>
        <v>1</v>
      </c>
      <c r="Y123" s="62">
        <f t="shared" si="40"/>
        <v>23.296700000000001</v>
      </c>
      <c r="Z123" s="62">
        <f t="shared" si="41"/>
        <v>1.67E-2</v>
      </c>
      <c r="AA123" s="62">
        <f t="shared" si="35"/>
        <v>23.28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6"/>
        <v>0210-17</v>
      </c>
      <c r="AE123" s="85" t="str">
        <f t="shared" si="37"/>
        <v>aws s3 cp s3://rtdc.mdm.uploadarchive.raw/RTDC4043/ "%USERPROFILE%\AppData\Local\Temp\OnboardLogs"\RTDC4043\2017-02-17 --exclude "*" --recursive --include "*20170217*" &amp; "%USERPROFILE%\Documents\GitHub\mrs-test-scripts\Headless Mode &amp; Sideloading\WalkAndUnGZ.bat" "%USERPROFILE%\AppData\Local\Temp\OnboardLogs"\RTDC4043\2017-02-17 &amp; aws s3 cp s3://rtdc.mdm.uploadarchive.raw/RTDC4043/ "%USERPROFILE%\AppData\Local\Temp\OnboardLogs"\RTDC4043\2017-02-18 --exclude "*" --recursive --include "*20170218*" &amp; "%USERPROFILE%\Documents\GitHub\mrs-test-scripts\Headless Mode &amp; Sideloading\WalkAndUnGZ.bat" "%USERPROFILE%\AppData\Local\Temp\OnboardLogs"\RTDC4043\2017-02-18</v>
      </c>
      <c r="AF123" s="82" t="str">
        <f t="shared" si="38"/>
        <v>"C:\Program Files (x86)\AstroGrep\AstroGrep.exe" /spath="%USERPROFILE%\AppData\Local\Temp\OnboardLogs" /stypes="app*4043*20170218*" /stext=" 01:.+((SYSTEM_STATE.+slice.+state.+changed )|(ment ac)|(multiple cpu faults)|(system.+state.+changed )|(\[timeout)|(PRM\|1\|D)|(kpr)|(kdp)|(\|lc)|(penalty))" /e /r /s</v>
      </c>
      <c r="AG123" s="1" t="str">
        <f t="shared" si="39"/>
        <v>EC</v>
      </c>
      <c r="AH123" s="86" t="str">
        <f t="shared" si="42"/>
        <v>"%USERPROFILE%\Documents\GitHub\eaglep3\Utilities\RefineRTDCRunTimes.py" --tripid 210-17 --locoid 4043 --swversion DE.1.0.9.0 --startMP 204:232967 --initTime 2017-02-17T18:03:58 --startdatetime 2017-02-17T18:11:29 --delay 1 --endMP 204:167 --enddatetime 2017-02-17T18:50:10 --enforcementcount 0 &gt;&gt;C:\Users\stu\Documents\GitHub\eaglep3-reporting\EC\2017-02-17-refined-times.txt</v>
      </c>
      <c r="AI123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{"issue":{"subject":"","project_id":79,"tracker_id":40,"status_id":1,"priority_id":2,"assigned_to_id":23,"start_date":"2017-02-17","description":"","custom_fields":[{"id":1,"name":"Subdivision","value":"EC"},{"id":4,"name":"Milepost","value":"0.0167"},{"id":17,"name":"Train ID","value":"210-17"},{"id":16,"name":"Locomotive ID","value":"4043"},{"id":130,"name":"Impact","value":""},{"id":150,"name":"Time of Event (Mountain Time)","value":"18:50:10"},{"id":151,"name":"Denver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44"/>
        <v>start /low /b %USERPROFILE%\Documents\GitHub\eaglep3\Utilities\DownloadLogsFromS3.py --loco 4043 --day 2017-02-17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"%USERPROFILE%\AppData\Local\Temp\OnboardLogs"\RTDC4043\*4043*20170218* | grep -SE "(Enforcement Action)|(\[TIMEOUT)|(CHR.+\|PRM\|1\|D.+(SWITCH|SIGNAL).+UNKNOWN)" - &gt;&gt; 2017-02-17-UncaughtWiMAX.txt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614</v>
      </c>
      <c r="B124" s="7">
        <v>4027</v>
      </c>
      <c r="C124" s="21" t="s">
        <v>682</v>
      </c>
      <c r="D124" s="21" t="s">
        <v>230</v>
      </c>
      <c r="E124" s="13">
        <v>42783.72865740741</v>
      </c>
      <c r="F124" s="13">
        <v>42783.730011574073</v>
      </c>
      <c r="G124" s="7">
        <v>1</v>
      </c>
      <c r="H124" s="21" t="s">
        <v>404</v>
      </c>
      <c r="I124" s="13">
        <v>42783.755520833336</v>
      </c>
      <c r="J124" s="7">
        <v>0</v>
      </c>
      <c r="K124" s="98" t="str">
        <f t="shared" si="29"/>
        <v>4027/4028</v>
      </c>
      <c r="L124" s="21" t="str">
        <f>VLOOKUP(A124,'Trips&amp;Operators'!$C$1:$G$99999,5,FALSE)</f>
        <v>KILLION DAVID</v>
      </c>
      <c r="M124" s="6">
        <f t="shared" si="30"/>
        <v>2.5509259263344575E-2</v>
      </c>
      <c r="N124" s="7">
        <f t="shared" si="46"/>
        <v>36.733333339216188</v>
      </c>
      <c r="O124" s="7"/>
      <c r="P124" s="7"/>
      <c r="Q124" s="22"/>
      <c r="R124" s="22"/>
      <c r="S124" s="31">
        <f t="shared" si="47"/>
        <v>1</v>
      </c>
      <c r="T124" s="46" t="str">
        <f t="shared" si="32"/>
        <v>NorthBound</v>
      </c>
      <c r="U124" s="18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7" t="str">
        <f t="shared" si="33"/>
        <v>https://d0f6bd738d7f1b3e5a7ca70fe4ff75f0.us-east-1.aws.found.io/app/kibana#/discover/Steve-Slow-Train-Analysis-(2080s-and-2083s)?_g=(refreshInterval:(display:Off,pause:!f,section:0,value:0),time:(from:'2017-02-17T16:29:16-0700',mode:absolute,to:'2017-02-17T19:07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4" s="188" t="str">
        <f t="shared" si="34"/>
        <v>N</v>
      </c>
      <c r="X124" s="188">
        <f t="shared" si="45"/>
        <v>1</v>
      </c>
      <c r="Y124" s="62">
        <f t="shared" si="40"/>
        <v>4.5100000000000001E-2</v>
      </c>
      <c r="Z124" s="62">
        <f t="shared" si="41"/>
        <v>23.327400000000001</v>
      </c>
      <c r="AA124" s="62">
        <f t="shared" si="35"/>
        <v>23.282299999999999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6"/>
        <v>0211-17</v>
      </c>
      <c r="AE124" s="85" t="str">
        <f t="shared" si="37"/>
        <v>aws s3 cp s3://rtdc.mdm.uploadarchive.raw/RTDC4027/ "%USERPROFILE%\AppData\Local\Temp\OnboardLogs"\RTDC4027\2017-02-17 --exclude "*" --recursive --include "*20170217*" &amp; "%USERPROFILE%\Documents\GitHub\mrs-test-scripts\Headless Mode &amp; Sideloading\WalkAndUnGZ.bat" "%USERPROFILE%\AppData\Local\Temp\OnboardLogs"\RTDC4027\2017-02-17 &amp; 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</v>
      </c>
      <c r="AF124" s="82" t="str">
        <f t="shared" si="38"/>
        <v>"C:\Program Files (x86)\AstroGrep\AstroGrep.exe" /spath="%USERPROFILE%\AppData\Local\Temp\OnboardLogs" /stypes="app*4027*20170218*" /stext=" 01:.+((SYSTEM_STATE.+slice.+state.+changed )|(ment ac)|(multiple cpu faults)|(system.+state.+changed )|(\[timeout)|(PRM\|1\|D)|(kpr)|(kdp)|(\|lc)|(penalty))" /e /r /s</v>
      </c>
      <c r="AG124" s="1" t="str">
        <f t="shared" si="39"/>
        <v>EC</v>
      </c>
      <c r="AH124" s="86" t="str">
        <f t="shared" si="42"/>
        <v>"%USERPROFILE%\Documents\GitHub\eaglep3\Utilities\RefineRTDCRunTimes.py" --tripid 211-17 --locoid 4027 --swversion DE.1.0.9.0 --startMP 204:451 --initTime 2017-02-17T17:29:16 --startdatetime 2017-02-17T17:31:13 --delay 1 --endMP 204:233274 --enddatetime 2017-02-17T18:07:57 --enforcementcount 0 &gt;&gt;C:\Users\stu\Documents\GitHub\eaglep3-reporting\EC\2017-02-17-refined-times.txt</v>
      </c>
      <c r="AI124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{"issue":{"subject":"","project_id":79,"tracker_id":40,"status_id":1,"priority_id":2,"assigned_to_id":23,"start_date":"2017-02-17","description":"","custom_fields":[{"id":1,"name":"Subdivision","value":"EC"},{"id":4,"name":"Milepost","value":"23.3274"},{"id":17,"name":"Train ID","value":"211-17"},{"id":16,"name":"Locomotive ID","value":"4027"},{"id":130,"name":"Impact","value":""},{"id":150,"name":"Time of Event (Mountain Time)","value":"18:07:57"},{"id":151,"name":"Denver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44"/>
        <v>start /low /b %USERPROFILE%\Documents\GitHub\eaglep3\Utilities\DownloadLogsFromS3.py --loco 4027 --day 2017-02-17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"%USERPROFILE%\AppData\Local\Temp\OnboardLogs"\RTDC4027\*4027*20170218* | grep -SE "(Enforcement Action)|(\[TIMEOUT)|(CHR.+\|PRM\|1\|D.+(SWITCH|SIGNAL).+UNKNOWN)" - &gt;&gt; 2017-02-17-UncaughtWiMAX.txt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463</v>
      </c>
      <c r="B125" s="7">
        <v>4028</v>
      </c>
      <c r="C125" s="21" t="s">
        <v>682</v>
      </c>
      <c r="D125" s="21" t="s">
        <v>280</v>
      </c>
      <c r="E125" s="13">
        <v>42783.761840277781</v>
      </c>
      <c r="F125" s="13">
        <v>42783.768379629626</v>
      </c>
      <c r="G125" s="7">
        <v>1</v>
      </c>
      <c r="H125" s="21" t="s">
        <v>741</v>
      </c>
      <c r="I125" s="13">
        <v>42783.794768518521</v>
      </c>
      <c r="J125" s="7">
        <v>0</v>
      </c>
      <c r="K125" s="98" t="str">
        <f t="shared" si="29"/>
        <v>4027/4028</v>
      </c>
      <c r="L125" s="21" t="str">
        <f>VLOOKUP(A125,'Trips&amp;Operators'!$C$1:$G$99999,5,FALSE)</f>
        <v>KILLION DAVID</v>
      </c>
      <c r="M125" s="6">
        <f t="shared" si="30"/>
        <v>2.6388888894871343E-2</v>
      </c>
      <c r="N125" s="7">
        <f t="shared" si="46"/>
        <v>38.000000008614734</v>
      </c>
      <c r="O125" s="7"/>
      <c r="P125" s="7"/>
      <c r="Q125" s="22"/>
      <c r="R125" s="22"/>
      <c r="S125" s="31">
        <f t="shared" si="47"/>
        <v>1</v>
      </c>
      <c r="T125" s="46" t="str">
        <f t="shared" si="32"/>
        <v>Southbound</v>
      </c>
      <c r="U125" s="18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7" t="str">
        <f t="shared" si="33"/>
        <v>https://d0f6bd738d7f1b3e5a7ca70fe4ff75f0.us-east-1.aws.found.io/app/kibana#/discover/Steve-Slow-Train-Analysis-(2080s-and-2083s)?_g=(refreshInterval:(display:Off,pause:!f,section:0,value:0),time:(from:'2017-02-17T17:17:03-0700',mode:absolute,to:'2017-02-17T20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5" s="188" t="str">
        <f t="shared" si="34"/>
        <v>N</v>
      </c>
      <c r="X125" s="188">
        <f t="shared" si="45"/>
        <v>1</v>
      </c>
      <c r="Y125" s="62">
        <f t="shared" si="40"/>
        <v>23.2987</v>
      </c>
      <c r="Z125" s="62">
        <f t="shared" si="41"/>
        <v>0.1047</v>
      </c>
      <c r="AA125" s="62">
        <f t="shared" si="35"/>
        <v>23.193999999999999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6"/>
        <v>0212-17</v>
      </c>
      <c r="AE125" s="85" t="str">
        <f t="shared" si="37"/>
        <v>aws s3 cp s3://rtdc.mdm.uploadarchive.raw/RTDC4028/ "%USERPROFILE%\AppData\Local\Temp\OnboardLogs"\RTDC4028\2017-02-17 --exclude "*" --recursive --include "*20170217*" &amp; "%USERPROFILE%\Documents\GitHub\mrs-test-scripts\Headless Mode &amp; Sideloading\WalkAndUnGZ.bat" "%USERPROFILE%\AppData\Local\Temp\OnboardLogs"\RTDC4028\2017-02-17 &amp; 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</v>
      </c>
      <c r="AF125" s="82" t="str">
        <f t="shared" si="38"/>
        <v>"C:\Program Files (x86)\AstroGrep\AstroGrep.exe" /spath="%USERPROFILE%\AppData\Local\Temp\OnboardLogs" /stypes="app*4028*20170218*" /stext=" 02:.+((SYSTEM_STATE.+slice.+state.+changed )|(ment ac)|(multiple cpu faults)|(system.+state.+changed )|(\[timeout)|(PRM\|1\|D)|(kpr)|(kdp)|(\|lc)|(penalty))" /e /r /s</v>
      </c>
      <c r="AG125" s="1" t="str">
        <f t="shared" si="39"/>
        <v>EC</v>
      </c>
      <c r="AH125" s="86" t="str">
        <f t="shared" si="42"/>
        <v>"%USERPROFILE%\Documents\GitHub\eaglep3\Utilities\RefineRTDCRunTimes.py" --tripid 212-17 --locoid 4028 --swversion DE.1.0.9.0 --startMP 204:232987 --initTime 2017-02-17T18:17:03 --startdatetime 2017-02-17T18:26:28 --delay 1 --endMP 204:1047 --enddatetime 2017-02-17T19:04:28 --enforcementcount 0 &gt;&gt;C:\Users\stu\Documents\GitHub\eaglep3-reporting\EC\2017-02-17-refined-times.txt</v>
      </c>
      <c r="AI125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{"issue":{"subject":"","project_id":79,"tracker_id":40,"status_id":1,"priority_id":2,"assigned_to_id":23,"start_date":"2017-02-17","description":"","custom_fields":[{"id":1,"name":"Subdivision","value":"EC"},{"id":4,"name":"Milepost","value":"0.1047"},{"id":17,"name":"Train ID","value":"212-17"},{"id":16,"name":"Locomotive ID","value":"4028"},{"id":130,"name":"Impact","value":""},{"id":150,"name":"Time of Event (Mountain Time)","value":"19:04:28"},{"id":151,"name":"Denver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44"/>
        <v>start /low /b %USERPROFILE%\Documents\GitHub\eaglep3\Utilities\DownloadLogsFromS3.py --loco 4028 --day 2017-02-17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"%USERPROFILE%\AppData\Local\Temp\OnboardLogs"\RTDC4028\*4028*20170218* | grep -SE "(Enforcement Action)|(\[TIMEOUT)|(CHR.+\|PRM\|1\|D.+(SWITCH|SIGNAL).+UNKNOWN)" - &gt;&gt; 2017-02-17-UncaughtWiMAX.txt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618</v>
      </c>
      <c r="B126" s="7">
        <v>4046</v>
      </c>
      <c r="C126" s="21" t="s">
        <v>682</v>
      </c>
      <c r="D126" s="21" t="s">
        <v>272</v>
      </c>
      <c r="E126" s="13">
        <v>42783.736504629633</v>
      </c>
      <c r="F126" s="13">
        <v>42783.739907407406</v>
      </c>
      <c r="G126" s="7">
        <v>1</v>
      </c>
      <c r="H126" s="21" t="s">
        <v>409</v>
      </c>
      <c r="I126" s="13">
        <v>42783.764421296299</v>
      </c>
      <c r="J126" s="7">
        <v>0</v>
      </c>
      <c r="K126" s="98" t="str">
        <f t="shared" si="29"/>
        <v>4045/4046</v>
      </c>
      <c r="L126" s="21" t="str">
        <f>VLOOKUP(A126,'Trips&amp;Operators'!$C$1:$G$99999,5,FALSE)</f>
        <v>STORY SAMANTHA</v>
      </c>
      <c r="M126" s="6">
        <f t="shared" si="30"/>
        <v>2.4513888893125113E-2</v>
      </c>
      <c r="N126" s="7">
        <f t="shared" si="46"/>
        <v>35.300000006100163</v>
      </c>
      <c r="O126" s="7"/>
      <c r="P126" s="7"/>
      <c r="Q126" s="22"/>
      <c r="R126" s="22"/>
      <c r="S126" s="31">
        <f t="shared" si="47"/>
        <v>1</v>
      </c>
      <c r="T126" s="46" t="str">
        <f t="shared" si="32"/>
        <v>NorthBound</v>
      </c>
      <c r="U126" s="18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7" t="str">
        <f t="shared" si="33"/>
        <v>https://d0f6bd738d7f1b3e5a7ca70fe4ff75f0.us-east-1.aws.found.io/app/kibana#/discover/Steve-Slow-Train-Analysis-(2080s-and-2083s)?_g=(refreshInterval:(display:Off,pause:!f,section:0,value:0),time:(from:'2017-02-17T16:40:34-0700',mode:absolute,to:'2017-02-17T19:20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6" s="188" t="str">
        <f t="shared" si="34"/>
        <v>N</v>
      </c>
      <c r="X126" s="188">
        <f t="shared" si="45"/>
        <v>1</v>
      </c>
      <c r="Y126" s="62">
        <f t="shared" si="40"/>
        <v>4.6399999999999997E-2</v>
      </c>
      <c r="Z126" s="62">
        <f t="shared" si="41"/>
        <v>23.328199999999999</v>
      </c>
      <c r="AA126" s="62">
        <f t="shared" si="35"/>
        <v>23.2818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6"/>
        <v>0213-17</v>
      </c>
      <c r="AE126" s="85" t="str">
        <f t="shared" si="37"/>
        <v>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 &amp; aws s3 cp s3://rtdc.mdm.uploadarchive.raw/RTDC4046/ "%USERPROFILE%\AppData\Local\Temp\OnboardLogs"\RTDC4046\2017-02-18 --exclude "*" --recursive --include "*20170218*" &amp; "%USERPROFILE%\Documents\GitHub\mrs-test-scripts\Headless Mode &amp; Sideloading\WalkAndUnGZ.bat" "%USERPROFILE%\AppData\Local\Temp\OnboardLogs"\RTDC4046\2017-02-18</v>
      </c>
      <c r="AF126" s="82" t="str">
        <f t="shared" si="38"/>
        <v>"C:\Program Files (x86)\AstroGrep\AstroGrep.exe" /spath="%USERPROFILE%\AppData\Local\Temp\OnboardLogs" /stypes="app*4046*20170218*" /stext=" 01:.+((SYSTEM_STATE.+slice.+state.+changed )|(ment ac)|(multiple cpu faults)|(system.+state.+changed )|(\[timeout)|(PRM\|1\|D)|(kpr)|(kdp)|(\|lc)|(penalty))" /e /r /s</v>
      </c>
      <c r="AG126" s="1" t="str">
        <f t="shared" si="39"/>
        <v>EC</v>
      </c>
      <c r="AH126" s="86" t="str">
        <f t="shared" si="42"/>
        <v>"%USERPROFILE%\Documents\GitHub\eaglep3\Utilities\RefineRTDCRunTimes.py" --tripid 213-17 --locoid 4046 --swversion DE.1.0.9.0 --startMP 204:464 --initTime 2017-02-17T17:40:34 --startdatetime 2017-02-17T17:45:28 --delay 1 --endMP 204:233282 --enddatetime 2017-02-17T18:20:46 --enforcementcount 0 &gt;&gt;C:\Users\stu\Documents\GitHub\eaglep3-reporting\EC\2017-02-17-refined-times.txt</v>
      </c>
      <c r="AI126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{"issue":{"subject":"","project_id":79,"tracker_id":40,"status_id":1,"priority_id":2,"assigned_to_id":23,"start_date":"2017-02-17","description":"","custom_fields":[{"id":1,"name":"Subdivision","value":"EC"},{"id":4,"name":"Milepost","value":"23.3282"},{"id":17,"name":"Train ID","value":"213-17"},{"id":16,"name":"Locomotive ID","value":"4046"},{"id":130,"name":"Impact","value":""},{"id":150,"name":"Time of Event (Mountain Time)","value":"18:20:46"},{"id":151,"name":"Denver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44"/>
        <v>start /low /b %USERPROFILE%\Documents\GitHub\eaglep3\Utilities\DownloadLogsFromS3.py --loco 4046 --day 2017-02-17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"%USERPROFILE%\AppData\Local\Temp\OnboardLogs"\RTDC4046\*4046*20170218* | grep -SE "(Enforcement Action)|(\[TIMEOUT)|(CHR.+\|PRM\|1\|D.+(SWITCH|SIGNAL).+UNKNOWN)" - &gt;&gt; 2017-02-17-UncaughtWiMAX.txt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631</v>
      </c>
      <c r="B127" s="7">
        <v>4045</v>
      </c>
      <c r="C127" s="21" t="s">
        <v>682</v>
      </c>
      <c r="D127" s="21" t="s">
        <v>407</v>
      </c>
      <c r="E127" s="13">
        <v>42783.774826388886</v>
      </c>
      <c r="F127" s="13">
        <v>42783.778668981482</v>
      </c>
      <c r="G127" s="7">
        <v>1</v>
      </c>
      <c r="H127" s="21" t="s">
        <v>197</v>
      </c>
      <c r="I127" s="13">
        <v>42783.805937500001</v>
      </c>
      <c r="J127" s="7">
        <v>0</v>
      </c>
      <c r="K127" s="98" t="str">
        <f t="shared" si="29"/>
        <v>4045/4046</v>
      </c>
      <c r="L127" s="21" t="str">
        <f>VLOOKUP(A127,'Trips&amp;Operators'!$C$1:$G$99999,5,FALSE)</f>
        <v>STORY SAMANTHA</v>
      </c>
      <c r="M127" s="6">
        <f t="shared" si="30"/>
        <v>2.7268518519122154E-2</v>
      </c>
      <c r="N127" s="7">
        <f t="shared" si="46"/>
        <v>39.266666667535901</v>
      </c>
      <c r="O127" s="7"/>
      <c r="P127" s="7"/>
      <c r="Q127" s="22"/>
      <c r="R127" s="22"/>
      <c r="S127" s="31">
        <f t="shared" si="47"/>
        <v>1</v>
      </c>
      <c r="T127" s="46" t="str">
        <f t="shared" si="32"/>
        <v>Southbound</v>
      </c>
      <c r="U127" s="18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7" t="str">
        <f t="shared" si="33"/>
        <v>https://d0f6bd738d7f1b3e5a7ca70fe4ff75f0.us-east-1.aws.found.io/app/kibana#/discover/Steve-Slow-Train-Analysis-(2080s-and-2083s)?_g=(refreshInterval:(display:Off,pause:!f,section:0,value:0),time:(from:'2017-02-17T17:35:45-0700',mode:absolute,to:'2017-02-17T20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7" s="188" t="str">
        <f t="shared" si="34"/>
        <v>N</v>
      </c>
      <c r="X127" s="188">
        <f t="shared" si="45"/>
        <v>1</v>
      </c>
      <c r="Y127" s="62">
        <f t="shared" si="40"/>
        <v>23.296299999999999</v>
      </c>
      <c r="Z127" s="62">
        <f t="shared" si="41"/>
        <v>1.4500000000000001E-2</v>
      </c>
      <c r="AA127" s="62">
        <f t="shared" si="35"/>
        <v>23.281799999999997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6"/>
        <v>0214-17</v>
      </c>
      <c r="AE127" s="85" t="str">
        <f t="shared" si="37"/>
        <v>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 &amp; aws s3 cp s3://rtdc.mdm.uploadarchive.raw/RTDC4045/ "%USERPROFILE%\AppData\Local\Temp\OnboardLogs"\RTDC4045\2017-02-18 --exclude "*" --recursive --include "*20170218*" &amp; "%USERPROFILE%\Documents\GitHub\mrs-test-scripts\Headless Mode &amp; Sideloading\WalkAndUnGZ.bat" "%USERPROFILE%\AppData\Local\Temp\OnboardLogs"\RTDC4045\2017-02-18</v>
      </c>
      <c r="AF127" s="82" t="str">
        <f t="shared" si="38"/>
        <v>"C:\Program Files (x86)\AstroGrep\AstroGrep.exe" /spath="%USERPROFILE%\AppData\Local\Temp\OnboardLogs" /stypes="app*4045*20170218*" /stext=" 02:.+((SYSTEM_STATE.+slice.+state.+changed )|(ment ac)|(multiple cpu faults)|(system.+state.+changed )|(\[timeout)|(PRM\|1\|D)|(kpr)|(kdp)|(\|lc)|(penalty))" /e /r /s</v>
      </c>
      <c r="AG127" s="1" t="str">
        <f t="shared" si="39"/>
        <v>EC</v>
      </c>
      <c r="AH127" s="86" t="str">
        <f t="shared" si="42"/>
        <v>"%USERPROFILE%\Documents\GitHub\eaglep3\Utilities\RefineRTDCRunTimes.py" --tripid 214-17 --locoid 4045 --swversion DE.1.0.9.0 --startMP 204:232963 --initTime 2017-02-17T18:35:45 --startdatetime 2017-02-17T18:41:17 --delay 1 --endMP 204:145 --enddatetime 2017-02-17T19:20:33 --enforcementcount 0 &gt;&gt;C:\Users\stu\Documents\GitHub\eaglep3-reporting\EC\2017-02-17-refined-times.txt</v>
      </c>
      <c r="AI127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{"issue":{"subject":"","project_id":79,"tracker_id":40,"status_id":1,"priority_id":2,"assigned_to_id":23,"start_date":"2017-02-17","description":"","custom_fields":[{"id":1,"name":"Subdivision","value":"EC"},{"id":4,"name":"Milepost","value":"0.0145"},{"id":17,"name":"Train ID","value":"214-17"},{"id":16,"name":"Locomotive ID","value":"4045"},{"id":130,"name":"Impact","value":""},{"id":150,"name":"Time of Event (Mountain Time)","value":"19:20:33"},{"id":151,"name":"Denver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44"/>
        <v>start /low /b %USERPROFILE%\Documents\GitHub\eaglep3\Utilities\DownloadLogsFromS3.py --loco 4045 --day 2017-02-17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"%USERPROFILE%\AppData\Local\Temp\OnboardLogs"\RTDC4045\*4045*20170218* | grep -SE "(Enforcement Action)|(\[TIMEOUT)|(CHR.+\|PRM\|1\|D.+(SWITCH|SIGNAL).+UNKNOWN)" - &gt;&gt; 2017-02-17-UncaughtWiMAX.txt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620</v>
      </c>
      <c r="B128" s="7">
        <v>4018</v>
      </c>
      <c r="C128" s="21" t="s">
        <v>682</v>
      </c>
      <c r="D128" s="21" t="s">
        <v>261</v>
      </c>
      <c r="E128" s="13">
        <v>42783.746354166666</v>
      </c>
      <c r="F128" s="13">
        <v>42783.750162037039</v>
      </c>
      <c r="G128" s="7">
        <v>2</v>
      </c>
      <c r="H128" s="21" t="s">
        <v>299</v>
      </c>
      <c r="I128" s="13">
        <v>42783.775034722225</v>
      </c>
      <c r="J128" s="7">
        <v>0</v>
      </c>
      <c r="K128" s="98" t="str">
        <f t="shared" si="29"/>
        <v>4017/4018</v>
      </c>
      <c r="L128" s="21" t="str">
        <f>VLOOKUP(A128,'Trips&amp;Operators'!$C$1:$G$99999,5,FALSE)</f>
        <v>BRANNON JEFFREY</v>
      </c>
      <c r="M128" s="6">
        <f t="shared" si="30"/>
        <v>2.4872685185982846E-2</v>
      </c>
      <c r="N128" s="7">
        <f t="shared" si="46"/>
        <v>35.816666667815298</v>
      </c>
      <c r="O128" s="7"/>
      <c r="P128" s="7"/>
      <c r="Q128" s="22"/>
      <c r="R128" s="22"/>
      <c r="S128" s="31">
        <f t="shared" si="47"/>
        <v>1</v>
      </c>
      <c r="T128" s="46" t="str">
        <f t="shared" si="32"/>
        <v>NorthBound</v>
      </c>
      <c r="U128" s="18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7" t="str">
        <f t="shared" si="33"/>
        <v>https://d0f6bd738d7f1b3e5a7ca70fe4ff75f0.us-east-1.aws.found.io/app/kibana#/discover/Steve-Slow-Train-Analysis-(2080s-and-2083s)?_g=(refreshInterval:(display:Off,pause:!f,section:0,value:0),time:(from:'2017-02-17T16:54:45-0700',mode:absolute,to:'2017-02-17T19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8" s="188" t="str">
        <f t="shared" si="34"/>
        <v>N</v>
      </c>
      <c r="X128" s="188">
        <f t="shared" si="45"/>
        <v>1</v>
      </c>
      <c r="Y128" s="62">
        <f t="shared" si="40"/>
        <v>4.6699999999999998E-2</v>
      </c>
      <c r="Z128" s="62">
        <f t="shared" si="41"/>
        <v>23.331399999999999</v>
      </c>
      <c r="AA128" s="62">
        <f t="shared" si="35"/>
        <v>23.284699999999997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6"/>
        <v>0215-17</v>
      </c>
      <c r="AE128" s="85" t="str">
        <f t="shared" si="37"/>
        <v>aws s3 cp s3://rtdc.mdm.uploadarchive.raw/RTDC4018/ "%USERPROFILE%\AppData\Local\Temp\OnboardLogs"\RTDC4018\2017-02-17 --exclude "*" --recursive --include "*20170217*" &amp; "%USERPROFILE%\Documents\GitHub\mrs-test-scripts\Headless Mode &amp; Sideloading\WalkAndUnGZ.bat" "%USERPROFILE%\AppData\Local\Temp\OnboardLogs"\RTDC4018\2017-02-17 &amp; aws s3 cp s3://rtdc.mdm.uploadarchive.raw/RTDC4018/ "%USERPROFILE%\AppData\Local\Temp\OnboardLogs"\RTDC4018\2017-02-18 --exclude "*" --recursive --include "*20170218*" &amp; "%USERPROFILE%\Documents\GitHub\mrs-test-scripts\Headless Mode &amp; Sideloading\WalkAndUnGZ.bat" "%USERPROFILE%\AppData\Local\Temp\OnboardLogs"\RTDC4018\2017-02-18</v>
      </c>
      <c r="AF128" s="82" t="str">
        <f t="shared" si="38"/>
        <v>"C:\Program Files (x86)\AstroGrep\AstroGrep.exe" /spath="%USERPROFILE%\AppData\Local\Temp\OnboardLogs" /stypes="app*4018*20170218*" /stext=" 01:.+((SYSTEM_STATE.+slice.+state.+changed )|(ment ac)|(multiple cpu faults)|(system.+state.+changed )|(\[timeout)|(PRM\|1\|D)|(kpr)|(kdp)|(\|lc)|(penalty))" /e /r /s</v>
      </c>
      <c r="AG128" s="1" t="str">
        <f t="shared" si="39"/>
        <v>EC</v>
      </c>
      <c r="AH128" s="86" t="str">
        <f t="shared" si="42"/>
        <v>"%USERPROFILE%\Documents\GitHub\eaglep3\Utilities\RefineRTDCRunTimes.py" --tripid 215-17 --locoid 4018 --swversion DE.1.0.9.0 --startMP 204:467 --initTime 2017-02-17T17:54:45 --startdatetime 2017-02-17T18:00:14 --delay 2 --endMP 204:233314 --enddatetime 2017-02-17T18:36:03 --enforcementcount 0 &gt;&gt;C:\Users\stu\Documents\GitHub\eaglep3-reporting\EC\2017-02-17-refined-times.txt</v>
      </c>
      <c r="AI128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{"issue":{"subject":"","project_id":79,"tracker_id":40,"status_id":1,"priority_id":2,"assigned_to_id":23,"start_date":"2017-02-17","description":"","custom_fields":[{"id":1,"name":"Subdivision","value":"EC"},{"id":4,"name":"Milepost","value":"23.3314"},{"id":17,"name":"Train ID","value":"215-17"},{"id":16,"name":"Locomotive ID","value":"4018"},{"id":130,"name":"Impact","value":""},{"id":150,"name":"Time of Event (Mountain Time)","value":"18:36:03"},{"id":151,"name":"Denver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44"/>
        <v>start /low /b %USERPROFILE%\Documents\GitHub\eaglep3\Utilities\DownloadLogsFromS3.py --loco 4018 --day 2017-02-17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"%USERPROFILE%\AppData\Local\Temp\OnboardLogs"\RTDC4018\*4018*20170218* | grep -SE "(Enforcement Action)|(\[TIMEOUT)|(CHR.+\|PRM\|1\|D.+(SWITCH|SIGNAL).+UNKNOWN)" - &gt;&gt; 2017-02-17-UncaughtWiMAX.txt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462</v>
      </c>
      <c r="B129" s="7">
        <v>4017</v>
      </c>
      <c r="C129" s="21" t="s">
        <v>682</v>
      </c>
      <c r="D129" s="21" t="s">
        <v>298</v>
      </c>
      <c r="E129" s="13">
        <v>42783.780243055553</v>
      </c>
      <c r="F129" s="13">
        <v>42783.789039351854</v>
      </c>
      <c r="G129" s="7">
        <v>3</v>
      </c>
      <c r="H129" s="21" t="s">
        <v>184</v>
      </c>
      <c r="I129" s="13">
        <v>42783.815358796295</v>
      </c>
      <c r="J129" s="7">
        <v>0</v>
      </c>
      <c r="K129" s="98" t="str">
        <f t="shared" si="29"/>
        <v>4017/4018</v>
      </c>
      <c r="L129" s="21" t="str">
        <f>VLOOKUP(A129,'Trips&amp;Operators'!$C$1:$G$99999,5,FALSE)</f>
        <v>BRANNON JEFFREY</v>
      </c>
      <c r="M129" s="6">
        <f t="shared" si="30"/>
        <v>2.6319444441469386E-2</v>
      </c>
      <c r="N129" s="7">
        <f t="shared" si="46"/>
        <v>37.899999995715916</v>
      </c>
      <c r="O129" s="7"/>
      <c r="P129" s="7"/>
      <c r="Q129" s="22"/>
      <c r="R129" s="22"/>
      <c r="S129" s="31">
        <f t="shared" si="47"/>
        <v>1</v>
      </c>
      <c r="T129" s="46" t="str">
        <f t="shared" si="32"/>
        <v>Southbound</v>
      </c>
      <c r="U129" s="18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7" t="str">
        <f t="shared" si="33"/>
        <v>https://d0f6bd738d7f1b3e5a7ca70fe4ff75f0.us-east-1.aws.found.io/app/kibana#/discover/Steve-Slow-Train-Analysis-(2080s-and-2083s)?_g=(refreshInterval:(display:Off,pause:!f,section:0,value:0),time:(from:'2017-02-17T17:43:33-0700',mode:absolute,to:'2017-02-17T20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9" s="188" t="str">
        <f t="shared" si="34"/>
        <v>N</v>
      </c>
      <c r="X129" s="188">
        <f t="shared" si="45"/>
        <v>1</v>
      </c>
      <c r="Y129" s="62">
        <f t="shared" si="40"/>
        <v>23.299800000000001</v>
      </c>
      <c r="Z129" s="62">
        <f t="shared" si="41"/>
        <v>1.49E-2</v>
      </c>
      <c r="AA129" s="62">
        <f t="shared" si="35"/>
        <v>23.2849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6"/>
        <v>0216-17</v>
      </c>
      <c r="AE129" s="85" t="str">
        <f t="shared" si="37"/>
        <v>aws s3 cp s3://rtdc.mdm.uploadarchive.raw/RTDC4017/ "%USERPROFILE%\AppData\Local\Temp\OnboardLogs"\RTDC4017\2017-02-17 --exclude "*" --recursive --include "*20170217*" &amp; "%USERPROFILE%\Documents\GitHub\mrs-test-scripts\Headless Mode &amp; Sideloading\WalkAndUnGZ.bat" "%USERPROFILE%\AppData\Local\Temp\OnboardLogs"\RTDC4017\2017-02-17 &amp; 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</v>
      </c>
      <c r="AF129" s="82" t="str">
        <f t="shared" si="38"/>
        <v>"C:\Program Files (x86)\AstroGrep\AstroGrep.exe" /spath="%USERPROFILE%\AppData\Local\Temp\OnboardLogs" /stypes="app*4017*20170218*" /stext=" 02:.+((SYSTEM_STATE.+slice.+state.+changed )|(ment ac)|(multiple cpu faults)|(system.+state.+changed )|(\[timeout)|(PRM\|1\|D)|(kpr)|(kdp)|(\|lc)|(penalty))" /e /r /s</v>
      </c>
      <c r="AG129" s="1" t="str">
        <f t="shared" si="39"/>
        <v>EC</v>
      </c>
      <c r="AH129" s="86" t="str">
        <f t="shared" si="42"/>
        <v>"%USERPROFILE%\Documents\GitHub\eaglep3\Utilities\RefineRTDCRunTimes.py" --tripid 216-17 --locoid 4017 --swversion DE.1.0.9.0 --startMP 204:232998 --initTime 2017-02-17T18:43:33 --startdatetime 2017-02-17T18:56:13 --delay 3 --endMP 204:149 --enddatetime 2017-02-17T19:34:07 --enforcementcount 0 &gt;&gt;C:\Users\stu\Documents\GitHub\eaglep3-reporting\EC\2017-02-17-refined-times.txt</v>
      </c>
      <c r="AI129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{"issue":{"subject":"","project_id":79,"tracker_id":40,"status_id":1,"priority_id":2,"assigned_to_id":23,"start_date":"2017-02-17","description":"","custom_fields":[{"id":1,"name":"Subdivision","value":"EC"},{"id":4,"name":"Milepost","value":"0.0149"},{"id":17,"name":"Train ID","value":"216-17"},{"id":16,"name":"Locomotive ID","value":"4017"},{"id":130,"name":"Impact","value":""},{"id":150,"name":"Time of Event (Mountain Time)","value":"19:34:07"},{"id":151,"name":"Denver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44"/>
        <v>start /low /b %USERPROFILE%\Documents\GitHub\eaglep3\Utilities\DownloadLogsFromS3.py --loco 4017 --day 2017-02-17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"%USERPROFILE%\AppData\Local\Temp\OnboardLogs"\RTDC4017\*4017*20170218* | grep -SE "(Enforcement Action)|(\[TIMEOUT)|(CHR.+\|PRM\|1\|D.+(SWITCH|SIGNAL).+UNKNOWN)" - &gt;&gt; 2017-02-17-UncaughtWiMAX.txt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460</v>
      </c>
      <c r="B130" s="7">
        <v>4020</v>
      </c>
      <c r="C130" s="21" t="s">
        <v>682</v>
      </c>
      <c r="D130" s="21" t="s">
        <v>215</v>
      </c>
      <c r="E130" s="13">
        <v>42783.753182870372</v>
      </c>
      <c r="F130" s="13">
        <v>42783.760671296295</v>
      </c>
      <c r="G130" s="7">
        <v>1</v>
      </c>
      <c r="H130" s="21" t="s">
        <v>742</v>
      </c>
      <c r="I130" s="13">
        <v>42783.786435185182</v>
      </c>
      <c r="J130" s="7">
        <v>0</v>
      </c>
      <c r="K130" s="98" t="str">
        <f t="shared" si="29"/>
        <v>4019/4020</v>
      </c>
      <c r="L130" s="21" t="str">
        <f>VLOOKUP(A130,'Trips&amp;Operators'!$C$1:$G$99999,5,FALSE)</f>
        <v>PERKINS DARREN</v>
      </c>
      <c r="M130" s="6">
        <f t="shared" si="30"/>
        <v>2.5763888887013309E-2</v>
      </c>
      <c r="N130" s="7">
        <f t="shared" si="46"/>
        <v>37.099999997299165</v>
      </c>
      <c r="O130" s="7"/>
      <c r="P130" s="7"/>
      <c r="Q130" s="22"/>
      <c r="R130" s="22"/>
      <c r="S130" s="31">
        <f t="shared" si="47"/>
        <v>1</v>
      </c>
      <c r="T130" s="46" t="str">
        <f t="shared" si="32"/>
        <v>NorthBound</v>
      </c>
      <c r="U130" s="18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7" t="str">
        <f t="shared" si="33"/>
        <v>https://d0f6bd738d7f1b3e5a7ca70fe4ff75f0.us-east-1.aws.found.io/app/kibana#/discover/Steve-Slow-Train-Analysis-(2080s-and-2083s)?_g=(refreshInterval:(display:Off,pause:!f,section:0,value:0),time:(from:'2017-02-17T17:04:35-0700',mode:absolute,to:'2017-02-17T19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0" s="188" t="str">
        <f t="shared" si="34"/>
        <v>N</v>
      </c>
      <c r="X130" s="188">
        <f t="shared" si="45"/>
        <v>1</v>
      </c>
      <c r="Y130" s="62">
        <f t="shared" si="40"/>
        <v>4.6899999999999997E-2</v>
      </c>
      <c r="Z130" s="62">
        <f t="shared" si="41"/>
        <v>23.3324</v>
      </c>
      <c r="AA130" s="62">
        <f t="shared" si="35"/>
        <v>23.285499999999999</v>
      </c>
      <c r="AB130" s="59" t="str">
        <f>VLOOKUP(A130,Enforcements!$C$7:$K$13,8,0)</f>
        <v>Bulletin (2)</v>
      </c>
      <c r="AC130" s="55" t="str">
        <f>VLOOKUP(A130,Enforcements!$C$7:$E$13,3,0)</f>
        <v>GRADE CROSSING</v>
      </c>
      <c r="AD130" s="56" t="str">
        <f t="shared" si="36"/>
        <v>0217-17</v>
      </c>
      <c r="AE130" s="85" t="str">
        <f t="shared" si="37"/>
        <v>aws s3 cp s3://rtdc.mdm.uploadarchive.raw/RTDC4020/ "%USERPROFILE%\AppData\Local\Temp\OnboardLogs"\RTDC4020\2017-02-17 --exclude "*" --recursive --include "*20170217*" &amp; "%USERPROFILE%\Documents\GitHub\mrs-test-scripts\Headless Mode &amp; Sideloading\WalkAndUnGZ.bat" "%USERPROFILE%\AppData\Local\Temp\OnboardLogs"\RTDC4020\2017-02-17 &amp; aws s3 cp s3://rtdc.mdm.uploadarchive.raw/RTDC4020/ "%USERPROFILE%\AppData\Local\Temp\OnboardLogs"\RTDC4020\2017-02-18 --exclude "*" --recursive --include "*20170218*" &amp; "%USERPROFILE%\Documents\GitHub\mrs-test-scripts\Headless Mode &amp; Sideloading\WalkAndUnGZ.bat" "%USERPROFILE%\AppData\Local\Temp\OnboardLogs"\RTDC4020\2017-02-18</v>
      </c>
      <c r="AF130" s="82" t="str">
        <f t="shared" si="38"/>
        <v>"C:\Program Files (x86)\AstroGrep\AstroGrep.exe" /spath="%USERPROFILE%\AppData\Local\Temp\OnboardLogs" /stypes="app*4020*20170218*" /stext=" 01:.+((SYSTEM_STATE.+slice.+state.+changed )|(ment ac)|(multiple cpu faults)|(system.+state.+changed )|(\[timeout)|(PRM\|1\|D)|(kpr)|(kdp)|(\|lc)|(penalty))" /e /r /s</v>
      </c>
      <c r="AG130" s="1" t="str">
        <f t="shared" si="39"/>
        <v>EC</v>
      </c>
      <c r="AH130" s="86" t="str">
        <f t="shared" si="42"/>
        <v>"%USERPROFILE%\Documents\GitHub\eaglep3\Utilities\RefineRTDCRunTimes.py" --tripid 217-17 --locoid 4020 --swversion DE.1.0.9.0 --startMP 204:469 --initTime 2017-02-17T18:04:35 --startdatetime 2017-02-17T18:15:22 --delay 1 --endMP 204:233324 --enddatetime 2017-02-17T18:52:28 --enforcementcount 0 &gt;&gt;C:\Users\stu\Documents\GitHub\eaglep3-reporting\EC\2017-02-17-refined-times.txt</v>
      </c>
      <c r="AI130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{"issue":{"subject":"","project_id":79,"tracker_id":40,"status_id":1,"priority_id":2,"assigned_to_id":23,"start_date":"2017-02-17","description":"","custom_fields":[{"id":1,"name":"Subdivision","value":"EC"},{"id":4,"name":"Milepost","value":"23.3324"},{"id":17,"name":"Train ID","value":"217-17"},{"id":16,"name":"Locomotive ID","value":"4020"},{"id":130,"name":"Impact","value":""},{"id":150,"name":"Time of Event (Mountain Time)","value":"18:52:28"},{"id":151,"name":"Denver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44"/>
        <v>start /low /b %USERPROFILE%\Documents\GitHub\eaglep3\Utilities\DownloadLogsFromS3.py --loco 4020 --day 2017-02-17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"%USERPROFILE%\AppData\Local\Temp\OnboardLogs"\RTDC4020\*4020*20170218* | grep -SE "(Enforcement Action)|(\[TIMEOUT)|(CHR.+\|PRM\|1\|D.+(SWITCH|SIGNAL).+UNKNOWN)" - &gt;&gt; 2017-02-17-UncaughtWiMAX.txt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635</v>
      </c>
      <c r="B131" s="7">
        <v>4019</v>
      </c>
      <c r="C131" s="21" t="s">
        <v>682</v>
      </c>
      <c r="D131" s="21" t="s">
        <v>399</v>
      </c>
      <c r="E131" s="13">
        <v>42783.795763888891</v>
      </c>
      <c r="F131" s="13">
        <v>42783.799768518518</v>
      </c>
      <c r="G131" s="7">
        <v>1</v>
      </c>
      <c r="H131" s="21" t="s">
        <v>195</v>
      </c>
      <c r="I131" s="13">
        <v>42783.825601851851</v>
      </c>
      <c r="J131" s="7">
        <v>0</v>
      </c>
      <c r="K131" s="98" t="str">
        <f t="shared" si="29"/>
        <v>4019/4020</v>
      </c>
      <c r="L131" s="21" t="str">
        <f>VLOOKUP(A131,'Trips&amp;Operators'!$C$1:$G$99999,5,FALSE)</f>
        <v>PERKINS DARREN</v>
      </c>
      <c r="M131" s="6">
        <f t="shared" si="30"/>
        <v>2.5833333333139308E-2</v>
      </c>
      <c r="N131" s="7">
        <f t="shared" si="46"/>
        <v>37.199999999720603</v>
      </c>
      <c r="O131" s="7"/>
      <c r="P131" s="7"/>
      <c r="Q131" s="22"/>
      <c r="R131" s="22"/>
      <c r="S131" s="31">
        <f t="shared" si="47"/>
        <v>1</v>
      </c>
      <c r="T131" s="46" t="str">
        <f t="shared" si="32"/>
        <v>Southbound</v>
      </c>
      <c r="U131" s="18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7" t="str">
        <f t="shared" si="33"/>
        <v>https://d0f6bd738d7f1b3e5a7ca70fe4ff75f0.us-east-1.aws.found.io/app/kibana#/discover/Steve-Slow-Train-Analysis-(2080s-and-2083s)?_g=(refreshInterval:(display:Off,pause:!f,section:0,value:0),time:(from:'2017-02-17T18:05:54-0700',mode:absolute,to:'2017-02-17T20:48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1" s="188" t="str">
        <f t="shared" si="34"/>
        <v>N</v>
      </c>
      <c r="X131" s="188">
        <f t="shared" si="45"/>
        <v>1</v>
      </c>
      <c r="Y131" s="62">
        <f t="shared" si="40"/>
        <v>23.298200000000001</v>
      </c>
      <c r="Z131" s="62">
        <f t="shared" si="41"/>
        <v>1.4999999999999999E-2</v>
      </c>
      <c r="AA131" s="62">
        <f t="shared" si="35"/>
        <v>23.283200000000001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6"/>
        <v>0218-17</v>
      </c>
      <c r="AE131" s="85" t="str">
        <f t="shared" si="37"/>
        <v>aws s3 cp s3://rtdc.mdm.uploadarchive.raw/RTDC4019/ "%USERPROFILE%\AppData\Local\Temp\OnboardLogs"\RTDC4019\2017-02-17 --exclude "*" --recursive --include "*20170217*" &amp; "%USERPROFILE%\Documents\GitHub\mrs-test-scripts\Headless Mode &amp; Sideloading\WalkAndUnGZ.bat" "%USERPROFILE%\AppData\Local\Temp\OnboardLogs"\RTDC4019\2017-02-17 &amp; aws s3 cp s3://rtdc.mdm.uploadarchive.raw/RTDC4019/ "%USERPROFILE%\AppData\Local\Temp\OnboardLogs"\RTDC4019\2017-02-18 --exclude "*" --recursive --include "*20170218*" &amp; "%USERPROFILE%\Documents\GitHub\mrs-test-scripts\Headless Mode &amp; Sideloading\WalkAndUnGZ.bat" "%USERPROFILE%\AppData\Local\Temp\OnboardLogs"\RTDC4019\2017-02-18</v>
      </c>
      <c r="AF131" s="82" t="str">
        <f t="shared" si="38"/>
        <v>"C:\Program Files (x86)\AstroGrep\AstroGrep.exe" /spath="%USERPROFILE%\AppData\Local\Temp\OnboardLogs" /stypes="app*4019*20170218*" /stext=" 02:.+((SYSTEM_STATE.+slice.+state.+changed )|(ment ac)|(multiple cpu faults)|(system.+state.+changed )|(\[timeout)|(PRM\|1\|D)|(kpr)|(kdp)|(\|lc)|(penalty))" /e /r /s</v>
      </c>
      <c r="AG131" s="1" t="str">
        <f t="shared" si="39"/>
        <v>EC</v>
      </c>
      <c r="AH131" s="86" t="str">
        <f t="shared" si="42"/>
        <v>"%USERPROFILE%\Documents\GitHub\eaglep3\Utilities\RefineRTDCRunTimes.py" --tripid 218-17 --locoid 4019 --swversion DE.1.0.9.0 --startMP 204:232982 --initTime 2017-02-17T19:05:54 --startdatetime 2017-02-17T19:11:40 --delay 1 --endMP 204:150 --enddatetime 2017-02-17T19:48:52 --enforcementcount 0 &gt;&gt;C:\Users\stu\Documents\GitHub\eaglep3-reporting\EC\2017-02-17-refined-times.txt</v>
      </c>
      <c r="AI131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{"issue":{"subject":"","project_id":79,"tracker_id":40,"status_id":1,"priority_id":2,"assigned_to_id":23,"start_date":"2017-02-17","description":"","custom_fields":[{"id":1,"name":"Subdivision","value":"EC"},{"id":4,"name":"Milepost","value":"0.015"},{"id":17,"name":"Train ID","value":"218-17"},{"id":16,"name":"Locomotive ID","value":"4019"},{"id":130,"name":"Impact","value":""},{"id":150,"name":"Time of Event (Mountain Time)","value":"19:48:52"},{"id":151,"name":"Denver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44"/>
        <v>start /low /b %USERPROFILE%\Documents\GitHub\eaglep3\Utilities\DownloadLogsFromS3.py --loco 4019 --day 2017-02-17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"%USERPROFILE%\AppData\Local\Temp\OnboardLogs"\RTDC4019\*4019*20170218* | grep -SE "(Enforcement Action)|(\[TIMEOUT)|(CHR.+\|PRM\|1\|D.+(SWITCH|SIGNAL).+UNKNOWN)" - &gt;&gt; 2017-02-17-UncaughtWiMAX.txt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629</v>
      </c>
      <c r="B132" s="7">
        <v>4025</v>
      </c>
      <c r="C132" s="21" t="s">
        <v>682</v>
      </c>
      <c r="D132" s="21" t="s">
        <v>743</v>
      </c>
      <c r="E132" s="13">
        <v>42783.76840277778</v>
      </c>
      <c r="F132" s="13">
        <v>42783.770960648151</v>
      </c>
      <c r="G132" s="7">
        <v>1</v>
      </c>
      <c r="H132" s="21" t="s">
        <v>744</v>
      </c>
      <c r="I132" s="13">
        <v>42783.795694444445</v>
      </c>
      <c r="J132" s="7">
        <v>0</v>
      </c>
      <c r="K132" s="98" t="str">
        <f t="shared" si="29"/>
        <v>4025/4026</v>
      </c>
      <c r="L132" s="21" t="str">
        <f>VLOOKUP(A132,'Trips&amp;Operators'!$C$1:$G$99999,5,FALSE)</f>
        <v>HILLS DUSTIN</v>
      </c>
      <c r="M132" s="6">
        <f t="shared" si="30"/>
        <v>2.4733796293730848E-2</v>
      </c>
      <c r="N132" s="7">
        <f t="shared" si="46"/>
        <v>35.61666666297242</v>
      </c>
      <c r="O132" s="7"/>
      <c r="P132" s="7"/>
      <c r="Q132" s="22"/>
      <c r="R132" s="22"/>
      <c r="S132" s="31">
        <f t="shared" si="47"/>
        <v>1</v>
      </c>
      <c r="T132" s="46" t="str">
        <f t="shared" si="32"/>
        <v>NorthBound</v>
      </c>
      <c r="U132" s="18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7" t="str">
        <f t="shared" si="33"/>
        <v>https://d0f6bd738d7f1b3e5a7ca70fe4ff75f0.us-east-1.aws.found.io/app/kibana#/discover/Steve-Slow-Train-Analysis-(2080s-and-2083s)?_g=(refreshInterval:(display:Off,pause:!f,section:0,value:0),time:(from:'2017-02-17T17:26:30-0700',mode:absolute,to:'2017-02-17T20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2" s="188" t="str">
        <f t="shared" si="34"/>
        <v>N</v>
      </c>
      <c r="X132" s="188">
        <f t="shared" si="45"/>
        <v>1</v>
      </c>
      <c r="Y132" s="62">
        <f t="shared" si="40"/>
        <v>5.1700000000000003E-2</v>
      </c>
      <c r="Z132" s="62">
        <f t="shared" si="41"/>
        <v>23.343399999999999</v>
      </c>
      <c r="AA132" s="62">
        <f t="shared" si="35"/>
        <v>23.291699999999999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6"/>
        <v>0219-17</v>
      </c>
      <c r="AE132" s="85" t="str">
        <f t="shared" si="37"/>
        <v>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 &amp; aws s3 cp s3://rtdc.mdm.uploadarchive.raw/RTDC4025/ "%USERPROFILE%\AppData\Local\Temp\OnboardLogs"\RTDC4025\2017-02-18 --exclude "*" --recursive --include "*20170218*" &amp; "%USERPROFILE%\Documents\GitHub\mrs-test-scripts\Headless Mode &amp; Sideloading\WalkAndUnGZ.bat" "%USERPROFILE%\AppData\Local\Temp\OnboardLogs"\RTDC4025\2017-02-18</v>
      </c>
      <c r="AF132" s="82" t="str">
        <f t="shared" si="38"/>
        <v>"C:\Program Files (x86)\AstroGrep\AstroGrep.exe" /spath="%USERPROFILE%\AppData\Local\Temp\OnboardLogs" /stypes="app*4025*20170218*" /stext=" 02:.+((SYSTEM_STATE.+slice.+state.+changed )|(ment ac)|(multiple cpu faults)|(system.+state.+changed )|(\[timeout)|(PRM\|1\|D)|(kpr)|(kdp)|(\|lc)|(penalty))" /e /r /s</v>
      </c>
      <c r="AG132" s="1" t="str">
        <f t="shared" si="39"/>
        <v>EC</v>
      </c>
      <c r="AH132" s="86" t="str">
        <f t="shared" si="42"/>
        <v>"%USERPROFILE%\Documents\GitHub\eaglep3\Utilities\RefineRTDCRunTimes.py" --tripid 219-17 --locoid 4025 --swversion DE.1.0.9.0 --startMP 204:517 --initTime 2017-02-17T18:26:30 --startdatetime 2017-02-17T18:30:11 --delay 1 --endMP 204:233434 --enddatetime 2017-02-17T19:05:48 --enforcementcount 0 &gt;&gt;C:\Users\stu\Documents\GitHub\eaglep3-reporting\EC\2017-02-17-refined-times.txt</v>
      </c>
      <c r="AI132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{"issue":{"subject":"","project_id":79,"tracker_id":40,"status_id":1,"priority_id":2,"assigned_to_id":23,"start_date":"2017-02-17","description":"","custom_fields":[{"id":1,"name":"Subdivision","value":"EC"},{"id":4,"name":"Milepost","value":"23.3434"},{"id":17,"name":"Train ID","value":"219-17"},{"id":16,"name":"Locomotive ID","value":"4025"},{"id":130,"name":"Impact","value":""},{"id":150,"name":"Time of Event (Mountain Time)","value":"19:05:48"},{"id":151,"name":"Denver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44"/>
        <v>start /low /b %USERPROFILE%\Documents\GitHub\eaglep3\Utilities\DownloadLogsFromS3.py --loco 4025 --day 2017-02-17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"%USERPROFILE%\AppData\Local\Temp\OnboardLogs"\RTDC4025\*4025*20170218* | grep -SE "(Enforcement Action)|(\[TIMEOUT)|(CHR.+\|PRM\|1\|D.+(SWITCH|SIGNAL).+UNKNOWN)" - &gt;&gt; 2017-02-17-UncaughtWiMAX.txt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637</v>
      </c>
      <c r="B133" s="7">
        <v>4026</v>
      </c>
      <c r="C133" s="21" t="s">
        <v>682</v>
      </c>
      <c r="D133" s="21" t="s">
        <v>417</v>
      </c>
      <c r="E133" s="13">
        <v>42783.797858796293</v>
      </c>
      <c r="F133" s="13">
        <v>42783.810057870367</v>
      </c>
      <c r="G133" s="7">
        <v>1</v>
      </c>
      <c r="H133" s="21" t="s">
        <v>745</v>
      </c>
      <c r="I133" s="13">
        <v>42783.8359375</v>
      </c>
      <c r="J133" s="7">
        <v>0</v>
      </c>
      <c r="K133" s="98" t="str">
        <f t="shared" si="29"/>
        <v>4025/4026</v>
      </c>
      <c r="L133" s="21" t="str">
        <f>VLOOKUP(A133,'Trips&amp;Operators'!$C$1:$G$99999,5,FALSE)</f>
        <v>HILLS DUSTIN</v>
      </c>
      <c r="M133" s="6">
        <f t="shared" si="30"/>
        <v>2.587962963298196E-2</v>
      </c>
      <c r="N133" s="7">
        <f t="shared" si="46"/>
        <v>37.266666671494022</v>
      </c>
      <c r="O133" s="7"/>
      <c r="P133" s="7"/>
      <c r="Q133" s="22"/>
      <c r="R133" s="22"/>
      <c r="S133" s="31">
        <f t="shared" si="47"/>
        <v>1</v>
      </c>
      <c r="T133" s="46" t="str">
        <f t="shared" si="32"/>
        <v>Southbound</v>
      </c>
      <c r="U133" s="18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7" t="str">
        <f t="shared" si="33"/>
        <v>https://d0f6bd738d7f1b3e5a7ca70fe4ff75f0.us-east-1.aws.found.io/app/kibana#/discover/Steve-Slow-Train-Analysis-(2080s-and-2083s)?_g=(refreshInterval:(display:Off,pause:!f,section:0,value:0),time:(from:'2017-02-17T18:08:55-0700',mode:absolute,to:'2017-02-17T21:03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3" s="188" t="str">
        <f t="shared" si="34"/>
        <v>N</v>
      </c>
      <c r="X133" s="188">
        <f t="shared" si="45"/>
        <v>1</v>
      </c>
      <c r="Y133" s="62">
        <f t="shared" si="40"/>
        <v>23.311900000000001</v>
      </c>
      <c r="Z133" s="62">
        <f t="shared" si="41"/>
        <v>1.0999999999999999E-2</v>
      </c>
      <c r="AA133" s="62">
        <f t="shared" si="35"/>
        <v>23.300900000000002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6"/>
        <v>0220-17</v>
      </c>
      <c r="AE133" s="85" t="str">
        <f t="shared" si="37"/>
        <v>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 &amp; aws s3 cp s3://rtdc.mdm.uploadarchive.raw/RTDC4026/ "%USERPROFILE%\AppData\Local\Temp\OnboardLogs"\RTDC4026\2017-02-18 --exclude "*" --recursive --include "*20170218*" &amp; "%USERPROFILE%\Documents\GitHub\mrs-test-scripts\Headless Mode &amp; Sideloading\WalkAndUnGZ.bat" "%USERPROFILE%\AppData\Local\Temp\OnboardLogs"\RTDC4026\2017-02-18</v>
      </c>
      <c r="AF133" s="82" t="str">
        <f t="shared" si="38"/>
        <v>"C:\Program Files (x86)\AstroGrep\AstroGrep.exe" /spath="%USERPROFILE%\AppData\Local\Temp\OnboardLogs" /stypes="app*4026*20170218*" /stext=" 03:.+((SYSTEM_STATE.+slice.+state.+changed )|(ment ac)|(multiple cpu faults)|(system.+state.+changed )|(\[timeout)|(PRM\|1\|D)|(kpr)|(kdp)|(\|lc)|(penalty))" /e /r /s</v>
      </c>
      <c r="AG133" s="1" t="str">
        <f t="shared" si="39"/>
        <v>EC</v>
      </c>
      <c r="AH133" s="86" t="str">
        <f t="shared" si="42"/>
        <v>"%USERPROFILE%\Documents\GitHub\eaglep3\Utilities\RefineRTDCRunTimes.py" --tripid 220-17 --locoid 4026 --swversion DE.1.0.9.0 --startMP 204:233119 --initTime 2017-02-17T19:08:55 --startdatetime 2017-02-17T19:26:29 --delay 1 --endMP 204:110 --enddatetime 2017-02-17T20:03:45 --enforcementcount 0 &gt;&gt;C:\Users\stu\Documents\GitHub\eaglep3-reporting\EC\2017-02-17-refined-times.txt</v>
      </c>
      <c r="AI133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{"issue":{"subject":"","project_id":79,"tracker_id":40,"status_id":1,"priority_id":2,"assigned_to_id":23,"start_date":"2017-02-17","description":"","custom_fields":[{"id":1,"name":"Subdivision","value":"EC"},{"id":4,"name":"Milepost","value":"0.011"},{"id":17,"name":"Train ID","value":"220-17"},{"id":16,"name":"Locomotive ID","value":"4026"},{"id":130,"name":"Impact","value":""},{"id":150,"name":"Time of Event (Mountain Time)","value":"20:03:45"},{"id":151,"name":"Denver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44"/>
        <v>start /low /b %USERPROFILE%\Documents\GitHub\eaglep3\Utilities\DownloadLogsFromS3.py --loco 4026 --day 2017-02-17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"%USERPROFILE%\AppData\Local\Temp\OnboardLogs"\RTDC4026\*4026*20170218* | grep -SE "(Enforcement Action)|(\[TIMEOUT)|(CHR.+\|PRM\|1\|D.+(SWITCH|SIGNAL).+UNKNOWN)" - &gt;&gt; 2017-02-17-UncaughtWiMAX.txt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634</v>
      </c>
      <c r="B134" s="7">
        <v>4044</v>
      </c>
      <c r="C134" s="21" t="s">
        <v>682</v>
      </c>
      <c r="D134" s="21" t="s">
        <v>205</v>
      </c>
      <c r="E134" s="13">
        <v>42783.786759259259</v>
      </c>
      <c r="F134" s="13">
        <v>42783.791817129626</v>
      </c>
      <c r="G134" s="7">
        <v>1</v>
      </c>
      <c r="H134" s="21" t="s">
        <v>367</v>
      </c>
      <c r="I134" s="13">
        <v>42783.81659722222</v>
      </c>
      <c r="J134" s="7">
        <v>0</v>
      </c>
      <c r="K134" s="98" t="str">
        <f t="shared" si="29"/>
        <v>4043/4044</v>
      </c>
      <c r="L134" s="21" t="str">
        <f>VLOOKUP(A134,'Trips&amp;Operators'!$C$1:$G$99999,5,FALSE)</f>
        <v>BROWN JACOB</v>
      </c>
      <c r="M134" s="6">
        <f t="shared" si="30"/>
        <v>2.4780092593573499E-2</v>
      </c>
      <c r="N134" s="7">
        <f t="shared" si="46"/>
        <v>35.683333334745839</v>
      </c>
      <c r="O134" s="7"/>
      <c r="P134" s="7"/>
      <c r="Q134" s="22"/>
      <c r="R134" s="22"/>
      <c r="S134" s="31">
        <f t="shared" si="47"/>
        <v>1</v>
      </c>
      <c r="T134" s="46" t="str">
        <f t="shared" si="32"/>
        <v>NorthBound</v>
      </c>
      <c r="U134" s="18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7" t="str">
        <f t="shared" si="33"/>
        <v>https://d0f6bd738d7f1b3e5a7ca70fe4ff75f0.us-east-1.aws.found.io/app/kibana#/discover/Steve-Slow-Train-Analysis-(2080s-and-2083s)?_g=(refreshInterval:(display:Off,pause:!f,section:0,value:0),time:(from:'2017-02-17T17:52:56-0700',mode:absolute,to:'2017-02-17T20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4" s="188" t="str">
        <f t="shared" si="34"/>
        <v>N</v>
      </c>
      <c r="X134" s="188">
        <f t="shared" si="45"/>
        <v>1</v>
      </c>
      <c r="Y134" s="62">
        <f t="shared" si="40"/>
        <v>4.6199999999999998E-2</v>
      </c>
      <c r="Z134" s="62">
        <f t="shared" si="41"/>
        <v>23.330500000000001</v>
      </c>
      <c r="AA134" s="62">
        <f t="shared" si="35"/>
        <v>23.284300000000002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6"/>
        <v>0221-17</v>
      </c>
      <c r="AE134" s="85" t="str">
        <f t="shared" si="37"/>
        <v>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 &amp; 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</v>
      </c>
      <c r="AF134" s="82" t="str">
        <f t="shared" si="38"/>
        <v>"C:\Program Files (x86)\AstroGrep\AstroGrep.exe" /spath="%USERPROFILE%\AppData\Local\Temp\OnboardLogs" /stypes="app*4044*20170218*" /stext=" 02:.+((SYSTEM_STATE.+slice.+state.+changed )|(ment ac)|(multiple cpu faults)|(system.+state.+changed )|(\[timeout)|(PRM\|1\|D)|(kpr)|(kdp)|(\|lc)|(penalty))" /e /r /s</v>
      </c>
      <c r="AG134" s="1" t="str">
        <f t="shared" si="39"/>
        <v>EC</v>
      </c>
      <c r="AH134" s="86" t="str">
        <f t="shared" si="42"/>
        <v>"%USERPROFILE%\Documents\GitHub\eaglep3\Utilities\RefineRTDCRunTimes.py" --tripid 221-17 --locoid 4044 --swversion DE.1.0.9.0 --startMP 204:462 --initTime 2017-02-17T18:52:56 --startdatetime 2017-02-17T19:00:13 --delay 1 --endMP 204:233305 --enddatetime 2017-02-17T19:35:54 --enforcementcount 0 &gt;&gt;C:\Users\stu\Documents\GitHub\eaglep3-reporting\EC\2017-02-17-refined-times.txt</v>
      </c>
      <c r="AI134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{"issue":{"subject":"","project_id":79,"tracker_id":40,"status_id":1,"priority_id":2,"assigned_to_id":23,"start_date":"2017-02-17","description":"","custom_fields":[{"id":1,"name":"Subdivision","value":"EC"},{"id":4,"name":"Milepost","value":"23.3305"},{"id":17,"name":"Train ID","value":"221-17"},{"id":16,"name":"Locomotive ID","value":"4044"},{"id":130,"name":"Impact","value":""},{"id":150,"name":"Time of Event (Mountain Time)","value":"19:35:54"},{"id":151,"name":"Denver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44"/>
        <v>start /low /b %USERPROFILE%\Documents\GitHub\eaglep3\Utilities\DownloadLogsFromS3.py --loco 4044 --day 2017-02-17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"%USERPROFILE%\AppData\Local\Temp\OnboardLogs"\RTDC4044\*4044*20170218* | grep -SE "(Enforcement Action)|(\[TIMEOUT)|(CHR.+\|PRM\|1\|D.+(SWITCH|SIGNAL).+UNKNOWN)" - &gt;&gt; 2017-02-17-UncaughtWiMAX.txt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642</v>
      </c>
      <c r="B135" s="7">
        <v>4043</v>
      </c>
      <c r="C135" s="21" t="s">
        <v>682</v>
      </c>
      <c r="D135" s="21" t="s">
        <v>298</v>
      </c>
      <c r="E135" s="13">
        <v>42783.828668981485</v>
      </c>
      <c r="F135" s="13">
        <v>42783.830740740741</v>
      </c>
      <c r="G135" s="7">
        <v>1</v>
      </c>
      <c r="H135" s="21" t="s">
        <v>217</v>
      </c>
      <c r="I135" s="13">
        <v>42783.858935185184</v>
      </c>
      <c r="J135" s="7">
        <v>0</v>
      </c>
      <c r="K135" s="98" t="str">
        <f t="shared" si="29"/>
        <v>4043/4044</v>
      </c>
      <c r="L135" s="21" t="str">
        <f>VLOOKUP(A135,'Trips&amp;Operators'!$C$1:$G$99999,5,FALSE)</f>
        <v>BROWN JACOB</v>
      </c>
      <c r="M135" s="6">
        <f t="shared" si="30"/>
        <v>2.8194444443215616E-2</v>
      </c>
      <c r="N135" s="7">
        <f t="shared" si="46"/>
        <v>40.599999998230487</v>
      </c>
      <c r="O135" s="7"/>
      <c r="P135" s="7"/>
      <c r="Q135" s="22"/>
      <c r="R135" s="22"/>
      <c r="S135" s="31">
        <f t="shared" si="47"/>
        <v>1</v>
      </c>
      <c r="T135" s="46" t="str">
        <f t="shared" si="32"/>
        <v>Southbound</v>
      </c>
      <c r="U135" s="18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7" t="str">
        <f t="shared" si="33"/>
        <v>https://d0f6bd738d7f1b3e5a7ca70fe4ff75f0.us-east-1.aws.found.io/app/kibana#/discover/Steve-Slow-Train-Analysis-(2080s-and-2083s)?_g=(refreshInterval:(display:Off,pause:!f,section:0,value:0),time:(from:'2017-02-17T18:53:17-0700',mode:absolute,to:'2017-02-17T21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5" s="188" t="str">
        <f t="shared" si="34"/>
        <v>N</v>
      </c>
      <c r="X135" s="188">
        <f t="shared" si="45"/>
        <v>1</v>
      </c>
      <c r="Y135" s="62">
        <f t="shared" si="40"/>
        <v>23.299800000000001</v>
      </c>
      <c r="Z135" s="62">
        <f t="shared" si="41"/>
        <v>1.54E-2</v>
      </c>
      <c r="AA135" s="62">
        <f t="shared" si="35"/>
        <v>23.284400000000002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6"/>
        <v>0222-17</v>
      </c>
      <c r="AE135" s="85" t="str">
        <f t="shared" si="37"/>
        <v>aws s3 cp s3://rtdc.mdm.uploadarchive.raw/RTDC4043/ "%USERPROFILE%\AppData\Local\Temp\OnboardLogs"\RTDC4043\2017-02-17 --exclude "*" --recursive --include "*20170217*" &amp; "%USERPROFILE%\Documents\GitHub\mrs-test-scripts\Headless Mode &amp; Sideloading\WalkAndUnGZ.bat" "%USERPROFILE%\AppData\Local\Temp\OnboardLogs"\RTDC4043\2017-02-17 &amp; aws s3 cp s3://rtdc.mdm.uploadarchive.raw/RTDC4043/ "%USERPROFILE%\AppData\Local\Temp\OnboardLogs"\RTDC4043\2017-02-18 --exclude "*" --recursive --include "*20170218*" &amp; "%USERPROFILE%\Documents\GitHub\mrs-test-scripts\Headless Mode &amp; Sideloading\WalkAndUnGZ.bat" "%USERPROFILE%\AppData\Local\Temp\OnboardLogs"\RTDC4043\2017-02-18</v>
      </c>
      <c r="AF135" s="82" t="str">
        <f t="shared" si="38"/>
        <v>"C:\Program Files (x86)\AstroGrep\AstroGrep.exe" /spath="%USERPROFILE%\AppData\Local\Temp\OnboardLogs" /stypes="app*4043*20170218*" /stext=" 03:.+((SYSTEM_STATE.+slice.+state.+changed )|(ment ac)|(multiple cpu faults)|(system.+state.+changed )|(\[timeout)|(PRM\|1\|D)|(kpr)|(kdp)|(\|lc)|(penalty))" /e /r /s</v>
      </c>
      <c r="AG135" s="1" t="str">
        <f t="shared" si="39"/>
        <v>EC</v>
      </c>
      <c r="AH135" s="86" t="str">
        <f t="shared" si="42"/>
        <v>"%USERPROFILE%\Documents\GitHub\eaglep3\Utilities\RefineRTDCRunTimes.py" --tripid 222-17 --locoid 4043 --swversion DE.1.0.9.0 --startMP 204:232998 --initTime 2017-02-17T19:53:17 --startdatetime 2017-02-17T19:56:16 --delay 1 --endMP 204:154 --enddatetime 2017-02-17T20:36:52 --enforcementcount 0 &gt;&gt;C:\Users\stu\Documents\GitHub\eaglep3-reporting\EC\2017-02-17-refined-times.txt</v>
      </c>
      <c r="AI135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{"issue":{"subject":"","project_id":79,"tracker_id":40,"status_id":1,"priority_id":2,"assigned_to_id":23,"start_date":"2017-02-17","description":"","custom_fields":[{"id":1,"name":"Subdivision","value":"EC"},{"id":4,"name":"Milepost","value":"0.0154"},{"id":17,"name":"Train ID","value":"222-17"},{"id":16,"name":"Locomotive ID","value":"4043"},{"id":130,"name":"Impact","value":""},{"id":150,"name":"Time of Event (Mountain Time)","value":"20:36:52"},{"id":151,"name":"Denver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44"/>
        <v>start /low /b %USERPROFILE%\Documents\GitHub\eaglep3\Utilities\DownloadLogsFromS3.py --loco 4043 --day 2017-02-17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"%USERPROFILE%\AppData\Local\Temp\OnboardLogs"\RTDC4043\*4043*20170218* | grep -SE "(Enforcement Action)|(\[TIMEOUT)|(CHR.+\|PRM\|1\|D.+(SWITCH|SIGNAL).+UNKNOWN)" - &gt;&gt; 2017-02-17-UncaughtWiMAX.txt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639</v>
      </c>
      <c r="B136" s="7">
        <v>4046</v>
      </c>
      <c r="C136" s="21" t="s">
        <v>682</v>
      </c>
      <c r="D136" s="21" t="s">
        <v>727</v>
      </c>
      <c r="E136" s="13">
        <v>42783.807627314818</v>
      </c>
      <c r="F136" s="13">
        <v>42783.812777777777</v>
      </c>
      <c r="G136" s="7">
        <v>1</v>
      </c>
      <c r="H136" s="21" t="s">
        <v>414</v>
      </c>
      <c r="I136" s="13">
        <v>42783.837731481479</v>
      </c>
      <c r="J136" s="7">
        <v>0</v>
      </c>
      <c r="K136" s="98" t="str">
        <f t="shared" si="29"/>
        <v>4045/4046</v>
      </c>
      <c r="L136" s="21" t="str">
        <f>VLOOKUP(A136,'Trips&amp;Operators'!$C$1:$G$99999,5,FALSE)</f>
        <v>STORY SAMANTHA</v>
      </c>
      <c r="M136" s="6">
        <f t="shared" si="30"/>
        <v>2.495370370161254E-2</v>
      </c>
      <c r="N136" s="7">
        <f t="shared" si="46"/>
        <v>35.933333330322057</v>
      </c>
      <c r="O136" s="7"/>
      <c r="P136" s="7"/>
      <c r="Q136" s="22"/>
      <c r="R136" s="22"/>
      <c r="S136" s="31">
        <f t="shared" si="47"/>
        <v>1</v>
      </c>
      <c r="T136" s="46" t="str">
        <f t="shared" si="32"/>
        <v>NorthBound</v>
      </c>
      <c r="U136" s="18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7" t="str">
        <f t="shared" si="33"/>
        <v>https://d0f6bd738d7f1b3e5a7ca70fe4ff75f0.us-east-1.aws.found.io/app/kibana#/discover/Steve-Slow-Train-Analysis-(2080s-and-2083s)?_g=(refreshInterval:(display:Off,pause:!f,section:0,value:0),time:(from:'2017-02-17T18:22:59-0700',mode:absolute,to:'2017-02-17T21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188" t="str">
        <f t="shared" si="34"/>
        <v>N</v>
      </c>
      <c r="X136" s="188">
        <f t="shared" si="45"/>
        <v>1</v>
      </c>
      <c r="Y136" s="62">
        <f t="shared" si="40"/>
        <v>4.58E-2</v>
      </c>
      <c r="Z136" s="62">
        <f t="shared" si="41"/>
        <v>23.330400000000001</v>
      </c>
      <c r="AA136" s="62">
        <f t="shared" si="35"/>
        <v>23.284600000000001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6"/>
        <v>0223-17</v>
      </c>
      <c r="AE136" s="85" t="str">
        <f t="shared" si="37"/>
        <v>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 &amp; aws s3 cp s3://rtdc.mdm.uploadarchive.raw/RTDC4046/ "%USERPROFILE%\AppData\Local\Temp\OnboardLogs"\RTDC4046\2017-02-18 --exclude "*" --recursive --include "*20170218*" &amp; "%USERPROFILE%\Documents\GitHub\mrs-test-scripts\Headless Mode &amp; Sideloading\WalkAndUnGZ.bat" "%USERPROFILE%\AppData\Local\Temp\OnboardLogs"\RTDC4046\2017-02-18</v>
      </c>
      <c r="AF136" s="82" t="str">
        <f t="shared" si="38"/>
        <v>"C:\Program Files (x86)\AstroGrep\AstroGrep.exe" /spath="%USERPROFILE%\AppData\Local\Temp\OnboardLogs" /stypes="app*4046*20170218*" /stext=" 03:.+((SYSTEM_STATE.+slice.+state.+changed )|(ment ac)|(multiple cpu faults)|(system.+state.+changed )|(\[timeout)|(PRM\|1\|D)|(kpr)|(kdp)|(\|lc)|(penalty))" /e /r /s</v>
      </c>
      <c r="AG136" s="1" t="str">
        <f t="shared" si="39"/>
        <v>EC</v>
      </c>
      <c r="AH136" s="86" t="str">
        <f t="shared" si="42"/>
        <v>"%USERPROFILE%\Documents\GitHub\eaglep3\Utilities\RefineRTDCRunTimes.py" --tripid 223-17 --locoid 4046 --swversion DE.1.0.9.0 --startMP 204:458 --initTime 2017-02-17T19:22:59 --startdatetime 2017-02-17T19:30:24 --delay 1 --endMP 204:233304 --enddatetime 2017-02-17T20:06:20 --enforcementcount 0 &gt;&gt;C:\Users\stu\Documents\GitHub\eaglep3-reporting\EC\2017-02-17-refined-times.txt</v>
      </c>
      <c r="AI136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{"issue":{"subject":"","project_id":79,"tracker_id":40,"status_id":1,"priority_id":2,"assigned_to_id":23,"start_date":"2017-02-17","description":"","custom_fields":[{"id":1,"name":"Subdivision","value":"EC"},{"id":4,"name":"Milepost","value":"23.3304"},{"id":17,"name":"Train ID","value":"223-17"},{"id":16,"name":"Locomotive ID","value":"4046"},{"id":130,"name":"Impact","value":""},{"id":150,"name":"Time of Event (Mountain Time)","value":"20:06:20"},{"id":151,"name":"Denver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44"/>
        <v>start /low /b %USERPROFILE%\Documents\GitHub\eaglep3\Utilities\DownloadLogsFromS3.py --loco 4046 --day 2017-02-17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"%USERPROFILE%\AppData\Local\Temp\OnboardLogs"\RTDC4046\*4046*20170218* | grep -SE "(Enforcement Action)|(\[TIMEOUT)|(CHR.+\|PRM\|1\|D.+(SWITCH|SIGNAL).+UNKNOWN)" - &gt;&gt; 2017-02-17-UncaughtWiMAX.txt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649</v>
      </c>
      <c r="B137" s="7">
        <v>4045</v>
      </c>
      <c r="C137" s="21" t="s">
        <v>682</v>
      </c>
      <c r="D137" s="21" t="s">
        <v>698</v>
      </c>
      <c r="E137" s="13">
        <v>42783.848900462966</v>
      </c>
      <c r="F137" s="13">
        <v>42783.851585648146</v>
      </c>
      <c r="G137" s="7">
        <v>1</v>
      </c>
      <c r="H137" s="21" t="s">
        <v>295</v>
      </c>
      <c r="I137" s="13">
        <v>42783.878437500003</v>
      </c>
      <c r="J137" s="7">
        <v>0</v>
      </c>
      <c r="K137" s="98" t="str">
        <f t="shared" si="29"/>
        <v>4045/4046</v>
      </c>
      <c r="L137" s="21" t="str">
        <f>VLOOKUP(A137,'Trips&amp;Operators'!$C$1:$G$99999,5,FALSE)</f>
        <v>STORY SAMANTHA</v>
      </c>
      <c r="M137" s="6">
        <f t="shared" si="30"/>
        <v>2.6851851856918074E-2</v>
      </c>
      <c r="N137" s="7">
        <f t="shared" si="46"/>
        <v>38.666666673962027</v>
      </c>
      <c r="O137" s="7"/>
      <c r="P137" s="7"/>
      <c r="Q137" s="22"/>
      <c r="R137" s="22"/>
      <c r="S137" s="31">
        <f t="shared" si="47"/>
        <v>1</v>
      </c>
      <c r="T137" s="46" t="str">
        <f t="shared" si="32"/>
        <v>Southbound</v>
      </c>
      <c r="U137" s="18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7" t="str">
        <f t="shared" si="33"/>
        <v>https://d0f6bd738d7f1b3e5a7ca70fe4ff75f0.us-east-1.aws.found.io/app/kibana#/discover/Steve-Slow-Train-Analysis-(2080s-and-2083s)?_g=(refreshInterval:(display:Off,pause:!f,section:0,value:0),time:(from:'2017-02-17T19:22:25-0700',mode:absolute,to:'2017-02-17T22:04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188" t="str">
        <f t="shared" si="34"/>
        <v>N</v>
      </c>
      <c r="X137" s="188">
        <f t="shared" si="45"/>
        <v>1</v>
      </c>
      <c r="Y137" s="62">
        <f t="shared" si="40"/>
        <v>23.299399999999999</v>
      </c>
      <c r="Z137" s="62">
        <f t="shared" si="41"/>
        <v>1.47E-2</v>
      </c>
      <c r="AA137" s="62">
        <f t="shared" si="35"/>
        <v>23.284699999999997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6"/>
        <v>0224-17</v>
      </c>
      <c r="AE137" s="85" t="str">
        <f t="shared" si="37"/>
        <v>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 &amp; aws s3 cp s3://rtdc.mdm.uploadarchive.raw/RTDC4045/ "%USERPROFILE%\AppData\Local\Temp\OnboardLogs"\RTDC4045\2017-02-18 --exclude "*" --recursive --include "*20170218*" &amp; "%USERPROFILE%\Documents\GitHub\mrs-test-scripts\Headless Mode &amp; Sideloading\WalkAndUnGZ.bat" "%USERPROFILE%\AppData\Local\Temp\OnboardLogs"\RTDC4045\2017-02-18</v>
      </c>
      <c r="AF137" s="82" t="str">
        <f t="shared" si="38"/>
        <v>"C:\Program Files (x86)\AstroGrep\AstroGrep.exe" /spath="%USERPROFILE%\AppData\Local\Temp\OnboardLogs" /stypes="app*4045*20170218*" /stext=" 04:.+((SYSTEM_STATE.+slice.+state.+changed )|(ment ac)|(multiple cpu faults)|(system.+state.+changed )|(\[timeout)|(PRM\|1\|D)|(kpr)|(kdp)|(\|lc)|(penalty))" /e /r /s</v>
      </c>
      <c r="AG137" s="1" t="str">
        <f t="shared" si="39"/>
        <v>EC</v>
      </c>
      <c r="AH137" s="86" t="str">
        <f t="shared" si="42"/>
        <v>"%USERPROFILE%\Documents\GitHub\eaglep3\Utilities\RefineRTDCRunTimes.py" --tripid 224-17 --locoid 4045 --swversion DE.1.0.9.0 --startMP 204:232994 --initTime 2017-02-17T20:22:25 --startdatetime 2017-02-17T20:26:17 --delay 1 --endMP 204:147 --enddatetime 2017-02-17T21:04:57 --enforcementcount 0 &gt;&gt;C:\Users\stu\Documents\GitHub\eaglep3-reporting\EC\2017-02-17-refined-times.txt</v>
      </c>
      <c r="AI137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{"issue":{"subject":"","project_id":79,"tracker_id":40,"status_id":1,"priority_id":2,"assigned_to_id":23,"start_date":"2017-02-17","description":"","custom_fields":[{"id":1,"name":"Subdivision","value":"EC"},{"id":4,"name":"Milepost","value":"0.0147"},{"id":17,"name":"Train ID","value":"224-17"},{"id":16,"name":"Locomotive ID","value":"4045"},{"id":130,"name":"Impact","value":""},{"id":150,"name":"Time of Event (Mountain Time)","value":"21:04:57"},{"id":151,"name":"Denver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44"/>
        <v>start /low /b %USERPROFILE%\Documents\GitHub\eaglep3\Utilities\DownloadLogsFromS3.py --loco 4045 --day 2017-02-17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"%USERPROFILE%\AppData\Local\Temp\OnboardLogs"\RTDC4045\*4045*20170218* | grep -SE "(Enforcement Action)|(\[TIMEOUT)|(CHR.+\|PRM\|1\|D.+(SWITCH|SIGNAL).+UNKNOWN)" - &gt;&gt; 2017-02-17-UncaughtWiMAX.txt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643</v>
      </c>
      <c r="B138" s="7">
        <v>4020</v>
      </c>
      <c r="C138" s="21" t="s">
        <v>682</v>
      </c>
      <c r="D138" s="21" t="s">
        <v>410</v>
      </c>
      <c r="E138" s="13">
        <v>42783.831504629627</v>
      </c>
      <c r="F138" s="13">
        <v>42783.833634259259</v>
      </c>
      <c r="G138" s="7">
        <v>1</v>
      </c>
      <c r="H138" s="21" t="s">
        <v>409</v>
      </c>
      <c r="I138" s="13">
        <v>42783.858090277776</v>
      </c>
      <c r="J138" s="7">
        <v>0</v>
      </c>
      <c r="K138" s="98" t="str">
        <f t="shared" si="29"/>
        <v>4019/4020</v>
      </c>
      <c r="L138" s="21" t="str">
        <f>VLOOKUP(A138,'Trips&amp;Operators'!$C$1:$G$99999,5,FALSE)</f>
        <v>MAGEE KENYA</v>
      </c>
      <c r="M138" s="6">
        <f t="shared" si="30"/>
        <v>2.4456018516502809E-2</v>
      </c>
      <c r="N138" s="7">
        <f t="shared" si="46"/>
        <v>35.216666663764045</v>
      </c>
      <c r="O138" s="7"/>
      <c r="P138" s="7"/>
      <c r="Q138" s="22"/>
      <c r="R138" s="22"/>
      <c r="S138" s="31">
        <f t="shared" si="47"/>
        <v>1</v>
      </c>
      <c r="T138" s="46" t="str">
        <f t="shared" si="32"/>
        <v>NorthBound</v>
      </c>
      <c r="U138" s="18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7" t="str">
        <f t="shared" si="33"/>
        <v>https://d0f6bd738d7f1b3e5a7ca70fe4ff75f0.us-east-1.aws.found.io/app/kibana#/discover/Steve-Slow-Train-Analysis-(2080s-and-2083s)?_g=(refreshInterval:(display:Off,pause:!f,section:0,value:0),time:(from:'2017-02-17T18:57:22-0700',mode:absolute,to:'2017-02-17T21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8" s="188" t="str">
        <f t="shared" si="34"/>
        <v>N</v>
      </c>
      <c r="X138" s="188">
        <f t="shared" si="45"/>
        <v>1</v>
      </c>
      <c r="Y138" s="62">
        <f t="shared" si="40"/>
        <v>4.6600000000000003E-2</v>
      </c>
      <c r="Z138" s="62">
        <f t="shared" si="41"/>
        <v>23.328199999999999</v>
      </c>
      <c r="AA138" s="62">
        <f t="shared" si="35"/>
        <v>23.281599999999997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6"/>
        <v>0225-17</v>
      </c>
      <c r="AE138" s="85" t="str">
        <f t="shared" si="37"/>
        <v>aws s3 cp s3://rtdc.mdm.uploadarchive.raw/RTDC4020/ "%USERPROFILE%\AppData\Local\Temp\OnboardLogs"\RTDC4020\2017-02-17 --exclude "*" --recursive --include "*20170217*" &amp; "%USERPROFILE%\Documents\GitHub\mrs-test-scripts\Headless Mode &amp; Sideloading\WalkAndUnGZ.bat" "%USERPROFILE%\AppData\Local\Temp\OnboardLogs"\RTDC4020\2017-02-17 &amp; aws s3 cp s3://rtdc.mdm.uploadarchive.raw/RTDC4020/ "%USERPROFILE%\AppData\Local\Temp\OnboardLogs"\RTDC4020\2017-02-18 --exclude "*" --recursive --include "*20170218*" &amp; "%USERPROFILE%\Documents\GitHub\mrs-test-scripts\Headless Mode &amp; Sideloading\WalkAndUnGZ.bat" "%USERPROFILE%\AppData\Local\Temp\OnboardLogs"\RTDC4020\2017-02-18</v>
      </c>
      <c r="AF138" s="82" t="str">
        <f t="shared" si="38"/>
        <v>"C:\Program Files (x86)\AstroGrep\AstroGrep.exe" /spath="%USERPROFILE%\AppData\Local\Temp\OnboardLogs" /stypes="app*4020*20170218*" /stext=" 03:.+((SYSTEM_STATE.+slice.+state.+changed )|(ment ac)|(multiple cpu faults)|(system.+state.+changed )|(\[timeout)|(PRM\|1\|D)|(kpr)|(kdp)|(\|lc)|(penalty))" /e /r /s</v>
      </c>
      <c r="AG138" s="1" t="str">
        <f t="shared" si="39"/>
        <v>EC</v>
      </c>
      <c r="AH138" s="86" t="str">
        <f t="shared" si="42"/>
        <v>"%USERPROFILE%\Documents\GitHub\eaglep3\Utilities\RefineRTDCRunTimes.py" --tripid 225-17 --locoid 4020 --swversion DE.1.0.9.0 --startMP 204:466 --initTime 2017-02-17T19:57:22 --startdatetime 2017-02-17T20:00:26 --delay 1 --endMP 204:233282 --enddatetime 2017-02-17T20:35:39 --enforcementcount 0 &gt;&gt;C:\Users\stu\Documents\GitHub\eaglep3-reporting\EC\2017-02-17-refined-times.txt</v>
      </c>
      <c r="AI138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{"issue":{"subject":"","project_id":79,"tracker_id":40,"status_id":1,"priority_id":2,"assigned_to_id":23,"start_date":"2017-02-17","description":"","custom_fields":[{"id":1,"name":"Subdivision","value":"EC"},{"id":4,"name":"Milepost","value":"23.3282"},{"id":17,"name":"Train ID","value":"225-17"},{"id":16,"name":"Locomotive ID","value":"4020"},{"id":130,"name":"Impact","value":""},{"id":150,"name":"Time of Event (Mountain Time)","value":"20:35:39"},{"id":151,"name":"Denver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44"/>
        <v>start /low /b %USERPROFILE%\Documents\GitHub\eaglep3\Utilities\DownloadLogsFromS3.py --loco 4020 --day 2017-02-17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"%USERPROFILE%\AppData\Local\Temp\OnboardLogs"\RTDC4020\*4020*20170218* | grep -SE "(Enforcement Action)|(\[TIMEOUT)|(CHR.+\|PRM\|1\|D.+(SWITCH|SIGNAL).+UNKNOWN)" - &gt;&gt; 2017-02-17-UncaughtWiMAX.txt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651</v>
      </c>
      <c r="B139" s="7">
        <v>4019</v>
      </c>
      <c r="C139" s="21" t="s">
        <v>682</v>
      </c>
      <c r="D139" s="21" t="s">
        <v>413</v>
      </c>
      <c r="E139" s="13">
        <v>42783.869884259257</v>
      </c>
      <c r="F139" s="13">
        <v>42783.872395833336</v>
      </c>
      <c r="G139" s="7">
        <v>1</v>
      </c>
      <c r="H139" s="21" t="s">
        <v>710</v>
      </c>
      <c r="I139" s="13">
        <v>42783.900729166664</v>
      </c>
      <c r="J139" s="7">
        <v>0</v>
      </c>
      <c r="K139" s="98" t="str">
        <f t="shared" si="29"/>
        <v>4019/4020</v>
      </c>
      <c r="L139" s="21" t="str">
        <f>VLOOKUP(A139,'Trips&amp;Operators'!$C$1:$G$99999,5,FALSE)</f>
        <v>MAGEE KENYA</v>
      </c>
      <c r="M139" s="6">
        <f t="shared" si="30"/>
        <v>2.8333333328191657E-2</v>
      </c>
      <c r="N139" s="7">
        <f t="shared" si="46"/>
        <v>40.799999992595986</v>
      </c>
      <c r="O139" s="7"/>
      <c r="P139" s="7"/>
      <c r="Q139" s="22"/>
      <c r="R139" s="22"/>
      <c r="S139" s="31">
        <f t="shared" si="47"/>
        <v>1</v>
      </c>
      <c r="T139" s="46" t="str">
        <f t="shared" si="32"/>
        <v>Southbound</v>
      </c>
      <c r="U139" s="18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7" t="str">
        <f t="shared" si="33"/>
        <v>https://d0f6bd738d7f1b3e5a7ca70fe4ff75f0.us-east-1.aws.found.io/app/kibana#/discover/Steve-Slow-Train-Analysis-(2080s-and-2083s)?_g=(refreshInterval:(display:Off,pause:!f,section:0,value:0),time:(from:'2017-02-17T19:52:38-0700',mode:absolute,to:'2017-02-17T22:37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9" s="188" t="str">
        <f t="shared" si="34"/>
        <v>N</v>
      </c>
      <c r="X139" s="188">
        <f t="shared" si="45"/>
        <v>1</v>
      </c>
      <c r="Y139" s="62">
        <f t="shared" si="40"/>
        <v>23.296900000000001</v>
      </c>
      <c r="Z139" s="62">
        <f t="shared" si="41"/>
        <v>1.6899999999999998E-2</v>
      </c>
      <c r="AA139" s="62">
        <f t="shared" si="35"/>
        <v>23.28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6"/>
        <v>0226-17</v>
      </c>
      <c r="AE139" s="85" t="str">
        <f t="shared" si="37"/>
        <v>aws s3 cp s3://rtdc.mdm.uploadarchive.raw/RTDC4019/ "%USERPROFILE%\AppData\Local\Temp\OnboardLogs"\RTDC4019\2017-02-17 --exclude "*" --recursive --include "*20170217*" &amp; "%USERPROFILE%\Documents\GitHub\mrs-test-scripts\Headless Mode &amp; Sideloading\WalkAndUnGZ.bat" "%USERPROFILE%\AppData\Local\Temp\OnboardLogs"\RTDC4019\2017-02-17 &amp; aws s3 cp s3://rtdc.mdm.uploadarchive.raw/RTDC4019/ "%USERPROFILE%\AppData\Local\Temp\OnboardLogs"\RTDC4019\2017-02-18 --exclude "*" --recursive --include "*20170218*" &amp; "%USERPROFILE%\Documents\GitHub\mrs-test-scripts\Headless Mode &amp; Sideloading\WalkAndUnGZ.bat" "%USERPROFILE%\AppData\Local\Temp\OnboardLogs"\RTDC4019\2017-02-18</v>
      </c>
      <c r="AF139" s="82" t="str">
        <f t="shared" si="38"/>
        <v>"C:\Program Files (x86)\AstroGrep\AstroGrep.exe" /spath="%USERPROFILE%\AppData\Local\Temp\OnboardLogs" /stypes="app*4019*20170218*" /stext=" 04:.+((SYSTEM_STATE.+slice.+state.+changed )|(ment ac)|(multiple cpu faults)|(system.+state.+changed )|(\[timeout)|(PRM\|1\|D)|(kpr)|(kdp)|(\|lc)|(penalty))" /e /r /s</v>
      </c>
      <c r="AG139" s="1" t="str">
        <f t="shared" si="39"/>
        <v>EC</v>
      </c>
      <c r="AH139" s="86" t="str">
        <f t="shared" si="42"/>
        <v>"%USERPROFILE%\Documents\GitHub\eaglep3\Utilities\RefineRTDCRunTimes.py" --tripid 226-17 --locoid 4019 --swversion DE.1.0.9.0 --startMP 204:232969 --initTime 2017-02-17T20:52:38 --startdatetime 2017-02-17T20:56:15 --delay 1 --endMP 204:169 --enddatetime 2017-02-17T21:37:03 --enforcementcount 0 &gt;&gt;C:\Users\stu\Documents\GitHub\eaglep3-reporting\EC\2017-02-17-refined-times.txt</v>
      </c>
      <c r="AI139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{"issue":{"subject":"","project_id":79,"tracker_id":40,"status_id":1,"priority_id":2,"assigned_to_id":23,"start_date":"2017-02-17","description":"","custom_fields":[{"id":1,"name":"Subdivision","value":"EC"},{"id":4,"name":"Milepost","value":"0.0169"},{"id":17,"name":"Train ID","value":"226-17"},{"id":16,"name":"Locomotive ID","value":"4019"},{"id":130,"name":"Impact","value":""},{"id":150,"name":"Time of Event (Mountain Time)","value":"21:37:03"},{"id":151,"name":"Denver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44"/>
        <v>start /low /b %USERPROFILE%\Documents\GitHub\eaglep3\Utilities\DownloadLogsFromS3.py --loco 4019 --day 2017-02-17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"%USERPROFILE%\AppData\Local\Temp\OnboardLogs"\RTDC4019\*4019*20170218* | grep -SE "(Enforcement Action)|(\[TIMEOUT)|(CHR.+\|PRM\|1\|D.+(SWITCH|SIGNAL).+UNKNOWN)" - &gt;&gt; 2017-02-17-UncaughtWiMAX.txt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647</v>
      </c>
      <c r="B140" s="7">
        <v>4025</v>
      </c>
      <c r="C140" s="21" t="s">
        <v>682</v>
      </c>
      <c r="D140" s="21" t="s">
        <v>722</v>
      </c>
      <c r="E140" s="13">
        <v>42783.84065972222</v>
      </c>
      <c r="F140" s="13">
        <v>42783.854351851849</v>
      </c>
      <c r="G140" s="7">
        <v>1</v>
      </c>
      <c r="H140" s="21" t="s">
        <v>746</v>
      </c>
      <c r="I140" s="13">
        <v>42783.881932870368</v>
      </c>
      <c r="J140" s="7">
        <v>0</v>
      </c>
      <c r="K140" s="98" t="str">
        <f t="shared" si="29"/>
        <v>4025/4026</v>
      </c>
      <c r="L140" s="21" t="str">
        <f>VLOOKUP(A140,'Trips&amp;Operators'!$C$1:$G$99999,5,FALSE)</f>
        <v>DAVIDSON DAVID</v>
      </c>
      <c r="M140" s="6">
        <f t="shared" si="30"/>
        <v>2.7581018519413192E-2</v>
      </c>
      <c r="N140" s="7">
        <f t="shared" ref="N140:N148" si="48">24*60*SUM($M140:$M140)</f>
        <v>39.716666667954996</v>
      </c>
      <c r="O140" s="7"/>
      <c r="P140" s="7"/>
      <c r="Q140" s="22"/>
      <c r="R140" s="22"/>
      <c r="S140" s="31">
        <f t="shared" si="47"/>
        <v>1</v>
      </c>
      <c r="T140" s="46" t="str">
        <f t="shared" si="32"/>
        <v>NorthBound</v>
      </c>
      <c r="U140" s="18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7" t="str">
        <f t="shared" si="33"/>
        <v>https://d0f6bd738d7f1b3e5a7ca70fe4ff75f0.us-east-1.aws.found.io/app/kibana#/discover/Steve-Slow-Train-Analysis-(2080s-and-2083s)?_g=(refreshInterval:(display:Off,pause:!f,section:0,value:0),time:(from:'2017-02-17T19:10:33-0700',mode:absolute,to:'2017-02-17T22:09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0" s="188" t="str">
        <f t="shared" si="34"/>
        <v>N</v>
      </c>
      <c r="X140" s="188">
        <f t="shared" si="45"/>
        <v>1</v>
      </c>
      <c r="Y140" s="62">
        <f t="shared" si="40"/>
        <v>4.2000000000000003E-2</v>
      </c>
      <c r="Z140" s="62">
        <f t="shared" si="41"/>
        <v>23.3291</v>
      </c>
      <c r="AA140" s="62">
        <f t="shared" si="35"/>
        <v>23.287099999999999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6"/>
        <v>0227-17</v>
      </c>
      <c r="AE140" s="85" t="str">
        <f t="shared" si="37"/>
        <v>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 &amp; aws s3 cp s3://rtdc.mdm.uploadarchive.raw/RTDC4025/ "%USERPROFILE%\AppData\Local\Temp\OnboardLogs"\RTDC4025\2017-02-18 --exclude "*" --recursive --include "*20170218*" &amp; "%USERPROFILE%\Documents\GitHub\mrs-test-scripts\Headless Mode &amp; Sideloading\WalkAndUnGZ.bat" "%USERPROFILE%\AppData\Local\Temp\OnboardLogs"\RTDC4025\2017-02-18</v>
      </c>
      <c r="AF140" s="82" t="str">
        <f t="shared" si="38"/>
        <v>"C:\Program Files (x86)\AstroGrep\AstroGrep.exe" /spath="%USERPROFILE%\AppData\Local\Temp\OnboardLogs" /stypes="app*4025*20170218*" /stext=" 04:.+((SYSTEM_STATE.+slice.+state.+changed )|(ment ac)|(multiple cpu faults)|(system.+state.+changed )|(\[timeout)|(PRM\|1\|D)|(kpr)|(kdp)|(\|lc)|(penalty))" /e /r /s</v>
      </c>
      <c r="AG140" s="1" t="str">
        <f t="shared" si="39"/>
        <v>EC</v>
      </c>
      <c r="AH140" s="86" t="str">
        <f t="shared" si="42"/>
        <v>"%USERPROFILE%\Documents\GitHub\eaglep3\Utilities\RefineRTDCRunTimes.py" --tripid 227-17 --locoid 4025 --swversion DE.1.0.9.0 --startMP 204:420 --initTime 2017-02-17T20:10:33 --startdatetime 2017-02-17T20:30:16 --delay 1 --endMP 204:233291 --enddatetime 2017-02-17T21:09:59 --enforcementcount 0 &gt;&gt;C:\Users\stu\Documents\GitHub\eaglep3-reporting\EC\2017-02-17-refined-times.txt</v>
      </c>
      <c r="AI140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{"issue":{"subject":"","project_id":79,"tracker_id":40,"status_id":1,"priority_id":2,"assigned_to_id":23,"start_date":"2017-02-17","description":"","custom_fields":[{"id":1,"name":"Subdivision","value":"EC"},{"id":4,"name":"Milepost","value":"23.3291"},{"id":17,"name":"Train ID","value":"227-17"},{"id":16,"name":"Locomotive ID","value":"4025"},{"id":130,"name":"Impact","value":""},{"id":150,"name":"Time of Event (Mountain Time)","value":"21:09:59"},{"id":151,"name":"Denver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44"/>
        <v>start /low /b %USERPROFILE%\Documents\GitHub\eaglep3\Utilities\DownloadLogsFromS3.py --loco 4025 --day 2017-02-17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"%USERPROFILE%\AppData\Local\Temp\OnboardLogs"\RTDC4025\*4025*20170218* | grep -SE "(Enforcement Action)|(\[TIMEOUT)|(CHR.+\|PRM\|1\|D.+(SWITCH|SIGNAL).+UNKNOWN)" - &gt;&gt; 2017-02-17-UncaughtWiMAX.txt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654</v>
      </c>
      <c r="B141" s="7">
        <v>4026</v>
      </c>
      <c r="C141" s="21" t="s">
        <v>682</v>
      </c>
      <c r="D141" s="21" t="s">
        <v>268</v>
      </c>
      <c r="E141" s="13">
        <v>42783.885185185187</v>
      </c>
      <c r="F141" s="13">
        <v>42783.893437500003</v>
      </c>
      <c r="G141" s="7">
        <v>1</v>
      </c>
      <c r="H141" s="21" t="s">
        <v>279</v>
      </c>
      <c r="I141" s="13">
        <v>42783.922511574077</v>
      </c>
      <c r="J141" s="7">
        <v>0</v>
      </c>
      <c r="K141" s="98" t="str">
        <f t="shared" ref="K141:K204" si="49">IF(ISEVEN(B141),(B141-1)&amp;"/"&amp;B141,B141&amp;"/"&amp;(B141+1))</f>
        <v>4025/4026</v>
      </c>
      <c r="L141" s="21" t="str">
        <f>VLOOKUP(A141,'Trips&amp;Operators'!$C$1:$G$99999,5,FALSE)</f>
        <v>DAVIDSON DAVID</v>
      </c>
      <c r="M141" s="6">
        <f t="shared" ref="M141:M204" si="50">I141-F141</f>
        <v>2.9074074074742384E-2</v>
      </c>
      <c r="N141" s="7">
        <f t="shared" si="48"/>
        <v>41.866666667629033</v>
      </c>
      <c r="O141" s="7"/>
      <c r="P141" s="7"/>
      <c r="Q141" s="22"/>
      <c r="R141" s="22"/>
      <c r="S141" s="31">
        <f t="shared" ref="S141:S151" si="51">SUM(U141:U141)/IF(AG141="EC",12,1)</f>
        <v>1</v>
      </c>
      <c r="T141" s="46" t="str">
        <f t="shared" ref="T141:T204" si="52">IF(ISEVEN(LEFT(AD141,4)),"Southbound","NorthBound")</f>
        <v>Southbound</v>
      </c>
      <c r="U141" s="18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7" t="str">
        <f t="shared" ref="V141:V204" si="5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-17T20:14:40-0700',mode:absolute,to:'2017-02-17T23:08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1" s="188" t="str">
        <f t="shared" ref="W141:W204" si="54">IF(AA141&lt;IF(AG141="EC",23,5.65),"Y","N")</f>
        <v>N</v>
      </c>
      <c r="X141" s="188">
        <f t="shared" si="45"/>
        <v>1</v>
      </c>
      <c r="Y141" s="62">
        <f t="shared" si="40"/>
        <v>23.297699999999999</v>
      </c>
      <c r="Z141" s="62">
        <f t="shared" si="41"/>
        <v>1.41E-2</v>
      </c>
      <c r="AA141" s="62">
        <f t="shared" ref="AA141:AA204" si="55">ABS(Z141-Y141)</f>
        <v>23.2836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6">IF(LEN(A141)=6,"0"&amp;A141,A141)</f>
        <v>0228-17</v>
      </c>
      <c r="AE141" s="85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 &amp; aws s3 cp s3://rtdc.mdm.uploadarchive.raw/RTDC4026/ "%USERPROFILE%\AppData\Local\Temp\OnboardLogs"\RTDC4026\2017-02-18 --exclude "*" --recursive --include "*20170218*" &amp; "%USERPROFILE%\Documents\GitHub\mrs-test-scripts\Headless Mode &amp; Sideloading\WalkAndUnGZ.bat" "%USERPROFILE%\AppData\Local\Temp\OnboardLogs"\RTDC4026\2017-02-18</v>
      </c>
      <c r="AF141" s="82" t="str">
        <f t="shared" ref="AF141:AF204" si="58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/stypes="app*4026*20170218*" /stext=" 05:.+((SYSTEM_STATE.+slice.+state.+changed )|(ment ac)|(multiple cpu faults)|(system.+state.+changed )|(\[timeout)|(PRM\|1\|D)|(kpr)|(kdp)|(\|lc)|(penalty))" /e /r /s</v>
      </c>
      <c r="AG141" s="1" t="str">
        <f t="shared" ref="AG141:AG204" si="59">IFERROR(IF(VALUE(LEFT(AD141,2))&lt;=2,"EC",IF(OR(VALUE(LEFT(AD141,2))=8,VALUE(LEFT(AD141,2))=18),"NW","Other")),"Other")</f>
        <v>EC</v>
      </c>
      <c r="AH141" s="86" t="str">
        <f t="shared" si="42"/>
        <v>"%USERPROFILE%\Documents\GitHub\eaglep3\Utilities\RefineRTDCRunTimes.py" --tripid 228-17 --locoid 4026 --swversion DE.1.0.9.0 --startMP 204:232977 --initTime 2017-02-17T21:14:40 --startdatetime 2017-02-17T21:26:33 --delay 1 --endMP 204:141 --enddatetime 2017-02-17T22:08:25 --enforcementcount 0 &gt;&gt;C:\Users\stu\Documents\GitHub\eaglep3-reporting\EC\2017-02-17-refined-times.txt</v>
      </c>
      <c r="AI141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{"issue":{"subject":"","project_id":79,"tracker_id":40,"status_id":1,"priority_id":2,"assigned_to_id":23,"start_date":"2017-02-17","description":"","custom_fields":[{"id":1,"name":"Subdivision","value":"EC"},{"id":4,"name":"Milepost","value":"0.0141"},{"id":17,"name":"Train ID","value":"228-17"},{"id":16,"name":"Locomotive ID","value":"4026"},{"id":130,"name":"Impact","value":""},{"id":150,"name":"Time of Event (Mountain Time)","value":"22:08:25"},{"id":151,"name":"Denver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44"/>
        <v>start /low /b %USERPROFILE%\Documents\GitHub\eaglep3\Utilities\DownloadLogsFromS3.py --loco 4026 --day 2017-02-17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"%USERPROFILE%\AppData\Local\Temp\OnboardLogs"\RTDC4026\*4026*20170218* | grep -SE "(Enforcement Action)|(\[TIMEOUT)|(CHR.+\|PRM\|1\|D.+(SWITCH|SIGNAL).+UNKNOWN)" - &gt;&gt; 2017-02-17-UncaughtWiMAX.txt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465</v>
      </c>
      <c r="B142" s="7">
        <v>4044</v>
      </c>
      <c r="C142" s="21" t="s">
        <v>682</v>
      </c>
      <c r="D142" s="21" t="s">
        <v>262</v>
      </c>
      <c r="E142" s="13">
        <v>42783.870393518519</v>
      </c>
      <c r="F142" s="13">
        <v>42783.875162037039</v>
      </c>
      <c r="G142" s="7">
        <v>1</v>
      </c>
      <c r="H142" s="21" t="s">
        <v>742</v>
      </c>
      <c r="I142" s="13">
        <v>42783.900810185187</v>
      </c>
      <c r="J142" s="7">
        <v>0</v>
      </c>
      <c r="K142" s="98" t="str">
        <f t="shared" si="49"/>
        <v>4043/4044</v>
      </c>
      <c r="L142" s="21" t="str">
        <f>VLOOKUP(A142,'Trips&amp;Operators'!$C$1:$G$99999,5,FALSE)</f>
        <v>BROWN JACOB</v>
      </c>
      <c r="M142" s="6">
        <f t="shared" si="50"/>
        <v>2.5648148148320615E-2</v>
      </c>
      <c r="N142" s="7">
        <f t="shared" si="48"/>
        <v>36.933333333581686</v>
      </c>
      <c r="O142" s="7"/>
      <c r="P142" s="7"/>
      <c r="Q142" s="22"/>
      <c r="R142" s="22"/>
      <c r="S142" s="31">
        <f t="shared" si="51"/>
        <v>1</v>
      </c>
      <c r="T142" s="46" t="str">
        <f t="shared" si="52"/>
        <v>NorthBound</v>
      </c>
      <c r="U142" s="18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7" t="str">
        <f t="shared" si="53"/>
        <v>https://d0f6bd738d7f1b3e5a7ca70fe4ff75f0.us-east-1.aws.found.io/app/kibana#/discover/Steve-Slow-Train-Analysis-(2080s-and-2083s)?_g=(refreshInterval:(display:Off,pause:!f,section:0,value:0),time:(from:'2017-02-17T19:53:22-0700',mode:absolute,to:'2017-02-17T22:37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2" s="188" t="str">
        <f t="shared" si="54"/>
        <v>N</v>
      </c>
      <c r="X142" s="188">
        <f t="shared" si="45"/>
        <v>1</v>
      </c>
      <c r="Y142" s="62">
        <f t="shared" ref="Y142:Y205" si="60">RIGHT(D142,LEN(D142)-4)/10000</f>
        <v>4.4600000000000001E-2</v>
      </c>
      <c r="Z142" s="62">
        <f t="shared" ref="Z142:Z205" si="61">RIGHT(H142,LEN(H142)-4)/10000</f>
        <v>23.3324</v>
      </c>
      <c r="AA142" s="62">
        <f t="shared" si="55"/>
        <v>23.287800000000001</v>
      </c>
      <c r="AB142" s="59" t="str">
        <f>VLOOKUP(A142,Enforcements!$C$7:$K$13,8,0)</f>
        <v>Bulletin (2)</v>
      </c>
      <c r="AC142" s="55" t="str">
        <f>VLOOKUP(A142,Enforcements!$C$7:$E$13,3,0)</f>
        <v>GRADE CROSSING</v>
      </c>
      <c r="AD142" s="56" t="str">
        <f t="shared" si="56"/>
        <v>0229-17</v>
      </c>
      <c r="AE142" s="85" t="str">
        <f t="shared" si="57"/>
        <v>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 &amp; 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</v>
      </c>
      <c r="AF142" s="82" t="str">
        <f t="shared" si="58"/>
        <v>"C:\Program Files (x86)\AstroGrep\AstroGrep.exe" /spath="%USERPROFILE%\AppData\Local\Temp\OnboardLogs" /stypes="app*4044*20170218*" /stext=" 04:.+((SYSTEM_STATE.+slice.+state.+changed )|(ment ac)|(multiple cpu faults)|(system.+state.+changed )|(\[timeout)|(PRM\|1\|D)|(kpr)|(kdp)|(\|lc)|(penalty))" /e /r /s</v>
      </c>
      <c r="AG142" s="1" t="str">
        <f t="shared" si="59"/>
        <v>EC</v>
      </c>
      <c r="AH142" s="86" t="str">
        <f t="shared" si="42"/>
        <v>"%USERPROFILE%\Documents\GitHub\eaglep3\Utilities\RefineRTDCRunTimes.py" --tripid 229-17 --locoid 4044 --swversion DE.1.0.9.0 --startMP 204:446 --initTime 2017-02-17T20:53:22 --startdatetime 2017-02-17T21:00:14 --delay 1 --endMP 204:233324 --enddatetime 2017-02-17T21:37:10 --enforcementcount 0 &gt;&gt;C:\Users\stu\Documents\GitHub\eaglep3-reporting\EC\2017-02-17-refined-times.txt</v>
      </c>
      <c r="AI142" s="108" t="str">
        <f t="shared" si="43"/>
        <v>echo {"issue":{"subject":"","project_id":79,"tracker_id":40,"status_id":1,"priority_id":2,"assigned_to_id":23,"start_date":"2017-02-17","description":"","custom_fields":[{"id":1,"name":"Subdivision","value":"EC"},{"id":4,"name":"Milepost","value":"23.3324"},{"id":17,"name":"Train ID","value":"229-17"},{"id":16,"name":"Locomotive ID","value":"4044"},{"id":130,"name":"Impact","value":""},{"id":150,"name":"Time of Event (Mountain Time)","value":"21:37:10"},{"id":151,"name":"Denver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44"/>
        <v>start /low /b %USERPROFILE%\Documents\GitHub\eaglep3\Utilities\DownloadLogsFromS3.py --loco 4044 --day 2017-02-17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"%USERPROFILE%\AppData\Local\Temp\OnboardLogs"\RTDC4044\*4044*20170218* | grep -SE "(Enforcement Action)|(\[TIMEOUT)|(CHR.+\|PRM\|1\|D.+(SWITCH|SIGNAL).+UNKNOWN)" - &gt;&gt; 2017-02-17-UncaughtWiMAX.txt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657</v>
      </c>
      <c r="B143" s="7">
        <v>4043</v>
      </c>
      <c r="C143" s="21" t="s">
        <v>682</v>
      </c>
      <c r="D143" s="21" t="s">
        <v>747</v>
      </c>
      <c r="E143" s="13">
        <v>42783.913483796299</v>
      </c>
      <c r="F143" s="13">
        <v>42783.914537037039</v>
      </c>
      <c r="G143" s="7">
        <v>1</v>
      </c>
      <c r="H143" s="21" t="s">
        <v>295</v>
      </c>
      <c r="I143" s="13">
        <v>42783.941921296297</v>
      </c>
      <c r="J143" s="7">
        <v>0</v>
      </c>
      <c r="K143" s="98" t="str">
        <f t="shared" si="49"/>
        <v>4043/4044</v>
      </c>
      <c r="L143" s="21" t="str">
        <f>VLOOKUP(A143,'Trips&amp;Operators'!$C$1:$G$99999,5,FALSE)</f>
        <v>BROWN JACOB</v>
      </c>
      <c r="M143" s="6">
        <f t="shared" si="50"/>
        <v>2.7384259257814847E-2</v>
      </c>
      <c r="N143" s="7">
        <f t="shared" si="48"/>
        <v>39.43333333125338</v>
      </c>
      <c r="O143" s="7"/>
      <c r="P143" s="7"/>
      <c r="Q143" s="22"/>
      <c r="R143" s="22"/>
      <c r="S143" s="31">
        <f t="shared" si="51"/>
        <v>1</v>
      </c>
      <c r="T143" s="46" t="str">
        <f t="shared" si="52"/>
        <v>Southbound</v>
      </c>
      <c r="U143" s="18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7" t="str">
        <f t="shared" si="53"/>
        <v>https://d0f6bd738d7f1b3e5a7ca70fe4ff75f0.us-east-1.aws.found.io/app/kibana#/discover/Steve-Slow-Train-Analysis-(2080s-and-2083s)?_g=(refreshInterval:(display:Off,pause:!f,section:0,value:0),time:(from:'2017-02-17T20:55:25-0700',mode:absolute,to:'2017-02-17T23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3" s="188" t="str">
        <f t="shared" si="54"/>
        <v>N</v>
      </c>
      <c r="X143" s="188">
        <f t="shared" si="45"/>
        <v>1</v>
      </c>
      <c r="Y143" s="62">
        <f t="shared" si="60"/>
        <v>23.300899999999999</v>
      </c>
      <c r="Z143" s="62">
        <f t="shared" si="61"/>
        <v>1.47E-2</v>
      </c>
      <c r="AA143" s="62">
        <f t="shared" si="55"/>
        <v>23.286199999999997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6"/>
        <v>0230-17</v>
      </c>
      <c r="AE143" s="85" t="str">
        <f t="shared" si="57"/>
        <v>aws s3 cp s3://rtdc.mdm.uploadarchive.raw/RTDC4043/ "%USERPROFILE%\AppData\Local\Temp\OnboardLogs"\RTDC4043\2017-02-17 --exclude "*" --recursive --include "*20170217*" &amp; "%USERPROFILE%\Documents\GitHub\mrs-test-scripts\Headless Mode &amp; Sideloading\WalkAndUnGZ.bat" "%USERPROFILE%\AppData\Local\Temp\OnboardLogs"\RTDC4043\2017-02-17 &amp; aws s3 cp s3://rtdc.mdm.uploadarchive.raw/RTDC4043/ "%USERPROFILE%\AppData\Local\Temp\OnboardLogs"\RTDC4043\2017-02-18 --exclude "*" --recursive --include "*20170218*" &amp; "%USERPROFILE%\Documents\GitHub\mrs-test-scripts\Headless Mode &amp; Sideloading\WalkAndUnGZ.bat" "%USERPROFILE%\AppData\Local\Temp\OnboardLogs"\RTDC4043\2017-02-18</v>
      </c>
      <c r="AF143" s="82" t="str">
        <f t="shared" si="58"/>
        <v>"C:\Program Files (x86)\AstroGrep\AstroGrep.exe" /spath="%USERPROFILE%\AppData\Local\Temp\OnboardLogs" /stypes="app*4043*20170218*" /stext=" 05:.+((SYSTEM_STATE.+slice.+state.+changed )|(ment ac)|(multiple cpu faults)|(system.+state.+changed )|(\[timeout)|(PRM\|1\|D)|(kpr)|(kdp)|(\|lc)|(penalty))" /e /r /s</v>
      </c>
      <c r="AG143" s="1" t="str">
        <f t="shared" si="59"/>
        <v>EC</v>
      </c>
      <c r="AH143" s="86" t="str">
        <f t="shared" ref="AH143:AH206" si="62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230-17 --locoid 4043 --swversion DE.1.0.9.0 --startMP 204:233009 --initTime 2017-02-17T21:55:25 --startdatetime 2017-02-17T21:56:56 --delay 1 --endMP 204:147 --enddatetime 2017-02-17T22:36:22 --enforcementcount 0 &gt;&gt;C:\Users\stu\Documents\GitHub\eaglep3-reporting\EC\2017-02-17-refined-times.txt</v>
      </c>
      <c r="AI143" s="108" t="str">
        <f t="shared" ref="AI143:AI206" si="63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{"issue":{"subject":"","project_id":79,"tracker_id":40,"status_id":1,"priority_id":2,"assigned_to_id":23,"start_date":"2017-02-17","description":"","custom_fields":[{"id":1,"name":"Subdivision","value":"EC"},{"id":4,"name":"Milepost","value":"0.0147"},{"id":17,"name":"Train ID","value":"230-17"},{"id":16,"name":"Locomotive ID","value":"4043"},{"id":130,"name":"Impact","value":""},{"id":150,"name":"Time of Event (Mountain Time)","value":"22:36:22"},{"id":151,"name":"Denver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ref="AM143:AM206" si="64">"start /low /b "&amp;dls3logs&amp;" --loco "&amp;B143&amp;" --day "&amp;TEXT(F143,"YYYY-MM-DD")</f>
        <v>start /low /b %USERPROFILE%\Documents\GitHub\eaglep3\Utilities\DownloadLogsFromS3.py --loco 4043 --day 2017-02-17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"%USERPROFILE%\AppData\Local\Temp\OnboardLogs"\RTDC4043\*4043*20170218* | grep -SE "(Enforcement Action)|(\[TIMEOUT)|(CHR.+\|PRM\|1\|D.+(SWITCH|SIGNAL).+UNKNOWN)" - &gt;&gt; 2017-02-17-UncaughtWiMAX.txt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3" t="s">
        <v>653</v>
      </c>
      <c r="B144" s="7">
        <v>4046</v>
      </c>
      <c r="C144" s="21" t="s">
        <v>682</v>
      </c>
      <c r="D144" s="21" t="s">
        <v>315</v>
      </c>
      <c r="E144" s="13">
        <v>42783.882476851853</v>
      </c>
      <c r="F144" s="13">
        <v>42783.896238425928</v>
      </c>
      <c r="G144" s="7">
        <v>2</v>
      </c>
      <c r="H144" s="21" t="s">
        <v>414</v>
      </c>
      <c r="I144" s="13">
        <v>42783.922685185185</v>
      </c>
      <c r="J144" s="7">
        <v>0</v>
      </c>
      <c r="K144" s="98" t="str">
        <f t="shared" si="49"/>
        <v>4045/4046</v>
      </c>
      <c r="L144" s="21" t="str">
        <f>VLOOKUP(A144,'Trips&amp;Operators'!$C$1:$G$99999,5,FALSE)</f>
        <v>STORY SAMANTHA</v>
      </c>
      <c r="M144" s="6">
        <f t="shared" si="50"/>
        <v>2.6446759256941732E-2</v>
      </c>
      <c r="N144" s="7">
        <f t="shared" si="48"/>
        <v>38.083333329996094</v>
      </c>
      <c r="O144" s="7"/>
      <c r="P144" s="7"/>
      <c r="Q144" s="22"/>
      <c r="R144" s="22"/>
      <c r="S144" s="31">
        <f t="shared" si="51"/>
        <v>1</v>
      </c>
      <c r="T144" s="46" t="str">
        <f t="shared" si="52"/>
        <v>NorthBound</v>
      </c>
      <c r="U144" s="18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7" t="str">
        <f t="shared" si="53"/>
        <v>https://d0f6bd738d7f1b3e5a7ca70fe4ff75f0.us-east-1.aws.found.io/app/kibana#/discover/Steve-Slow-Train-Analysis-(2080s-and-2083s)?_g=(refreshInterval:(display:Off,pause:!f,section:0,value:0),time:(from:'2017-02-17T20:10:46-0700',mode:absolute,to:'2017-02-17T23:08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188" t="str">
        <f t="shared" si="54"/>
        <v>N</v>
      </c>
      <c r="X144" s="188">
        <f t="shared" si="45"/>
        <v>1</v>
      </c>
      <c r="Y144" s="62">
        <f t="shared" si="60"/>
        <v>4.4200000000000003E-2</v>
      </c>
      <c r="Z144" s="62">
        <f t="shared" si="61"/>
        <v>23.330400000000001</v>
      </c>
      <c r="AA144" s="62">
        <f t="shared" si="55"/>
        <v>23.286200000000001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6"/>
        <v>0231-17</v>
      </c>
      <c r="AE144" s="85" t="str">
        <f t="shared" si="57"/>
        <v>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 &amp; aws s3 cp s3://rtdc.mdm.uploadarchive.raw/RTDC4046/ "%USERPROFILE%\AppData\Local\Temp\OnboardLogs"\RTDC4046\2017-02-18 --exclude "*" --recursive --include "*20170218*" &amp; "%USERPROFILE%\Documents\GitHub\mrs-test-scripts\Headless Mode &amp; Sideloading\WalkAndUnGZ.bat" "%USERPROFILE%\AppData\Local\Temp\OnboardLogs"\RTDC4046\2017-02-18</v>
      </c>
      <c r="AF144" s="82" t="str">
        <f t="shared" si="58"/>
        <v>"C:\Program Files (x86)\AstroGrep\AstroGrep.exe" /spath="%USERPROFILE%\AppData\Local\Temp\OnboardLogs" /stypes="app*4046*20170218*" /stext=" 05:.+((SYSTEM_STATE.+slice.+state.+changed )|(ment ac)|(multiple cpu faults)|(system.+state.+changed )|(\[timeout)|(PRM\|1\|D)|(kpr)|(kdp)|(\|lc)|(penalty))" /e /r /s</v>
      </c>
      <c r="AG144" s="1" t="str">
        <f t="shared" si="59"/>
        <v>EC</v>
      </c>
      <c r="AH144" s="86" t="str">
        <f t="shared" si="62"/>
        <v>"%USERPROFILE%\Documents\GitHub\eaglep3\Utilities\RefineRTDCRunTimes.py" --tripid 231-17 --locoid 4046 --swversion DE.1.0.9.0 --startMP 204:442 --initTime 2017-02-17T21:10:46 --startdatetime 2017-02-17T21:30:35 --delay 2 --endMP 204:233304 --enddatetime 2017-02-17T22:08:40 --enforcementcount 0 &gt;&gt;C:\Users\stu\Documents\GitHub\eaglep3-reporting\EC\2017-02-17-refined-times.txt</v>
      </c>
      <c r="AI144" s="108" t="str">
        <f t="shared" si="63"/>
        <v>echo {"issue":{"subject":"","project_id":79,"tracker_id":40,"status_id":1,"priority_id":2,"assigned_to_id":23,"start_date":"2017-02-17","description":"","custom_fields":[{"id":1,"name":"Subdivision","value":"EC"},{"id":4,"name":"Milepost","value":"23.3304"},{"id":17,"name":"Train ID","value":"231-17"},{"id":16,"name":"Locomotive ID","value":"4046"},{"id":130,"name":"Impact","value":""},{"id":150,"name":"Time of Event (Mountain Time)","value":"22:08:40"},{"id":151,"name":"Denver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4"/>
        <v>start /low /b %USERPROFILE%\Documents\GitHub\eaglep3\Utilities\DownloadLogsFromS3.py --loco 4046 --day 2017-02-17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"%USERPROFILE%\AppData\Local\Temp\OnboardLogs"\RTDC4046\*4046*20170218* | grep -SE "(Enforcement Action)|(\[TIMEOUT)|(CHR.+\|PRM\|1\|D.+(SWITCH|SIGNAL).+UNKNOWN)" - &gt;&gt; 2017-02-17-UncaughtWiMAX.txt</v>
      </c>
    </row>
    <row r="145" spans="1:91" s="20" customFormat="1" x14ac:dyDescent="0.25">
      <c r="A145" s="33" t="s">
        <v>660</v>
      </c>
      <c r="B145" s="7">
        <v>4045</v>
      </c>
      <c r="C145" s="21" t="s">
        <v>682</v>
      </c>
      <c r="D145" s="21" t="s">
        <v>269</v>
      </c>
      <c r="E145" s="13">
        <v>42783.928078703706</v>
      </c>
      <c r="F145" s="13">
        <v>42783.935011574074</v>
      </c>
      <c r="G145" s="7">
        <v>2</v>
      </c>
      <c r="H145" s="21" t="s">
        <v>195</v>
      </c>
      <c r="I145" s="13">
        <v>42783.962858796294</v>
      </c>
      <c r="J145" s="7">
        <v>0</v>
      </c>
      <c r="K145" s="98" t="str">
        <f t="shared" si="49"/>
        <v>4045/4046</v>
      </c>
      <c r="L145" s="21" t="str">
        <f>VLOOKUP(A145,'Trips&amp;Operators'!$C$1:$G$99999,5,FALSE)</f>
        <v>STORY SAMANTHA</v>
      </c>
      <c r="M145" s="6">
        <f t="shared" si="50"/>
        <v>2.7847222219861578E-2</v>
      </c>
      <c r="N145" s="7">
        <f t="shared" si="48"/>
        <v>40.099999996600673</v>
      </c>
      <c r="O145" s="7"/>
      <c r="P145" s="7"/>
      <c r="Q145" s="22"/>
      <c r="R145" s="22"/>
      <c r="S145" s="31">
        <f t="shared" si="51"/>
        <v>1</v>
      </c>
      <c r="T145" s="46" t="str">
        <f t="shared" si="52"/>
        <v>Southbound</v>
      </c>
      <c r="U145" s="18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7" t="str">
        <f t="shared" si="53"/>
        <v>https://d0f6bd738d7f1b3e5a7ca70fe4ff75f0.us-east-1.aws.found.io/app/kibana#/discover/Steve-Slow-Train-Analysis-(2080s-and-2083s)?_g=(refreshInterval:(display:Off,pause:!f,section:0,value:0),time:(from:'2017-02-17T21:16:26-0700',mode:absolute,to:'2017-02-18T00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188" t="str">
        <f t="shared" si="54"/>
        <v>N</v>
      </c>
      <c r="X145" s="188">
        <f t="shared" ref="X145:X208" si="65">VALUE(LEFT(AD145,4))-VALUE(LEFT(AD144,4))</f>
        <v>1</v>
      </c>
      <c r="Y145" s="62">
        <f t="shared" si="60"/>
        <v>23.299099999999999</v>
      </c>
      <c r="Z145" s="62">
        <f t="shared" si="61"/>
        <v>1.4999999999999999E-2</v>
      </c>
      <c r="AA145" s="62">
        <f t="shared" si="55"/>
        <v>23.284099999999999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6"/>
        <v>0232-17</v>
      </c>
      <c r="AE145" s="85" t="str">
        <f t="shared" si="57"/>
        <v>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 &amp; aws s3 cp s3://rtdc.mdm.uploadarchive.raw/RTDC4045/ "%USERPROFILE%\AppData\Local\Temp\OnboardLogs"\RTDC4045\2017-02-18 --exclude "*" --recursive --include "*20170218*" &amp; "%USERPROFILE%\Documents\GitHub\mrs-test-scripts\Headless Mode &amp; Sideloading\WalkAndUnGZ.bat" "%USERPROFILE%\AppData\Local\Temp\OnboardLogs"\RTDC4045\2017-02-18</v>
      </c>
      <c r="AF145" s="82" t="str">
        <f t="shared" si="58"/>
        <v>"C:\Program Files (x86)\AstroGrep\AstroGrep.exe" /spath="%USERPROFILE%\AppData\Local\Temp\OnboardLogs" /stypes="app*4045*20170218*" /stext=" 06:.+((SYSTEM_STATE.+slice.+state.+changed )|(ment ac)|(multiple cpu faults)|(system.+state.+changed )|(\[timeout)|(PRM\|1\|D)|(kpr)|(kdp)|(\|lc)|(penalty))" /e /r /s</v>
      </c>
      <c r="AG145" s="1" t="str">
        <f t="shared" si="59"/>
        <v>EC</v>
      </c>
      <c r="AH145" s="86" t="str">
        <f t="shared" si="62"/>
        <v>"%USERPROFILE%\Documents\GitHub\eaglep3\Utilities\RefineRTDCRunTimes.py" --tripid 232-17 --locoid 4045 --swversion DE.1.0.9.0 --startMP 204:232991 --initTime 2017-02-17T22:16:26 --startdatetime 2017-02-17T22:26:25 --delay 2 --endMP 204:150 --enddatetime 2017-02-17T23:06:31 --enforcementcount 0 &gt;&gt;C:\Users\stu\Documents\GitHub\eaglep3-reporting\EC\2017-02-17-refined-times.txt</v>
      </c>
      <c r="AI145" s="108" t="str">
        <f t="shared" si="63"/>
        <v>echo {"issue":{"subject":"","project_id":79,"tracker_id":40,"status_id":1,"priority_id":2,"assigned_to_id":23,"start_date":"2017-02-17","description":"","custom_fields":[{"id":1,"name":"Subdivision","value":"EC"},{"id":4,"name":"Milepost","value":"0.015"},{"id":17,"name":"Train ID","value":"232-17"},{"id":16,"name":"Locomotive ID","value":"4045"},{"id":130,"name":"Impact","value":""},{"id":150,"name":"Time of Event (Mountain Time)","value":"23:06:31"},{"id":151,"name":"Denver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4"/>
        <v>start /low /b %USERPROFILE%\Documents\GitHub\eaglep3\Utilities\DownloadLogsFromS3.py --loco 4045 --day 2017-02-17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"%USERPROFILE%\AppData\Local\Temp\OnboardLogs"\RTDC4045\*4045*20170218* | grep -SE "(Enforcement Action)|(\[TIMEOUT)|(CHR.+\|PRM\|1\|D.+(SWITCH|SIGNAL).+UNKNOWN)" - &gt;&gt; 2017-02-17-UncaughtWiMAX.txt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656</v>
      </c>
      <c r="B146" s="7">
        <v>4020</v>
      </c>
      <c r="C146" s="21" t="s">
        <v>682</v>
      </c>
      <c r="D146" s="21" t="s">
        <v>256</v>
      </c>
      <c r="E146" s="13">
        <v>42783.910081018519</v>
      </c>
      <c r="F146" s="13">
        <v>42783.916875000003</v>
      </c>
      <c r="G146" s="7">
        <v>1</v>
      </c>
      <c r="H146" s="21" t="s">
        <v>697</v>
      </c>
      <c r="I146" s="13">
        <v>42783.942696759259</v>
      </c>
      <c r="J146" s="7">
        <v>0</v>
      </c>
      <c r="K146" s="98" t="str">
        <f t="shared" si="49"/>
        <v>4019/4020</v>
      </c>
      <c r="L146" s="21" t="str">
        <f>VLOOKUP(A146,'Trips&amp;Operators'!$C$1:$G$99999,5,FALSE)</f>
        <v>MAGEE KENYA</v>
      </c>
      <c r="M146" s="6">
        <f t="shared" si="50"/>
        <v>2.5821759256359655E-2</v>
      </c>
      <c r="N146" s="7">
        <f t="shared" si="48"/>
        <v>37.183333329157904</v>
      </c>
      <c r="O146" s="7"/>
      <c r="P146" s="7"/>
      <c r="Q146" s="22"/>
      <c r="R146" s="22"/>
      <c r="S146" s="31">
        <f t="shared" si="51"/>
        <v>1</v>
      </c>
      <c r="T146" s="46" t="str">
        <f t="shared" si="52"/>
        <v>NorthBound</v>
      </c>
      <c r="U146" s="18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7" t="str">
        <f t="shared" si="53"/>
        <v>https://d0f6bd738d7f1b3e5a7ca70fe4ff75f0.us-east-1.aws.found.io/app/kibana#/discover/Steve-Slow-Train-Analysis-(2080s-and-2083s)?_g=(refreshInterval:(display:Off,pause:!f,section:0,value:0),time:(from:'2017-02-17T20:50:31-0700',mode:absolute,to:'2017-02-17T23:37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6" s="188" t="str">
        <f t="shared" si="54"/>
        <v>N</v>
      </c>
      <c r="X146" s="188">
        <f t="shared" si="65"/>
        <v>1</v>
      </c>
      <c r="Y146" s="62">
        <f t="shared" si="60"/>
        <v>4.53E-2</v>
      </c>
      <c r="Z146" s="62">
        <f t="shared" si="61"/>
        <v>23.331499999999998</v>
      </c>
      <c r="AA146" s="62">
        <f t="shared" si="55"/>
        <v>23.286199999999997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6"/>
        <v>0233-17</v>
      </c>
      <c r="AE146" s="85" t="str">
        <f t="shared" si="57"/>
        <v>aws s3 cp s3://rtdc.mdm.uploadarchive.raw/RTDC4020/ "%USERPROFILE%\AppData\Local\Temp\OnboardLogs"\RTDC4020\2017-02-17 --exclude "*" --recursive --include "*20170217*" &amp; "%USERPROFILE%\Documents\GitHub\mrs-test-scripts\Headless Mode &amp; Sideloading\WalkAndUnGZ.bat" "%USERPROFILE%\AppData\Local\Temp\OnboardLogs"\RTDC4020\2017-02-17 &amp; aws s3 cp s3://rtdc.mdm.uploadarchive.raw/RTDC4020/ "%USERPROFILE%\AppData\Local\Temp\OnboardLogs"\RTDC4020\2017-02-18 --exclude "*" --recursive --include "*20170218*" &amp; "%USERPROFILE%\Documents\GitHub\mrs-test-scripts\Headless Mode &amp; Sideloading\WalkAndUnGZ.bat" "%USERPROFILE%\AppData\Local\Temp\OnboardLogs"\RTDC4020\2017-02-18</v>
      </c>
      <c r="AF146" s="82" t="str">
        <f t="shared" si="58"/>
        <v>"C:\Program Files (x86)\AstroGrep\AstroGrep.exe" /spath="%USERPROFILE%\AppData\Local\Temp\OnboardLogs" /stypes="app*4020*20170218*" /stext=" 05:.+((SYSTEM_STATE.+slice.+state.+changed )|(ment ac)|(multiple cpu faults)|(system.+state.+changed )|(\[timeout)|(PRM\|1\|D)|(kpr)|(kdp)|(\|lc)|(penalty))" /e /r /s</v>
      </c>
      <c r="AG146" s="1" t="str">
        <f t="shared" si="59"/>
        <v>EC</v>
      </c>
      <c r="AH146" s="86" t="str">
        <f t="shared" si="62"/>
        <v>"%USERPROFILE%\Documents\GitHub\eaglep3\Utilities\RefineRTDCRunTimes.py" --tripid 233-17 --locoid 4020 --swversion DE.1.0.9.0 --startMP 204:453 --initTime 2017-02-17T21:50:31 --startdatetime 2017-02-17T22:00:18 --delay 1 --endMP 204:233315 --enddatetime 2017-02-17T22:37:29 --enforcementcount 0 &gt;&gt;C:\Users\stu\Documents\GitHub\eaglep3-reporting\EC\2017-02-17-refined-times.txt</v>
      </c>
      <c r="AI146" s="108" t="str">
        <f t="shared" si="63"/>
        <v>echo {"issue":{"subject":"","project_id":79,"tracker_id":40,"status_id":1,"priority_id":2,"assigned_to_id":23,"start_date":"2017-02-17","description":"","custom_fields":[{"id":1,"name":"Subdivision","value":"EC"},{"id":4,"name":"Milepost","value":"23.3315"},{"id":17,"name":"Train ID","value":"233-17"},{"id":16,"name":"Locomotive ID","value":"4020"},{"id":130,"name":"Impact","value":""},{"id":150,"name":"Time of Event (Mountain Time)","value":"22:37:29"},{"id":151,"name":"Denver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4"/>
        <v>start /low /b %USERPROFILE%\Documents\GitHub\eaglep3\Utilities\DownloadLogsFromS3.py --loco 4020 --day 2017-02-17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"%USERPROFILE%\AppData\Local\Temp\OnboardLogs"\RTDC4020\*4020*20170218* | grep -SE "(Enforcement Action)|(\[TIMEOUT)|(CHR.+\|PRM\|1\|D.+(SWITCH|SIGNAL).+UNKNOWN)" - &gt;&gt; 2017-02-17-UncaughtWiMAX.txt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662</v>
      </c>
      <c r="B147" s="7">
        <v>4019</v>
      </c>
      <c r="C147" s="21" t="s">
        <v>682</v>
      </c>
      <c r="D147" s="21" t="s">
        <v>267</v>
      </c>
      <c r="E147" s="13">
        <v>42783.954409722224</v>
      </c>
      <c r="F147" s="13">
        <v>42783.955891203703</v>
      </c>
      <c r="G147" s="7">
        <v>2</v>
      </c>
      <c r="H147" s="21" t="s">
        <v>295</v>
      </c>
      <c r="I147" s="13">
        <v>42783.982847222222</v>
      </c>
      <c r="J147" s="7">
        <v>0</v>
      </c>
      <c r="K147" s="98" t="str">
        <f t="shared" si="49"/>
        <v>4019/4020</v>
      </c>
      <c r="L147" s="21" t="str">
        <f>VLOOKUP(A147,'Trips&amp;Operators'!$C$1:$G$99999,5,FALSE)</f>
        <v>MAGEE KENYA</v>
      </c>
      <c r="M147" s="6">
        <f t="shared" si="50"/>
        <v>2.6956018518831115E-2</v>
      </c>
      <c r="N147" s="7">
        <f t="shared" si="48"/>
        <v>38.816666667116806</v>
      </c>
      <c r="O147" s="7"/>
      <c r="P147" s="7"/>
      <c r="Q147" s="22"/>
      <c r="R147" s="22"/>
      <c r="S147" s="31">
        <f t="shared" si="51"/>
        <v>1</v>
      </c>
      <c r="T147" s="46" t="str">
        <f t="shared" si="52"/>
        <v>Southbound</v>
      </c>
      <c r="U147" s="18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7" t="str">
        <f t="shared" si="53"/>
        <v>https://d0f6bd738d7f1b3e5a7ca70fe4ff75f0.us-east-1.aws.found.io/app/kibana#/discover/Steve-Slow-Train-Analysis-(2080s-and-2083s)?_g=(refreshInterval:(display:Off,pause:!f,section:0,value:0),time:(from:'2017-02-17T21:54:21-0700',mode:absolute,to:'2017-02-18T00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7" s="188" t="str">
        <f t="shared" si="54"/>
        <v>N</v>
      </c>
      <c r="X147" s="188">
        <f t="shared" si="65"/>
        <v>1</v>
      </c>
      <c r="Y147" s="62">
        <f t="shared" si="60"/>
        <v>23.299299999999999</v>
      </c>
      <c r="Z147" s="62">
        <f t="shared" si="61"/>
        <v>1.47E-2</v>
      </c>
      <c r="AA147" s="62">
        <f t="shared" si="55"/>
        <v>23.284599999999998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6"/>
        <v>0234-17</v>
      </c>
      <c r="AE147" s="85" t="str">
        <f t="shared" si="57"/>
        <v>aws s3 cp s3://rtdc.mdm.uploadarchive.raw/RTDC4019/ "%USERPROFILE%\AppData\Local\Temp\OnboardLogs"\RTDC4019\2017-02-17 --exclude "*" --recursive --include "*20170217*" &amp; "%USERPROFILE%\Documents\GitHub\mrs-test-scripts\Headless Mode &amp; Sideloading\WalkAndUnGZ.bat" "%USERPROFILE%\AppData\Local\Temp\OnboardLogs"\RTDC4019\2017-02-17 &amp; aws s3 cp s3://rtdc.mdm.uploadarchive.raw/RTDC4019/ "%USERPROFILE%\AppData\Local\Temp\OnboardLogs"\RTDC4019\2017-02-18 --exclude "*" --recursive --include "*20170218*" &amp; "%USERPROFILE%\Documents\GitHub\mrs-test-scripts\Headless Mode &amp; Sideloading\WalkAndUnGZ.bat" "%USERPROFILE%\AppData\Local\Temp\OnboardLogs"\RTDC4019\2017-02-18</v>
      </c>
      <c r="AF147" s="82" t="str">
        <f t="shared" si="58"/>
        <v>"C:\Program Files (x86)\AstroGrep\AstroGrep.exe" /spath="%USERPROFILE%\AppData\Local\Temp\OnboardLogs" /stypes="app*4019*20170218*" /stext=" 06:.+((SYSTEM_STATE.+slice.+state.+changed )|(ment ac)|(multiple cpu faults)|(system.+state.+changed )|(\[timeout)|(PRM\|1\|D)|(kpr)|(kdp)|(\|lc)|(penalty))" /e /r /s</v>
      </c>
      <c r="AG147" s="1" t="str">
        <f t="shared" si="59"/>
        <v>EC</v>
      </c>
      <c r="AH147" s="86" t="str">
        <f t="shared" si="62"/>
        <v>"%USERPROFILE%\Documents\GitHub\eaglep3\Utilities\RefineRTDCRunTimes.py" --tripid 234-17 --locoid 4019 --swversion DE.1.0.9.0 --startMP 204:232993 --initTime 2017-02-17T22:54:21 --startdatetime 2017-02-17T22:56:29 --delay 2 --endMP 204:147 --enddatetime 2017-02-17T23:35:18 --enforcementcount 0 &gt;&gt;C:\Users\stu\Documents\GitHub\eaglep3-reporting\EC\2017-02-17-refined-times.txt</v>
      </c>
      <c r="AI147" s="108" t="str">
        <f t="shared" si="63"/>
        <v>echo {"issue":{"subject":"","project_id":79,"tracker_id":40,"status_id":1,"priority_id":2,"assigned_to_id":23,"start_date":"2017-02-17","description":"","custom_fields":[{"id":1,"name":"Subdivision","value":"EC"},{"id":4,"name":"Milepost","value":"0.0147"},{"id":17,"name":"Train ID","value":"234-17"},{"id":16,"name":"Locomotive ID","value":"4019"},{"id":130,"name":"Impact","value":""},{"id":150,"name":"Time of Event (Mountain Time)","value":"23:35:18"},{"id":151,"name":"Denver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4"/>
        <v>start /low /b %USERPROFILE%\Documents\GitHub\eaglep3\Utilities\DownloadLogsFromS3.py --loco 4019 --day 2017-02-17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"%USERPROFILE%\AppData\Local\Temp\OnboardLogs"\RTDC4019\*4019*20170218* | grep -SE "(Enforcement Action)|(\[TIMEOUT)|(CHR.+\|PRM\|1\|D.+(SWITCH|SIGNAL).+UNKNOWN)" - &gt;&gt; 2017-02-17-UncaughtWiMAX.txt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659</v>
      </c>
      <c r="B148" s="7">
        <v>4025</v>
      </c>
      <c r="C148" s="21" t="s">
        <v>682</v>
      </c>
      <c r="D148" s="21" t="s">
        <v>256</v>
      </c>
      <c r="E148" s="13">
        <v>42783.925000000003</v>
      </c>
      <c r="F148" s="13">
        <v>42783.937662037039</v>
      </c>
      <c r="G148" s="7">
        <v>1</v>
      </c>
      <c r="H148" s="21" t="s">
        <v>748</v>
      </c>
      <c r="I148" s="13">
        <v>42783.962824074071</v>
      </c>
      <c r="J148" s="7">
        <v>0</v>
      </c>
      <c r="K148" s="98" t="str">
        <f t="shared" si="49"/>
        <v>4025/4026</v>
      </c>
      <c r="L148" s="21" t="str">
        <f>VLOOKUP(A148,'Trips&amp;Operators'!$C$1:$G$99999,5,FALSE)</f>
        <v>HILLS DUSTIN</v>
      </c>
      <c r="M148" s="6">
        <f t="shared" si="50"/>
        <v>2.5162037032714579E-2</v>
      </c>
      <c r="N148" s="7">
        <f t="shared" si="48"/>
        <v>36.233333327108994</v>
      </c>
      <c r="O148" s="7"/>
      <c r="P148" s="7"/>
      <c r="Q148" s="22"/>
      <c r="R148" s="22"/>
      <c r="S148" s="31">
        <f t="shared" si="51"/>
        <v>1</v>
      </c>
      <c r="T148" s="46" t="str">
        <f t="shared" si="52"/>
        <v>NorthBound</v>
      </c>
      <c r="U148" s="18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7" t="str">
        <f t="shared" si="53"/>
        <v>https://d0f6bd738d7f1b3e5a7ca70fe4ff75f0.us-east-1.aws.found.io/app/kibana#/discover/Steve-Slow-Train-Analysis-(2080s-and-2083s)?_g=(refreshInterval:(display:Off,pause:!f,section:0,value:0),time:(from:'2017-02-17T21:12:00-0700',mode:absolute,to:'2017-02-18T00:06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8" s="188" t="str">
        <f t="shared" si="54"/>
        <v>N</v>
      </c>
      <c r="X148" s="188">
        <f t="shared" si="65"/>
        <v>1</v>
      </c>
      <c r="Y148" s="62">
        <f t="shared" si="60"/>
        <v>4.53E-2</v>
      </c>
      <c r="Z148" s="62">
        <f t="shared" si="61"/>
        <v>23.34</v>
      </c>
      <c r="AA148" s="62">
        <f t="shared" si="55"/>
        <v>23.294699999999999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6"/>
        <v>0235-17</v>
      </c>
      <c r="AE148" s="85" t="str">
        <f t="shared" si="57"/>
        <v>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 &amp; aws s3 cp s3://rtdc.mdm.uploadarchive.raw/RTDC4025/ "%USERPROFILE%\AppData\Local\Temp\OnboardLogs"\RTDC4025\2017-02-18 --exclude "*" --recursive --include "*20170218*" &amp; "%USERPROFILE%\Documents\GitHub\mrs-test-scripts\Headless Mode &amp; Sideloading\WalkAndUnGZ.bat" "%USERPROFILE%\AppData\Local\Temp\OnboardLogs"\RTDC4025\2017-02-18</v>
      </c>
      <c r="AF148" s="82" t="str">
        <f t="shared" si="58"/>
        <v>"C:\Program Files (x86)\AstroGrep\AstroGrep.exe" /spath="%USERPROFILE%\AppData\Local\Temp\OnboardLogs" /stypes="app*4025*20170218*" /stext=" 06:.+((SYSTEM_STATE.+slice.+state.+changed )|(ment ac)|(multiple cpu faults)|(system.+state.+changed )|(\[timeout)|(PRM\|1\|D)|(kpr)|(kdp)|(\|lc)|(penalty))" /e /r /s</v>
      </c>
      <c r="AG148" s="1" t="str">
        <f t="shared" si="59"/>
        <v>EC</v>
      </c>
      <c r="AH148" s="86" t="str">
        <f t="shared" si="62"/>
        <v>"%USERPROFILE%\Documents\GitHub\eaglep3\Utilities\RefineRTDCRunTimes.py" --tripid 235-17 --locoid 4025 --swversion DE.1.0.9.0 --startMP 204:453 --initTime 2017-02-17T22:12:00 --startdatetime 2017-02-17T22:30:14 --delay 1 --endMP 204:233400 --enddatetime 2017-02-17T23:06:28 --enforcementcount 0 &gt;&gt;C:\Users\stu\Documents\GitHub\eaglep3-reporting\EC\2017-02-17-refined-times.txt</v>
      </c>
      <c r="AI148" s="108" t="str">
        <f t="shared" si="63"/>
        <v>echo {"issue":{"subject":"","project_id":79,"tracker_id":40,"status_id":1,"priority_id":2,"assigned_to_id":23,"start_date":"2017-02-17","description":"","custom_fields":[{"id":1,"name":"Subdivision","value":"EC"},{"id":4,"name":"Milepost","value":"23.34"},{"id":17,"name":"Train ID","value":"235-17"},{"id":16,"name":"Locomotive ID","value":"4025"},{"id":130,"name":"Impact","value":""},{"id":150,"name":"Time of Event (Mountain Time)","value":"23:06:28"},{"id":151,"name":"Denver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4"/>
        <v>start /low /b %USERPROFILE%\Documents\GitHub\eaglep3\Utilities\DownloadLogsFromS3.py --loco 4025 --day 2017-02-17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"%USERPROFILE%\AppData\Local\Temp\OnboardLogs"\RTDC4025\*4025*20170218* | grep -SE "(Enforcement Action)|(\[TIMEOUT)|(CHR.+\|PRM\|1\|D.+(SWITCH|SIGNAL).+UNKNOWN)" - &gt;&gt; 2017-02-17-UncaughtWiMAX.txt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664</v>
      </c>
      <c r="B149" s="7">
        <v>4026</v>
      </c>
      <c r="C149" s="21" t="s">
        <v>682</v>
      </c>
      <c r="D149" s="21" t="s">
        <v>749</v>
      </c>
      <c r="E149" s="13">
        <v>42783.974374999998</v>
      </c>
      <c r="F149" s="13">
        <v>42783.9765162037</v>
      </c>
      <c r="G149" s="7">
        <v>1</v>
      </c>
      <c r="H149" s="21" t="s">
        <v>750</v>
      </c>
      <c r="I149" s="13">
        <v>42783.986886574072</v>
      </c>
      <c r="J149" s="7">
        <v>0</v>
      </c>
      <c r="K149" s="98" t="str">
        <f t="shared" si="49"/>
        <v>4025/4026</v>
      </c>
      <c r="L149" s="21" t="str">
        <f>VLOOKUP(A149,'Trips&amp;Operators'!$C$1:$G$99999,5,FALSE)</f>
        <v>HILLS DUSTIN</v>
      </c>
      <c r="M149" s="6">
        <f t="shared" si="50"/>
        <v>1.0370370371674653E-2</v>
      </c>
      <c r="N149" s="7"/>
      <c r="O149" s="7"/>
      <c r="P149" s="7">
        <f>24*60*SUM($M149:$M149)</f>
        <v>14.933333335211501</v>
      </c>
      <c r="Q149" s="22"/>
      <c r="R149" s="22" t="s">
        <v>858</v>
      </c>
      <c r="S149" s="31">
        <f t="shared" si="51"/>
        <v>0</v>
      </c>
      <c r="T149" s="46" t="str">
        <f t="shared" si="52"/>
        <v>Southbound</v>
      </c>
      <c r="U149" s="18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0</v>
      </c>
      <c r="V149" s="187" t="str">
        <f t="shared" si="53"/>
        <v>https://d0f6bd738d7f1b3e5a7ca70fe4ff75f0.us-east-1.aws.found.io/app/kibana#/discover/Steve-Slow-Train-Analysis-(2080s-and-2083s)?_g=(refreshInterval:(display:Off,pause:!f,section:0,value:0),time:(from:'2017-02-17T22:23:06-0700',mode:absolute,to:'2017-02-18T00:41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9" s="188" t="str">
        <f t="shared" si="54"/>
        <v>Y</v>
      </c>
      <c r="X149" s="188">
        <f t="shared" si="65"/>
        <v>1</v>
      </c>
      <c r="Y149" s="62">
        <f t="shared" si="60"/>
        <v>23.311299999999999</v>
      </c>
      <c r="Z149" s="62">
        <f t="shared" si="61"/>
        <v>12.497199999999999</v>
      </c>
      <c r="AA149" s="62">
        <f t="shared" si="55"/>
        <v>10.8141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6"/>
        <v>0236-17</v>
      </c>
      <c r="AE149" s="85" t="str">
        <f t="shared" si="57"/>
        <v>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 &amp; aws s3 cp s3://rtdc.mdm.uploadarchive.raw/RTDC4026/ "%USERPROFILE%\AppData\Local\Temp\OnboardLogs"\RTDC4026\2017-02-18 --exclude "*" --recursive --include "*20170218*" &amp; "%USERPROFILE%\Documents\GitHub\mrs-test-scripts\Headless Mode &amp; Sideloading\WalkAndUnGZ.bat" "%USERPROFILE%\AppData\Local\Temp\OnboardLogs"\RTDC4026\2017-02-18</v>
      </c>
      <c r="AF149" s="82" t="str">
        <f t="shared" si="58"/>
        <v>"C:\Program Files (x86)\AstroGrep\AstroGrep.exe" /spath="%USERPROFILE%\AppData\Local\Temp\OnboardLogs" /stypes="app*4026*20170218*" /stext=" 06:.+((SYSTEM_STATE.+slice.+state.+changed )|(ment ac)|(multiple cpu faults)|(system.+state.+changed )|(\[timeout)|(PRM\|1\|D)|(kpr)|(kdp)|(\|lc)|(penalty))" /e /r /s</v>
      </c>
      <c r="AG149" s="1" t="str">
        <f t="shared" si="59"/>
        <v>EC</v>
      </c>
      <c r="AH149" s="86" t="str">
        <f t="shared" si="62"/>
        <v>"%USERPROFILE%\Documents\GitHub\eaglep3\Utilities\RefineRTDCRunTimes.py" --tripid 236-17 --locoid 4026 --swversion DE.1.0.9.0 --startMP 204:233113 --initTime 2017-02-17T23:23:06 --startdatetime 2017-02-17T23:26:11 --delay 1 --endMP 204:124972 --enddatetime 2017-02-17T23:41:07 --enforcementcount 0 &gt;&gt;C:\Users\stu\Documents\GitHub\eaglep3-reporting\EC\2017-02-17-refined-times.txt</v>
      </c>
      <c r="AI149" s="108" t="str">
        <f t="shared" si="63"/>
        <v>echo {"issue":{"subject":"Onboard in-route failure","project_id":79,"tracker_id":40,"status_id":1,"priority_id":2,"assigned_to_id":23,"start_date":"2017-02-17","description":"","custom_fields":[{"id":1,"name":"Subdivision","value":"EC"},{"id":4,"name":"Milepost","value":"12.4972"},{"id":17,"name":"Train ID","value":"236-17"},{"id":16,"name":"Locomotive ID","value":"4026"},{"id":130,"name":"Impact","value":""},{"id":150,"name":"Time of Event (Mountain Time)","value":"23:41:07"},{"id":151,"name":"Denver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4"/>
        <v>start /low /b %USERPROFILE%\Documents\GitHub\eaglep3\Utilities\DownloadLogsFromS3.py --loco 4026 --day 2017-02-17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"%USERPROFILE%\AppData\Local\Temp\OnboardLogs"\RTDC4026\*4026*20170218* | grep -SE "(Enforcement Action)|(\[TIMEOUT)|(CHR.+\|PRM\|1\|D.+(SWITCH|SIGNAL).+UNKNOWN)" - &gt;&gt; 2017-02-17-UncaughtWiMAX.txt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3" t="s">
        <v>466</v>
      </c>
      <c r="B150" s="7">
        <v>4044</v>
      </c>
      <c r="C150" s="21" t="s">
        <v>682</v>
      </c>
      <c r="D150" s="21" t="s">
        <v>285</v>
      </c>
      <c r="E150" s="13">
        <v>42783.958252314813</v>
      </c>
      <c r="F150" s="13">
        <v>42783.959340277775</v>
      </c>
      <c r="G150" s="7">
        <v>1</v>
      </c>
      <c r="H150" s="21" t="s">
        <v>319</v>
      </c>
      <c r="I150" s="13">
        <v>42783.985312500001</v>
      </c>
      <c r="J150" s="7">
        <v>0</v>
      </c>
      <c r="K150" s="98" t="str">
        <f t="shared" si="49"/>
        <v>4043/4044</v>
      </c>
      <c r="L150" s="21" t="str">
        <f>VLOOKUP(A150,'Trips&amp;Operators'!$C$1:$G$99999,5,FALSE)</f>
        <v>BROWN JACOB</v>
      </c>
      <c r="M150" s="6">
        <f t="shared" si="50"/>
        <v>2.5972222225391306E-2</v>
      </c>
      <c r="N150" s="7">
        <f>24*60*SUM($M150:$M150)</f>
        <v>37.400000004563481</v>
      </c>
      <c r="O150" s="7"/>
      <c r="P150" s="7"/>
      <c r="Q150" s="22"/>
      <c r="R150" s="22"/>
      <c r="S150" s="31">
        <f t="shared" si="51"/>
        <v>1</v>
      </c>
      <c r="T150" s="46" t="str">
        <f t="shared" si="52"/>
        <v>NorthBound</v>
      </c>
      <c r="U150" s="18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7" t="str">
        <f t="shared" si="53"/>
        <v>https://d0f6bd738d7f1b3e5a7ca70fe4ff75f0.us-east-1.aws.found.io/app/kibana#/discover/Steve-Slow-Train-Analysis-(2080s-and-2083s)?_g=(refreshInterval:(display:Off,pause:!f,section:0,value:0),time:(from:'2017-02-17T21:59:53-0700',mode:absolute,to:'2017-02-18T00:38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0" s="188" t="str">
        <f t="shared" si="54"/>
        <v>N</v>
      </c>
      <c r="X150" s="188">
        <f t="shared" si="65"/>
        <v>1</v>
      </c>
      <c r="Y150" s="62">
        <f t="shared" si="60"/>
        <v>4.3999999999999997E-2</v>
      </c>
      <c r="Z150" s="62">
        <f t="shared" si="61"/>
        <v>23.332699999999999</v>
      </c>
      <c r="AA150" s="62">
        <f t="shared" si="55"/>
        <v>23.288699999999999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6"/>
        <v>0237-17</v>
      </c>
      <c r="AE150" s="85" t="str">
        <f t="shared" si="57"/>
        <v>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 &amp; 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</v>
      </c>
      <c r="AF150" s="82" t="str">
        <f t="shared" si="58"/>
        <v>"C:\Program Files (x86)\AstroGrep\AstroGrep.exe" /spath="%USERPROFILE%\AppData\Local\Temp\OnboardLogs" /stypes="app*4044*20170218*" /stext=" 06:.+((SYSTEM_STATE.+slice.+state.+changed )|(ment ac)|(multiple cpu faults)|(system.+state.+changed )|(\[timeout)|(PRM\|1\|D)|(kpr)|(kdp)|(\|lc)|(penalty))" /e /r /s</v>
      </c>
      <c r="AG150" s="1" t="str">
        <f t="shared" si="59"/>
        <v>EC</v>
      </c>
      <c r="AH150" s="86" t="str">
        <f t="shared" si="62"/>
        <v>"%USERPROFILE%\Documents\GitHub\eaglep3\Utilities\RefineRTDCRunTimes.py" --tripid 237-17 --locoid 4044 --swversion DE.1.0.9.0 --startMP 204:440 --initTime 2017-02-17T22:59:53 --startdatetime 2017-02-17T23:01:27 --delay 1 --endMP 204:233327 --enddatetime 2017-02-17T23:38:51 --enforcementcount 0 &gt;&gt;C:\Users\stu\Documents\GitHub\eaglep3-reporting\EC\2017-02-17-refined-times.txt</v>
      </c>
      <c r="AI150" s="108" t="str">
        <f t="shared" si="63"/>
        <v>echo {"issue":{"subject":"","project_id":79,"tracker_id":40,"status_id":1,"priority_id":2,"assigned_to_id":23,"start_date":"2017-02-17","description":"","custom_fields":[{"id":1,"name":"Subdivision","value":"EC"},{"id":4,"name":"Milepost","value":"23.3327"},{"id":17,"name":"Train ID","value":"237-17"},{"id":16,"name":"Locomotive ID","value":"4044"},{"id":130,"name":"Impact","value":""},{"id":150,"name":"Time of Event (Mountain Time)","value":"23:38:51"},{"id":151,"name":"Denver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4"/>
        <v>start /low /b %USERPROFILE%\Documents\GitHub\eaglep3\Utilities\DownloadLogsFromS3.py --loco 4044 --day 2017-02-17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"%USERPROFILE%\AppData\Local\Temp\OnboardLogs"\RTDC4044\*4044*20170218* | grep -SE "(Enforcement Action)|(\[TIMEOUT)|(CHR.+\|PRM\|1\|D.+(SWITCH|SIGNAL).+UNKNOWN)" - &gt;&gt; 2017-02-17-UncaughtWiMAX.txt</v>
      </c>
    </row>
    <row r="151" spans="1:91" s="20" customFormat="1" x14ac:dyDescent="0.25">
      <c r="A151" s="33" t="s">
        <v>669</v>
      </c>
      <c r="B151" s="7">
        <v>4043</v>
      </c>
      <c r="C151" s="21" t="s">
        <v>682</v>
      </c>
      <c r="D151" s="21" t="s">
        <v>372</v>
      </c>
      <c r="E151" s="13">
        <v>42783.99359953704</v>
      </c>
      <c r="F151" s="13">
        <v>42783.997361111113</v>
      </c>
      <c r="G151" s="7">
        <v>2</v>
      </c>
      <c r="H151" s="21" t="s">
        <v>208</v>
      </c>
      <c r="I151" s="13">
        <v>42784.023761574077</v>
      </c>
      <c r="J151" s="7">
        <v>0</v>
      </c>
      <c r="K151" s="98" t="str">
        <f t="shared" si="49"/>
        <v>4043/4044</v>
      </c>
      <c r="L151" s="21" t="str">
        <f>VLOOKUP(A151,'Trips&amp;Operators'!$C$1:$G$99999,5,FALSE)</f>
        <v>BROWN JACOB</v>
      </c>
      <c r="M151" s="6">
        <f t="shared" si="50"/>
        <v>2.6400462964375038E-2</v>
      </c>
      <c r="N151" s="7">
        <f>24*60*SUM($M151:$M151)</f>
        <v>38.016666668700054</v>
      </c>
      <c r="O151" s="7"/>
      <c r="P151" s="7"/>
      <c r="Q151" s="22"/>
      <c r="R151" s="22"/>
      <c r="S151" s="31">
        <f t="shared" si="51"/>
        <v>1</v>
      </c>
      <c r="T151" s="46" t="str">
        <f t="shared" si="52"/>
        <v>Southbound</v>
      </c>
      <c r="U151" s="18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7" t="str">
        <f t="shared" si="53"/>
        <v>https://d0f6bd738d7f1b3e5a7ca70fe4ff75f0.us-east-1.aws.found.io/app/kibana#/discover/Steve-Slow-Train-Analysis-(2080s-and-2083s)?_g=(refreshInterval:(display:Off,pause:!f,section:0,value:0),time:(from:'2017-02-17T22:50:47-0700',mode:absolute,to:'2017-02-18T01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1" s="188" t="str">
        <f t="shared" si="54"/>
        <v>N</v>
      </c>
      <c r="X151" s="188">
        <f t="shared" si="65"/>
        <v>1</v>
      </c>
      <c r="Y151" s="62">
        <f t="shared" si="60"/>
        <v>23.3019</v>
      </c>
      <c r="Z151" s="62">
        <f t="shared" si="61"/>
        <v>1.52E-2</v>
      </c>
      <c r="AA151" s="62">
        <f t="shared" si="55"/>
        <v>23.2867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6"/>
        <v>0238-17</v>
      </c>
      <c r="AE151" s="85" t="str">
        <f t="shared" si="57"/>
        <v>aws s3 cp s3://rtdc.mdm.uploadarchive.raw/RTDC4043/ "%USERPROFILE%\AppData\Local\Temp\OnboardLogs"\RTDC4043\2017-02-17 --exclude "*" --recursive --include "*20170217*" &amp; "%USERPROFILE%\Documents\GitHub\mrs-test-scripts\Headless Mode &amp; Sideloading\WalkAndUnGZ.bat" "%USERPROFILE%\AppData\Local\Temp\OnboardLogs"\RTDC4043\2017-02-17 &amp; aws s3 cp s3://rtdc.mdm.uploadarchive.raw/RTDC4043/ "%USERPROFILE%\AppData\Local\Temp\OnboardLogs"\RTDC4043\2017-02-18 --exclude "*" --recursive --include "*20170218*" &amp; "%USERPROFILE%\Documents\GitHub\mrs-test-scripts\Headless Mode &amp; Sideloading\WalkAndUnGZ.bat" "%USERPROFILE%\AppData\Local\Temp\OnboardLogs"\RTDC4043\2017-02-18</v>
      </c>
      <c r="AF151" s="82" t="str">
        <f t="shared" si="58"/>
        <v>"C:\Program Files (x86)\AstroGrep\AstroGrep.exe" /spath="%USERPROFILE%\AppData\Local\Temp\OnboardLogs" /stypes="app*4043*20170218*" /stext=" 07:.+((SYSTEM_STATE.+slice.+state.+changed )|(ment ac)|(multiple cpu faults)|(system.+state.+changed )|(\[timeout)|(PRM\|1\|D)|(kpr)|(kdp)|(\|lc)|(penalty))" /e /r /s</v>
      </c>
      <c r="AG151" s="1" t="str">
        <f t="shared" si="59"/>
        <v>EC</v>
      </c>
      <c r="AH151" s="86" t="str">
        <f t="shared" si="62"/>
        <v>"%USERPROFILE%\Documents\GitHub\eaglep3\Utilities\RefineRTDCRunTimes.py" --tripid 238-17 --locoid 4043 --swversion DE.1.0.9.0 --startMP 204:233019 --initTime 2017-02-17T23:50:47 --startdatetime 2017-02-17T23:56:12 --delay 2 --endMP 204:152 --enddatetime 2017-02-18T00:34:13 --enforcementcount 0 &gt;&gt;C:\Users\stu\Documents\GitHub\eaglep3-reporting\EC\2017-02-17-refined-times.txt</v>
      </c>
      <c r="AI151" s="108" t="str">
        <f t="shared" si="63"/>
        <v>echo {"issue":{"subject":"","project_id":79,"tracker_id":40,"status_id":1,"priority_id":2,"assigned_to_id":23,"start_date":"2017-02-18","description":"","custom_fields":[{"id":1,"name":"Subdivision","value":"EC"},{"id":4,"name":"Milepost","value":"0.0152"},{"id":17,"name":"Train ID","value":"238-17"},{"id":16,"name":"Locomotive ID","value":"4043"},{"id":130,"name":"Impact","value":""},{"id":150,"name":"Time of Event (Mountain Time)","value":"00:34:13"},{"id":151,"name":"Denver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4"/>
        <v>start /low /b %USERPROFILE%\Documents\GitHub\eaglep3\Utilities\DownloadLogsFromS3.py --loco 4043 --day 2017-02-17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"%USERPROFILE%\AppData\Local\Temp\OnboardLogs"\RTDC4043\*4043*20170218* | grep -SE "(Enforcement Action)|(\[TIMEOUT)|(CHR.+\|PRM\|1\|D.+(SWITCH|SIGNAL).+UNKNOWN)" - &gt;&gt; 2017-02-17-UncaughtWiMAX.txt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663</v>
      </c>
      <c r="B152" s="7">
        <v>4046</v>
      </c>
      <c r="C152" s="21" t="s">
        <v>682</v>
      </c>
      <c r="D152" s="21" t="s">
        <v>751</v>
      </c>
      <c r="E152" s="13">
        <v>42783.988206018519</v>
      </c>
      <c r="F152" s="13">
        <v>42783.989062499997</v>
      </c>
      <c r="G152" s="7">
        <v>1</v>
      </c>
      <c r="H152" s="21" t="s">
        <v>752</v>
      </c>
      <c r="I152" s="13">
        <v>42784.015902777777</v>
      </c>
      <c r="J152" s="7">
        <v>0</v>
      </c>
      <c r="K152" s="98" t="str">
        <f t="shared" si="49"/>
        <v>4045/4046</v>
      </c>
      <c r="L152" s="21" t="str">
        <f>VLOOKUP(A152,'Trips&amp;Operators'!$C$1:$G$99999,5,FALSE)</f>
        <v>STORY SAMANTHA</v>
      </c>
      <c r="M152" s="6">
        <f t="shared" si="50"/>
        <v>2.6840277780138422E-2</v>
      </c>
      <c r="N152" s="7">
        <f>24*60*SUM($M152:$M153)</f>
        <v>58.716666667023674</v>
      </c>
      <c r="O152" s="7"/>
      <c r="P152" s="7"/>
      <c r="Q152" s="22"/>
      <c r="R152" s="22" t="s">
        <v>861</v>
      </c>
      <c r="S152" s="31">
        <f>SUM(U152:U153)/IF(AG152="EC",12,1)</f>
        <v>1</v>
      </c>
      <c r="T152" s="46" t="str">
        <f t="shared" si="52"/>
        <v>NorthBound</v>
      </c>
      <c r="U152" s="18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9</v>
      </c>
      <c r="V152" s="187" t="str">
        <f t="shared" si="53"/>
        <v>https://d0f6bd738d7f1b3e5a7ca70fe4ff75f0.us-east-1.aws.found.io/app/kibana#/discover/Steve-Slow-Train-Analysis-(2080s-and-2083s)?_g=(refreshInterval:(display:Off,pause:!f,section:0,value:0),time:(from:'2017-02-17T22:43:01-0700',mode:absolute,to:'2017-02-18T01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188" t="str">
        <f t="shared" si="54"/>
        <v>Y</v>
      </c>
      <c r="X152" s="188">
        <f t="shared" si="65"/>
        <v>1</v>
      </c>
      <c r="Y152" s="62">
        <f t="shared" si="60"/>
        <v>3.7263000000000002</v>
      </c>
      <c r="Z152" s="62">
        <f t="shared" si="61"/>
        <v>23.328299999999999</v>
      </c>
      <c r="AA152" s="62">
        <f t="shared" si="55"/>
        <v>19.601999999999997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6"/>
        <v>0239-17</v>
      </c>
      <c r="AE152" s="85" t="str">
        <f t="shared" si="57"/>
        <v>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 &amp; aws s3 cp s3://rtdc.mdm.uploadarchive.raw/RTDC4046/ "%USERPROFILE%\AppData\Local\Temp\OnboardLogs"\RTDC4046\2017-02-18 --exclude "*" --recursive --include "*20170218*" &amp; "%USERPROFILE%\Documents\GitHub\mrs-test-scripts\Headless Mode &amp; Sideloading\WalkAndUnGZ.bat" "%USERPROFILE%\AppData\Local\Temp\OnboardLogs"\RTDC4046\2017-02-18</v>
      </c>
      <c r="AF152" s="82" t="str">
        <f t="shared" si="58"/>
        <v>"C:\Program Files (x86)\AstroGrep\AstroGrep.exe" /spath="%USERPROFILE%\AppData\Local\Temp\OnboardLogs" /stypes="app*4046*20170218*" /stext=" 07:.+((SYSTEM_STATE.+slice.+state.+changed )|(ment ac)|(multiple cpu faults)|(system.+state.+changed )|(\[timeout)|(PRM\|1\|D)|(kpr)|(kdp)|(\|lc)|(penalty))" /e /r /s</v>
      </c>
      <c r="AG152" s="1" t="str">
        <f t="shared" si="59"/>
        <v>EC</v>
      </c>
      <c r="AH152" s="86" t="str">
        <f t="shared" si="62"/>
        <v>"%USERPROFILE%\Documents\GitHub\eaglep3\Utilities\RefineRTDCRunTimes.py" --tripid 239-17 --locoid 4046 --swversion DE.1.0.9.0 --startMP 204:37263 --initTime 2017-02-17T23:43:01 --startdatetime 2017-02-17T23:44:15 --delay 1 --endMP 204:233283 --enddatetime 2017-02-18T00:22:54 --enforcementcount 0 &gt;&gt;C:\Users\stu\Documents\GitHub\eaglep3-reporting\EC\2017-02-17-refined-times.txt</v>
      </c>
      <c r="AI152" s="108" t="str">
        <f t="shared" si="63"/>
        <v>echo {"issue":{"subject":"Unexpected cut out by TMDS","project_id":79,"tracker_id":40,"status_id":1,"priority_id":2,"assigned_to_id":23,"start_date":"2017-02-18","description":"","custom_fields":[{"id":1,"name":"Subdivision","value":"EC"},{"id":4,"name":"Milepost","value":"23.3283"},{"id":17,"name":"Train ID","value":"239-17"},{"id":16,"name":"Locomotive ID","value":"4046"},{"id":130,"name":"Impact","value":""},{"id":150,"name":"Time of Event (Mountain Time)","value":"00:22:54"},{"id":151,"name":"Denver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4"/>
        <v>start /low /b %USERPROFILE%\Documents\GitHub\eaglep3\Utilities\DownloadLogsFromS3.py --loco 4046 --day 2017-02-17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"%USERPROFILE%\AppData\Local\Temp\OnboardLogs"\RTDC4046\*4046*20170218* | grep -SE "(Enforcement Action)|(\[TIMEOUT)|(CHR.+\|PRM\|1\|D.+(SWITCH|SIGNAL).+UNKNOWN)" - &gt;&gt; 2017-02-17-UncaughtWiMAX.txt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663</v>
      </c>
      <c r="B153" s="7">
        <v>4046</v>
      </c>
      <c r="C153" s="21" t="s">
        <v>682</v>
      </c>
      <c r="D153" s="21" t="s">
        <v>215</v>
      </c>
      <c r="E153" s="13">
        <v>42783.970578703702</v>
      </c>
      <c r="F153" s="13">
        <v>42783.972581018519</v>
      </c>
      <c r="G153" s="7">
        <v>2</v>
      </c>
      <c r="H153" s="21" t="s">
        <v>753</v>
      </c>
      <c r="I153" s="13">
        <v>42783.986516203702</v>
      </c>
      <c r="J153" s="7">
        <v>0</v>
      </c>
      <c r="K153" s="98" t="str">
        <f t="shared" si="49"/>
        <v>4045/4046</v>
      </c>
      <c r="L153" s="21" t="str">
        <f>VLOOKUP(A153,'Trips&amp;Operators'!$C$1:$G$99999,5,FALSE)</f>
        <v>STORY SAMANTHA</v>
      </c>
      <c r="M153" s="6">
        <f t="shared" si="50"/>
        <v>1.3935185183072463E-2</v>
      </c>
      <c r="N153" s="7"/>
      <c r="O153" s="7"/>
      <c r="P153" s="7"/>
      <c r="Q153" s="22"/>
      <c r="R153" s="22"/>
      <c r="S153" s="31"/>
      <c r="T153" s="46" t="str">
        <f t="shared" si="52"/>
        <v>NorthBound</v>
      </c>
      <c r="U153" s="18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3</v>
      </c>
      <c r="V153" s="187" t="str">
        <f t="shared" si="53"/>
        <v>https://d0f6bd738d7f1b3e5a7ca70fe4ff75f0.us-east-1.aws.found.io/app/kibana#/discover/Steve-Slow-Train-Analysis-(2080s-and-2083s)?_g=(refreshInterval:(display:Off,pause:!f,section:0,value:0),time:(from:'2017-02-17T22:17:38-0700',mode:absolute,to:'2017-02-18T00:40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3" s="188" t="str">
        <f t="shared" si="54"/>
        <v>Y</v>
      </c>
      <c r="X153" s="188">
        <f t="shared" si="65"/>
        <v>0</v>
      </c>
      <c r="Y153" s="62">
        <f t="shared" si="60"/>
        <v>4.6899999999999997E-2</v>
      </c>
      <c r="Z153" s="62">
        <f t="shared" si="61"/>
        <v>3.7185999999999999</v>
      </c>
      <c r="AA153" s="62">
        <f t="shared" si="55"/>
        <v>3.6717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6"/>
        <v>0239-17</v>
      </c>
      <c r="AE153" s="85" t="str">
        <f t="shared" si="57"/>
        <v>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 &amp; aws s3 cp s3://rtdc.mdm.uploadarchive.raw/RTDC4046/ "%USERPROFILE%\AppData\Local\Temp\OnboardLogs"\RTDC4046\2017-02-18 --exclude "*" --recursive --include "*20170218*" &amp; "%USERPROFILE%\Documents\GitHub\mrs-test-scripts\Headless Mode &amp; Sideloading\WalkAndUnGZ.bat" "%USERPROFILE%\AppData\Local\Temp\OnboardLogs"\RTDC4046\2017-02-18</v>
      </c>
      <c r="AF153" s="82" t="str">
        <f t="shared" si="58"/>
        <v>"C:\Program Files (x86)\AstroGrep\AstroGrep.exe" /spath="%USERPROFILE%\AppData\Local\Temp\OnboardLogs" /stypes="app*4046*20170218*" /stext=" 06:.+((SYSTEM_STATE.+slice.+state.+changed )|(ment ac)|(multiple cpu faults)|(system.+state.+changed )|(\[timeout)|(PRM\|1\|D)|(kpr)|(kdp)|(\|lc)|(penalty))" /e /r /s</v>
      </c>
      <c r="AG153" s="1" t="str">
        <f t="shared" si="59"/>
        <v>EC</v>
      </c>
      <c r="AH153" s="86" t="str">
        <f t="shared" si="62"/>
        <v>"%USERPROFILE%\Documents\GitHub\eaglep3\Utilities\RefineRTDCRunTimes.py" --tripid 239-17 --locoid 4046 --swversion DE.1.0.9.0 --startMP 204:469 --initTime 2017-02-17T23:17:38 --startdatetime 2017-02-17T23:20:31 --delay 2 --endMP 204:37186 --enddatetime 2017-02-17T23:40:35 --enforcementcount 0 &gt;&gt;C:\Users\stu\Documents\GitHub\eaglep3-reporting\EC\2017-02-17-refined-times.txt</v>
      </c>
      <c r="AI153" s="108" t="str">
        <f t="shared" si="63"/>
        <v>echo {"issue":{"subject":"","project_id":79,"tracker_id":40,"status_id":1,"priority_id":2,"assigned_to_id":23,"start_date":"2017-02-17","description":"","custom_fields":[{"id":1,"name":"Subdivision","value":"EC"},{"id":4,"name":"Milepost","value":"3.7186"},{"id":17,"name":"Train ID","value":"239-17"},{"id":16,"name":"Locomotive ID","value":"4046"},{"id":130,"name":"Impact","value":""},{"id":150,"name":"Time of Event (Mountain Time)","value":"23:40:35"},{"id":151,"name":"Denver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4"/>
        <v>start /low /b %USERPROFILE%\Documents\GitHub\eaglep3\Utilities\DownloadLogsFromS3.py --loco 4046 --day 2017-02-17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"%USERPROFILE%\AppData\Local\Temp\OnboardLogs"\RTDC4046\*4046*20170218* | grep -SE "(Enforcement Action)|(\[TIMEOUT)|(CHR.+\|PRM\|1\|D.+(SWITCH|SIGNAL).+UNKNOWN)" - &gt;&gt; 2017-02-17-UncaughtWiMAX.txt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467</v>
      </c>
      <c r="B154" s="7">
        <v>4045</v>
      </c>
      <c r="C154" s="21" t="s">
        <v>682</v>
      </c>
      <c r="D154" s="21" t="s">
        <v>698</v>
      </c>
      <c r="E154" s="13">
        <v>42784.017013888886</v>
      </c>
      <c r="F154" s="13">
        <v>42784.017858796295</v>
      </c>
      <c r="G154" s="7">
        <v>1</v>
      </c>
      <c r="H154" s="21" t="s">
        <v>754</v>
      </c>
      <c r="I154" s="13">
        <v>42784.033182870371</v>
      </c>
      <c r="J154" s="7">
        <v>1</v>
      </c>
      <c r="K154" s="98" t="str">
        <f t="shared" si="49"/>
        <v>4045/4046</v>
      </c>
      <c r="L154" s="21" t="str">
        <f>VLOOKUP(A154,'Trips&amp;Operators'!$C$1:$G$99999,5,FALSE)</f>
        <v>STORY SAMANTHA</v>
      </c>
      <c r="M154" s="6">
        <f t="shared" si="50"/>
        <v>1.5324074076488614E-2</v>
      </c>
      <c r="N154" s="7"/>
      <c r="O154" s="7"/>
      <c r="P154" s="7">
        <f>24*60*SUM($M154:$M155)</f>
        <v>39.033333342522383</v>
      </c>
      <c r="Q154" s="22"/>
      <c r="R154" s="22" t="s">
        <v>858</v>
      </c>
      <c r="S154" s="31">
        <f>SUM(U154:U155)/IF(AG154="EC",12,1)</f>
        <v>0.91666666666666663</v>
      </c>
      <c r="T154" s="46" t="str">
        <f t="shared" si="52"/>
        <v>Southbound</v>
      </c>
      <c r="U154" s="18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2</v>
      </c>
      <c r="V154" s="187" t="str">
        <f t="shared" si="53"/>
        <v>https://d0f6bd738d7f1b3e5a7ca70fe4ff75f0.us-east-1.aws.found.io/app/kibana#/discover/Steve-Slow-Train-Analysis-(2080s-and-2083s)?_g=(refreshInterval:(display:Off,pause:!f,section:0,value:0),time:(from:'2017-02-17T23:24:30-0700',mode:absolute,to:'2017-02-18T01:47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4" s="188" t="str">
        <f t="shared" si="54"/>
        <v>Y</v>
      </c>
      <c r="X154" s="188">
        <f t="shared" si="65"/>
        <v>1</v>
      </c>
      <c r="Y154" s="62">
        <f t="shared" si="60"/>
        <v>23.299399999999999</v>
      </c>
      <c r="Z154" s="62">
        <f t="shared" si="61"/>
        <v>8.8196999999999992</v>
      </c>
      <c r="AA154" s="62">
        <f t="shared" si="55"/>
        <v>14.479699999999999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6"/>
        <v>0240-17</v>
      </c>
      <c r="AE154" s="85" t="str">
        <f t="shared" si="57"/>
        <v>aws s3 cp s3://rtdc.mdm.uploadarchive.raw/RTDC4045/ "%USERPROFILE%\AppData\Local\Temp\OnboardLogs"\RTDC4045\2017-02-18 --exclude "*" --recursive --include "*20170218*" &amp; "%USERPROFILE%\Documents\GitHub\mrs-test-scripts\Headless Mode &amp; Sideloading\WalkAndUnGZ.bat" "%USERPROFILE%\AppData\Local\Temp\OnboardLogs"\RTDC4045\2017-02-18 &amp; aws s3 cp s3://rtdc.mdm.uploadarchive.raw/RTDC4045/ "%USERPROFILE%\AppData\Local\Temp\OnboardLogs"\RTDC4045\2017-02-19 --exclude "*" --recursive --include "*20170219*" &amp; "%USERPROFILE%\Documents\GitHub\mrs-test-scripts\Headless Mode &amp; Sideloading\WalkAndUnGZ.bat" "%USERPROFILE%\AppData\Local\Temp\OnboardLogs"\RTDC4045\2017-02-19</v>
      </c>
      <c r="AF154" s="82" t="str">
        <f t="shared" si="58"/>
        <v>"C:\Program Files (x86)\AstroGrep\AstroGrep.exe" /spath="%USERPROFILE%\AppData\Local\Temp\OnboardLogs" /stypes="app*4045*20170218*" /stext=" 07:.+((SYSTEM_STATE.+slice.+state.+changed )|(ment ac)|(multiple cpu faults)|(system.+state.+changed )|(\[timeout)|(PRM\|1\|D)|(kpr)|(kdp)|(\|lc)|(penalty))" /e /r /s</v>
      </c>
      <c r="AG154" s="1" t="str">
        <f t="shared" si="59"/>
        <v>EC</v>
      </c>
      <c r="AH154" s="86" t="str">
        <f t="shared" si="62"/>
        <v>"%USERPROFILE%\Documents\GitHub\eaglep3\Utilities\RefineRTDCRunTimes.py" --tripid 240-17 --locoid 4045 --swversion DE.1.0.9.0 --startMP 204:232994 --initTime 2017-02-18T00:24:30 --startdatetime 2017-02-18T00:25:43 --delay 1 --endMP 204:88197 --enddatetime 2017-02-18T00:47:47 --enforcementcount 1 &gt;&gt;C:\Users\stu\Documents\GitHub\eaglep3-reporting\EC\2017-02-17-refined-times.txt</v>
      </c>
      <c r="AI154" s="108" t="str">
        <f t="shared" si="63"/>
        <v>echo {"issue":{"subject":"Onboard in-route failure","project_id":79,"tracker_id":40,"status_id":1,"priority_id":2,"assigned_to_id":23,"start_date":"2017-02-18","description":"","custom_fields":[{"id":1,"name":"Subdivision","value":"EC"},{"id":4,"name":"Milepost","value":"8.8197"},{"id":17,"name":"Train ID","value":"240-17"},{"id":16,"name":"Locomotive ID","value":"4045"},{"id":130,"name":"Impact","value":""},{"id":150,"name":"Time of Event (Mountain Time)","value":"00:47:47"},{"id":151,"name":"Denver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4"/>
        <v>start /low /b %USERPROFILE%\Documents\GitHub\eaglep3\Utilities\DownloadLogsFromS3.py --loco 4045 --day 2017-02-18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"%USERPROFILE%\AppData\Local\Temp\OnboardLogs"\RTDC4045\*4045*20170218* | grep -SE "(Enforcement Action)|(\[TIMEOUT)|(CHR.+\|PRM\|1\|D.+(SWITCH|SIGNAL).+UNKNOWN)" - &gt;&gt; 2017-02-17-UncaughtWiMAX.txt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467</v>
      </c>
      <c r="B155" s="7">
        <v>4045</v>
      </c>
      <c r="C155" s="21" t="s">
        <v>682</v>
      </c>
      <c r="D155" s="21" t="s">
        <v>755</v>
      </c>
      <c r="E155" s="13">
        <v>42784.036087962966</v>
      </c>
      <c r="F155" s="13">
        <v>42784.036712962959</v>
      </c>
      <c r="G155" s="7">
        <v>0</v>
      </c>
      <c r="H155" s="21" t="s">
        <v>217</v>
      </c>
      <c r="I155" s="13">
        <v>42784.048495370371</v>
      </c>
      <c r="J155" s="7">
        <v>0</v>
      </c>
      <c r="K155" s="98" t="str">
        <f t="shared" si="49"/>
        <v>4045/4046</v>
      </c>
      <c r="L155" s="21" t="str">
        <f>VLOOKUP(A155,'Trips&amp;Operators'!$C$1:$G$99999,5,FALSE)</f>
        <v>STORY SAMANTHA</v>
      </c>
      <c r="M155" s="6">
        <f t="shared" si="50"/>
        <v>1.1782407411374152E-2</v>
      </c>
      <c r="N155" s="7"/>
      <c r="O155" s="7"/>
      <c r="P155" s="7"/>
      <c r="Q155" s="22"/>
      <c r="R155" s="22"/>
      <c r="S155" s="31"/>
      <c r="T155" s="46" t="str">
        <f t="shared" si="52"/>
        <v>Southbound</v>
      </c>
      <c r="U155" s="18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9</v>
      </c>
      <c r="V155" s="187" t="str">
        <f t="shared" si="53"/>
        <v>https://d0f6bd738d7f1b3e5a7ca70fe4ff75f0.us-east-1.aws.found.io/app/kibana#/discover/Steve-Slow-Train-Analysis-(2080s-and-2083s)?_g=(refreshInterval:(display:Off,pause:!f,section:0,value:0),time:(from:'2017-02-17T23:51:58-0700',mode:absolute,to:'2017-02-18T02:09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5" s="188" t="str">
        <f t="shared" si="54"/>
        <v>Y</v>
      </c>
      <c r="X155" s="188">
        <f t="shared" si="65"/>
        <v>0</v>
      </c>
      <c r="Y155" s="62">
        <f t="shared" si="60"/>
        <v>6.4173999999999998</v>
      </c>
      <c r="Z155" s="62">
        <f t="shared" si="61"/>
        <v>1.54E-2</v>
      </c>
      <c r="AA155" s="62">
        <f t="shared" si="55"/>
        <v>6.4020000000000001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6"/>
        <v>0240-17</v>
      </c>
      <c r="AE155" s="85" t="str">
        <f t="shared" si="57"/>
        <v>aws s3 cp s3://rtdc.mdm.uploadarchive.raw/RTDC4045/ "%USERPROFILE%\AppData\Local\Temp\OnboardLogs"\RTDC4045\2017-02-18 --exclude "*" --recursive --include "*20170218*" &amp; "%USERPROFILE%\Documents\GitHub\mrs-test-scripts\Headless Mode &amp; Sideloading\WalkAndUnGZ.bat" "%USERPROFILE%\AppData\Local\Temp\OnboardLogs"\RTDC4045\2017-02-18 &amp; aws s3 cp s3://rtdc.mdm.uploadarchive.raw/RTDC4045/ "%USERPROFILE%\AppData\Local\Temp\OnboardLogs"\RTDC4045\2017-02-19 --exclude "*" --recursive --include "*20170219*" &amp; "%USERPROFILE%\Documents\GitHub\mrs-test-scripts\Headless Mode &amp; Sideloading\WalkAndUnGZ.bat" "%USERPROFILE%\AppData\Local\Temp\OnboardLogs"\RTDC4045\2017-02-19</v>
      </c>
      <c r="AF155" s="82" t="str">
        <f t="shared" si="58"/>
        <v>"C:\Program Files (x86)\AstroGrep\AstroGrep.exe" /spath="%USERPROFILE%\AppData\Local\Temp\OnboardLogs" /stypes="app*4045*20170218*" /stext=" 08:.+((SYSTEM_STATE.+slice.+state.+changed )|(ment ac)|(multiple cpu faults)|(system.+state.+changed )|(\[timeout)|(PRM\|1\|D)|(kpr)|(kdp)|(\|lc)|(penalty))" /e /r /s</v>
      </c>
      <c r="AG155" s="1" t="str">
        <f t="shared" si="59"/>
        <v>EC</v>
      </c>
      <c r="AH155" s="86" t="str">
        <f t="shared" si="62"/>
        <v>"%USERPROFILE%\Documents\GitHub\eaglep3\Utilities\RefineRTDCRunTimes.py" --tripid 240-17 --locoid 4045 --swversion DE.1.0.9.0 --startMP 204:64174 --initTime 2017-02-18T00:51:58 --startdatetime 2017-02-18T00:52:52 --delay 0 --endMP 204:154 --enddatetime 2017-02-18T01:09:50 --enforcementcount 0 &gt;&gt;C:\Users\stu\Documents\GitHub\eaglep3-reporting\EC\2017-02-17-refined-times.txt</v>
      </c>
      <c r="AI155" s="108" t="str">
        <f t="shared" si="63"/>
        <v>echo {"issue":{"subject":"","project_id":79,"tracker_id":40,"status_id":1,"priority_id":2,"assigned_to_id":23,"start_date":"2017-02-18","description":"","custom_fields":[{"id":1,"name":"Subdivision","value":"EC"},{"id":4,"name":"Milepost","value":"0.0154"},{"id":17,"name":"Train ID","value":"240-17"},{"id":16,"name":"Locomotive ID","value":"4045"},{"id":130,"name":"Impact","value":""},{"id":150,"name":"Time of Event (Mountain Time)","value":"01:09:50"},{"id":151,"name":"Denver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4"/>
        <v>start /low /b %USERPROFILE%\Documents\GitHub\eaglep3\Utilities\DownloadLogsFromS3.py --loco 4045 --day 2017-02-18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"%USERPROFILE%\AppData\Local\Temp\OnboardLogs"\RTDC4045\*4045*20170218* | grep -SE "(Enforcement Action)|(\[TIMEOUT)|(CHR.+\|PRM\|1\|D.+(SWITCH|SIGNAL).+UNKNOWN)" - &gt;&gt; 2017-02-17-UncaughtWiMAX.txt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670</v>
      </c>
      <c r="B156" s="7">
        <v>4020</v>
      </c>
      <c r="C156" s="21" t="s">
        <v>682</v>
      </c>
      <c r="D156" s="21" t="s">
        <v>205</v>
      </c>
      <c r="E156" s="13">
        <v>42783.996655092589</v>
      </c>
      <c r="F156" s="13">
        <v>42784.000277777777</v>
      </c>
      <c r="G156" s="7">
        <v>1</v>
      </c>
      <c r="H156" s="21" t="s">
        <v>756</v>
      </c>
      <c r="I156" s="13">
        <v>42784.025902777779</v>
      </c>
      <c r="J156" s="7">
        <v>0</v>
      </c>
      <c r="K156" s="98" t="str">
        <f t="shared" si="49"/>
        <v>4019/4020</v>
      </c>
      <c r="L156" s="21" t="str">
        <f>VLOOKUP(A156,'Trips&amp;Operators'!$C$1:$G$99999,5,FALSE)</f>
        <v>MAGEE KENYA</v>
      </c>
      <c r="M156" s="6">
        <f t="shared" si="50"/>
        <v>2.5625000002037268E-2</v>
      </c>
      <c r="N156" s="7">
        <f t="shared" ref="N156:N187" si="66">24*60*SUM($M156:$M156)</f>
        <v>36.900000002933666</v>
      </c>
      <c r="O156" s="7"/>
      <c r="P156" s="7"/>
      <c r="Q156" s="22"/>
      <c r="R156" s="22"/>
      <c r="S156" s="31">
        <f t="shared" ref="S156:S187" si="67">SUM(U156:U156)/IF(AG156="EC",12,1)</f>
        <v>1</v>
      </c>
      <c r="T156" s="46" t="str">
        <f t="shared" si="52"/>
        <v>NorthBound</v>
      </c>
      <c r="U156" s="18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7" t="str">
        <f t="shared" si="53"/>
        <v>https://d0f6bd738d7f1b3e5a7ca70fe4ff75f0.us-east-1.aws.found.io/app/kibana#/discover/Steve-Slow-Train-Analysis-(2080s-and-2083s)?_g=(refreshInterval:(display:Off,pause:!f,section:0,value:0),time:(from:'2017-02-17T22:55:11-0700',mode:absolute,to:'2017-02-18T01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6" s="188" t="str">
        <f t="shared" si="54"/>
        <v>N</v>
      </c>
      <c r="X156" s="188">
        <f t="shared" si="65"/>
        <v>1</v>
      </c>
      <c r="Y156" s="62">
        <f t="shared" si="60"/>
        <v>4.6199999999999998E-2</v>
      </c>
      <c r="Z156" s="62">
        <f t="shared" si="61"/>
        <v>23.3355</v>
      </c>
      <c r="AA156" s="62">
        <f t="shared" si="55"/>
        <v>23.289300000000001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6"/>
        <v>0241-17</v>
      </c>
      <c r="AE156" s="85" t="str">
        <f t="shared" si="57"/>
        <v>aws s3 cp s3://rtdc.mdm.uploadarchive.raw/RTDC4020/ "%USERPROFILE%\AppData\Local\Temp\OnboardLogs"\RTDC4020\2017-02-18 --exclude "*" --recursive --include "*20170218*" &amp; "%USERPROFILE%\Documents\GitHub\mrs-test-scripts\Headless Mode &amp; Sideloading\WalkAndUnGZ.bat" "%USERPROFILE%\AppData\Local\Temp\OnboardLogs"\RTDC4020\2017-02-18 &amp; aws s3 cp s3://rtdc.mdm.uploadarchive.raw/RTDC4020/ "%USERPROFILE%\AppData\Local\Temp\OnboardLogs"\RTDC4020\2017-02-19 --exclude "*" --recursive --include "*20170219*" &amp; "%USERPROFILE%\Documents\GitHub\mrs-test-scripts\Headless Mode &amp; Sideloading\WalkAndUnGZ.bat" "%USERPROFILE%\AppData\Local\Temp\OnboardLogs"\RTDC4020\2017-02-19</v>
      </c>
      <c r="AF156" s="82" t="str">
        <f t="shared" si="58"/>
        <v>"C:\Program Files (x86)\AstroGrep\AstroGrep.exe" /spath="%USERPROFILE%\AppData\Local\Temp\OnboardLogs" /stypes="app*4020*20170218*" /stext=" 07:.+((SYSTEM_STATE.+slice.+state.+changed )|(ment ac)|(multiple cpu faults)|(system.+state.+changed )|(\[timeout)|(PRM\|1\|D)|(kpr)|(kdp)|(\|lc)|(penalty))" /e /r /s</v>
      </c>
      <c r="AG156" s="1" t="str">
        <f t="shared" si="59"/>
        <v>EC</v>
      </c>
      <c r="AH156" s="86" t="str">
        <f t="shared" si="62"/>
        <v>"%USERPROFILE%\Documents\GitHub\eaglep3\Utilities\RefineRTDCRunTimes.py" --tripid 241-17 --locoid 4020 --swversion DE.1.0.9.0 --startMP 204:462 --initTime 2017-02-17T23:55:11 --startdatetime 2017-02-18T00:00:24 --delay 1 --endMP 204:233355 --enddatetime 2017-02-18T00:37:18 --enforcementcount 0 &gt;&gt;C:\Users\stu\Documents\GitHub\eaglep3-reporting\EC\2017-02-17-refined-times.txt</v>
      </c>
      <c r="AI156" s="108" t="str">
        <f t="shared" si="63"/>
        <v>echo {"issue":{"subject":"","project_id":79,"tracker_id":40,"status_id":1,"priority_id":2,"assigned_to_id":23,"start_date":"2017-02-18","description":"","custom_fields":[{"id":1,"name":"Subdivision","value":"EC"},{"id":4,"name":"Milepost","value":"23.3355"},{"id":17,"name":"Train ID","value":"241-17"},{"id":16,"name":"Locomotive ID","value":"4020"},{"id":130,"name":"Impact","value":""},{"id":150,"name":"Time of Event (Mountain Time)","value":"00:37:18"},{"id":151,"name":"Denver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4"/>
        <v>start /low /b %USERPROFILE%\Documents\GitHub\eaglep3\Utilities\DownloadLogsFromS3.py --loco 4020 --day 2017-02-18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"%USERPROFILE%\AppData\Local\Temp\OnboardLogs"\RTDC4020\*4020*20170218* | grep -SE "(Enforcement Action)|(\[TIMEOUT)|(CHR.+\|PRM\|1\|D.+(SWITCH|SIGNAL).+UNKNOWN)" - &gt;&gt; 2017-02-17-UncaughtWiMAX.txt</v>
      </c>
    </row>
    <row r="157" spans="1:91" x14ac:dyDescent="0.25">
      <c r="A157" s="33" t="s">
        <v>468</v>
      </c>
      <c r="B157" s="7">
        <v>4019</v>
      </c>
      <c r="C157" s="21" t="s">
        <v>682</v>
      </c>
      <c r="D157" s="21" t="s">
        <v>757</v>
      </c>
      <c r="E157" s="13">
        <v>42784.035520833335</v>
      </c>
      <c r="F157" s="13">
        <v>42784.039120370369</v>
      </c>
      <c r="G157" s="7">
        <v>1</v>
      </c>
      <c r="H157" s="21" t="s">
        <v>293</v>
      </c>
      <c r="I157" s="13">
        <v>42784.065891203703</v>
      </c>
      <c r="J157" s="7">
        <v>0</v>
      </c>
      <c r="K157" s="98" t="str">
        <f t="shared" si="49"/>
        <v>4019/4020</v>
      </c>
      <c r="L157" s="21" t="str">
        <f>VLOOKUP(A157,'Trips&amp;Operators'!$C$1:$G$99999,5,FALSE)</f>
        <v>MAGEE KENYA</v>
      </c>
      <c r="M157" s="6">
        <f t="shared" si="50"/>
        <v>2.6770833334012423E-2</v>
      </c>
      <c r="N157" s="7">
        <f t="shared" si="66"/>
        <v>38.550000000977889</v>
      </c>
      <c r="O157" s="7"/>
      <c r="P157" s="7"/>
      <c r="Q157" s="22"/>
      <c r="R157" s="22"/>
      <c r="S157" s="31">
        <f t="shared" si="67"/>
        <v>1</v>
      </c>
      <c r="T157" s="46" t="str">
        <f t="shared" si="52"/>
        <v>Southbound</v>
      </c>
      <c r="U157" s="18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7" t="str">
        <f t="shared" si="53"/>
        <v>https://d0f6bd738d7f1b3e5a7ca70fe4ff75f0.us-east-1.aws.found.io/app/kibana#/discover/Steve-Slow-Train-Analysis-(2080s-and-2083s)?_g=(refreshInterval:(display:Off,pause:!f,section:0,value:0),time:(from:'2017-02-17T23:51:09-0700',mode:absolute,to:'2017-02-18T02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7" s="188" t="str">
        <f t="shared" si="54"/>
        <v>N</v>
      </c>
      <c r="X157" s="188">
        <f t="shared" si="65"/>
        <v>1</v>
      </c>
      <c r="Y157" s="62">
        <f t="shared" si="60"/>
        <v>23.302700000000002</v>
      </c>
      <c r="Z157" s="62">
        <f t="shared" si="61"/>
        <v>1.5599999999999999E-2</v>
      </c>
      <c r="AA157" s="62">
        <f t="shared" si="55"/>
        <v>23.287100000000002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6"/>
        <v>0242-17</v>
      </c>
      <c r="AE157" s="85" t="str">
        <f t="shared" si="57"/>
        <v>aws s3 cp s3://rtdc.mdm.uploadarchive.raw/RTDC4019/ "%USERPROFILE%\AppData\Local\Temp\OnboardLogs"\RTDC4019\2017-02-18 --exclude "*" --recursive --include "*20170218*" &amp; "%USERPROFILE%\Documents\GitHub\mrs-test-scripts\Headless Mode &amp; Sideloading\WalkAndUnGZ.bat" "%USERPROFILE%\AppData\Local\Temp\OnboardLogs"\RTDC4019\2017-02-18 &amp; aws s3 cp s3://rtdc.mdm.uploadarchive.raw/RTDC4019/ "%USERPROFILE%\AppData\Local\Temp\OnboardLogs"\RTDC4019\2017-02-19 --exclude "*" --recursive --include "*20170219*" &amp; "%USERPROFILE%\Documents\GitHub\mrs-test-scripts\Headless Mode &amp; Sideloading\WalkAndUnGZ.bat" "%USERPROFILE%\AppData\Local\Temp\OnboardLogs"\RTDC4019\2017-02-19</v>
      </c>
      <c r="AF157" s="82" t="str">
        <f t="shared" si="58"/>
        <v>"C:\Program Files (x86)\AstroGrep\AstroGrep.exe" /spath="%USERPROFILE%\AppData\Local\Temp\OnboardLogs" /stypes="app*4019*20170218*" /stext=" 08:.+((SYSTEM_STATE.+slice.+state.+changed )|(ment ac)|(multiple cpu faults)|(system.+state.+changed )|(\[timeout)|(PRM\|1\|D)|(kpr)|(kdp)|(\|lc)|(penalty))" /e /r /s</v>
      </c>
      <c r="AG157" s="1" t="str">
        <f t="shared" si="59"/>
        <v>EC</v>
      </c>
      <c r="AH157" s="86" t="str">
        <f t="shared" si="62"/>
        <v>"%USERPROFILE%\Documents\GitHub\eaglep3\Utilities\RefineRTDCRunTimes.py" --tripid 242-17 --locoid 4019 --swversion DE.1.0.9.0 --startMP 204:233027 --initTime 2017-02-18T00:51:09 --startdatetime 2017-02-18T00:56:20 --delay 1 --endMP 204:156 --enddatetime 2017-02-18T01:34:53 --enforcementcount 0 &gt;&gt;C:\Users\stu\Documents\GitHub\eaglep3-reporting\EC\2017-02-17-refined-times.txt</v>
      </c>
      <c r="AI157" s="108" t="str">
        <f t="shared" si="63"/>
        <v>echo {"issue":{"subject":"","project_id":79,"tracker_id":40,"status_id":1,"priority_id":2,"assigned_to_id":23,"start_date":"2017-02-18","description":"","custom_fields":[{"id":1,"name":"Subdivision","value":"EC"},{"id":4,"name":"Milepost","value":"0.0156"},{"id":17,"name":"Train ID","value":"242-17"},{"id":16,"name":"Locomotive ID","value":"4019"},{"id":130,"name":"Impact","value":""},{"id":150,"name":"Time of Event (Mountain Time)","value":"01:34:53"},{"id":151,"name":"Denver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4"/>
        <v>start /low /b %USERPROFILE%\Documents\GitHub\eaglep3\Utilities\DownloadLogsFromS3.py --loco 4019 --day 2017-02-18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"%USERPROFILE%\AppData\Local\Temp\OnboardLogs"\RTDC4019\*4019*20170218* | grep -SE "(Enforcement Action)|(\[TIMEOUT)|(CHR.+\|PRM\|1\|D.+(SWITCH|SIGNAL).+UNKNOWN)" - &gt;&gt; 2017-02-17-UncaughtWiMAX.txt</v>
      </c>
    </row>
    <row r="158" spans="1:91" x14ac:dyDescent="0.25">
      <c r="A158" s="33" t="s">
        <v>671</v>
      </c>
      <c r="B158" s="7">
        <v>4011</v>
      </c>
      <c r="C158" s="21" t="s">
        <v>193</v>
      </c>
      <c r="D158" s="21" t="s">
        <v>758</v>
      </c>
      <c r="E158" s="13">
        <v>42784.019143518519</v>
      </c>
      <c r="F158" s="13">
        <v>42784.023298611108</v>
      </c>
      <c r="G158" s="7">
        <v>2</v>
      </c>
      <c r="H158" s="21" t="s">
        <v>404</v>
      </c>
      <c r="I158" s="13">
        <v>42784.054756944446</v>
      </c>
      <c r="J158" s="7">
        <v>0</v>
      </c>
      <c r="K158" s="98" t="str">
        <f t="shared" si="49"/>
        <v>4011/4012</v>
      </c>
      <c r="L158" s="21" t="str">
        <f>VLOOKUP(A158,'Trips&amp;Operators'!$C$1:$G$99999,5,FALSE)</f>
        <v>DUNCAN SHEILA</v>
      </c>
      <c r="M158" s="6">
        <f t="shared" si="50"/>
        <v>3.1458333338377997E-2</v>
      </c>
      <c r="N158" s="7">
        <f t="shared" si="66"/>
        <v>45.300000007264316</v>
      </c>
      <c r="O158" s="7"/>
      <c r="P158" s="7"/>
      <c r="Q158" s="22"/>
      <c r="R158" s="22"/>
      <c r="S158" s="31">
        <f t="shared" si="67"/>
        <v>1</v>
      </c>
      <c r="T158" s="46" t="str">
        <f t="shared" si="52"/>
        <v>NorthBound</v>
      </c>
      <c r="U158" s="18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7" t="str">
        <f t="shared" si="53"/>
        <v>https://d0f6bd738d7f1b3e5a7ca70fe4ff75f0.us-east-1.aws.found.io/app/kibana#/discover/Steve-Slow-Train-Analysis-(2080s-and-2083s)?_g=(refreshInterval:(display:Off,pause:!f,section:0,value:0),time:(from:'2017-02-17T23:27:34-0700',mode:absolute,to:'2017-02-18T02:18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8" s="188" t="str">
        <f t="shared" si="54"/>
        <v>N</v>
      </c>
      <c r="X158" s="188">
        <f t="shared" si="65"/>
        <v>1</v>
      </c>
      <c r="Y158" s="62">
        <f t="shared" si="60"/>
        <v>4.8599999999999997E-2</v>
      </c>
      <c r="Z158" s="62">
        <f t="shared" si="61"/>
        <v>23.327400000000001</v>
      </c>
      <c r="AA158" s="62">
        <f t="shared" si="55"/>
        <v>23.2788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6"/>
        <v>0243-17</v>
      </c>
      <c r="AE158" s="85" t="str">
        <f t="shared" si="57"/>
        <v>aws s3 cp s3://rtdc.mdm.uploadarchive.raw/RTDC4011/ "%USERPROFILE%\AppData\Local\Temp\OnboardLogs"\RTDC4011\2017-02-18 --exclude "*" --recursive --include "*20170218*" &amp; "%USERPROFILE%\Documents\GitHub\mrs-test-scripts\Headless Mode &amp; Sideloading\WalkAndUnGZ.bat" "%USERPROFILE%\AppData\Local\Temp\OnboardLogs"\RTDC4011\2017-02-18 &amp; aws s3 cp s3://rtdc.mdm.uploadarchive.raw/RTDC4011/ "%USERPROFILE%\AppData\Local\Temp\OnboardLogs"\RTDC4011\2017-02-19 --exclude "*" --recursive --include "*20170219*" &amp; "%USERPROFILE%\Documents\GitHub\mrs-test-scripts\Headless Mode &amp; Sideloading\WalkAndUnGZ.bat" "%USERPROFILE%\AppData\Local\Temp\OnboardLogs"\RTDC4011\2017-02-19</v>
      </c>
      <c r="AF158" s="82" t="str">
        <f t="shared" si="58"/>
        <v>"C:\Program Files (x86)\AstroGrep\AstroGrep.exe" /spath="%USERPROFILE%\AppData\Local\Temp\OnboardLogs" /stypes="app*4011*20170218*" /stext=" 08:.+((SYSTEM_STATE.+slice.+state.+changed )|(ment ac)|(multiple cpu faults)|(system.+state.+changed )|(\[timeout)|(PRM\|1\|D)|(kpr)|(kdp)|(\|lc)|(penalty))" /e /r /s</v>
      </c>
      <c r="AG158" s="1" t="str">
        <f t="shared" si="59"/>
        <v>EC</v>
      </c>
      <c r="AH158" s="86" t="str">
        <f t="shared" si="62"/>
        <v>"%USERPROFILE%\Documents\GitHub\eaglep3\Utilities\RefineRTDCRunTimes.py" --tripid 243-17 --locoid 4011 --swversion DE.1.0.8.0 --startMP 204:486 --initTime 2017-02-18T00:27:34 --startdatetime 2017-02-18T00:33:33 --delay 2 --endMP 204:233274 --enddatetime 2017-02-18T01:18:51 --enforcementcount 0 &gt;&gt;C:\Users\stu\Documents\GitHub\eaglep3-reporting\EC\2017-02-17-refined-times.txt</v>
      </c>
      <c r="AI158" s="108" t="str">
        <f t="shared" si="63"/>
        <v>echo {"issue":{"subject":"","project_id":79,"tracker_id":40,"status_id":1,"priority_id":2,"assigned_to_id":23,"start_date":"2017-02-18","description":"","custom_fields":[{"id":1,"name":"Subdivision","value":"EC"},{"id":4,"name":"Milepost","value":"23.3274"},{"id":17,"name":"Train ID","value":"243-17"},{"id":16,"name":"Locomotive ID","value":"4011"},{"id":130,"name":"Impact","value":""},{"id":150,"name":"Time of Event (Mountain Time)","value":"01:18:51"},{"id":151,"name":"Denver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4"/>
        <v>start /low /b %USERPROFILE%\Documents\GitHub\eaglep3\Utilities\DownloadLogsFromS3.py --loco 4011 --day 2017-02-18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"%USERPROFILE%\AppData\Local\Temp\OnboardLogs"\RTDC4011\*4011*20170218* | grep -SE "(Enforcement Action)|(\[TIMEOUT)|(CHR.+\|PRM\|1\|D.+(SWITCH|SIGNAL).+UNKNOWN)" - &gt;&gt; 2017-02-17-UncaughtWiMAX.txt</v>
      </c>
    </row>
    <row r="159" spans="1:91" x14ac:dyDescent="0.25">
      <c r="A159" s="33" t="s">
        <v>674</v>
      </c>
      <c r="B159" s="7">
        <v>4012</v>
      </c>
      <c r="C159" s="21" t="s">
        <v>193</v>
      </c>
      <c r="D159" s="21" t="s">
        <v>403</v>
      </c>
      <c r="E159" s="13">
        <v>42784.060787037037</v>
      </c>
      <c r="F159" s="13">
        <v>42784.062789351854</v>
      </c>
      <c r="G159" s="7">
        <v>1</v>
      </c>
      <c r="H159" s="21" t="s">
        <v>759</v>
      </c>
      <c r="I159" s="13">
        <v>42784.091400462959</v>
      </c>
      <c r="J159" s="7">
        <v>0</v>
      </c>
      <c r="K159" s="98" t="str">
        <f t="shared" si="49"/>
        <v>4011/4012</v>
      </c>
      <c r="L159" s="21" t="str">
        <f>VLOOKUP(A159,'Trips&amp;Operators'!$C$1:$G$99999,5,FALSE)</f>
        <v>DUNCAN SHEILA</v>
      </c>
      <c r="M159" s="6">
        <f t="shared" si="50"/>
        <v>2.8611111105419695E-2</v>
      </c>
      <c r="N159" s="7">
        <f t="shared" si="66"/>
        <v>41.199999991804361</v>
      </c>
      <c r="O159" s="7"/>
      <c r="P159" s="7"/>
      <c r="Q159" s="22"/>
      <c r="R159" s="22"/>
      <c r="S159" s="31">
        <f t="shared" si="67"/>
        <v>1</v>
      </c>
      <c r="T159" s="46" t="str">
        <f t="shared" si="52"/>
        <v>Southbound</v>
      </c>
      <c r="U159" s="18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7" t="str">
        <f t="shared" si="53"/>
        <v>https://d0f6bd738d7f1b3e5a7ca70fe4ff75f0.us-east-1.aws.found.io/app/kibana#/discover/Steve-Slow-Train-Analysis-(2080s-and-2083s)?_g=(refreshInterval:(display:Off,pause:!f,section:0,value:0),time:(from:'2017-02-18T00:27:32-0700',mode:absolute,to:'2017-02-18T03:11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9" s="188" t="str">
        <f t="shared" si="54"/>
        <v>N</v>
      </c>
      <c r="X159" s="188">
        <f t="shared" si="65"/>
        <v>1</v>
      </c>
      <c r="Y159" s="62">
        <f t="shared" si="60"/>
        <v>23.297599999999999</v>
      </c>
      <c r="Z159" s="62">
        <f t="shared" si="61"/>
        <v>9.0300000000000005E-2</v>
      </c>
      <c r="AA159" s="62">
        <f t="shared" si="55"/>
        <v>23.2073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6"/>
        <v>0244-17</v>
      </c>
      <c r="AE159" s="85" t="str">
        <f t="shared" si="57"/>
        <v>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 &amp; aws s3 cp s3://rtdc.mdm.uploadarchive.raw/RTDC4012/ "%USERPROFILE%\AppData\Local\Temp\OnboardLogs"\RTDC4012\2017-02-19 --exclude "*" --recursive --include "*20170219*" &amp; "%USERPROFILE%\Documents\GitHub\mrs-test-scripts\Headless Mode &amp; Sideloading\WalkAndUnGZ.bat" "%USERPROFILE%\AppData\Local\Temp\OnboardLogs"\RTDC4012\2017-02-19</v>
      </c>
      <c r="AF159" s="82" t="str">
        <f t="shared" si="58"/>
        <v>"C:\Program Files (x86)\AstroGrep\AstroGrep.exe" /spath="%USERPROFILE%\AppData\Local\Temp\OnboardLogs" /stypes="app*4012*20170218*" /stext=" 09:.+((SYSTEM_STATE.+slice.+state.+changed )|(ment ac)|(multiple cpu faults)|(system.+state.+changed )|(\[timeout)|(PRM\|1\|D)|(kpr)|(kdp)|(\|lc)|(penalty))" /e /r /s</v>
      </c>
      <c r="AG159" s="1" t="str">
        <f t="shared" si="59"/>
        <v>EC</v>
      </c>
      <c r="AH159" s="86" t="str">
        <f t="shared" si="62"/>
        <v>"%USERPROFILE%\Documents\GitHub\eaglep3\Utilities\RefineRTDCRunTimes.py" --tripid 244-17 --locoid 4012 --swversion DE.1.0.8.0 --startMP 204:232976 --initTime 2017-02-18T01:27:32 --startdatetime 2017-02-18T01:30:25 --delay 1 --endMP 204:903 --enddatetime 2017-02-18T02:11:37 --enforcementcount 0 &gt;&gt;C:\Users\stu\Documents\GitHub\eaglep3-reporting\EC\2017-02-17-refined-times.txt</v>
      </c>
      <c r="AI159" s="108" t="str">
        <f t="shared" si="63"/>
        <v>echo {"issue":{"subject":"","project_id":79,"tracker_id":40,"status_id":1,"priority_id":2,"assigned_to_id":23,"start_date":"2017-02-18","description":"","custom_fields":[{"id":1,"name":"Subdivision","value":"EC"},{"id":4,"name":"Milepost","value":"0.0903"},{"id":17,"name":"Train ID","value":"244-17"},{"id":16,"name":"Locomotive ID","value":"4012"},{"id":130,"name":"Impact","value":""},{"id":150,"name":"Time of Event (Mountain Time)","value":"02:11:37"},{"id":151,"name":"Denver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4"/>
        <v>start /low /b %USERPROFILE%\Documents\GitHub\eaglep3\Utilities\DownloadLogsFromS3.py --loco 4012 --day 2017-02-18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"%USERPROFILE%\AppData\Local\Temp\OnboardLogs"\RTDC4012\*4012*20170218* | grep -SE "(Enforcement Action)|(\[TIMEOUT)|(CHR.+\|PRM\|1\|D.+(SWITCH|SIGNAL).+UNKNOWN)" - &gt;&gt; 2017-02-17-UncaughtWiMAX.txt</v>
      </c>
    </row>
    <row r="160" spans="1:91" s="20" customFormat="1" x14ac:dyDescent="0.25">
      <c r="A160" s="33" t="s">
        <v>672</v>
      </c>
      <c r="B160" s="7">
        <v>4044</v>
      </c>
      <c r="C160" s="21" t="s">
        <v>682</v>
      </c>
      <c r="D160" s="21" t="s">
        <v>408</v>
      </c>
      <c r="E160" s="13">
        <v>42784.035682870373</v>
      </c>
      <c r="F160" s="13">
        <v>42784.041817129626</v>
      </c>
      <c r="G160" s="7">
        <v>1</v>
      </c>
      <c r="H160" s="21" t="s">
        <v>401</v>
      </c>
      <c r="I160" s="13">
        <v>42784.066354166665</v>
      </c>
      <c r="J160" s="7">
        <v>0</v>
      </c>
      <c r="K160" s="98" t="str">
        <f t="shared" si="49"/>
        <v>4043/4044</v>
      </c>
      <c r="L160" s="21" t="str">
        <f>VLOOKUP(A160,'Trips&amp;Operators'!$C$1:$G$99999,5,FALSE)</f>
        <v>BROWN JACOB</v>
      </c>
      <c r="M160" s="6">
        <f t="shared" si="50"/>
        <v>2.453703703940846E-2</v>
      </c>
      <c r="N160" s="7">
        <f t="shared" si="66"/>
        <v>35.333333336748183</v>
      </c>
      <c r="O160" s="7"/>
      <c r="P160" s="7"/>
      <c r="Q160" s="22"/>
      <c r="R160" s="22"/>
      <c r="S160" s="31">
        <f t="shared" si="67"/>
        <v>1</v>
      </c>
      <c r="T160" s="46" t="str">
        <f t="shared" si="52"/>
        <v>NorthBound</v>
      </c>
      <c r="U160" s="18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87" t="str">
        <f t="shared" si="53"/>
        <v>https://d0f6bd738d7f1b3e5a7ca70fe4ff75f0.us-east-1.aws.found.io/app/kibana#/discover/Steve-Slow-Train-Analysis-(2080s-and-2083s)?_g=(refreshInterval:(display:Off,pause:!f,section:0,value:0),time:(from:'2017-02-17T23:51:23-0700',mode:absolute,to:'2017-02-18T02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0" s="188" t="str">
        <f t="shared" si="54"/>
        <v>N</v>
      </c>
      <c r="X160" s="188">
        <f t="shared" si="65"/>
        <v>1</v>
      </c>
      <c r="Y160" s="62">
        <f t="shared" si="60"/>
        <v>4.4699999999999997E-2</v>
      </c>
      <c r="Z160" s="62">
        <f t="shared" si="61"/>
        <v>23.329899999999999</v>
      </c>
      <c r="AA160" s="62">
        <f t="shared" si="55"/>
        <v>23.2852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6"/>
        <v>0245-17</v>
      </c>
      <c r="AE160" s="85" t="str">
        <f t="shared" si="57"/>
        <v>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 &amp; aws s3 cp s3://rtdc.mdm.uploadarchive.raw/RTDC4044/ "%USERPROFILE%\AppData\Local\Temp\OnboardLogs"\RTDC4044\2017-02-19 --exclude "*" --recursive --include "*20170219*" &amp; "%USERPROFILE%\Documents\GitHub\mrs-test-scripts\Headless Mode &amp; Sideloading\WalkAndUnGZ.bat" "%USERPROFILE%\AppData\Local\Temp\OnboardLogs"\RTDC4044\2017-02-19</v>
      </c>
      <c r="AF160" s="82" t="str">
        <f t="shared" si="58"/>
        <v>"C:\Program Files (x86)\AstroGrep\AstroGrep.exe" /spath="%USERPROFILE%\AppData\Local\Temp\OnboardLogs" /stypes="app*4044*20170218*" /stext=" 08:.+((SYSTEM_STATE.+slice.+state.+changed )|(ment ac)|(multiple cpu faults)|(system.+state.+changed )|(\[timeout)|(PRM\|1\|D)|(kpr)|(kdp)|(\|lc)|(penalty))" /e /r /s</v>
      </c>
      <c r="AG160" s="1" t="str">
        <f t="shared" si="59"/>
        <v>EC</v>
      </c>
      <c r="AH160" s="86" t="str">
        <f t="shared" si="62"/>
        <v>"%USERPROFILE%\Documents\GitHub\eaglep3\Utilities\RefineRTDCRunTimes.py" --tripid 245-17 --locoid 4044 --swversion DE.1.0.9.0 --startMP 204:447 --initTime 2017-02-18T00:51:23 --startdatetime 2017-02-18T01:00:13 --delay 1 --endMP 204:233299 --enddatetime 2017-02-18T01:35:33 --enforcementcount 0 &gt;&gt;C:\Users\stu\Documents\GitHub\eaglep3-reporting\EC\2017-02-17-refined-times.txt</v>
      </c>
      <c r="AI160" s="108" t="str">
        <f t="shared" si="63"/>
        <v>echo {"issue":{"subject":"","project_id":79,"tracker_id":40,"status_id":1,"priority_id":2,"assigned_to_id":23,"start_date":"2017-02-18","description":"","custom_fields":[{"id":1,"name":"Subdivision","value":"EC"},{"id":4,"name":"Milepost","value":"23.3299"},{"id":17,"name":"Train ID","value":"245-17"},{"id":16,"name":"Locomotive ID","value":"4044"},{"id":130,"name":"Impact","value":""},{"id":150,"name":"Time of Event (Mountain Time)","value":"01:35:33"},{"id":151,"name":"Denver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64"/>
        <v>start /low /b %USERPROFILE%\Documents\GitHub\eaglep3\Utilities\DownloadLogsFromS3.py --loco 4044 --day 2017-02-18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"%USERPROFILE%\AppData\Local\Temp\OnboardLogs"\RTDC4044\*4044*20170218* | grep -SE "(Enforcement Action)|(\[TIMEOUT)|(CHR.+\|PRM\|1\|D.+(SWITCH|SIGNAL).+UNKNOWN)" - &gt;&gt; 2017-02-17-UncaughtWiMAX.txt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676</v>
      </c>
      <c r="B161" s="7">
        <v>4043</v>
      </c>
      <c r="C161" s="21" t="s">
        <v>682</v>
      </c>
      <c r="D161" s="21" t="s">
        <v>286</v>
      </c>
      <c r="E161" s="13">
        <v>42784.077430555553</v>
      </c>
      <c r="F161" s="13">
        <v>42784.080717592595</v>
      </c>
      <c r="G161" s="7">
        <v>2</v>
      </c>
      <c r="H161" s="21" t="s">
        <v>760</v>
      </c>
      <c r="I161" s="13">
        <v>42784.107141203705</v>
      </c>
      <c r="J161" s="7">
        <v>0</v>
      </c>
      <c r="K161" s="98" t="str">
        <f t="shared" si="49"/>
        <v>4043/4044</v>
      </c>
      <c r="L161" s="21" t="str">
        <f>VLOOKUP(A161,'Trips&amp;Operators'!$C$1:$G$99999,5,FALSE)</f>
        <v>BROWN JACOB</v>
      </c>
      <c r="M161" s="6">
        <f t="shared" si="50"/>
        <v>2.6423611110658385E-2</v>
      </c>
      <c r="N161" s="7">
        <f t="shared" si="66"/>
        <v>38.049999999348074</v>
      </c>
      <c r="O161" s="7"/>
      <c r="P161" s="7"/>
      <c r="Q161" s="22"/>
      <c r="R161" s="22"/>
      <c r="S161" s="31">
        <f t="shared" si="67"/>
        <v>1</v>
      </c>
      <c r="T161" s="46" t="str">
        <f t="shared" si="52"/>
        <v>Southbound</v>
      </c>
      <c r="U161" s="18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87" t="str">
        <f t="shared" si="53"/>
        <v>https://d0f6bd738d7f1b3e5a7ca70fe4ff75f0.us-east-1.aws.found.io/app/kibana#/discover/Steve-Slow-Train-Analysis-(2080s-and-2083s)?_g=(refreshInterval:(display:Off,pause:!f,section:0,value:0),time:(from:'2017-02-18T00:51:30-0700',mode:absolute,to:'2017-02-18T03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1" s="188" t="str">
        <f t="shared" si="54"/>
        <v>N</v>
      </c>
      <c r="X161" s="188">
        <f t="shared" si="65"/>
        <v>1</v>
      </c>
      <c r="Y161" s="62">
        <f t="shared" si="60"/>
        <v>23.2986</v>
      </c>
      <c r="Z161" s="62">
        <f t="shared" si="61"/>
        <v>1.23E-2</v>
      </c>
      <c r="AA161" s="62">
        <f t="shared" si="55"/>
        <v>23.286300000000001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6"/>
        <v>0246-17</v>
      </c>
      <c r="AE161" s="85" t="str">
        <f t="shared" si="57"/>
        <v>aws s3 cp s3://rtdc.mdm.uploadarchive.raw/RTDC4043/ "%USERPROFILE%\AppData\Local\Temp\OnboardLogs"\RTDC4043\2017-02-18 --exclude "*" --recursive --include "*20170218*" &amp; "%USERPROFILE%\Documents\GitHub\mrs-test-scripts\Headless Mode &amp; Sideloading\WalkAndUnGZ.bat" "%USERPROFILE%\AppData\Local\Temp\OnboardLogs"\RTDC4043\2017-02-18 &amp; aws s3 cp s3://rtdc.mdm.uploadarchive.raw/RTDC4043/ "%USERPROFILE%\AppData\Local\Temp\OnboardLogs"\RTDC4043\2017-02-19 --exclude "*" --recursive --include "*20170219*" &amp; "%USERPROFILE%\Documents\GitHub\mrs-test-scripts\Headless Mode &amp; Sideloading\WalkAndUnGZ.bat" "%USERPROFILE%\AppData\Local\Temp\OnboardLogs"\RTDC4043\2017-02-19</v>
      </c>
      <c r="AF161" s="82" t="str">
        <f t="shared" si="58"/>
        <v>"C:\Program Files (x86)\AstroGrep\AstroGrep.exe" /spath="%USERPROFILE%\AppData\Local\Temp\OnboardLogs" /stypes="app*4043*20170218*" /stext=" 09:.+((SYSTEM_STATE.+slice.+state.+changed )|(ment ac)|(multiple cpu faults)|(system.+state.+changed )|(\[timeout)|(PRM\|1\|D)|(kpr)|(kdp)|(\|lc)|(penalty))" /e /r /s</v>
      </c>
      <c r="AG161" s="1" t="str">
        <f t="shared" si="59"/>
        <v>EC</v>
      </c>
      <c r="AH161" s="86" t="str">
        <f t="shared" si="62"/>
        <v>"%USERPROFILE%\Documents\GitHub\eaglep3\Utilities\RefineRTDCRunTimes.py" --tripid 246-17 --locoid 4043 --swversion DE.1.0.9.0 --startMP 204:232986 --initTime 2017-02-18T01:51:30 --startdatetime 2017-02-18T01:56:14 --delay 2 --endMP 204:123 --enddatetime 2017-02-18T02:34:17 --enforcementcount 0 &gt;&gt;C:\Users\stu\Documents\GitHub\eaglep3-reporting\EC\2017-02-17-refined-times.txt</v>
      </c>
      <c r="AI161" s="108" t="str">
        <f t="shared" si="63"/>
        <v>echo {"issue":{"subject":"","project_id":79,"tracker_id":40,"status_id":1,"priority_id":2,"assigned_to_id":23,"start_date":"2017-02-18","description":"","custom_fields":[{"id":1,"name":"Subdivision","value":"EC"},{"id":4,"name":"Milepost","value":"0.0123"},{"id":17,"name":"Train ID","value":"246-17"},{"id":16,"name":"Locomotive ID","value":"4043"},{"id":130,"name":"Impact","value":""},{"id":150,"name":"Time of Event (Mountain Time)","value":"02:34:17"},{"id":151,"name":"Denver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4"/>
        <v>start /low /b %USERPROFILE%\Documents\GitHub\eaglep3\Utilities\DownloadLogsFromS3.py --loco 4043 --day 2017-02-18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"%USERPROFILE%\AppData\Local\Temp\OnboardLogs"\RTDC4043\*4043*20170218* | grep -SE "(Enforcement Action)|(\[TIMEOUT)|(CHR.+\|PRM\|1\|D.+(SWITCH|SIGNAL).+UNKNOWN)" - &gt;&gt; 2017-02-17-UncaughtWiMAX.txt</v>
      </c>
    </row>
    <row r="162" spans="1:91" x14ac:dyDescent="0.25">
      <c r="A162" s="33" t="s">
        <v>437</v>
      </c>
      <c r="B162" s="7">
        <v>4013</v>
      </c>
      <c r="C162" s="21" t="s">
        <v>682</v>
      </c>
      <c r="D162" s="21" t="s">
        <v>782</v>
      </c>
      <c r="E162" s="13">
        <v>42783.209085648145</v>
      </c>
      <c r="F162" s="13">
        <v>42783.211504629631</v>
      </c>
      <c r="G162" s="7">
        <v>2</v>
      </c>
      <c r="H162" s="21" t="s">
        <v>430</v>
      </c>
      <c r="I162" s="13">
        <v>42783.225300925929</v>
      </c>
      <c r="J162" s="7">
        <v>0</v>
      </c>
      <c r="K162" s="98" t="str">
        <f t="shared" si="49"/>
        <v>4013/4014</v>
      </c>
      <c r="L162" s="21" t="str">
        <f>VLOOKUP(A162,'Trips&amp;Operators'!$C$1:$G$99999,5,FALSE)</f>
        <v>GEBRETEKLE DAGNEW</v>
      </c>
      <c r="M162" s="6">
        <f t="shared" si="50"/>
        <v>1.3796296298096422E-2</v>
      </c>
      <c r="N162" s="7">
        <f t="shared" si="66"/>
        <v>19.866666669258848</v>
      </c>
      <c r="O162" s="7"/>
      <c r="P162" s="7"/>
      <c r="Q162" s="22"/>
      <c r="R162" s="22"/>
      <c r="S162" s="31">
        <f t="shared" si="67"/>
        <v>1</v>
      </c>
      <c r="T162" s="46" t="str">
        <f t="shared" si="52"/>
        <v>Southbound</v>
      </c>
      <c r="U162" s="18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7" t="str">
        <f t="shared" si="53"/>
        <v>https://d0f6bd738d7f1b3e5a7ca70fe4ff75f0.us-east-1.aws.found.io/app/kibana#/discover/Steve-Slow-Train-Analysis-(2080s-and-2083s)?_g=(refreshInterval:(display:Off,pause:!f,section:0,value:0),time:(from:'2017-02-17T04:01:05-0700',mode:absolute,to:'2017-02-17T06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2" s="188" t="str">
        <f t="shared" si="54"/>
        <v>N</v>
      </c>
      <c r="X162" s="188">
        <f t="shared" si="65"/>
        <v>554</v>
      </c>
      <c r="Y162" s="62">
        <f t="shared" si="60"/>
        <v>5.8672000000000004</v>
      </c>
      <c r="Z162" s="62">
        <f t="shared" si="61"/>
        <v>7.22E-2</v>
      </c>
      <c r="AA162" s="62">
        <f t="shared" si="55"/>
        <v>5.7950000000000008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6"/>
        <v>0800-17</v>
      </c>
      <c r="AE162" s="85" t="str">
        <f t="shared" si="57"/>
        <v>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 &amp; aws s3 cp s3://rtdc.mdm.uploadarchive.raw/RTDC4013/ "%USERPROFILE%\AppData\Local\Temp\OnboardLogs"\RTDC4013\2017-02-18 --exclude "*" --recursive --include "*20170218*" &amp; "%USERPROFILE%\Documents\GitHub\mrs-test-scripts\Headless Mode &amp; Sideloading\WalkAndUnGZ.bat" "%USERPROFILE%\AppData\Local\Temp\OnboardLogs"\RTDC4013\2017-02-18</v>
      </c>
      <c r="AF162" s="82" t="str">
        <f t="shared" si="58"/>
        <v>"C:\Program Files (x86)\AstroGrep\AstroGrep.exe" /spath="%USERPROFILE%\AppData\Local\Temp\OnboardLogs" /stypes="app*4013*20170217*" /stext=" 12:.+((SYSTEM_STATE.+slice.+state.+changed )|(ment ac)|(multiple cpu faults)|(system.+state.+changed )|(\[timeout)|(PRM\|1\|D)|(kpr)|(kdp)|(\|lc)|(penalty))" /e /r /s</v>
      </c>
      <c r="AG162" s="1" t="str">
        <f t="shared" si="59"/>
        <v>NW</v>
      </c>
      <c r="AH162" s="86" t="str">
        <f t="shared" si="62"/>
        <v>"%USERPROFILE%\Documents\GitHub\eaglep3\Utilities\RefineRTDCRunTimes.py" --tripid 800-17 --locoid 4013 --swversion DE.1.0.9.0 --startMP 300:58672 --initTime 2017-02-17T05:01:05 --startdatetime 2017-02-17T05:04:34 --delay 2 --endMP 204:722 --enddatetime 2017-02-17T05:24:26 --enforcementcount 0 &gt;&gt;C:\Users\stu\Documents\GitHub\eaglep3-reporting\EC\2017-02-17-refined-times.txt</v>
      </c>
      <c r="AI162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{"issue":{"subject":"","project_id":79,"tracker_id":40,"status_id":1,"priority_id":2,"assigned_to_id":23,"start_date":"2017-02-17","description":"","custom_fields":[{"id":1,"name":"Subdivision","value":"NW"},{"id":4,"name":"Milepost","value":"0.0722"},{"id":17,"name":"Train ID","value":"800-17"},{"id":16,"name":"Locomotive ID","value":"4013"},{"id":130,"name":"Impact","value":""},{"id":150,"name":"Time of Event (Mountain Time)","value":"05:24:26"},{"id":151,"name":"Denver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64"/>
        <v>start /low /b %USERPROFILE%\Documents\GitHub\eaglep3\Utilities\DownloadLogsFromS3.py --loco 4013 --day 2017-02-17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"%USERPROFILE%\AppData\Local\Temp\OnboardLogs"\RTDC4013\*4013*20170217* | grep -SE "(Enforcement Action)|(\[TIMEOUT)|(CHR.+\|PRM\|1\|D.+(SWITCH|SIGNAL).+UNKNOWN)" - &gt;&gt; 2017-02-17-UncaughtWiMAX.txt</v>
      </c>
    </row>
    <row r="163" spans="1:91" x14ac:dyDescent="0.25">
      <c r="A163" s="33" t="s">
        <v>488</v>
      </c>
      <c r="B163" s="7">
        <v>4014</v>
      </c>
      <c r="C163" s="21" t="s">
        <v>682</v>
      </c>
      <c r="D163" s="21" t="s">
        <v>783</v>
      </c>
      <c r="E163" s="13">
        <v>42783.228310185186</v>
      </c>
      <c r="F163" s="13">
        <v>42783.243935185186</v>
      </c>
      <c r="G163" s="7">
        <v>1</v>
      </c>
      <c r="H163" s="21" t="s">
        <v>784</v>
      </c>
      <c r="I163" s="13">
        <v>42783.253148148149</v>
      </c>
      <c r="J163" s="7">
        <v>0</v>
      </c>
      <c r="K163" s="98" t="str">
        <f t="shared" si="49"/>
        <v>4013/4014</v>
      </c>
      <c r="L163" s="21" t="str">
        <f>VLOOKUP(A163,'Trips&amp;Operators'!$C$1:$G$99999,5,FALSE)</f>
        <v>GEBRETEKLE DAGNEW</v>
      </c>
      <c r="M163" s="6">
        <f t="shared" si="50"/>
        <v>9.2129629629198462E-3</v>
      </c>
      <c r="N163" s="7">
        <f t="shared" si="66"/>
        <v>13.266666666604578</v>
      </c>
      <c r="O163" s="7"/>
      <c r="P163" s="7"/>
      <c r="Q163" s="22"/>
      <c r="R163" s="22"/>
      <c r="S163" s="31">
        <f t="shared" si="67"/>
        <v>1</v>
      </c>
      <c r="T163" s="46" t="str">
        <f t="shared" si="52"/>
        <v>NorthBound</v>
      </c>
      <c r="U163" s="18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7" t="str">
        <f t="shared" si="53"/>
        <v>https://d0f6bd738d7f1b3e5a7ca70fe4ff75f0.us-east-1.aws.found.io/app/kibana#/discover/Steve-Slow-Train-Analysis-(2080s-and-2083s)?_g=(refreshInterval:(display:Off,pause:!f,section:0,value:0),time:(from:'2017-02-17T04:28:46-0700',mode:absolute,to:'2017-02-17T07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3" s="188" t="str">
        <f t="shared" si="54"/>
        <v>N</v>
      </c>
      <c r="X163" s="188">
        <f t="shared" si="65"/>
        <v>1</v>
      </c>
      <c r="Y163" s="62">
        <f t="shared" si="60"/>
        <v>0.1032</v>
      </c>
      <c r="Z163" s="62">
        <f t="shared" si="61"/>
        <v>5.899</v>
      </c>
      <c r="AA163" s="62">
        <f t="shared" si="55"/>
        <v>5.7957999999999998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6"/>
        <v>0801-17</v>
      </c>
      <c r="AE163" s="85" t="str">
        <f t="shared" si="57"/>
        <v>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 &amp; aws s3 cp s3://rtdc.mdm.uploadarchive.raw/RTDC4014/ "%USERPROFILE%\AppData\Local\Temp\OnboardLogs"\RTDC4014\2017-02-18 --exclude "*" --recursive --include "*20170218*" &amp; "%USERPROFILE%\Documents\GitHub\mrs-test-scripts\Headless Mode &amp; Sideloading\WalkAndUnGZ.bat" "%USERPROFILE%\AppData\Local\Temp\OnboardLogs"\RTDC4014\2017-02-18</v>
      </c>
      <c r="AF163" s="82" t="str">
        <f t="shared" si="58"/>
        <v>"C:\Program Files (x86)\AstroGrep\AstroGrep.exe" /spath="%USERPROFILE%\AppData\Local\Temp\OnboardLogs" /stypes="app*4014*20170217*" /stext=" 13:.+((SYSTEM_STATE.+slice.+state.+changed )|(ment ac)|(multiple cpu faults)|(system.+state.+changed )|(\[timeout)|(PRM\|1\|D)|(kpr)|(kdp)|(\|lc)|(penalty))" /e /r /s</v>
      </c>
      <c r="AG163" s="1" t="str">
        <f t="shared" si="59"/>
        <v>NW</v>
      </c>
      <c r="AH163" s="86" t="str">
        <f t="shared" si="62"/>
        <v>"%USERPROFILE%\Documents\GitHub\eaglep3\Utilities\RefineRTDCRunTimes.py" --tripid 801-17 --locoid 4014 --swversion DE.1.0.9.0 --startMP 204:1032 --initTime 2017-02-17T05:28:46 --startdatetime 2017-02-17T05:51:16 --delay 1 --endMP 300:58990 --enddatetime 2017-02-17T06:04:32 --enforcementcount 0 &gt;&gt;C:\Users\stu\Documents\GitHub\eaglep3-reporting\EC\2017-02-17-refined-times.txt</v>
      </c>
      <c r="AI163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{"issue":{"subject":"","project_id":79,"tracker_id":40,"status_id":1,"priority_id":2,"assigned_to_id":23,"start_date":"2017-02-17","description":"","custom_fields":[{"id":1,"name":"Subdivision","value":"NW"},{"id":4,"name":"Milepost","value":"5.899"},{"id":17,"name":"Train ID","value":"801-17"},{"id":16,"name":"Locomotive ID","value":"4014"},{"id":130,"name":"Impact","value":""},{"id":150,"name":"Time of Event (Mountain Time)","value":"06:04:32"},{"id":151,"name":"Denver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4"/>
        <v>start /low /b %USERPROFILE%\Documents\GitHub\eaglep3\Utilities\DownloadLogsFromS3.py --loco 4014 --day 2017-02-17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"%USERPROFILE%\AppData\Local\Temp\OnboardLogs"\RTDC4014\*4014*20170217* | grep -SE "(Enforcement Action)|(\[TIMEOUT)|(CHR.+\|PRM\|1\|D.+(SWITCH|SIGNAL).+UNKNOWN)" - &gt;&gt; 2017-02-17-UncaughtWiMAX.txt</v>
      </c>
    </row>
    <row r="164" spans="1:91" x14ac:dyDescent="0.25">
      <c r="A164" s="33" t="s">
        <v>439</v>
      </c>
      <c r="B164" s="7">
        <v>4013</v>
      </c>
      <c r="C164" s="21" t="s">
        <v>682</v>
      </c>
      <c r="D164" s="21" t="s">
        <v>785</v>
      </c>
      <c r="E164" s="13">
        <v>42783.254826388889</v>
      </c>
      <c r="F164" s="13">
        <v>42783.25677083333</v>
      </c>
      <c r="G164" s="7">
        <v>1</v>
      </c>
      <c r="H164" s="21" t="s">
        <v>786</v>
      </c>
      <c r="I164" s="13">
        <v>42783.267013888886</v>
      </c>
      <c r="J164" s="7">
        <v>0</v>
      </c>
      <c r="K164" s="98" t="str">
        <f t="shared" si="49"/>
        <v>4013/4014</v>
      </c>
      <c r="L164" s="21" t="str">
        <f>VLOOKUP(A164,'Trips&amp;Operators'!$C$1:$G$99999,5,FALSE)</f>
        <v>GEBRETEKLE DAGNEW</v>
      </c>
      <c r="M164" s="6">
        <f t="shared" si="50"/>
        <v>1.0243055556202307E-2</v>
      </c>
      <c r="N164" s="7">
        <f t="shared" si="66"/>
        <v>14.750000000931323</v>
      </c>
      <c r="O164" s="7"/>
      <c r="P164" s="7"/>
      <c r="Q164" s="22"/>
      <c r="R164" s="22"/>
      <c r="S164" s="31">
        <f t="shared" si="67"/>
        <v>1</v>
      </c>
      <c r="T164" s="46" t="str">
        <f t="shared" si="52"/>
        <v>Southbound</v>
      </c>
      <c r="U164" s="18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7" t="str">
        <f t="shared" si="53"/>
        <v>https://d0f6bd738d7f1b3e5a7ca70fe4ff75f0.us-east-1.aws.found.io/app/kibana#/discover/Steve-Slow-Train-Analysis-(2080s-and-2083s)?_g=(refreshInterval:(display:Off,pause:!f,section:0,value:0),time:(from:'2017-02-17T05:06:57-0700',mode:absolute,to:'2017-02-17T07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4" s="188" t="str">
        <f t="shared" si="54"/>
        <v>Y</v>
      </c>
      <c r="X164" s="188">
        <f t="shared" si="65"/>
        <v>1</v>
      </c>
      <c r="Y164" s="62">
        <f t="shared" si="60"/>
        <v>5.867</v>
      </c>
      <c r="Z164" s="62">
        <f t="shared" si="61"/>
        <v>0.43080000000000002</v>
      </c>
      <c r="AA164" s="62">
        <f t="shared" si="55"/>
        <v>5.4362000000000004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6"/>
        <v>0802-17</v>
      </c>
      <c r="AE164" s="85" t="str">
        <f t="shared" si="57"/>
        <v>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 &amp; aws s3 cp s3://rtdc.mdm.uploadarchive.raw/RTDC4013/ "%USERPROFILE%\AppData\Local\Temp\OnboardLogs"\RTDC4013\2017-02-18 --exclude "*" --recursive --include "*20170218*" &amp; "%USERPROFILE%\Documents\GitHub\mrs-test-scripts\Headless Mode &amp; Sideloading\WalkAndUnGZ.bat" "%USERPROFILE%\AppData\Local\Temp\OnboardLogs"\RTDC4013\2017-02-18</v>
      </c>
      <c r="AF164" s="82" t="str">
        <f t="shared" si="58"/>
        <v>"C:\Program Files (x86)\AstroGrep\AstroGrep.exe" /spath="%USERPROFILE%\AppData\Local\Temp\OnboardLogs" /stypes="app*4013*20170217*" /stext=" 13:.+((SYSTEM_STATE.+slice.+state.+changed )|(ment ac)|(multiple cpu faults)|(system.+state.+changed )|(\[timeout)|(PRM\|1\|D)|(kpr)|(kdp)|(\|lc)|(penalty))" /e /r /s</v>
      </c>
      <c r="AG164" s="1" t="str">
        <f t="shared" si="59"/>
        <v>NW</v>
      </c>
      <c r="AH164" s="86" t="str">
        <f t="shared" si="62"/>
        <v>"%USERPROFILE%\Documents\GitHub\eaglep3\Utilities\RefineRTDCRunTimes.py" --tripid 802-17 --locoid 4013 --swversion DE.1.0.9.0 --startMP 300:58670 --initTime 2017-02-17T06:06:57 --startdatetime 2017-02-17T06:09:45 --delay 1 --endMP 204:4308 --enddatetime 2017-02-17T06:24:30 --enforcementcount 0 &gt;&gt;C:\Users\stu\Documents\GitHub\eaglep3-reporting\EC\2017-02-17-refined-times.txt</v>
      </c>
      <c r="AI164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{"issue":{"subject":"","project_id":79,"tracker_id":40,"status_id":1,"priority_id":2,"assigned_to_id":23,"start_date":"2017-02-17","description":"","custom_fields":[{"id":1,"name":"Subdivision","value":"NW"},{"id":4,"name":"Milepost","value":"0.4308"},{"id":17,"name":"Train ID","value":"802-17"},{"id":16,"name":"Locomotive ID","value":"4013"},{"id":130,"name":"Impact","value":""},{"id":150,"name":"Time of Event (Mountain Time)","value":"06:24:30"},{"id":151,"name":"Denver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4"/>
        <v>start /low /b %USERPROFILE%\Documents\GitHub\eaglep3\Utilities\DownloadLogsFromS3.py --loco 4013 --day 2017-02-17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"%USERPROFILE%\AppData\Local\Temp\OnboardLogs"\RTDC4013\*4013*20170217* | grep -SE "(Enforcement Action)|(\[TIMEOUT)|(CHR.+\|PRM\|1\|D.+(SWITCH|SIGNAL).+UNKNOWN)" - &gt;&gt; 2017-02-17-UncaughtWiMAX.txt</v>
      </c>
    </row>
    <row r="165" spans="1:91" x14ac:dyDescent="0.25">
      <c r="A165" s="33" t="s">
        <v>494</v>
      </c>
      <c r="B165" s="7">
        <v>4007</v>
      </c>
      <c r="C165" s="21" t="s">
        <v>682</v>
      </c>
      <c r="D165" s="21" t="s">
        <v>787</v>
      </c>
      <c r="E165" s="13">
        <v>42783.256597222222</v>
      </c>
      <c r="F165" s="13">
        <v>42783.265231481484</v>
      </c>
      <c r="G165" s="7">
        <v>11</v>
      </c>
      <c r="H165" s="21" t="s">
        <v>784</v>
      </c>
      <c r="I165" s="13">
        <v>42783.275150462963</v>
      </c>
      <c r="J165" s="7">
        <v>0</v>
      </c>
      <c r="K165" s="98" t="str">
        <f t="shared" si="49"/>
        <v>4007/4008</v>
      </c>
      <c r="L165" s="21" t="str">
        <f>VLOOKUP(A165,'Trips&amp;Operators'!$C$1:$G$99999,5,FALSE)</f>
        <v>SHOOK JOHN</v>
      </c>
      <c r="M165" s="6">
        <f t="shared" si="50"/>
        <v>9.9189814791316167E-3</v>
      </c>
      <c r="N165" s="7">
        <f t="shared" si="66"/>
        <v>14.283333329949528</v>
      </c>
      <c r="O165" s="7"/>
      <c r="P165" s="7"/>
      <c r="Q165" s="22"/>
      <c r="R165" s="22"/>
      <c r="S165" s="31">
        <f t="shared" si="67"/>
        <v>1</v>
      </c>
      <c r="T165" s="46" t="str">
        <f t="shared" si="52"/>
        <v>NorthBound</v>
      </c>
      <c r="U165" s="18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7" t="str">
        <f t="shared" si="53"/>
        <v>https://d0f6bd738d7f1b3e5a7ca70fe4ff75f0.us-east-1.aws.found.io/app/kibana#/discover/Steve-Slow-Train-Analysis-(2080s-and-2083s)?_g=(refreshInterval:(display:Off,pause:!f,section:0,value:0),time:(from:'2017-02-17T05:09:30-0700',mode:absolute,to:'2017-02-17T07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5" s="188" t="str">
        <f t="shared" si="54"/>
        <v>N</v>
      </c>
      <c r="X165" s="188">
        <f t="shared" si="65"/>
        <v>1</v>
      </c>
      <c r="Y165" s="62">
        <f t="shared" si="60"/>
        <v>0.1007</v>
      </c>
      <c r="Z165" s="62">
        <f t="shared" si="61"/>
        <v>5.899</v>
      </c>
      <c r="AA165" s="62">
        <f t="shared" si="55"/>
        <v>5.7983000000000002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6"/>
        <v>0803-17</v>
      </c>
      <c r="AE165" s="85" t="str">
        <f t="shared" si="57"/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AF165" s="82" t="str">
        <f t="shared" si="58"/>
        <v>"C:\Program Files (x86)\AstroGrep\AstroGrep.exe" /spath="%USERPROFILE%\AppData\Local\Temp\OnboardLogs" /stypes="app*4007*20170217*" /stext=" 13:.+((SYSTEM_STATE.+slice.+state.+changed )|(ment ac)|(multiple cpu faults)|(system.+state.+changed )|(\[timeout)|(PRM\|1\|D)|(kpr)|(kdp)|(\|lc)|(penalty))" /e /r /s</v>
      </c>
      <c r="AG165" s="1" t="str">
        <f t="shared" si="59"/>
        <v>NW</v>
      </c>
      <c r="AH165" s="86" t="str">
        <f t="shared" si="62"/>
        <v>"%USERPROFILE%\Documents\GitHub\eaglep3\Utilities\RefineRTDCRunTimes.py" --tripid 803-17 --locoid 4007 --swversion DE.1.0.9.0 --startMP 204:1007 --initTime 2017-02-17T06:09:30 --startdatetime 2017-02-17T06:21:56 --delay 11 --endMP 300:58990 --enddatetime 2017-02-17T06:36:13 --enforcementcount 0 &gt;&gt;C:\Users\stu\Documents\GitHub\eaglep3-reporting\EC\2017-02-17-refined-times.txt</v>
      </c>
      <c r="AI165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{"issue":{"subject":"","project_id":79,"tracker_id":40,"status_id":1,"priority_id":2,"assigned_to_id":23,"start_date":"2017-02-17","description":"","custom_fields":[{"id":1,"name":"Subdivision","value":"NW"},{"id":4,"name":"Milepost","value":"5.899"},{"id":17,"name":"Train ID","value":"803-17"},{"id":16,"name":"Locomotive ID","value":"4007"},{"id":130,"name":"Impact","value":""},{"id":150,"name":"Time of Event (Mountain Time)","value":"06:36:13"},{"id":151,"name":"Denver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4"/>
        <v>start /low /b %USERPROFILE%\Documents\GitHub\eaglep3\Utilities\DownloadLogsFromS3.py --loco 4007 --day 2017-02-17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"%USERPROFILE%\AppData\Local\Temp\OnboardLogs"\RTDC4007\*4007*20170217* | grep -SE "(Enforcement Action)|(\[TIMEOUT)|(CHR.+\|PRM\|1\|D.+(SWITCH|SIGNAL).+UNKNOWN)" - &gt;&gt; 2017-02-17-UncaughtWiMAX.txt</v>
      </c>
    </row>
    <row r="166" spans="1:91" s="20" customFormat="1" x14ac:dyDescent="0.25">
      <c r="A166" s="33" t="s">
        <v>499</v>
      </c>
      <c r="B166" s="7">
        <v>4008</v>
      </c>
      <c r="C166" s="21" t="s">
        <v>682</v>
      </c>
      <c r="D166" s="21" t="s">
        <v>435</v>
      </c>
      <c r="E166" s="13">
        <v>42783.276608796295</v>
      </c>
      <c r="F166" s="13">
        <v>42783.278460648151</v>
      </c>
      <c r="G166" s="7">
        <v>1</v>
      </c>
      <c r="H166" s="21" t="s">
        <v>788</v>
      </c>
      <c r="I166" s="13">
        <v>42783.288761574076</v>
      </c>
      <c r="J166" s="7">
        <v>0</v>
      </c>
      <c r="K166" s="98" t="str">
        <f t="shared" si="49"/>
        <v>4007/4008</v>
      </c>
      <c r="L166" s="21" t="str">
        <f>VLOOKUP(A166,'Trips&amp;Operators'!$C$1:$G$99999,5,FALSE)</f>
        <v>SHOOK JOHN</v>
      </c>
      <c r="M166" s="6">
        <f t="shared" si="50"/>
        <v>1.0300925925548654E-2</v>
      </c>
      <c r="N166" s="7">
        <f t="shared" si="66"/>
        <v>14.833333332790062</v>
      </c>
      <c r="O166" s="7"/>
      <c r="P166" s="7"/>
      <c r="Q166" s="22"/>
      <c r="R166" s="22"/>
      <c r="S166" s="31">
        <f t="shared" si="67"/>
        <v>1</v>
      </c>
      <c r="T166" s="46" t="str">
        <f t="shared" si="52"/>
        <v>Southbound</v>
      </c>
      <c r="U166" s="18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7" t="str">
        <f t="shared" si="53"/>
        <v>https://d0f6bd738d7f1b3e5a7ca70fe4ff75f0.us-east-1.aws.found.io/app/kibana#/discover/Steve-Slow-Train-Analysis-(2080s-and-2083s)?_g=(refreshInterval:(display:Off,pause:!f,section:0,value:0),time:(from:'2017-02-17T05:38:19-0700',mode:absolute,to:'2017-02-17T07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6" s="188" t="str">
        <f t="shared" si="54"/>
        <v>N</v>
      </c>
      <c r="X166" s="188">
        <f t="shared" si="65"/>
        <v>1</v>
      </c>
      <c r="Y166" s="62">
        <f t="shared" si="60"/>
        <v>5.8674999999999997</v>
      </c>
      <c r="Z166" s="62">
        <f t="shared" si="61"/>
        <v>7.6600000000000001E-2</v>
      </c>
      <c r="AA166" s="62">
        <f t="shared" si="55"/>
        <v>5.7908999999999997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6"/>
        <v>0804-17</v>
      </c>
      <c r="AE166" s="85" t="str">
        <f t="shared" si="5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166" s="82" t="str">
        <f t="shared" si="58"/>
        <v>"C:\Program Files (x86)\AstroGrep\AstroGrep.exe" /spath="%USERPROFILE%\AppData\Local\Temp\OnboardLogs" /stypes="app*4008*20170217*" /stext=" 13:.+((SYSTEM_STATE.+slice.+state.+changed )|(ment ac)|(multiple cpu faults)|(system.+state.+changed )|(\[timeout)|(PRM\|1\|D)|(kpr)|(kdp)|(\|lc)|(penalty))" /e /r /s</v>
      </c>
      <c r="AG166" s="1" t="str">
        <f t="shared" si="59"/>
        <v>NW</v>
      </c>
      <c r="AH166" s="86" t="str">
        <f t="shared" si="62"/>
        <v>"%USERPROFILE%\Documents\GitHub\eaglep3\Utilities\RefineRTDCRunTimes.py" --tripid 804-17 --locoid 4008 --swversion DE.1.0.9.0 --startMP 300:58675 --initTime 2017-02-17T06:38:19 --startdatetime 2017-02-17T06:40:59 --delay 1 --endMP 204:766 --enddatetime 2017-02-17T06:55:49 --enforcementcount 0 &gt;&gt;C:\Users\stu\Documents\GitHub\eaglep3-reporting\EC\2017-02-17-refined-times.txt</v>
      </c>
      <c r="AI166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{"issue":{"subject":"","project_id":79,"tracker_id":40,"status_id":1,"priority_id":2,"assigned_to_id":23,"start_date":"2017-02-17","description":"","custom_fields":[{"id":1,"name":"Subdivision","value":"NW"},{"id":4,"name":"Milepost","value":"0.0766"},{"id":17,"name":"Train ID","value":"804-17"},{"id":16,"name":"Locomotive ID","value":"4008"},{"id":130,"name":"Impact","value":""},{"id":150,"name":"Time of Event (Mountain Time)","value":"06:55:49"},{"id":151,"name":"Denver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4"/>
        <v>start /low /b %USERPROFILE%\Documents\GitHub\eaglep3\Utilities\DownloadLogsFromS3.py --loco 4008 --day 2017-02-17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"%USERPROFILE%\AppData\Local\Temp\OnboardLogs"\RTDC4008\*4008*20170217* | grep -SE "(Enforcement Action)|(\[TIMEOUT)|(CHR.+\|PRM\|1\|D.+(SWITCH|SIGNAL).+UNKNOWN)" - &gt;&gt; 2017-02-17-UncaughtWiMAX.txt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497</v>
      </c>
      <c r="B167" s="7">
        <v>4014</v>
      </c>
      <c r="C167" s="21" t="s">
        <v>682</v>
      </c>
      <c r="D167" s="21" t="s">
        <v>378</v>
      </c>
      <c r="E167" s="13">
        <v>42783.270601851851</v>
      </c>
      <c r="F167" s="13">
        <v>42783.285601851851</v>
      </c>
      <c r="G167" s="7">
        <v>1</v>
      </c>
      <c r="H167" s="21" t="s">
        <v>789</v>
      </c>
      <c r="I167" s="13">
        <v>42783.294537037036</v>
      </c>
      <c r="J167" s="7">
        <v>0</v>
      </c>
      <c r="K167" s="98" t="str">
        <f t="shared" si="49"/>
        <v>4013/4014</v>
      </c>
      <c r="L167" s="21" t="str">
        <f>VLOOKUP(A167,'Trips&amp;Operators'!$C$1:$G$99999,5,FALSE)</f>
        <v>GEBRETEKLE DAGNEW</v>
      </c>
      <c r="M167" s="6">
        <f t="shared" si="50"/>
        <v>8.9351851856918074E-3</v>
      </c>
      <c r="N167" s="7">
        <f t="shared" si="66"/>
        <v>12.866666667396203</v>
      </c>
      <c r="O167" s="7"/>
      <c r="P167" s="7"/>
      <c r="Q167" s="22"/>
      <c r="R167" s="22"/>
      <c r="S167" s="31">
        <f t="shared" si="67"/>
        <v>1</v>
      </c>
      <c r="T167" s="46" t="str">
        <f t="shared" si="52"/>
        <v>NorthBound</v>
      </c>
      <c r="U167" s="18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7" t="str">
        <f t="shared" si="53"/>
        <v>https://d0f6bd738d7f1b3e5a7ca70fe4ff75f0.us-east-1.aws.found.io/app/kibana#/discover/Steve-Slow-Train-Analysis-(2080s-and-2083s)?_g=(refreshInterval:(display:Off,pause:!f,section:0,value:0),time:(from:'2017-02-17T05:29:40-0700',mode:absolute,to:'2017-02-17T08:04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7" s="188" t="str">
        <f t="shared" si="54"/>
        <v>N</v>
      </c>
      <c r="X167" s="188">
        <f t="shared" si="65"/>
        <v>1</v>
      </c>
      <c r="Y167" s="62">
        <f t="shared" si="60"/>
        <v>9.69E-2</v>
      </c>
      <c r="Z167" s="62">
        <f t="shared" si="61"/>
        <v>5.8978000000000002</v>
      </c>
      <c r="AA167" s="62">
        <f t="shared" si="55"/>
        <v>5.8009000000000004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6"/>
        <v>0805-17</v>
      </c>
      <c r="AE167" s="85" t="str">
        <f t="shared" si="57"/>
        <v>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 &amp; aws s3 cp s3://rtdc.mdm.uploadarchive.raw/RTDC4014/ "%USERPROFILE%\AppData\Local\Temp\OnboardLogs"\RTDC4014\2017-02-18 --exclude "*" --recursive --include "*20170218*" &amp; "%USERPROFILE%\Documents\GitHub\mrs-test-scripts\Headless Mode &amp; Sideloading\WalkAndUnGZ.bat" "%USERPROFILE%\AppData\Local\Temp\OnboardLogs"\RTDC4014\2017-02-18</v>
      </c>
      <c r="AF167" s="82" t="str">
        <f t="shared" si="58"/>
        <v>"C:\Program Files (x86)\AstroGrep\AstroGrep.exe" /spath="%USERPROFILE%\AppData\Local\Temp\OnboardLogs" /stypes="app*4014*20170217*" /stext=" 14:.+((SYSTEM_STATE.+slice.+state.+changed )|(ment ac)|(multiple cpu faults)|(system.+state.+changed )|(\[timeout)|(PRM\|1\|D)|(kpr)|(kdp)|(\|lc)|(penalty))" /e /r /s</v>
      </c>
      <c r="AG167" s="1" t="str">
        <f t="shared" si="59"/>
        <v>NW</v>
      </c>
      <c r="AH167" s="86" t="str">
        <f t="shared" si="62"/>
        <v>"%USERPROFILE%\Documents\GitHub\eaglep3\Utilities\RefineRTDCRunTimes.py" --tripid 805-17 --locoid 4014 --swversion DE.1.0.9.0 --startMP 204:969 --initTime 2017-02-17T06:29:40 --startdatetime 2017-02-17T06:51:16 --delay 1 --endMP 300:58978 --enddatetime 2017-02-17T07:04:08 --enforcementcount 0 &gt;&gt;C:\Users\stu\Documents\GitHub\eaglep3-reporting\EC\2017-02-17-refined-times.txt</v>
      </c>
      <c r="AI167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{"issue":{"subject":"","project_id":79,"tracker_id":40,"status_id":1,"priority_id":2,"assigned_to_id":23,"start_date":"2017-02-17","description":"","custom_fields":[{"id":1,"name":"Subdivision","value":"NW"},{"id":4,"name":"Milepost","value":"5.8978"},{"id":17,"name":"Train ID","value":"805-17"},{"id":16,"name":"Locomotive ID","value":"4014"},{"id":130,"name":"Impact","value":""},{"id":150,"name":"Time of Event (Mountain Time)","value":"07:04:08"},{"id":151,"name":"Denver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4"/>
        <v>start /low /b %USERPROFILE%\Documents\GitHub\eaglep3\Utilities\DownloadLogsFromS3.py --loco 4014 --day 2017-02-17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"%USERPROFILE%\AppData\Local\Temp\OnboardLogs"\RTDC4014\*4014*20170217* | grep -SE "(Enforcement Action)|(\[TIMEOUT)|(CHR.+\|PRM\|1\|D.+(SWITCH|SIGNAL).+UNKNOWN)" - &gt;&gt; 2017-02-17-UncaughtWiMAX.txt</v>
      </c>
    </row>
    <row r="168" spans="1:91" x14ac:dyDescent="0.25">
      <c r="A168" s="33" t="s">
        <v>502</v>
      </c>
      <c r="B168" s="7">
        <v>4013</v>
      </c>
      <c r="C168" s="21" t="s">
        <v>682</v>
      </c>
      <c r="D168" s="21" t="s">
        <v>782</v>
      </c>
      <c r="E168" s="13">
        <v>42783.295763888891</v>
      </c>
      <c r="F168" s="13">
        <v>42783.297256944446</v>
      </c>
      <c r="G168" s="7">
        <v>1</v>
      </c>
      <c r="H168" s="21" t="s">
        <v>423</v>
      </c>
      <c r="I168" s="13">
        <v>42783.308865740742</v>
      </c>
      <c r="J168" s="7">
        <v>0</v>
      </c>
      <c r="K168" s="98" t="str">
        <f t="shared" si="49"/>
        <v>4013/4014</v>
      </c>
      <c r="L168" s="21" t="str">
        <f>VLOOKUP(A168,'Trips&amp;Operators'!$C$1:$G$99999,5,FALSE)</f>
        <v>GEBRETEKLE DAGNEW</v>
      </c>
      <c r="M168" s="6">
        <f t="shared" si="50"/>
        <v>1.1608796296059154E-2</v>
      </c>
      <c r="N168" s="7">
        <f t="shared" si="66"/>
        <v>16.716666666325182</v>
      </c>
      <c r="O168" s="7"/>
      <c r="P168" s="7"/>
      <c r="Q168" s="22"/>
      <c r="R168" s="22"/>
      <c r="S168" s="31">
        <f t="shared" si="67"/>
        <v>1</v>
      </c>
      <c r="T168" s="46" t="str">
        <f t="shared" si="52"/>
        <v>Southbound</v>
      </c>
      <c r="U168" s="18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7" t="str">
        <f t="shared" si="53"/>
        <v>https://d0f6bd738d7f1b3e5a7ca70fe4ff75f0.us-east-1.aws.found.io/app/kibana#/discover/Steve-Slow-Train-Analysis-(2080s-and-2083s)?_g=(refreshInterval:(display:Off,pause:!f,section:0,value:0),time:(from:'2017-02-17T06:05:54-0700',mode:absolute,to:'2017-02-17T08:24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8" s="188" t="str">
        <f t="shared" si="54"/>
        <v>N</v>
      </c>
      <c r="X168" s="188">
        <f t="shared" si="65"/>
        <v>1</v>
      </c>
      <c r="Y168" s="62">
        <f t="shared" si="60"/>
        <v>5.8672000000000004</v>
      </c>
      <c r="Z168" s="62">
        <f t="shared" si="61"/>
        <v>7.0800000000000002E-2</v>
      </c>
      <c r="AA168" s="62">
        <f t="shared" si="55"/>
        <v>5.7964000000000002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6"/>
        <v>0806-17</v>
      </c>
      <c r="AE168" s="85" t="str">
        <f t="shared" si="57"/>
        <v>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 &amp; aws s3 cp s3://rtdc.mdm.uploadarchive.raw/RTDC4013/ "%USERPROFILE%\AppData\Local\Temp\OnboardLogs"\RTDC4013\2017-02-18 --exclude "*" --recursive --include "*20170218*" &amp; "%USERPROFILE%\Documents\GitHub\mrs-test-scripts\Headless Mode &amp; Sideloading\WalkAndUnGZ.bat" "%USERPROFILE%\AppData\Local\Temp\OnboardLogs"\RTDC4013\2017-02-18</v>
      </c>
      <c r="AF168" s="82" t="str">
        <f t="shared" si="58"/>
        <v>"C:\Program Files (x86)\AstroGrep\AstroGrep.exe" /spath="%USERPROFILE%\AppData\Local\Temp\OnboardLogs" /stypes="app*4013*20170217*" /stext=" 14:.+((SYSTEM_STATE.+slice.+state.+changed )|(ment ac)|(multiple cpu faults)|(system.+state.+changed )|(\[timeout)|(PRM\|1\|D)|(kpr)|(kdp)|(\|lc)|(penalty))" /e /r /s</v>
      </c>
      <c r="AG168" s="1" t="str">
        <f t="shared" si="59"/>
        <v>NW</v>
      </c>
      <c r="AH168" s="86" t="str">
        <f t="shared" si="62"/>
        <v>"%USERPROFILE%\Documents\GitHub\eaglep3\Utilities\RefineRTDCRunTimes.py" --tripid 806-17 --locoid 4013 --swversion DE.1.0.9.0 --startMP 300:58672 --initTime 2017-02-17T07:05:54 --startdatetime 2017-02-17T07:08:03 --delay 1 --endMP 204:708 --enddatetime 2017-02-17T07:24:46 --enforcementcount 0 &gt;&gt;C:\Users\stu\Documents\GitHub\eaglep3-reporting\EC\2017-02-17-refined-times.txt</v>
      </c>
      <c r="AI168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{"issue":{"subject":"","project_id":79,"tracker_id":40,"status_id":1,"priority_id":2,"assigned_to_id":23,"start_date":"2017-02-17","description":"","custom_fields":[{"id":1,"name":"Subdivision","value":"NW"},{"id":4,"name":"Milepost","value":"0.0708"},{"id":17,"name":"Train ID","value":"806-17"},{"id":16,"name":"Locomotive ID","value":"4013"},{"id":130,"name":"Impact","value":""},{"id":150,"name":"Time of Event (Mountain Time)","value":"07:24:46"},{"id":151,"name":"Denver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4"/>
        <v>start /low /b %USERPROFILE%\Documents\GitHub\eaglep3\Utilities\DownloadLogsFromS3.py --loco 4013 --day 2017-02-17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"%USERPROFILE%\AppData\Local\Temp\OnboardLogs"\RTDC4013\*4013*20170217* | grep -SE "(Enforcement Action)|(\[TIMEOUT)|(CHR.+\|PRM\|1\|D.+(SWITCH|SIGNAL).+UNKNOWN)" - &gt;&gt; 2017-02-17-UncaughtWiMAX.txt</v>
      </c>
    </row>
    <row r="169" spans="1:91" x14ac:dyDescent="0.25">
      <c r="A169" s="33" t="s">
        <v>501</v>
      </c>
      <c r="B169" s="7">
        <v>4007</v>
      </c>
      <c r="C169" s="21" t="s">
        <v>682</v>
      </c>
      <c r="D169" s="21" t="s">
        <v>790</v>
      </c>
      <c r="E169" s="13">
        <v>42783.290266203701</v>
      </c>
      <c r="F169" s="13">
        <v>42783.306435185186</v>
      </c>
      <c r="G169" s="7">
        <v>1</v>
      </c>
      <c r="H169" s="21" t="s">
        <v>791</v>
      </c>
      <c r="I169" s="13">
        <v>42783.316192129627</v>
      </c>
      <c r="J169" s="7">
        <v>0</v>
      </c>
      <c r="K169" s="98" t="str">
        <f t="shared" si="49"/>
        <v>4007/4008</v>
      </c>
      <c r="L169" s="21" t="str">
        <f>VLOOKUP(A169,'Trips&amp;Operators'!$C$1:$G$99999,5,FALSE)</f>
        <v>SHOOK JOHN</v>
      </c>
      <c r="M169" s="6">
        <f t="shared" si="50"/>
        <v>9.7569444405962713E-3</v>
      </c>
      <c r="N169" s="7">
        <f t="shared" si="66"/>
        <v>14.049999994458631</v>
      </c>
      <c r="O169" s="7"/>
      <c r="P169" s="7"/>
      <c r="Q169" s="22"/>
      <c r="R169" s="22"/>
      <c r="S169" s="31">
        <f t="shared" si="67"/>
        <v>1</v>
      </c>
      <c r="T169" s="46" t="str">
        <f t="shared" si="52"/>
        <v>NorthBound</v>
      </c>
      <c r="U169" s="18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7" t="str">
        <f t="shared" si="53"/>
        <v>https://d0f6bd738d7f1b3e5a7ca70fe4ff75f0.us-east-1.aws.found.io/app/kibana#/discover/Steve-Slow-Train-Analysis-(2080s-and-2083s)?_g=(refreshInterval:(display:Off,pause:!f,section:0,value:0),time:(from:'2017-02-17T05:57:59-0700',mode:absolute,to:'2017-02-17T08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9" s="188" t="str">
        <f t="shared" si="54"/>
        <v>N</v>
      </c>
      <c r="X169" s="188">
        <f t="shared" si="65"/>
        <v>1</v>
      </c>
      <c r="Y169" s="62">
        <f t="shared" si="60"/>
        <v>0.1028</v>
      </c>
      <c r="Z169" s="62">
        <f t="shared" si="61"/>
        <v>5.8994999999999997</v>
      </c>
      <c r="AA169" s="62">
        <f t="shared" si="55"/>
        <v>5.7966999999999995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6"/>
        <v>0807-17</v>
      </c>
      <c r="AE169" s="85" t="str">
        <f t="shared" si="57"/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AF169" s="82" t="str">
        <f t="shared" si="58"/>
        <v>"C:\Program Files (x86)\AstroGrep\AstroGrep.exe" /spath="%USERPROFILE%\AppData\Local\Temp\OnboardLogs" /stypes="app*4007*20170217*" /stext=" 14:.+((SYSTEM_STATE.+slice.+state.+changed )|(ment ac)|(multiple cpu faults)|(system.+state.+changed )|(\[timeout)|(PRM\|1\|D)|(kpr)|(kdp)|(\|lc)|(penalty))" /e /r /s</v>
      </c>
      <c r="AG169" s="1" t="str">
        <f t="shared" si="59"/>
        <v>NW</v>
      </c>
      <c r="AH169" s="86" t="str">
        <f t="shared" si="62"/>
        <v>"%USERPROFILE%\Documents\GitHub\eaglep3\Utilities\RefineRTDCRunTimes.py" --tripid 807-17 --locoid 4007 --swversion DE.1.0.9.0 --startMP 204:1028 --initTime 2017-02-17T06:57:59 --startdatetime 2017-02-17T07:21:16 --delay 1 --endMP 300:58995 --enddatetime 2017-02-17T07:35:19 --enforcementcount 0 &gt;&gt;C:\Users\stu\Documents\GitHub\eaglep3-reporting\EC\2017-02-17-refined-times.txt</v>
      </c>
      <c r="AI169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{"issue":{"subject":"","project_id":79,"tracker_id":40,"status_id":1,"priority_id":2,"assigned_to_id":23,"start_date":"2017-02-17","description":"","custom_fields":[{"id":1,"name":"Subdivision","value":"NW"},{"id":4,"name":"Milepost","value":"5.8995"},{"id":17,"name":"Train ID","value":"807-17"},{"id":16,"name":"Locomotive ID","value":"4007"},{"id":130,"name":"Impact","value":""},{"id":150,"name":"Time of Event (Mountain Time)","value":"07:35:19"},{"id":151,"name":"Denver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4"/>
        <v>start /low /b %USERPROFILE%\Documents\GitHub\eaglep3\Utilities\DownloadLogsFromS3.py --loco 4007 --day 2017-02-17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"%USERPROFILE%\AppData\Local\Temp\OnboardLogs"\RTDC4007\*4007*20170217* | grep -SE "(Enforcement Action)|(\[TIMEOUT)|(CHR.+\|PRM\|1\|D.+(SWITCH|SIGNAL).+UNKNOWN)" - &gt;&gt; 2017-02-17-UncaughtWiMAX.txt</v>
      </c>
    </row>
    <row r="170" spans="1:91" s="20" customFormat="1" x14ac:dyDescent="0.25">
      <c r="A170" s="33" t="s">
        <v>511</v>
      </c>
      <c r="B170" s="7">
        <v>4008</v>
      </c>
      <c r="C170" s="21" t="s">
        <v>682</v>
      </c>
      <c r="D170" s="21" t="s">
        <v>435</v>
      </c>
      <c r="E170" s="13">
        <v>42783.317673611113</v>
      </c>
      <c r="F170" s="13">
        <v>42783.319953703707</v>
      </c>
      <c r="G170" s="7">
        <v>1</v>
      </c>
      <c r="H170" s="21" t="s">
        <v>792</v>
      </c>
      <c r="I170" s="13">
        <v>42783.33011574074</v>
      </c>
      <c r="J170" s="7">
        <v>0</v>
      </c>
      <c r="K170" s="98" t="str">
        <f t="shared" si="49"/>
        <v>4007/4008</v>
      </c>
      <c r="L170" s="21" t="str">
        <f>VLOOKUP(A170,'Trips&amp;Operators'!$C$1:$G$99999,5,FALSE)</f>
        <v>SHOOK JOHN</v>
      </c>
      <c r="M170" s="6">
        <f t="shared" si="50"/>
        <v>1.0162037033296656E-2</v>
      </c>
      <c r="N170" s="7">
        <f t="shared" si="66"/>
        <v>14.633333327947184</v>
      </c>
      <c r="O170" s="7"/>
      <c r="P170" s="7"/>
      <c r="Q170" s="22"/>
      <c r="R170" s="22"/>
      <c r="S170" s="31">
        <f t="shared" si="67"/>
        <v>1</v>
      </c>
      <c r="T170" s="46" t="str">
        <f t="shared" si="52"/>
        <v>Southbound</v>
      </c>
      <c r="U170" s="18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7" t="str">
        <f t="shared" si="53"/>
        <v>https://d0f6bd738d7f1b3e5a7ca70fe4ff75f0.us-east-1.aws.found.io/app/kibana#/discover/Steve-Slow-Train-Analysis-(2080s-and-2083s)?_g=(refreshInterval:(display:Off,pause:!f,section:0,value:0),time:(from:'2017-02-17T06:37:27-0700',mode:absolute,to:'2017-02-17T08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0" s="188" t="str">
        <f t="shared" si="54"/>
        <v>N</v>
      </c>
      <c r="X170" s="188">
        <f t="shared" si="65"/>
        <v>1</v>
      </c>
      <c r="Y170" s="62">
        <f t="shared" si="60"/>
        <v>5.8674999999999997</v>
      </c>
      <c r="Z170" s="62">
        <f t="shared" si="61"/>
        <v>7.5700000000000003E-2</v>
      </c>
      <c r="AA170" s="62">
        <f t="shared" si="55"/>
        <v>5.7917999999999994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6"/>
        <v>0808-17</v>
      </c>
      <c r="AE170" s="85" t="str">
        <f t="shared" si="5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170" s="82" t="str">
        <f t="shared" si="58"/>
        <v>"C:\Program Files (x86)\AstroGrep\AstroGrep.exe" /spath="%USERPROFILE%\AppData\Local\Temp\OnboardLogs" /stypes="app*4008*20170217*" /stext=" 14:.+((SYSTEM_STATE.+slice.+state.+changed )|(ment ac)|(multiple cpu faults)|(system.+state.+changed )|(\[timeout)|(PRM\|1\|D)|(kpr)|(kdp)|(\|lc)|(penalty))" /e /r /s</v>
      </c>
      <c r="AG170" s="1" t="str">
        <f t="shared" si="59"/>
        <v>NW</v>
      </c>
      <c r="AH170" s="86" t="str">
        <f t="shared" si="62"/>
        <v>"%USERPROFILE%\Documents\GitHub\eaglep3\Utilities\RefineRTDCRunTimes.py" --tripid 808-17 --locoid 4008 --swversion DE.1.0.9.0 --startMP 300:58675 --initTime 2017-02-17T07:37:27 --startdatetime 2017-02-17T07:40:44 --delay 1 --endMP 204:757 --enddatetime 2017-02-17T07:55:22 --enforcementcount 0 &gt;&gt;C:\Users\stu\Documents\GitHub\eaglep3-reporting\EC\2017-02-17-refined-times.txt</v>
      </c>
      <c r="AI170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{"issue":{"subject":"","project_id":79,"tracker_id":40,"status_id":1,"priority_id":2,"assigned_to_id":23,"start_date":"2017-02-17","description":"","custom_fields":[{"id":1,"name":"Subdivision","value":"NW"},{"id":4,"name":"Milepost","value":"0.0757"},{"id":17,"name":"Train ID","value":"808-17"},{"id":16,"name":"Locomotive ID","value":"4008"},{"id":130,"name":"Impact","value":""},{"id":150,"name":"Time of Event (Mountain Time)","value":"07:55:22"},{"id":151,"name":"Denver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4"/>
        <v>start /low /b %USERPROFILE%\Documents\GitHub\eaglep3\Utilities\DownloadLogsFromS3.py --loco 4008 --day 2017-02-17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"%USERPROFILE%\AppData\Local\Temp\OnboardLogs"\RTDC4008\*4008*20170217* | grep -SE "(Enforcement Action)|(\[TIMEOUT)|(CHR.+\|PRM\|1\|D.+(SWITCH|SIGNAL).+UNKNOWN)" - &gt;&gt; 2017-02-17-UncaughtWiMAX.txt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509</v>
      </c>
      <c r="B171" s="7">
        <v>4014</v>
      </c>
      <c r="C171" s="21" t="s">
        <v>682</v>
      </c>
      <c r="D171" s="21" t="s">
        <v>793</v>
      </c>
      <c r="E171" s="13">
        <v>42783.310914351852</v>
      </c>
      <c r="F171" s="13">
        <v>42783.327268518522</v>
      </c>
      <c r="G171" s="7">
        <v>1</v>
      </c>
      <c r="H171" s="21" t="s">
        <v>794</v>
      </c>
      <c r="I171" s="13">
        <v>42783.336111111108</v>
      </c>
      <c r="J171" s="7">
        <v>0</v>
      </c>
      <c r="K171" s="98" t="str">
        <f t="shared" si="49"/>
        <v>4013/4014</v>
      </c>
      <c r="L171" s="21" t="str">
        <f>VLOOKUP(A171,'Trips&amp;Operators'!$C$1:$G$99999,5,FALSE)</f>
        <v>GEBRETEKLE DAGNEW</v>
      </c>
      <c r="M171" s="6">
        <f t="shared" si="50"/>
        <v>8.8425925860065036E-3</v>
      </c>
      <c r="N171" s="7">
        <f t="shared" si="66"/>
        <v>12.733333323849365</v>
      </c>
      <c r="O171" s="7"/>
      <c r="P171" s="7"/>
      <c r="Q171" s="22"/>
      <c r="R171" s="22"/>
      <c r="S171" s="31">
        <f t="shared" si="67"/>
        <v>1</v>
      </c>
      <c r="T171" s="46" t="str">
        <f t="shared" si="52"/>
        <v>NorthBound</v>
      </c>
      <c r="U171" s="18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7" t="str">
        <f t="shared" si="53"/>
        <v>https://d0f6bd738d7f1b3e5a7ca70fe4ff75f0.us-east-1.aws.found.io/app/kibana#/discover/Steve-Slow-Train-Analysis-(2080s-and-2083s)?_g=(refreshInterval:(display:Off,pause:!f,section:0,value:0),time:(from:'2017-02-17T06:27:43-0700',mode:absolute,to:'2017-02-17T09:04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1" s="188" t="str">
        <f t="shared" si="54"/>
        <v>N</v>
      </c>
      <c r="X171" s="188">
        <f t="shared" si="65"/>
        <v>1</v>
      </c>
      <c r="Y171" s="62">
        <f t="shared" si="60"/>
        <v>9.9699999999999997E-2</v>
      </c>
      <c r="Z171" s="62">
        <f t="shared" si="61"/>
        <v>5.9006999999999996</v>
      </c>
      <c r="AA171" s="62">
        <f t="shared" si="55"/>
        <v>5.8009999999999993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6"/>
        <v>0809-17</v>
      </c>
      <c r="AE171" s="85" t="str">
        <f t="shared" si="57"/>
        <v>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 &amp; aws s3 cp s3://rtdc.mdm.uploadarchive.raw/RTDC4014/ "%USERPROFILE%\AppData\Local\Temp\OnboardLogs"\RTDC4014\2017-02-18 --exclude "*" --recursive --include "*20170218*" &amp; "%USERPROFILE%\Documents\GitHub\mrs-test-scripts\Headless Mode &amp; Sideloading\WalkAndUnGZ.bat" "%USERPROFILE%\AppData\Local\Temp\OnboardLogs"\RTDC4014\2017-02-18</v>
      </c>
      <c r="AF171" s="82" t="str">
        <f t="shared" si="58"/>
        <v>"C:\Program Files (x86)\AstroGrep\AstroGrep.exe" /spath="%USERPROFILE%\AppData\Local\Temp\OnboardLogs" /stypes="app*4014*20170217*" /stext=" 15:.+((SYSTEM_STATE.+slice.+state.+changed )|(ment ac)|(multiple cpu faults)|(system.+state.+changed )|(\[timeout)|(PRM\|1\|D)|(kpr)|(kdp)|(\|lc)|(penalty))" /e /r /s</v>
      </c>
      <c r="AG171" s="1" t="str">
        <f t="shared" si="59"/>
        <v>NW</v>
      </c>
      <c r="AH171" s="86" t="str">
        <f t="shared" si="62"/>
        <v>"%USERPROFILE%\Documents\GitHub\eaglep3\Utilities\RefineRTDCRunTimes.py" --tripid 809-17 --locoid 4014 --swversion DE.1.0.9.0 --startMP 204:997 --initTime 2017-02-17T07:27:43 --startdatetime 2017-02-17T07:51:16 --delay 1 --endMP 300:59007 --enddatetime 2017-02-17T08:04:00 --enforcementcount 0 &gt;&gt;C:\Users\stu\Documents\GitHub\eaglep3-reporting\EC\2017-02-17-refined-times.txt</v>
      </c>
      <c r="AI171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{"issue":{"subject":"","project_id":79,"tracker_id":40,"status_id":1,"priority_id":2,"assigned_to_id":23,"start_date":"2017-02-17","description":"","custom_fields":[{"id":1,"name":"Subdivision","value":"NW"},{"id":4,"name":"Milepost","value":"5.9007"},{"id":17,"name":"Train ID","value":"809-17"},{"id":16,"name":"Locomotive ID","value":"4014"},{"id":130,"name":"Impact","value":""},{"id":150,"name":"Time of Event (Mountain Time)","value":"08:04:00"},{"id":151,"name":"Denver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4"/>
        <v>start /low /b %USERPROFILE%\Documents\GitHub\eaglep3\Utilities\DownloadLogsFromS3.py --loco 4014 --day 2017-02-17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"%USERPROFILE%\AppData\Local\Temp\OnboardLogs"\RTDC4014\*4014*20170217* | grep -SE "(Enforcement Action)|(\[TIMEOUT)|(CHR.+\|PRM\|1\|D.+(SWITCH|SIGNAL).+UNKNOWN)" - &gt;&gt; 2017-02-17-UncaughtWiMAX.txt</v>
      </c>
    </row>
    <row r="172" spans="1:91" x14ac:dyDescent="0.25">
      <c r="A172" s="33" t="s">
        <v>515</v>
      </c>
      <c r="B172" s="7">
        <v>4013</v>
      </c>
      <c r="C172" s="21" t="s">
        <v>682</v>
      </c>
      <c r="D172" s="21" t="s">
        <v>424</v>
      </c>
      <c r="E172" s="13">
        <v>42783.337546296294</v>
      </c>
      <c r="F172" s="13">
        <v>42783.338912037034</v>
      </c>
      <c r="G172" s="7">
        <v>1</v>
      </c>
      <c r="H172" s="21" t="s">
        <v>795</v>
      </c>
      <c r="I172" s="13">
        <v>42783.350405092591</v>
      </c>
      <c r="J172" s="7">
        <v>0</v>
      </c>
      <c r="K172" s="98" t="str">
        <f t="shared" si="49"/>
        <v>4013/4014</v>
      </c>
      <c r="L172" s="21" t="str">
        <f>VLOOKUP(A172,'Trips&amp;Operators'!$C$1:$G$99999,5,FALSE)</f>
        <v>GEBRETEKLE DAGNEW</v>
      </c>
      <c r="M172" s="6">
        <f t="shared" si="50"/>
        <v>1.1493055557366461E-2</v>
      </c>
      <c r="N172" s="7">
        <f t="shared" si="66"/>
        <v>16.550000002607703</v>
      </c>
      <c r="O172" s="7"/>
      <c r="P172" s="7"/>
      <c r="Q172" s="22"/>
      <c r="R172" s="22"/>
      <c r="S172" s="31">
        <f t="shared" si="67"/>
        <v>1</v>
      </c>
      <c r="T172" s="46" t="str">
        <f t="shared" si="52"/>
        <v>Southbound</v>
      </c>
      <c r="U172" s="18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7" t="str">
        <f t="shared" si="53"/>
        <v>https://d0f6bd738d7f1b3e5a7ca70fe4ff75f0.us-east-1.aws.found.io/app/kibana#/discover/Steve-Slow-Train-Analysis-(2080s-and-2083s)?_g=(refreshInterval:(display:Off,pause:!f,section:0,value:0),time:(from:'2017-02-17T07:06:04-0700',mode:absolute,to:'2017-02-17T09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2" s="188" t="str">
        <f t="shared" si="54"/>
        <v>N</v>
      </c>
      <c r="X172" s="188">
        <f t="shared" si="65"/>
        <v>1</v>
      </c>
      <c r="Y172" s="62">
        <f t="shared" si="60"/>
        <v>5.8689999999999998</v>
      </c>
      <c r="Z172" s="62">
        <f t="shared" si="61"/>
        <v>1.24E-2</v>
      </c>
      <c r="AA172" s="62">
        <f t="shared" si="55"/>
        <v>5.8565999999999994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6"/>
        <v>0810-17</v>
      </c>
      <c r="AE172" s="85" t="str">
        <f t="shared" si="57"/>
        <v>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 &amp; aws s3 cp s3://rtdc.mdm.uploadarchive.raw/RTDC4013/ "%USERPROFILE%\AppData\Local\Temp\OnboardLogs"\RTDC4013\2017-02-18 --exclude "*" --recursive --include "*20170218*" &amp; "%USERPROFILE%\Documents\GitHub\mrs-test-scripts\Headless Mode &amp; Sideloading\WalkAndUnGZ.bat" "%USERPROFILE%\AppData\Local\Temp\OnboardLogs"\RTDC4013\2017-02-18</v>
      </c>
      <c r="AF172" s="82" t="str">
        <f t="shared" si="58"/>
        <v>"C:\Program Files (x86)\AstroGrep\AstroGrep.exe" /spath="%USERPROFILE%\AppData\Local\Temp\OnboardLogs" /stypes="app*4013*20170217*" /stext=" 15:.+((SYSTEM_STATE.+slice.+state.+changed )|(ment ac)|(multiple cpu faults)|(system.+state.+changed )|(\[timeout)|(PRM\|1\|D)|(kpr)|(kdp)|(\|lc)|(penalty))" /e /r /s</v>
      </c>
      <c r="AG172" s="1" t="str">
        <f t="shared" si="59"/>
        <v>NW</v>
      </c>
      <c r="AH172" s="86" t="str">
        <f t="shared" si="62"/>
        <v>"%USERPROFILE%\Documents\GitHub\eaglep3\Utilities\RefineRTDCRunTimes.py" --tripid 810-17 --locoid 4013 --swversion DE.1.0.9.0 --startMP 300:58690 --initTime 2017-02-17T08:06:04 --startdatetime 2017-02-17T08:08:02 --delay 1 --endMP 204:124 --enddatetime 2017-02-17T08:24:35 --enforcementcount 0 &gt;&gt;C:\Users\stu\Documents\GitHub\eaglep3-reporting\EC\2017-02-17-refined-times.txt</v>
      </c>
      <c r="AI172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{"issue":{"subject":"","project_id":79,"tracker_id":40,"status_id":1,"priority_id":2,"assigned_to_id":23,"start_date":"2017-02-17","description":"","custom_fields":[{"id":1,"name":"Subdivision","value":"NW"},{"id":4,"name":"Milepost","value":"0.0124"},{"id":17,"name":"Train ID","value":"810-17"},{"id":16,"name":"Locomotive ID","value":"4013"},{"id":130,"name":"Impact","value":""},{"id":150,"name":"Time of Event (Mountain Time)","value":"08:24:35"},{"id":151,"name":"Denver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4"/>
        <v>start /low /b %USERPROFILE%\Documents\GitHub\eaglep3\Utilities\DownloadLogsFromS3.py --loco 4013 --day 2017-02-17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"%USERPROFILE%\AppData\Local\Temp\OnboardLogs"\RTDC4013\*4013*20170217* | grep -SE "(Enforcement Action)|(\[TIMEOUT)|(CHR.+\|PRM\|1\|D.+(SWITCH|SIGNAL).+UNKNOWN)" - &gt;&gt; 2017-02-17-UncaughtWiMAX.txt</v>
      </c>
    </row>
    <row r="173" spans="1:91" x14ac:dyDescent="0.25">
      <c r="A173" s="33" t="s">
        <v>447</v>
      </c>
      <c r="B173" s="7">
        <v>4007</v>
      </c>
      <c r="C173" s="21" t="s">
        <v>682</v>
      </c>
      <c r="D173" s="21" t="s">
        <v>796</v>
      </c>
      <c r="E173" s="13">
        <v>42783.331712962965</v>
      </c>
      <c r="F173" s="13">
        <v>42783.348078703704</v>
      </c>
      <c r="G173" s="7">
        <v>1</v>
      </c>
      <c r="H173" s="21" t="s">
        <v>797</v>
      </c>
      <c r="I173" s="13">
        <v>42783.358090277776</v>
      </c>
      <c r="J173" s="7">
        <v>0</v>
      </c>
      <c r="K173" s="98" t="str">
        <f t="shared" si="49"/>
        <v>4007/4008</v>
      </c>
      <c r="L173" s="21" t="str">
        <f>VLOOKUP(A173,'Trips&amp;Operators'!$C$1:$G$99999,5,FALSE)</f>
        <v>SHOOK JOHN</v>
      </c>
      <c r="M173" s="6">
        <f t="shared" si="50"/>
        <v>1.0011574071540963E-2</v>
      </c>
      <c r="N173" s="7">
        <f t="shared" si="66"/>
        <v>14.416666663018987</v>
      </c>
      <c r="O173" s="7"/>
      <c r="P173" s="7"/>
      <c r="Q173" s="22"/>
      <c r="R173" s="22"/>
      <c r="S173" s="31">
        <f t="shared" si="67"/>
        <v>1</v>
      </c>
      <c r="T173" s="46" t="str">
        <f t="shared" si="52"/>
        <v>NorthBound</v>
      </c>
      <c r="U173" s="18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7" t="str">
        <f t="shared" si="53"/>
        <v>https://d0f6bd738d7f1b3e5a7ca70fe4ff75f0.us-east-1.aws.found.io/app/kibana#/discover/Steve-Slow-Train-Analysis-(2080s-and-2083s)?_g=(refreshInterval:(display:Off,pause:!f,section:0,value:0),time:(from:'2017-02-17T06:57:40-0700',mode:absolute,to:'2017-02-17T09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3" s="188" t="str">
        <f t="shared" si="54"/>
        <v>N</v>
      </c>
      <c r="X173" s="188">
        <f t="shared" si="65"/>
        <v>1</v>
      </c>
      <c r="Y173" s="62">
        <f t="shared" si="60"/>
        <v>0.1042</v>
      </c>
      <c r="Z173" s="62">
        <f t="shared" si="61"/>
        <v>5.8987999999999996</v>
      </c>
      <c r="AA173" s="62">
        <f t="shared" si="55"/>
        <v>5.7946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6"/>
        <v>0811-17</v>
      </c>
      <c r="AE173" s="85" t="str">
        <f t="shared" si="57"/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AF173" s="82" t="str">
        <f t="shared" si="58"/>
        <v>"C:\Program Files (x86)\AstroGrep\AstroGrep.exe" /spath="%USERPROFILE%\AppData\Local\Temp\OnboardLogs" /stypes="app*4007*20170217*" /stext=" 15:.+((SYSTEM_STATE.+slice.+state.+changed )|(ment ac)|(multiple cpu faults)|(system.+state.+changed )|(\[timeout)|(PRM\|1\|D)|(kpr)|(kdp)|(\|lc)|(penalty))" /e /r /s</v>
      </c>
      <c r="AG173" s="1" t="str">
        <f t="shared" si="59"/>
        <v>NW</v>
      </c>
      <c r="AH173" s="86" t="str">
        <f t="shared" si="62"/>
        <v>"%USERPROFILE%\Documents\GitHub\eaglep3\Utilities\RefineRTDCRunTimes.py" --tripid 811-17 --locoid 4007 --swversion DE.1.0.9.0 --startMP 204:1042 --initTime 2017-02-17T07:57:40 --startdatetime 2017-02-17T08:21:14 --delay 1 --endMP 300:58988 --enddatetime 2017-02-17T08:35:39 --enforcementcount 0 &gt;&gt;C:\Users\stu\Documents\GitHub\eaglep3-reporting\EC\2017-02-17-refined-times.txt</v>
      </c>
      <c r="AI173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{"issue":{"subject":"","project_id":79,"tracker_id":40,"status_id":1,"priority_id":2,"assigned_to_id":23,"start_date":"2017-02-17","description":"","custom_fields":[{"id":1,"name":"Subdivision","value":"NW"},{"id":4,"name":"Milepost","value":"5.8988"},{"id":17,"name":"Train ID","value":"811-17"},{"id":16,"name":"Locomotive ID","value":"4007"},{"id":130,"name":"Impact","value":""},{"id":150,"name":"Time of Event (Mountain Time)","value":"08:35:39"},{"id":151,"name":"Denver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4"/>
        <v>start /low /b %USERPROFILE%\Documents\GitHub\eaglep3\Utilities\DownloadLogsFromS3.py --loco 4007 --day 2017-02-17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"%USERPROFILE%\AppData\Local\Temp\OnboardLogs"\RTDC4007\*4007*20170217* | grep -SE "(Enforcement Action)|(\[TIMEOUT)|(CHR.+\|PRM\|1\|D.+(SWITCH|SIGNAL).+UNKNOWN)" - &gt;&gt; 2017-02-17-UncaughtWiMAX.txt</v>
      </c>
    </row>
    <row r="174" spans="1:91" s="20" customFormat="1" x14ac:dyDescent="0.25">
      <c r="A174" s="33" t="s">
        <v>520</v>
      </c>
      <c r="B174" s="7">
        <v>4008</v>
      </c>
      <c r="C174" s="21" t="s">
        <v>682</v>
      </c>
      <c r="D174" s="21" t="s">
        <v>785</v>
      </c>
      <c r="E174" s="13">
        <v>42783.35974537037</v>
      </c>
      <c r="F174" s="13">
        <v>42783.361886574072</v>
      </c>
      <c r="G174" s="7">
        <v>1</v>
      </c>
      <c r="H174" s="21" t="s">
        <v>364</v>
      </c>
      <c r="I174" s="13">
        <v>42783.371608796297</v>
      </c>
      <c r="J174" s="7">
        <v>0</v>
      </c>
      <c r="K174" s="98" t="str">
        <f t="shared" si="49"/>
        <v>4007/4008</v>
      </c>
      <c r="L174" s="21" t="str">
        <f>VLOOKUP(A174,'Trips&amp;Operators'!$C$1:$G$99999,5,FALSE)</f>
        <v>SHOOK JOHN</v>
      </c>
      <c r="M174" s="6">
        <f t="shared" si="50"/>
        <v>9.7222222248092294E-3</v>
      </c>
      <c r="N174" s="7">
        <f t="shared" si="66"/>
        <v>14.00000000372529</v>
      </c>
      <c r="O174" s="7"/>
      <c r="P174" s="7"/>
      <c r="Q174" s="22"/>
      <c r="R174" s="22"/>
      <c r="S174" s="31">
        <f t="shared" si="67"/>
        <v>1</v>
      </c>
      <c r="T174" s="46" t="str">
        <f t="shared" si="52"/>
        <v>Southbound</v>
      </c>
      <c r="U174" s="18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7" t="str">
        <f t="shared" si="53"/>
        <v>https://d0f6bd738d7f1b3e5a7ca70fe4ff75f0.us-east-1.aws.found.io/app/kibana#/discover/Steve-Slow-Train-Analysis-(2080s-and-2083s)?_g=(refreshInterval:(display:Off,pause:!f,section:0,value:0),time:(from:'2017-02-17T07:38:02-0700',mode:absolute,to:'2017-02-17T09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4" s="188" t="str">
        <f t="shared" si="54"/>
        <v>N</v>
      </c>
      <c r="X174" s="188">
        <f t="shared" si="65"/>
        <v>1</v>
      </c>
      <c r="Y174" s="62">
        <f t="shared" si="60"/>
        <v>5.867</v>
      </c>
      <c r="Z174" s="62">
        <f t="shared" si="61"/>
        <v>7.2400000000000006E-2</v>
      </c>
      <c r="AA174" s="62">
        <f t="shared" si="55"/>
        <v>5.7946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6"/>
        <v>0812-17</v>
      </c>
      <c r="AE174" s="85" t="str">
        <f t="shared" si="5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174" s="82" t="str">
        <f t="shared" si="58"/>
        <v>"C:\Program Files (x86)\AstroGrep\AstroGrep.exe" /spath="%USERPROFILE%\AppData\Local\Temp\OnboardLogs" /stypes="app*4008*20170217*" /stext=" 15:.+((SYSTEM_STATE.+slice.+state.+changed )|(ment ac)|(multiple cpu faults)|(system.+state.+changed )|(\[timeout)|(PRM\|1\|D)|(kpr)|(kdp)|(\|lc)|(penalty))" /e /r /s</v>
      </c>
      <c r="AG174" s="1" t="str">
        <f t="shared" si="59"/>
        <v>NW</v>
      </c>
      <c r="AH174" s="86" t="str">
        <f t="shared" si="62"/>
        <v>"%USERPROFILE%\Documents\GitHub\eaglep3\Utilities\RefineRTDCRunTimes.py" --tripid 812-17 --locoid 4008 --swversion DE.1.0.9.0 --startMP 300:58670 --initTime 2017-02-17T08:38:02 --startdatetime 2017-02-17T08:41:07 --delay 1 --endMP 204:724 --enddatetime 2017-02-17T08:55:07 --enforcementcount 0 &gt;&gt;C:\Users\stu\Documents\GitHub\eaglep3-reporting\EC\2017-02-17-refined-times.txt</v>
      </c>
      <c r="AI174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{"issue":{"subject":"","project_id":79,"tracker_id":40,"status_id":1,"priority_id":2,"assigned_to_id":23,"start_date":"2017-02-17","description":"","custom_fields":[{"id":1,"name":"Subdivision","value":"NW"},{"id":4,"name":"Milepost","value":"0.0724"},{"id":17,"name":"Train ID","value":"812-17"},{"id":16,"name":"Locomotive ID","value":"4008"},{"id":130,"name":"Impact","value":""},{"id":150,"name":"Time of Event (Mountain Time)","value":"08:55:07"},{"id":151,"name":"Denver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4"/>
        <v>start /low /b %USERPROFILE%\Documents\GitHub\eaglep3\Utilities\DownloadLogsFromS3.py --loco 4008 --day 2017-02-17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"%USERPROFILE%\AppData\Local\Temp\OnboardLogs"\RTDC4008\*4008*20170217* | grep -SE "(Enforcement Action)|(\[TIMEOUT)|(CHR.+\|PRM\|1\|D.+(SWITCH|SIGNAL).+UNKNOWN)" - &gt;&gt; 2017-02-17-UncaughtWiMAX.txt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523</v>
      </c>
      <c r="B175" s="7">
        <v>4007</v>
      </c>
      <c r="C175" s="21" t="s">
        <v>682</v>
      </c>
      <c r="D175" s="21" t="s">
        <v>798</v>
      </c>
      <c r="E175" s="13">
        <v>42783.373784722222</v>
      </c>
      <c r="F175" s="13">
        <v>42783.389768518522</v>
      </c>
      <c r="G175" s="7">
        <v>1</v>
      </c>
      <c r="H175" s="21" t="s">
        <v>791</v>
      </c>
      <c r="I175" s="13">
        <v>42783.399224537039</v>
      </c>
      <c r="J175" s="7">
        <v>0</v>
      </c>
      <c r="K175" s="98" t="str">
        <f t="shared" si="49"/>
        <v>4007/4008</v>
      </c>
      <c r="L175" s="21" t="str">
        <f>VLOOKUP(A175,'Trips&amp;Operators'!$C$1:$G$99999,5,FALSE)</f>
        <v>SHOOK JOHN</v>
      </c>
      <c r="M175" s="6">
        <f t="shared" si="50"/>
        <v>9.4560185170848854E-3</v>
      </c>
      <c r="N175" s="7">
        <f t="shared" si="66"/>
        <v>13.616666664602235</v>
      </c>
      <c r="O175" s="7"/>
      <c r="P175" s="7"/>
      <c r="Q175" s="22"/>
      <c r="R175" s="22"/>
      <c r="S175" s="31">
        <f t="shared" si="67"/>
        <v>1</v>
      </c>
      <c r="T175" s="46" t="str">
        <f t="shared" si="52"/>
        <v>NorthBound</v>
      </c>
      <c r="U175" s="18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7" t="str">
        <f t="shared" si="53"/>
        <v>https://d0f6bd738d7f1b3e5a7ca70fe4ff75f0.us-east-1.aws.found.io/app/kibana#/discover/Steve-Slow-Train-Analysis-(2080s-and-2083s)?_g=(refreshInterval:(display:Off,pause:!f,section:0,value:0),time:(from:'2017-02-17T07:58:15-0700',mode:absolute,to:'2017-02-17T10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5" s="188" t="str">
        <f t="shared" si="54"/>
        <v>N</v>
      </c>
      <c r="X175" s="188">
        <f t="shared" si="65"/>
        <v>1</v>
      </c>
      <c r="Y175" s="62">
        <f t="shared" si="60"/>
        <v>0.10249999999999999</v>
      </c>
      <c r="Z175" s="62">
        <f t="shared" si="61"/>
        <v>5.8994999999999997</v>
      </c>
      <c r="AA175" s="62">
        <f t="shared" si="55"/>
        <v>5.7969999999999997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6"/>
        <v>0813-17</v>
      </c>
      <c r="AE175" s="85" t="str">
        <f t="shared" si="57"/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AF175" s="82" t="str">
        <f t="shared" si="58"/>
        <v>"C:\Program Files (x86)\AstroGrep\AstroGrep.exe" /spath="%USERPROFILE%\AppData\Local\Temp\OnboardLogs" /stypes="app*4007*20170217*" /stext=" 16:.+((SYSTEM_STATE.+slice.+state.+changed )|(ment ac)|(multiple cpu faults)|(system.+state.+changed )|(\[timeout)|(PRM\|1\|D)|(kpr)|(kdp)|(\|lc)|(penalty))" /e /r /s</v>
      </c>
      <c r="AG175" s="1" t="str">
        <f t="shared" si="59"/>
        <v>NW</v>
      </c>
      <c r="AH175" s="86" t="str">
        <f t="shared" si="62"/>
        <v>"%USERPROFILE%\Documents\GitHub\eaglep3\Utilities\RefineRTDCRunTimes.py" --tripid 813-17 --locoid 4007 --swversion DE.1.0.9.0 --startMP 204:1025 --initTime 2017-02-17T08:58:15 --startdatetime 2017-02-17T09:21:16 --delay 1 --endMP 300:58995 --enddatetime 2017-02-17T09:34:53 --enforcementcount 0 &gt;&gt;C:\Users\stu\Documents\GitHub\eaglep3-reporting\EC\2017-02-17-refined-times.txt</v>
      </c>
      <c r="AI175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{"issue":{"subject":"","project_id":79,"tracker_id":40,"status_id":1,"priority_id":2,"assigned_to_id":23,"start_date":"2017-02-17","description":"","custom_fields":[{"id":1,"name":"Subdivision","value":"NW"},{"id":4,"name":"Milepost","value":"5.8995"},{"id":17,"name":"Train ID","value":"813-17"},{"id":16,"name":"Locomotive ID","value":"4007"},{"id":130,"name":"Impact","value":""},{"id":150,"name":"Time of Event (Mountain Time)","value":"09:34:53"},{"id":151,"name":"Denver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4"/>
        <v>start /low /b %USERPROFILE%\Documents\GitHub\eaglep3\Utilities\DownloadLogsFromS3.py --loco 4007 --day 2017-02-17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"%USERPROFILE%\AppData\Local\Temp\OnboardLogs"\RTDC4007\*4007*20170217* | grep -SE "(Enforcement Action)|(\[TIMEOUT)|(CHR.+\|PRM\|1\|D.+(SWITCH|SIGNAL).+UNKNOWN)" - &gt;&gt; 2017-02-17-UncaughtWiMAX.txt</v>
      </c>
    </row>
    <row r="176" spans="1:91" s="20" customFormat="1" x14ac:dyDescent="0.25">
      <c r="A176" s="33" t="s">
        <v>529</v>
      </c>
      <c r="B176" s="7">
        <v>4008</v>
      </c>
      <c r="C176" s="21" t="s">
        <v>682</v>
      </c>
      <c r="D176" s="21" t="s">
        <v>421</v>
      </c>
      <c r="E176" s="13">
        <v>42783.401145833333</v>
      </c>
      <c r="F176" s="13">
        <v>42783.40347222222</v>
      </c>
      <c r="G176" s="7">
        <v>1</v>
      </c>
      <c r="H176" s="21" t="s">
        <v>420</v>
      </c>
      <c r="I176" s="13">
        <v>42783.413414351853</v>
      </c>
      <c r="J176" s="7">
        <v>0</v>
      </c>
      <c r="K176" s="98" t="str">
        <f t="shared" si="49"/>
        <v>4007/4008</v>
      </c>
      <c r="L176" s="21" t="str">
        <f>VLOOKUP(A176,'Trips&amp;Operators'!$C$1:$G$99999,5,FALSE)</f>
        <v>SHOOK JOHN</v>
      </c>
      <c r="M176" s="6">
        <f t="shared" si="50"/>
        <v>9.9421296326909214E-3</v>
      </c>
      <c r="N176" s="7">
        <f t="shared" si="66"/>
        <v>14.316666671074927</v>
      </c>
      <c r="O176" s="7"/>
      <c r="P176" s="7"/>
      <c r="Q176" s="22"/>
      <c r="R176" s="22"/>
      <c r="S176" s="31">
        <f t="shared" si="67"/>
        <v>1</v>
      </c>
      <c r="T176" s="46" t="str">
        <f t="shared" si="52"/>
        <v>Southbound</v>
      </c>
      <c r="U176" s="18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7" t="str">
        <f t="shared" si="53"/>
        <v>https://d0f6bd738d7f1b3e5a7ca70fe4ff75f0.us-east-1.aws.found.io/app/kibana#/discover/Steve-Slow-Train-Analysis-(2080s-and-2083s)?_g=(refreshInterval:(display:Off,pause:!f,section:0,value:0),time:(from:'2017-02-17T08:37:39-0700',mode:absolute,to:'2017-02-17T10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6" s="188" t="str">
        <f t="shared" si="54"/>
        <v>N</v>
      </c>
      <c r="X176" s="188">
        <f t="shared" si="65"/>
        <v>1</v>
      </c>
      <c r="Y176" s="62">
        <f t="shared" si="60"/>
        <v>5.8678999999999997</v>
      </c>
      <c r="Z176" s="62">
        <f t="shared" si="61"/>
        <v>7.3999999999999996E-2</v>
      </c>
      <c r="AA176" s="62">
        <f t="shared" si="55"/>
        <v>5.7938999999999998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6"/>
        <v>0814-17</v>
      </c>
      <c r="AE176" s="85" t="str">
        <f t="shared" si="5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176" s="82" t="str">
        <f t="shared" si="58"/>
        <v>"C:\Program Files (x86)\AstroGrep\AstroGrep.exe" /spath="%USERPROFILE%\AppData\Local\Temp\OnboardLogs" /stypes="app*4008*20170217*" /stext=" 16:.+((SYSTEM_STATE.+slice.+state.+changed )|(ment ac)|(multiple cpu faults)|(system.+state.+changed )|(\[timeout)|(PRM\|1\|D)|(kpr)|(kdp)|(\|lc)|(penalty))" /e /r /s</v>
      </c>
      <c r="AG176" s="1" t="str">
        <f t="shared" si="59"/>
        <v>NW</v>
      </c>
      <c r="AH176" s="86" t="str">
        <f t="shared" si="62"/>
        <v>"%USERPROFILE%\Documents\GitHub\eaglep3\Utilities\RefineRTDCRunTimes.py" --tripid 814-17 --locoid 4008 --swversion DE.1.0.9.0 --startMP 300:58679 --initTime 2017-02-17T09:37:39 --startdatetime 2017-02-17T09:41:00 --delay 1 --endMP 204:740 --enddatetime 2017-02-17T09:55:19 --enforcementcount 0 &gt;&gt;C:\Users\stu\Documents\GitHub\eaglep3-reporting\EC\2017-02-17-refined-times.txt</v>
      </c>
      <c r="AI176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{"issue":{"subject":"","project_id":79,"tracker_id":40,"status_id":1,"priority_id":2,"assigned_to_id":23,"start_date":"2017-02-17","description":"","custom_fields":[{"id":1,"name":"Subdivision","value":"NW"},{"id":4,"name":"Milepost","value":"0.074"},{"id":17,"name":"Train ID","value":"814-17"},{"id":16,"name":"Locomotive ID","value":"4008"},{"id":130,"name":"Impact","value":""},{"id":150,"name":"Time of Event (Mountain Time)","value":"09:55:19"},{"id":151,"name":"Denver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4"/>
        <v>start /low /b %USERPROFILE%\Documents\GitHub\eaglep3\Utilities\DownloadLogsFromS3.py --loco 4008 --day 2017-02-17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"%USERPROFILE%\AppData\Local\Temp\OnboardLogs"\RTDC4008\*4008*20170217* | grep -SE "(Enforcement Action)|(\[TIMEOUT)|(CHR.+\|PRM\|1\|D.+(SWITCH|SIGNAL).+UNKNOWN)" - &gt;&gt; 2017-02-17-UncaughtWiMAX.txt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532</v>
      </c>
      <c r="B177" s="7">
        <v>4007</v>
      </c>
      <c r="C177" s="21" t="s">
        <v>682</v>
      </c>
      <c r="D177" s="21" t="s">
        <v>790</v>
      </c>
      <c r="E177" s="13">
        <v>42783.417893518519</v>
      </c>
      <c r="F177" s="13">
        <v>42783.431435185186</v>
      </c>
      <c r="G177" s="7">
        <v>1</v>
      </c>
      <c r="H177" s="21" t="s">
        <v>791</v>
      </c>
      <c r="I177" s="13">
        <v>42783.441076388888</v>
      </c>
      <c r="J177" s="7">
        <v>0</v>
      </c>
      <c r="K177" s="98" t="str">
        <f t="shared" si="49"/>
        <v>4007/4008</v>
      </c>
      <c r="L177" s="21" t="str">
        <f>VLOOKUP(A177,'Trips&amp;Operators'!$C$1:$G$99999,5,FALSE)</f>
        <v>SHOOK JOHN</v>
      </c>
      <c r="M177" s="6">
        <f t="shared" si="50"/>
        <v>9.6412037019035779E-3</v>
      </c>
      <c r="N177" s="7">
        <f t="shared" si="66"/>
        <v>13.883333330741152</v>
      </c>
      <c r="O177" s="7"/>
      <c r="P177" s="7"/>
      <c r="Q177" s="22"/>
      <c r="R177" s="22"/>
      <c r="S177" s="31">
        <f t="shared" si="67"/>
        <v>1</v>
      </c>
      <c r="T177" s="46" t="str">
        <f t="shared" si="52"/>
        <v>NorthBound</v>
      </c>
      <c r="U177" s="18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7" t="str">
        <f t="shared" si="53"/>
        <v>https://d0f6bd738d7f1b3e5a7ca70fe4ff75f0.us-east-1.aws.found.io/app/kibana#/discover/Steve-Slow-Train-Analysis-(2080s-and-2083s)?_g=(refreshInterval:(display:Off,pause:!f,section:0,value:0),time:(from:'2017-02-17T09:01:46-0700',mode:absolute,to:'2017-02-17T11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7" s="188" t="str">
        <f t="shared" si="54"/>
        <v>N</v>
      </c>
      <c r="X177" s="188">
        <f t="shared" si="65"/>
        <v>1</v>
      </c>
      <c r="Y177" s="62">
        <f t="shared" si="60"/>
        <v>0.1028</v>
      </c>
      <c r="Z177" s="62">
        <f t="shared" si="61"/>
        <v>5.8994999999999997</v>
      </c>
      <c r="AA177" s="62">
        <f t="shared" si="55"/>
        <v>5.7966999999999995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6"/>
        <v>0815-17</v>
      </c>
      <c r="AE177" s="85" t="str">
        <f t="shared" si="57"/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AF177" s="82" t="str">
        <f t="shared" si="58"/>
        <v>"C:\Program Files (x86)\AstroGrep\AstroGrep.exe" /spath="%USERPROFILE%\AppData\Local\Temp\OnboardLogs" /stypes="app*4007*20170217*" /stext=" 17:.+((SYSTEM_STATE.+slice.+state.+changed )|(ment ac)|(multiple cpu faults)|(system.+state.+changed )|(\[timeout)|(PRM\|1\|D)|(kpr)|(kdp)|(\|lc)|(penalty))" /e /r /s</v>
      </c>
      <c r="AG177" s="1" t="str">
        <f t="shared" si="59"/>
        <v>NW</v>
      </c>
      <c r="AH177" s="86" t="str">
        <f t="shared" si="62"/>
        <v>"%USERPROFILE%\Documents\GitHub\eaglep3\Utilities\RefineRTDCRunTimes.py" --tripid 815-17 --locoid 4007 --swversion DE.1.0.9.0 --startMP 204:1028 --initTime 2017-02-17T10:01:46 --startdatetime 2017-02-17T10:21:16 --delay 1 --endMP 300:58995 --enddatetime 2017-02-17T10:35:09 --enforcementcount 0 &gt;&gt;C:\Users\stu\Documents\GitHub\eaglep3-reporting\EC\2017-02-17-refined-times.txt</v>
      </c>
      <c r="AI177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{"issue":{"subject":"","project_id":79,"tracker_id":40,"status_id":1,"priority_id":2,"assigned_to_id":23,"start_date":"2017-02-17","description":"","custom_fields":[{"id":1,"name":"Subdivision","value":"NW"},{"id":4,"name":"Milepost","value":"5.8995"},{"id":17,"name":"Train ID","value":"815-17"},{"id":16,"name":"Locomotive ID","value":"4007"},{"id":130,"name":"Impact","value":""},{"id":150,"name":"Time of Event (Mountain Time)","value":"10:35:09"},{"id":151,"name":"Denver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4"/>
        <v>start /low /b %USERPROFILE%\Documents\GitHub\eaglep3\Utilities\DownloadLogsFromS3.py --loco 4007 --day 2017-02-17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"%USERPROFILE%\AppData\Local\Temp\OnboardLogs"\RTDC4007\*4007*20170217* | grep -SE "(Enforcement Action)|(\[TIMEOUT)|(CHR.+\|PRM\|1\|D.+(SWITCH|SIGNAL).+UNKNOWN)" - &gt;&gt; 2017-02-17-UncaughtWiMAX.txt</v>
      </c>
    </row>
    <row r="178" spans="1:91" x14ac:dyDescent="0.25">
      <c r="A178" s="33" t="s">
        <v>541</v>
      </c>
      <c r="B178" s="7">
        <v>4008</v>
      </c>
      <c r="C178" s="21" t="s">
        <v>682</v>
      </c>
      <c r="D178" s="21" t="s">
        <v>421</v>
      </c>
      <c r="E178" s="13">
        <v>42783.442858796298</v>
      </c>
      <c r="F178" s="13">
        <v>42783.445185185185</v>
      </c>
      <c r="G178" s="7">
        <v>1</v>
      </c>
      <c r="H178" s="21" t="s">
        <v>799</v>
      </c>
      <c r="I178" s="13">
        <v>42783.454988425925</v>
      </c>
      <c r="J178" s="7">
        <v>0</v>
      </c>
      <c r="K178" s="98" t="str">
        <f t="shared" si="49"/>
        <v>4007/4008</v>
      </c>
      <c r="L178" s="21" t="str">
        <f>VLOOKUP(A178,'Trips&amp;Operators'!$C$1:$G$99999,5,FALSE)</f>
        <v>SHOOK JOHN</v>
      </c>
      <c r="M178" s="6">
        <f t="shared" si="50"/>
        <v>9.8032407404389232E-3</v>
      </c>
      <c r="N178" s="7">
        <f t="shared" si="66"/>
        <v>14.116666666232049</v>
      </c>
      <c r="O178" s="7"/>
      <c r="P178" s="7"/>
      <c r="Q178" s="22"/>
      <c r="R178" s="22"/>
      <c r="S178" s="31">
        <f t="shared" si="67"/>
        <v>1</v>
      </c>
      <c r="T178" s="46" t="str">
        <f t="shared" si="52"/>
        <v>Southbound</v>
      </c>
      <c r="U178" s="18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7" t="str">
        <f t="shared" si="53"/>
        <v>https://d0f6bd738d7f1b3e5a7ca70fe4ff75f0.us-east-1.aws.found.io/app/kibana#/discover/Steve-Slow-Train-Analysis-(2080s-and-2083s)?_g=(refreshInterval:(display:Off,pause:!f,section:0,value:0),time:(from:'2017-02-17T09:37:43-0700',mode:absolute,to:'2017-02-17T11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8" s="188" t="str">
        <f t="shared" si="54"/>
        <v>N</v>
      </c>
      <c r="X178" s="188">
        <f t="shared" si="65"/>
        <v>1</v>
      </c>
      <c r="Y178" s="62">
        <f t="shared" si="60"/>
        <v>5.8678999999999997</v>
      </c>
      <c r="Z178" s="62">
        <f t="shared" si="61"/>
        <v>7.1999999999999995E-2</v>
      </c>
      <c r="AA178" s="62">
        <f t="shared" si="55"/>
        <v>5.7958999999999996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6"/>
        <v>0816-17</v>
      </c>
      <c r="AE178" s="85" t="str">
        <f t="shared" si="5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178" s="82" t="str">
        <f t="shared" si="58"/>
        <v>"C:\Program Files (x86)\AstroGrep\AstroGrep.exe" /spath="%USERPROFILE%\AppData\Local\Temp\OnboardLogs" /stypes="app*4008*20170217*" /stext=" 17:.+((SYSTEM_STATE.+slice.+state.+changed )|(ment ac)|(multiple cpu faults)|(system.+state.+changed )|(\[timeout)|(PRM\|1\|D)|(kpr)|(kdp)|(\|lc)|(penalty))" /e /r /s</v>
      </c>
      <c r="AG178" s="1" t="str">
        <f t="shared" si="59"/>
        <v>NW</v>
      </c>
      <c r="AH178" s="86" t="str">
        <f t="shared" si="62"/>
        <v>"%USERPROFILE%\Documents\GitHub\eaglep3\Utilities\RefineRTDCRunTimes.py" --tripid 816-17 --locoid 4008 --swversion DE.1.0.9.0 --startMP 300:58679 --initTime 2017-02-17T10:37:43 --startdatetime 2017-02-17T10:41:04 --delay 1 --endMP 204:720 --enddatetime 2017-02-17T10:55:11 --enforcementcount 0 &gt;&gt;C:\Users\stu\Documents\GitHub\eaglep3-reporting\EC\2017-02-17-refined-times.txt</v>
      </c>
      <c r="AI178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{"issue":{"subject":"","project_id":79,"tracker_id":40,"status_id":1,"priority_id":2,"assigned_to_id":23,"start_date":"2017-02-17","description":"","custom_fields":[{"id":1,"name":"Subdivision","value":"NW"},{"id":4,"name":"Milepost","value":"0.072"},{"id":17,"name":"Train ID","value":"816-17"},{"id":16,"name":"Locomotive ID","value":"4008"},{"id":130,"name":"Impact","value":""},{"id":150,"name":"Time of Event (Mountain Time)","value":"10:55:11"},{"id":151,"name":"Denver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4"/>
        <v>start /low /b %USERPROFILE%\Documents\GitHub\eaglep3\Utilities\DownloadLogsFromS3.py --loco 4008 --day 2017-02-17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"%USERPROFILE%\AppData\Local\Temp\OnboardLogs"\RTDC4008\*4008*20170217* | grep -SE "(Enforcement Action)|(\[TIMEOUT)|(CHR.+\|PRM\|1\|D.+(SWITCH|SIGNAL).+UNKNOWN)" - &gt;&gt; 2017-02-17-UncaughtWiMAX.txt</v>
      </c>
    </row>
    <row r="179" spans="1:91" s="20" customFormat="1" x14ac:dyDescent="0.25">
      <c r="A179" s="33" t="s">
        <v>545</v>
      </c>
      <c r="B179" s="7">
        <v>4007</v>
      </c>
      <c r="C179" s="21" t="s">
        <v>682</v>
      </c>
      <c r="D179" s="21" t="s">
        <v>790</v>
      </c>
      <c r="E179" s="13">
        <v>42783.45721064815</v>
      </c>
      <c r="F179" s="13">
        <v>42783.473124999997</v>
      </c>
      <c r="G179" s="7">
        <v>1</v>
      </c>
      <c r="H179" s="21" t="s">
        <v>800</v>
      </c>
      <c r="I179" s="13">
        <v>42783.482893518521</v>
      </c>
      <c r="J179" s="7">
        <v>0</v>
      </c>
      <c r="K179" s="98" t="str">
        <f t="shared" si="49"/>
        <v>4007/4008</v>
      </c>
      <c r="L179" s="21" t="str">
        <f>VLOOKUP(A179,'Trips&amp;Operators'!$C$1:$G$99999,5,FALSE)</f>
        <v>SHOOK JOHN</v>
      </c>
      <c r="M179" s="6">
        <f t="shared" si="50"/>
        <v>9.7685185246518813E-3</v>
      </c>
      <c r="N179" s="7">
        <f t="shared" si="66"/>
        <v>14.066666675498709</v>
      </c>
      <c r="O179" s="7"/>
      <c r="P179" s="7"/>
      <c r="Q179" s="22"/>
      <c r="R179" s="22"/>
      <c r="S179" s="31">
        <f t="shared" si="67"/>
        <v>1</v>
      </c>
      <c r="T179" s="46" t="str">
        <f t="shared" si="52"/>
        <v>NorthBound</v>
      </c>
      <c r="U179" s="18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7" t="str">
        <f t="shared" si="53"/>
        <v>https://d0f6bd738d7f1b3e5a7ca70fe4ff75f0.us-east-1.aws.found.io/app/kibana#/discover/Steve-Slow-Train-Analysis-(2080s-and-2083s)?_g=(refreshInterval:(display:Off,pause:!f,section:0,value:0),time:(from:'2017-02-17T09:58:23-0700',mode:absolute,to:'2017-02-17T12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9" s="188" t="str">
        <f t="shared" si="54"/>
        <v>N</v>
      </c>
      <c r="X179" s="188">
        <f t="shared" si="65"/>
        <v>1</v>
      </c>
      <c r="Y179" s="62">
        <f t="shared" si="60"/>
        <v>0.1028</v>
      </c>
      <c r="Z179" s="62">
        <f t="shared" si="61"/>
        <v>5.8993000000000002</v>
      </c>
      <c r="AA179" s="62">
        <f t="shared" si="55"/>
        <v>5.7965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6"/>
        <v>0817-17</v>
      </c>
      <c r="AE179" s="85" t="str">
        <f t="shared" si="57"/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AF179" s="82" t="str">
        <f t="shared" si="58"/>
        <v>"C:\Program Files (x86)\AstroGrep\AstroGrep.exe" /spath="%USERPROFILE%\AppData\Local\Temp\OnboardLogs" /stypes="app*4007*20170217*" /stext=" 18:.+((SYSTEM_STATE.+slice.+state.+changed )|(ment ac)|(multiple cpu faults)|(system.+state.+changed )|(\[timeout)|(PRM\|1\|D)|(kpr)|(kdp)|(\|lc)|(penalty))" /e /r /s</v>
      </c>
      <c r="AG179" s="1" t="str">
        <f t="shared" si="59"/>
        <v>NW</v>
      </c>
      <c r="AH179" s="86" t="str">
        <f t="shared" si="62"/>
        <v>"%USERPROFILE%\Documents\GitHub\eaglep3\Utilities\RefineRTDCRunTimes.py" --tripid 817-17 --locoid 4007 --swversion DE.1.0.9.0 --startMP 204:1028 --initTime 2017-02-17T10:58:23 --startdatetime 2017-02-17T11:21:18 --delay 1 --endMP 300:58993 --enddatetime 2017-02-17T11:35:22 --enforcementcount 0 &gt;&gt;C:\Users\stu\Documents\GitHub\eaglep3-reporting\EC\2017-02-17-refined-times.txt</v>
      </c>
      <c r="AI179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{"issue":{"subject":"","project_id":79,"tracker_id":40,"status_id":1,"priority_id":2,"assigned_to_id":23,"start_date":"2017-02-17","description":"","custom_fields":[{"id":1,"name":"Subdivision","value":"NW"},{"id":4,"name":"Milepost","value":"5.8993"},{"id":17,"name":"Train ID","value":"817-17"},{"id":16,"name":"Locomotive ID","value":"4007"},{"id":130,"name":"Impact","value":""},{"id":150,"name":"Time of Event (Mountain Time)","value":"11:35:22"},{"id":151,"name":"Denver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4"/>
        <v>start /low /b %USERPROFILE%\Documents\GitHub\eaglep3\Utilities\DownloadLogsFromS3.py --loco 4007 --day 2017-02-17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"%USERPROFILE%\AppData\Local\Temp\OnboardLogs"\RTDC4007\*4007*20170217* | grep -SE "(Enforcement Action)|(\[TIMEOUT)|(CHR.+\|PRM\|1\|D.+(SWITCH|SIGNAL).+UNKNOWN)" - &gt;&gt; 2017-02-17-UncaughtWiMAX.txt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553</v>
      </c>
      <c r="B180" s="7">
        <v>4008</v>
      </c>
      <c r="C180" s="21" t="s">
        <v>682</v>
      </c>
      <c r="D180" s="21" t="s">
        <v>421</v>
      </c>
      <c r="E180" s="13">
        <v>42783.484479166669</v>
      </c>
      <c r="F180" s="13">
        <v>42783.486689814818</v>
      </c>
      <c r="G180" s="7">
        <v>1</v>
      </c>
      <c r="H180" s="21" t="s">
        <v>792</v>
      </c>
      <c r="I180" s="13">
        <v>42783.496712962966</v>
      </c>
      <c r="J180" s="7">
        <v>0</v>
      </c>
      <c r="K180" s="98" t="str">
        <f t="shared" si="49"/>
        <v>4007/4008</v>
      </c>
      <c r="L180" s="21" t="str">
        <f>VLOOKUP(A180,'Trips&amp;Operators'!$C$1:$G$99999,5,FALSE)</f>
        <v>SHOOK JOHN</v>
      </c>
      <c r="M180" s="6">
        <f t="shared" si="50"/>
        <v>1.0023148148320615E-2</v>
      </c>
      <c r="N180" s="7">
        <f t="shared" si="66"/>
        <v>14.433333333581686</v>
      </c>
      <c r="O180" s="7"/>
      <c r="P180" s="7"/>
      <c r="Q180" s="22"/>
      <c r="R180" s="22"/>
      <c r="S180" s="31">
        <f t="shared" si="67"/>
        <v>1</v>
      </c>
      <c r="T180" s="46" t="str">
        <f t="shared" si="52"/>
        <v>Southbound</v>
      </c>
      <c r="U180" s="18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7" t="str">
        <f t="shared" si="53"/>
        <v>https://d0f6bd738d7f1b3e5a7ca70fe4ff75f0.us-east-1.aws.found.io/app/kibana#/discover/Steve-Slow-Train-Analysis-(2080s-and-2083s)?_g=(refreshInterval:(display:Off,pause:!f,section:0,value:0),time:(from:'2017-02-17T10:37:39-0700',mode:absolute,to:'2017-02-17T12:55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0" s="188" t="str">
        <f t="shared" si="54"/>
        <v>N</v>
      </c>
      <c r="X180" s="188">
        <f t="shared" si="65"/>
        <v>1</v>
      </c>
      <c r="Y180" s="62">
        <f t="shared" si="60"/>
        <v>5.8678999999999997</v>
      </c>
      <c r="Z180" s="62">
        <f t="shared" si="61"/>
        <v>7.5700000000000003E-2</v>
      </c>
      <c r="AA180" s="62">
        <f t="shared" si="55"/>
        <v>5.7921999999999993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6"/>
        <v>0818-17</v>
      </c>
      <c r="AE180" s="85" t="str">
        <f t="shared" si="5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180" s="82" t="str">
        <f t="shared" si="58"/>
        <v>"C:\Program Files (x86)\AstroGrep\AstroGrep.exe" /spath="%USERPROFILE%\AppData\Local\Temp\OnboardLogs" /stypes="app*4008*20170217*" /stext=" 18:.+((SYSTEM_STATE.+slice.+state.+changed )|(ment ac)|(multiple cpu faults)|(system.+state.+changed )|(\[timeout)|(PRM\|1\|D)|(kpr)|(kdp)|(\|lc)|(penalty))" /e /r /s</v>
      </c>
      <c r="AG180" s="1" t="str">
        <f t="shared" si="59"/>
        <v>NW</v>
      </c>
      <c r="AH180" s="86" t="str">
        <f t="shared" si="62"/>
        <v>"%USERPROFILE%\Documents\GitHub\eaglep3\Utilities\RefineRTDCRunTimes.py" --tripid 818-17 --locoid 4008 --swversion DE.1.0.9.0 --startMP 300:58679 --initTime 2017-02-17T11:37:39 --startdatetime 2017-02-17T11:40:50 --delay 1 --endMP 204:757 --enddatetime 2017-02-17T11:55:16 --enforcementcount 0 &gt;&gt;C:\Users\stu\Documents\GitHub\eaglep3-reporting\EC\2017-02-17-refined-times.txt</v>
      </c>
      <c r="AI180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{"issue":{"subject":"","project_id":79,"tracker_id":40,"status_id":1,"priority_id":2,"assigned_to_id":23,"start_date":"2017-02-17","description":"","custom_fields":[{"id":1,"name":"Subdivision","value":"NW"},{"id":4,"name":"Milepost","value":"0.0757"},{"id":17,"name":"Train ID","value":"818-17"},{"id":16,"name":"Locomotive ID","value":"4008"},{"id":130,"name":"Impact","value":""},{"id":150,"name":"Time of Event (Mountain Time)","value":"11:55:16"},{"id":151,"name":"Denver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4"/>
        <v>start /low /b %USERPROFILE%\Documents\GitHub\eaglep3\Utilities\DownloadLogsFromS3.py --loco 4008 --day 2017-02-17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"%USERPROFILE%\AppData\Local\Temp\OnboardLogs"\RTDC4008\*4008*20170217* | grep -SE "(Enforcement Action)|(\[TIMEOUT)|(CHR.+\|PRM\|1\|D.+(SWITCH|SIGNAL).+UNKNOWN)" - &gt;&gt; 2017-02-17-UncaughtWiMAX.txt</v>
      </c>
    </row>
    <row r="181" spans="1:91" s="20" customFormat="1" x14ac:dyDescent="0.25">
      <c r="A181" s="33" t="s">
        <v>557</v>
      </c>
      <c r="B181" s="7">
        <v>4007</v>
      </c>
      <c r="C181" s="21" t="s">
        <v>682</v>
      </c>
      <c r="D181" s="21" t="s">
        <v>798</v>
      </c>
      <c r="E181" s="13">
        <v>42783.498252314814</v>
      </c>
      <c r="F181" s="13">
        <v>42783.514768518522</v>
      </c>
      <c r="G181" s="7">
        <v>0</v>
      </c>
      <c r="H181" s="21" t="s">
        <v>800</v>
      </c>
      <c r="I181" s="13">
        <v>42783.524652777778</v>
      </c>
      <c r="J181" s="7">
        <v>0</v>
      </c>
      <c r="K181" s="98" t="str">
        <f t="shared" si="49"/>
        <v>4007/4008</v>
      </c>
      <c r="L181" s="21" t="str">
        <f>VLOOKUP(A181,'Trips&amp;Operators'!$C$1:$G$99999,5,FALSE)</f>
        <v>SHOOK JOHN</v>
      </c>
      <c r="M181" s="6">
        <f t="shared" si="50"/>
        <v>9.8842592560686171E-3</v>
      </c>
      <c r="N181" s="7">
        <f t="shared" si="66"/>
        <v>14.233333328738809</v>
      </c>
      <c r="O181" s="7"/>
      <c r="P181" s="7"/>
      <c r="Q181" s="22"/>
      <c r="R181" s="22"/>
      <c r="S181" s="31">
        <f t="shared" si="67"/>
        <v>1</v>
      </c>
      <c r="T181" s="46" t="str">
        <f t="shared" si="52"/>
        <v>NorthBound</v>
      </c>
      <c r="U181" s="18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7" t="str">
        <f t="shared" si="53"/>
        <v>https://d0f6bd738d7f1b3e5a7ca70fe4ff75f0.us-east-1.aws.found.io/app/kibana#/discover/Steve-Slow-Train-Analysis-(2080s-and-2083s)?_g=(refreshInterval:(display:Off,pause:!f,section:0,value:0),time:(from:'2017-02-17T10:57:29-0700',mode:absolute,to:'2017-02-17T13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1" s="188" t="str">
        <f t="shared" si="54"/>
        <v>N</v>
      </c>
      <c r="X181" s="188">
        <f t="shared" si="65"/>
        <v>1</v>
      </c>
      <c r="Y181" s="62">
        <f t="shared" si="60"/>
        <v>0.10249999999999999</v>
      </c>
      <c r="Z181" s="62">
        <f t="shared" si="61"/>
        <v>5.8993000000000002</v>
      </c>
      <c r="AA181" s="62">
        <f t="shared" si="55"/>
        <v>5.7968000000000002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6"/>
        <v>0819-17</v>
      </c>
      <c r="AE181" s="85" t="str">
        <f t="shared" si="57"/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AF181" s="82" t="str">
        <f t="shared" si="58"/>
        <v>"C:\Program Files (x86)\AstroGrep\AstroGrep.exe" /spath="%USERPROFILE%\AppData\Local\Temp\OnboardLogs" /stypes="app*4007*20170217*" /stext=" 19:.+((SYSTEM_STATE.+slice.+state.+changed )|(ment ac)|(multiple cpu faults)|(system.+state.+changed )|(\[timeout)|(PRM\|1\|D)|(kpr)|(kdp)|(\|lc)|(penalty))" /e /r /s</v>
      </c>
      <c r="AG181" s="1" t="str">
        <f t="shared" si="59"/>
        <v>NW</v>
      </c>
      <c r="AH181" s="86" t="str">
        <f t="shared" si="62"/>
        <v>"%USERPROFILE%\Documents\GitHub\eaglep3\Utilities\RefineRTDCRunTimes.py" --tripid 819-17 --locoid 4007 --swversion DE.1.0.9.0 --startMP 204:1025 --initTime 2017-02-17T11:57:29 --startdatetime 2017-02-17T12:21:16 --delay 0 --endMP 300:58993 --enddatetime 2017-02-17T12:35:30 --enforcementcount 0 &gt;&gt;C:\Users\stu\Documents\GitHub\eaglep3-reporting\EC\2017-02-17-refined-times.txt</v>
      </c>
      <c r="AI181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{"issue":{"subject":"","project_id":79,"tracker_id":40,"status_id":1,"priority_id":2,"assigned_to_id":23,"start_date":"2017-02-17","description":"","custom_fields":[{"id":1,"name":"Subdivision","value":"NW"},{"id":4,"name":"Milepost","value":"5.8993"},{"id":17,"name":"Train ID","value":"819-17"},{"id":16,"name":"Locomotive ID","value":"4007"},{"id":130,"name":"Impact","value":""},{"id":150,"name":"Time of Event (Mountain Time)","value":"12:35:30"},{"id":151,"name":"Denver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4"/>
        <v>start /low /b %USERPROFILE%\Documents\GitHub\eaglep3\Utilities\DownloadLogsFromS3.py --loco 4007 --day 2017-02-17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"%USERPROFILE%\AppData\Local\Temp\OnboardLogs"\RTDC4007\*4007*20170217* | grep -SE "(Enforcement Action)|(\[TIMEOUT)|(CHR.+\|PRM\|1\|D.+(SWITCH|SIGNAL).+UNKNOWN)" - &gt;&gt; 2017-02-17-UncaughtWiMAX.txt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3" t="s">
        <v>561</v>
      </c>
      <c r="B182" s="7">
        <v>4008</v>
      </c>
      <c r="C182" s="21" t="s">
        <v>682</v>
      </c>
      <c r="D182" s="21" t="s">
        <v>801</v>
      </c>
      <c r="E182" s="13">
        <v>42783.526759259257</v>
      </c>
      <c r="F182" s="13">
        <v>42783.528784722221</v>
      </c>
      <c r="G182" s="7">
        <v>1</v>
      </c>
      <c r="H182" s="21" t="s">
        <v>802</v>
      </c>
      <c r="I182" s="13">
        <v>42783.538263888891</v>
      </c>
      <c r="J182" s="7">
        <v>0</v>
      </c>
      <c r="K182" s="98" t="str">
        <f t="shared" si="49"/>
        <v>4007/4008</v>
      </c>
      <c r="L182" s="21" t="str">
        <f>VLOOKUP(A182,'Trips&amp;Operators'!$C$1:$G$99999,5,FALSE)</f>
        <v>SHOOK JOHN</v>
      </c>
      <c r="M182" s="6">
        <f t="shared" si="50"/>
        <v>9.4791666706441902E-3</v>
      </c>
      <c r="N182" s="7">
        <f t="shared" si="66"/>
        <v>13.650000005727634</v>
      </c>
      <c r="O182" s="7"/>
      <c r="P182" s="7"/>
      <c r="Q182" s="22"/>
      <c r="R182" s="22"/>
      <c r="S182" s="31">
        <f t="shared" si="67"/>
        <v>1</v>
      </c>
      <c r="T182" s="46" t="str">
        <f t="shared" si="52"/>
        <v>Southbound</v>
      </c>
      <c r="U182" s="18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7" t="str">
        <f t="shared" si="53"/>
        <v>https://d0f6bd738d7f1b3e5a7ca70fe4ff75f0.us-east-1.aws.found.io/app/kibana#/discover/Steve-Slow-Train-Analysis-(2080s-and-2083s)?_g=(refreshInterval:(display:Off,pause:!f,section:0,value:0),time:(from:'2017-02-17T11:38:32-0700',mode:absolute,to:'2017-02-17T13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2" s="188" t="str">
        <f t="shared" si="54"/>
        <v>N</v>
      </c>
      <c r="X182" s="188">
        <f t="shared" si="65"/>
        <v>1</v>
      </c>
      <c r="Y182" s="62">
        <f t="shared" si="60"/>
        <v>5.8677000000000001</v>
      </c>
      <c r="Z182" s="62">
        <f t="shared" si="61"/>
        <v>7.4099999999999999E-2</v>
      </c>
      <c r="AA182" s="62">
        <f t="shared" si="55"/>
        <v>5.7936000000000005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6"/>
        <v>0820-17</v>
      </c>
      <c r="AE182" s="85" t="str">
        <f t="shared" si="5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182" s="82" t="str">
        <f t="shared" si="58"/>
        <v>"C:\Program Files (x86)\AstroGrep\AstroGrep.exe" /spath="%USERPROFILE%\AppData\Local\Temp\OnboardLogs" /stypes="app*4008*20170217*" /stext=" 19:.+((SYSTEM_STATE.+slice.+state.+changed )|(ment ac)|(multiple cpu faults)|(system.+state.+changed )|(\[timeout)|(PRM\|1\|D)|(kpr)|(kdp)|(\|lc)|(penalty))" /e /r /s</v>
      </c>
      <c r="AG182" s="1" t="str">
        <f t="shared" si="59"/>
        <v>NW</v>
      </c>
      <c r="AH182" s="86" t="str">
        <f t="shared" si="62"/>
        <v>"%USERPROFILE%\Documents\GitHub\eaglep3\Utilities\RefineRTDCRunTimes.py" --tripid 820-17 --locoid 4008 --swversion DE.1.0.9.0 --startMP 300:58677 --initTime 2017-02-17T12:38:32 --startdatetime 2017-02-17T12:41:27 --delay 1 --endMP 204:741 --enddatetime 2017-02-17T12:55:06 --enforcementcount 0 &gt;&gt;C:\Users\stu\Documents\GitHub\eaglep3-reporting\EC\2017-02-17-refined-times.txt</v>
      </c>
      <c r="AI182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{"issue":{"subject":"","project_id":79,"tracker_id":40,"status_id":1,"priority_id":2,"assigned_to_id":23,"start_date":"2017-02-17","description":"","custom_fields":[{"id":1,"name":"Subdivision","value":"NW"},{"id":4,"name":"Milepost","value":"0.0741"},{"id":17,"name":"Train ID","value":"820-17"},{"id":16,"name":"Locomotive ID","value":"4008"},{"id":130,"name":"Impact","value":""},{"id":150,"name":"Time of Event (Mountain Time)","value":"12:55:06"},{"id":151,"name":"Denver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4"/>
        <v>start /low /b %USERPROFILE%\Documents\GitHub\eaglep3\Utilities\DownloadLogsFromS3.py --loco 4008 --day 2017-02-17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"%USERPROFILE%\AppData\Local\Temp\OnboardLogs"\RTDC4008\*4008*20170217* | grep -SE "(Enforcement Action)|(\[TIMEOUT)|(CHR.+\|PRM\|1\|D.+(SWITCH|SIGNAL).+UNKNOWN)" - &gt;&gt; 2017-02-17-UncaughtWiMAX.txt</v>
      </c>
    </row>
    <row r="183" spans="1:91" x14ac:dyDescent="0.25">
      <c r="A183" s="33" t="s">
        <v>568</v>
      </c>
      <c r="B183" s="7">
        <v>4007</v>
      </c>
      <c r="C183" s="21" t="s">
        <v>682</v>
      </c>
      <c r="D183" s="21" t="s">
        <v>790</v>
      </c>
      <c r="E183" s="13">
        <v>42783.546215277776</v>
      </c>
      <c r="F183" s="13">
        <v>42783.556539351855</v>
      </c>
      <c r="G183" s="7">
        <v>1</v>
      </c>
      <c r="H183" s="21" t="s">
        <v>803</v>
      </c>
      <c r="I183" s="13">
        <v>42783.566701388889</v>
      </c>
      <c r="J183" s="7">
        <v>0</v>
      </c>
      <c r="K183" s="98" t="str">
        <f t="shared" si="49"/>
        <v>4007/4008</v>
      </c>
      <c r="L183" s="21" t="str">
        <f>VLOOKUP(A183,'Trips&amp;Operators'!$C$1:$G$99999,5,FALSE)</f>
        <v>LEVERE CRAIG</v>
      </c>
      <c r="M183" s="6">
        <f t="shared" si="50"/>
        <v>1.0162037033296656E-2</v>
      </c>
      <c r="N183" s="7">
        <f t="shared" si="66"/>
        <v>14.633333327947184</v>
      </c>
      <c r="O183" s="7"/>
      <c r="P183" s="7"/>
      <c r="Q183" s="22"/>
      <c r="R183" s="22"/>
      <c r="S183" s="31">
        <f t="shared" si="67"/>
        <v>1</v>
      </c>
      <c r="T183" s="46" t="str">
        <f t="shared" si="52"/>
        <v>NorthBound</v>
      </c>
      <c r="U183" s="18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7" t="str">
        <f t="shared" si="53"/>
        <v>https://d0f6bd738d7f1b3e5a7ca70fe4ff75f0.us-east-1.aws.found.io/app/kibana#/discover/Steve-Slow-Train-Analysis-(2080s-and-2083s)?_g=(refreshInterval:(display:Off,pause:!f,section:0,value:0),time:(from:'2017-02-17T12:06:33-0700',mode:absolute,to:'2017-02-17T14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3" s="188" t="str">
        <f t="shared" si="54"/>
        <v>N</v>
      </c>
      <c r="X183" s="188">
        <f t="shared" si="65"/>
        <v>1</v>
      </c>
      <c r="Y183" s="62">
        <f t="shared" si="60"/>
        <v>0.1028</v>
      </c>
      <c r="Z183" s="62">
        <f t="shared" si="61"/>
        <v>5.8954000000000004</v>
      </c>
      <c r="AA183" s="62">
        <f t="shared" si="55"/>
        <v>5.7926000000000002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6"/>
        <v>0821-17</v>
      </c>
      <c r="AE183" s="85" t="str">
        <f t="shared" si="57"/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AF183" s="82" t="str">
        <f t="shared" si="58"/>
        <v>"C:\Program Files (x86)\AstroGrep\AstroGrep.exe" /spath="%USERPROFILE%\AppData\Local\Temp\OnboardLogs" /stypes="app*4007*20170217*" /stext=" 20:.+((SYSTEM_STATE.+slice.+state.+changed )|(ment ac)|(multiple cpu faults)|(system.+state.+changed )|(\[timeout)|(PRM\|1\|D)|(kpr)|(kdp)|(\|lc)|(penalty))" /e /r /s</v>
      </c>
      <c r="AG183" s="1" t="str">
        <f t="shared" si="59"/>
        <v>NW</v>
      </c>
      <c r="AH183" s="86" t="str">
        <f t="shared" si="62"/>
        <v>"%USERPROFILE%\Documents\GitHub\eaglep3\Utilities\RefineRTDCRunTimes.py" --tripid 821-17 --locoid 4007 --swversion DE.1.0.9.0 --startMP 204:1028 --initTime 2017-02-17T13:06:33 --startdatetime 2017-02-17T13:21:25 --delay 1 --endMP 300:58954 --enddatetime 2017-02-17T13:36:03 --enforcementcount 0 &gt;&gt;C:\Users\stu\Documents\GitHub\eaglep3-reporting\EC\2017-02-17-refined-times.txt</v>
      </c>
      <c r="AI183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{"issue":{"subject":"","project_id":79,"tracker_id":40,"status_id":1,"priority_id":2,"assigned_to_id":23,"start_date":"2017-02-17","description":"","custom_fields":[{"id":1,"name":"Subdivision","value":"NW"},{"id":4,"name":"Milepost","value":"5.8954"},{"id":17,"name":"Train ID","value":"821-17"},{"id":16,"name":"Locomotive ID","value":"4007"},{"id":130,"name":"Impact","value":""},{"id":150,"name":"Time of Event (Mountain Time)","value":"13:36:03"},{"id":151,"name":"Denver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4"/>
        <v>start /low /b %USERPROFILE%\Documents\GitHub\eaglep3\Utilities\DownloadLogsFromS3.py --loco 4007 --day 2017-02-17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"%USERPROFILE%\AppData\Local\Temp\OnboardLogs"\RTDC4007\*4007*20170217* | grep -SE "(Enforcement Action)|(\[TIMEOUT)|(CHR.+\|PRM\|1\|D.+(SWITCH|SIGNAL).+UNKNOWN)" - &gt;&gt; 2017-02-17-UncaughtWiMAX.txt</v>
      </c>
    </row>
    <row r="184" spans="1:91" x14ac:dyDescent="0.25">
      <c r="A184" s="33" t="s">
        <v>575</v>
      </c>
      <c r="B184" s="7">
        <v>4008</v>
      </c>
      <c r="C184" s="21" t="s">
        <v>682</v>
      </c>
      <c r="D184" s="21" t="s">
        <v>432</v>
      </c>
      <c r="E184" s="13">
        <v>42783.56763888889</v>
      </c>
      <c r="F184" s="13">
        <v>42783.569282407407</v>
      </c>
      <c r="G184" s="7">
        <v>1</v>
      </c>
      <c r="H184" s="21" t="s">
        <v>425</v>
      </c>
      <c r="I184" s="13">
        <v>42783.580231481479</v>
      </c>
      <c r="J184" s="7">
        <v>0</v>
      </c>
      <c r="K184" s="98" t="str">
        <f t="shared" si="49"/>
        <v>4007/4008</v>
      </c>
      <c r="L184" s="21" t="str">
        <f>VLOOKUP(A184,'Trips&amp;Operators'!$C$1:$G$99999,5,FALSE)</f>
        <v>LEVERE CRAIG</v>
      </c>
      <c r="M184" s="6">
        <f t="shared" si="50"/>
        <v>1.0949074072414078E-2</v>
      </c>
      <c r="N184" s="7">
        <f t="shared" si="66"/>
        <v>15.766666664276272</v>
      </c>
      <c r="O184" s="7"/>
      <c r="P184" s="7"/>
      <c r="Q184" s="22"/>
      <c r="R184" s="22"/>
      <c r="S184" s="31">
        <f t="shared" si="67"/>
        <v>1</v>
      </c>
      <c r="T184" s="46" t="str">
        <f t="shared" si="52"/>
        <v>Southbound</v>
      </c>
      <c r="U184" s="18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7" t="str">
        <f t="shared" si="53"/>
        <v>https://d0f6bd738d7f1b3e5a7ca70fe4ff75f0.us-east-1.aws.found.io/app/kibana#/discover/Steve-Slow-Train-Analysis-(2080s-and-2083s)?_g=(refreshInterval:(display:Off,pause:!f,section:0,value:0),time:(from:'2017-02-17T12:37:24-0700',mode:absolute,to:'2017-02-17T14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4" s="188" t="str">
        <f t="shared" si="54"/>
        <v>N</v>
      </c>
      <c r="X184" s="188">
        <f t="shared" si="65"/>
        <v>1</v>
      </c>
      <c r="Y184" s="62">
        <f t="shared" si="60"/>
        <v>5.8638000000000003</v>
      </c>
      <c r="Z184" s="62">
        <f t="shared" si="61"/>
        <v>7.0300000000000001E-2</v>
      </c>
      <c r="AA184" s="62">
        <f t="shared" si="55"/>
        <v>5.7935000000000008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6"/>
        <v>0822-17</v>
      </c>
      <c r="AE184" s="85" t="str">
        <f t="shared" si="5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184" s="82" t="str">
        <f t="shared" si="58"/>
        <v>"C:\Program Files (x86)\AstroGrep\AstroGrep.exe" /spath="%USERPROFILE%\AppData\Local\Temp\OnboardLogs" /stypes="app*4008*20170217*" /stext=" 20:.+((SYSTEM_STATE.+slice.+state.+changed )|(ment ac)|(multiple cpu faults)|(system.+state.+changed )|(\[timeout)|(PRM\|1\|D)|(kpr)|(kdp)|(\|lc)|(penalty))" /e /r /s</v>
      </c>
      <c r="AG184" s="1" t="str">
        <f t="shared" si="59"/>
        <v>NW</v>
      </c>
      <c r="AH184" s="86" t="str">
        <f t="shared" si="62"/>
        <v>"%USERPROFILE%\Documents\GitHub\eaglep3\Utilities\RefineRTDCRunTimes.py" --tripid 822-17 --locoid 4008 --swversion DE.1.0.9.0 --startMP 300:58638 --initTime 2017-02-17T13:37:24 --startdatetime 2017-02-17T13:39:46 --delay 1 --endMP 204:703 --enddatetime 2017-02-17T13:55:32 --enforcementcount 0 &gt;&gt;C:\Users\stu\Documents\GitHub\eaglep3-reporting\EC\2017-02-17-refined-times.txt</v>
      </c>
      <c r="AI184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{"issue":{"subject":"","project_id":79,"tracker_id":40,"status_id":1,"priority_id":2,"assigned_to_id":23,"start_date":"2017-02-17","description":"","custom_fields":[{"id":1,"name":"Subdivision","value":"NW"},{"id":4,"name":"Milepost","value":"0.0703"},{"id":17,"name":"Train ID","value":"822-17"},{"id":16,"name":"Locomotive ID","value":"4008"},{"id":130,"name":"Impact","value":""},{"id":150,"name":"Time of Event (Mountain Time)","value":"13:55:32"},{"id":151,"name":"Denver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4"/>
        <v>start /low /b %USERPROFILE%\Documents\GitHub\eaglep3\Utilities\DownloadLogsFromS3.py --loco 4008 --day 2017-02-17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"%USERPROFILE%\AppData\Local\Temp\OnboardLogs"\RTDC4008\*4008*20170217* | grep -SE "(Enforcement Action)|(\[TIMEOUT)|(CHR.+\|PRM\|1\|D.+(SWITCH|SIGNAL).+UNKNOWN)" - &gt;&gt; 2017-02-17-UncaughtWiMAX.txt</v>
      </c>
    </row>
    <row r="185" spans="1:91" s="20" customFormat="1" x14ac:dyDescent="0.25">
      <c r="A185" s="33" t="s">
        <v>580</v>
      </c>
      <c r="B185" s="7">
        <v>4007</v>
      </c>
      <c r="C185" s="21" t="s">
        <v>682</v>
      </c>
      <c r="D185" s="21" t="s">
        <v>431</v>
      </c>
      <c r="E185" s="13">
        <v>42783.588553240741</v>
      </c>
      <c r="F185" s="13">
        <v>42783.598321759258</v>
      </c>
      <c r="G185" s="7">
        <v>1</v>
      </c>
      <c r="H185" s="21" t="s">
        <v>804</v>
      </c>
      <c r="I185" s="13">
        <v>42783.607824074075</v>
      </c>
      <c r="J185" s="7">
        <v>0</v>
      </c>
      <c r="K185" s="98" t="str">
        <f t="shared" si="49"/>
        <v>4007/4008</v>
      </c>
      <c r="L185" s="21" t="str">
        <f>VLOOKUP(A185,'Trips&amp;Operators'!$C$1:$G$99999,5,FALSE)</f>
        <v>LEVERE CRAIG</v>
      </c>
      <c r="M185" s="6">
        <f t="shared" si="50"/>
        <v>9.5023148169275373E-3</v>
      </c>
      <c r="N185" s="7">
        <f t="shared" si="66"/>
        <v>13.683333336375654</v>
      </c>
      <c r="O185" s="7"/>
      <c r="P185" s="7"/>
      <c r="Q185" s="22"/>
      <c r="R185" s="22"/>
      <c r="S185" s="31">
        <f t="shared" si="67"/>
        <v>1</v>
      </c>
      <c r="T185" s="46" t="str">
        <f t="shared" si="52"/>
        <v>NorthBound</v>
      </c>
      <c r="U185" s="18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7" t="str">
        <f t="shared" si="53"/>
        <v>https://d0f6bd738d7f1b3e5a7ca70fe4ff75f0.us-east-1.aws.found.io/app/kibana#/discover/Steve-Slow-Train-Analysis-(2080s-and-2083s)?_g=(refreshInterval:(display:Off,pause:!f,section:0,value:0),time:(from:'2017-02-17T13:07:31-0700',mode:absolute,to:'2017-02-17T15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5" s="188" t="str">
        <f t="shared" si="54"/>
        <v>N</v>
      </c>
      <c r="X185" s="188">
        <f t="shared" si="65"/>
        <v>1</v>
      </c>
      <c r="Y185" s="62">
        <f t="shared" si="60"/>
        <v>9.9000000000000005E-2</v>
      </c>
      <c r="Z185" s="62">
        <f t="shared" si="61"/>
        <v>5.8975</v>
      </c>
      <c r="AA185" s="62">
        <f t="shared" si="55"/>
        <v>5.7984999999999998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6"/>
        <v>0823-17</v>
      </c>
      <c r="AE185" s="85" t="str">
        <f t="shared" si="57"/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AF185" s="82" t="str">
        <f t="shared" si="58"/>
        <v>"C:\Program Files (x86)\AstroGrep\AstroGrep.exe" /spath="%USERPROFILE%\AppData\Local\Temp\OnboardLogs" /stypes="app*4007*20170217*" /stext=" 21:.+((SYSTEM_STATE.+slice.+state.+changed )|(ment ac)|(multiple cpu faults)|(system.+state.+changed )|(\[timeout)|(PRM\|1\|D)|(kpr)|(kdp)|(\|lc)|(penalty))" /e /r /s</v>
      </c>
      <c r="AG185" s="1" t="str">
        <f t="shared" si="59"/>
        <v>NW</v>
      </c>
      <c r="AH185" s="86" t="str">
        <f t="shared" si="62"/>
        <v>"%USERPROFILE%\Documents\GitHub\eaglep3\Utilities\RefineRTDCRunTimes.py" --tripid 823-17 --locoid 4007 --swversion DE.1.0.9.0 --startMP 204:990 --initTime 2017-02-17T14:07:31 --startdatetime 2017-02-17T14:21:35 --delay 1 --endMP 300:58975 --enddatetime 2017-02-17T14:35:16 --enforcementcount 0 &gt;&gt;C:\Users\stu\Documents\GitHub\eaglep3-reporting\EC\2017-02-17-refined-times.txt</v>
      </c>
      <c r="AI185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{"issue":{"subject":"","project_id":79,"tracker_id":40,"status_id":1,"priority_id":2,"assigned_to_id":23,"start_date":"2017-02-17","description":"","custom_fields":[{"id":1,"name":"Subdivision","value":"NW"},{"id":4,"name":"Milepost","value":"5.8975"},{"id":17,"name":"Train ID","value":"823-17"},{"id":16,"name":"Locomotive ID","value":"4007"},{"id":130,"name":"Impact","value":""},{"id":150,"name":"Time of Event (Mountain Time)","value":"14:35:16"},{"id":151,"name":"Denver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4"/>
        <v>start /low /b %USERPROFILE%\Documents\GitHub\eaglep3\Utilities\DownloadLogsFromS3.py --loco 4007 --day 2017-02-17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"%USERPROFILE%\AppData\Local\Temp\OnboardLogs"\RTDC4007\*4007*20170217* | grep -SE "(Enforcement Action)|(\[TIMEOUT)|(CHR.+\|PRM\|1\|D.+(SWITCH|SIGNAL).+UNKNOWN)" - &gt;&gt; 2017-02-17-UncaughtWiMAX.txt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583</v>
      </c>
      <c r="B186" s="7">
        <v>4008</v>
      </c>
      <c r="C186" s="21" t="s">
        <v>682</v>
      </c>
      <c r="D186" s="21" t="s">
        <v>805</v>
      </c>
      <c r="E186" s="13">
        <v>42783.608784722222</v>
      </c>
      <c r="F186" s="13">
        <v>42783.610381944447</v>
      </c>
      <c r="G186" s="7">
        <v>1</v>
      </c>
      <c r="H186" s="21" t="s">
        <v>806</v>
      </c>
      <c r="I186" s="13">
        <v>42783.622650462959</v>
      </c>
      <c r="J186" s="7">
        <v>0</v>
      </c>
      <c r="K186" s="98" t="str">
        <f t="shared" si="49"/>
        <v>4007/4008</v>
      </c>
      <c r="L186" s="21" t="str">
        <f>VLOOKUP(A186,'Trips&amp;Operators'!$C$1:$G$99999,5,FALSE)</f>
        <v>LEVERE CRAIG</v>
      </c>
      <c r="M186" s="6">
        <f t="shared" si="50"/>
        <v>1.2268518512428273E-2</v>
      </c>
      <c r="N186" s="7">
        <f t="shared" si="66"/>
        <v>17.666666657896712</v>
      </c>
      <c r="O186" s="7"/>
      <c r="P186" s="7"/>
      <c r="Q186" s="22"/>
      <c r="R186" s="22"/>
      <c r="S186" s="31">
        <f t="shared" si="67"/>
        <v>1</v>
      </c>
      <c r="T186" s="46" t="str">
        <f t="shared" si="52"/>
        <v>Southbound</v>
      </c>
      <c r="U186" s="18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7" t="str">
        <f t="shared" si="53"/>
        <v>https://d0f6bd738d7f1b3e5a7ca70fe4ff75f0.us-east-1.aws.found.io/app/kibana#/discover/Steve-Slow-Train-Analysis-(2080s-and-2083s)?_g=(refreshInterval:(display:Off,pause:!f,section:0,value:0),time:(from:'2017-02-17T13:36:39-0700',mode:absolute,to:'2017-02-17T15:56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6" s="188" t="str">
        <f t="shared" si="54"/>
        <v>N</v>
      </c>
      <c r="X186" s="188">
        <f t="shared" si="65"/>
        <v>1</v>
      </c>
      <c r="Y186" s="62">
        <f t="shared" si="60"/>
        <v>5.8653000000000004</v>
      </c>
      <c r="Z186" s="62">
        <f t="shared" si="61"/>
        <v>6.7699999999999996E-2</v>
      </c>
      <c r="AA186" s="62">
        <f t="shared" si="55"/>
        <v>5.7976000000000001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6"/>
        <v>0824-17</v>
      </c>
      <c r="AE186" s="85" t="str">
        <f t="shared" si="5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186" s="82" t="str">
        <f t="shared" si="58"/>
        <v>"C:\Program Files (x86)\AstroGrep\AstroGrep.exe" /spath="%USERPROFILE%\AppData\Local\Temp\OnboardLogs" /stypes="app*4008*20170217*" /stext=" 21:.+((SYSTEM_STATE.+slice.+state.+changed )|(ment ac)|(multiple cpu faults)|(system.+state.+changed )|(\[timeout)|(PRM\|1\|D)|(kpr)|(kdp)|(\|lc)|(penalty))" /e /r /s</v>
      </c>
      <c r="AG186" s="1" t="str">
        <f t="shared" si="59"/>
        <v>NW</v>
      </c>
      <c r="AH186" s="86" t="str">
        <f t="shared" si="62"/>
        <v>"%USERPROFILE%\Documents\GitHub\eaglep3\Utilities\RefineRTDCRunTimes.py" --tripid 824-17 --locoid 4008 --swversion DE.1.0.9.0 --startMP 300:58653 --initTime 2017-02-17T14:36:39 --startdatetime 2017-02-17T14:38:57 --delay 1 --endMP 204:677 --enddatetime 2017-02-17T14:56:37 --enforcementcount 0 &gt;&gt;C:\Users\stu\Documents\GitHub\eaglep3-reporting\EC\2017-02-17-refined-times.txt</v>
      </c>
      <c r="AI186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{"issue":{"subject":"","project_id":79,"tracker_id":40,"status_id":1,"priority_id":2,"assigned_to_id":23,"start_date":"2017-02-17","description":"","custom_fields":[{"id":1,"name":"Subdivision","value":"NW"},{"id":4,"name":"Milepost","value":"0.0677"},{"id":17,"name":"Train ID","value":"824-17"},{"id":16,"name":"Locomotive ID","value":"4008"},{"id":130,"name":"Impact","value":""},{"id":150,"name":"Time of Event (Mountain Time)","value":"14:56:37"},{"id":151,"name":"Denver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4"/>
        <v>start /low /b %USERPROFILE%\Documents\GitHub\eaglep3\Utilities\DownloadLogsFromS3.py --loco 4008 --day 2017-02-17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"%USERPROFILE%\AppData\Local\Temp\OnboardLogs"\RTDC4008\*4008*20170217* | grep -SE "(Enforcement Action)|(\[TIMEOUT)|(CHR.+\|PRM\|1\|D.+(SWITCH|SIGNAL).+UNKNOWN)" - &gt;&gt; 2017-02-17-UncaughtWiMAX.txt</v>
      </c>
    </row>
    <row r="187" spans="1:91" s="20" customFormat="1" x14ac:dyDescent="0.25">
      <c r="A187" s="33" t="s">
        <v>591</v>
      </c>
      <c r="B187" s="7">
        <v>4007</v>
      </c>
      <c r="C187" s="21" t="s">
        <v>682</v>
      </c>
      <c r="D187" s="21" t="s">
        <v>807</v>
      </c>
      <c r="E187" s="13">
        <v>42783.633009259262</v>
      </c>
      <c r="F187" s="13">
        <v>42783.639791666668</v>
      </c>
      <c r="G187" s="7">
        <v>1</v>
      </c>
      <c r="H187" s="21" t="s">
        <v>808</v>
      </c>
      <c r="I187" s="13">
        <v>42783.649629629632</v>
      </c>
      <c r="J187" s="7">
        <v>0</v>
      </c>
      <c r="K187" s="98" t="str">
        <f t="shared" si="49"/>
        <v>4007/4008</v>
      </c>
      <c r="L187" s="21" t="str">
        <f>VLOOKUP(A187,'Trips&amp;Operators'!$C$1:$G$99999,5,FALSE)</f>
        <v>LEVERE CRAIG</v>
      </c>
      <c r="M187" s="6">
        <f t="shared" si="50"/>
        <v>9.8379629635019228E-3</v>
      </c>
      <c r="N187" s="7">
        <f t="shared" si="66"/>
        <v>14.166666667442769</v>
      </c>
      <c r="O187" s="7"/>
      <c r="P187" s="7"/>
      <c r="Q187" s="22"/>
      <c r="R187" s="22"/>
      <c r="S187" s="31">
        <f t="shared" si="67"/>
        <v>1</v>
      </c>
      <c r="T187" s="46" t="str">
        <f t="shared" si="52"/>
        <v>NorthBound</v>
      </c>
      <c r="U187" s="18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7" t="str">
        <f t="shared" si="53"/>
        <v>https://d0f6bd738d7f1b3e5a7ca70fe4ff75f0.us-east-1.aws.found.io/app/kibana#/discover/Steve-Slow-Train-Analysis-(2080s-and-2083s)?_g=(refreshInterval:(display:Off,pause:!f,section:0,value:0),time:(from:'2017-02-17T14:11:32-0700',mode:absolute,to:'2017-02-17T16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7" s="188" t="str">
        <f t="shared" si="54"/>
        <v>N</v>
      </c>
      <c r="X187" s="188">
        <f t="shared" si="65"/>
        <v>1</v>
      </c>
      <c r="Y187" s="62">
        <f t="shared" si="60"/>
        <v>9.7799999999999998E-2</v>
      </c>
      <c r="Z187" s="62">
        <f t="shared" si="61"/>
        <v>5.8983999999999996</v>
      </c>
      <c r="AA187" s="62">
        <f t="shared" si="55"/>
        <v>5.8005999999999993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6"/>
        <v>0825-17</v>
      </c>
      <c r="AE187" s="85" t="str">
        <f t="shared" si="57"/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AF187" s="82" t="str">
        <f t="shared" si="58"/>
        <v>"C:\Program Files (x86)\AstroGrep\AstroGrep.exe" /spath="%USERPROFILE%\AppData\Local\Temp\OnboardLogs" /stypes="app*4007*20170217*" /stext=" 22:.+((SYSTEM_STATE.+slice.+state.+changed )|(ment ac)|(multiple cpu faults)|(system.+state.+changed )|(\[timeout)|(PRM\|1\|D)|(kpr)|(kdp)|(\|lc)|(penalty))" /e /r /s</v>
      </c>
      <c r="AG187" s="1" t="str">
        <f t="shared" si="59"/>
        <v>NW</v>
      </c>
      <c r="AH187" s="86" t="str">
        <f t="shared" si="62"/>
        <v>"%USERPROFILE%\Documents\GitHub\eaglep3\Utilities\RefineRTDCRunTimes.py" --tripid 825-17 --locoid 4007 --swversion DE.1.0.9.0 --startMP 204:978 --initTime 2017-02-17T15:11:32 --startdatetime 2017-02-17T15:21:18 --delay 1 --endMP 300:58984 --enddatetime 2017-02-17T15:35:28 --enforcementcount 0 &gt;&gt;C:\Users\stu\Documents\GitHub\eaglep3-reporting\EC\2017-02-17-refined-times.txt</v>
      </c>
      <c r="AI187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{"issue":{"subject":"","project_id":79,"tracker_id":40,"status_id":1,"priority_id":2,"assigned_to_id":23,"start_date":"2017-02-17","description":"","custom_fields":[{"id":1,"name":"Subdivision","value":"NW"},{"id":4,"name":"Milepost","value":"5.8984"},{"id":17,"name":"Train ID","value":"825-17"},{"id":16,"name":"Locomotive ID","value":"4007"},{"id":130,"name":"Impact","value":""},{"id":150,"name":"Time of Event (Mountain Time)","value":"15:35:28"},{"id":151,"name":"Denver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4"/>
        <v>start /low /b %USERPROFILE%\Documents\GitHub\eaglep3\Utilities\DownloadLogsFromS3.py --loco 4007 --day 2017-02-17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"%USERPROFILE%\AppData\Local\Temp\OnboardLogs"\RTDC4007\*4007*20170217* | grep -SE "(Enforcement Action)|(\[TIMEOUT)|(CHR.+\|PRM\|1\|D.+(SWITCH|SIGNAL).+UNKNOWN)" - &gt;&gt; 2017-02-17-UncaughtWiMAX.txt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3" t="s">
        <v>594</v>
      </c>
      <c r="B188" s="7">
        <v>4008</v>
      </c>
      <c r="C188" s="21" t="s">
        <v>682</v>
      </c>
      <c r="D188" s="21" t="s">
        <v>427</v>
      </c>
      <c r="E188" s="13">
        <v>42783.650555555556</v>
      </c>
      <c r="F188" s="13">
        <v>42783.65185185185</v>
      </c>
      <c r="G188" s="7">
        <v>0</v>
      </c>
      <c r="H188" s="21" t="s">
        <v>809</v>
      </c>
      <c r="I188" s="13">
        <v>42783.663773148146</v>
      </c>
      <c r="J188" s="7">
        <v>0</v>
      </c>
      <c r="K188" s="98" t="str">
        <f t="shared" si="49"/>
        <v>4007/4008</v>
      </c>
      <c r="L188" s="21" t="str">
        <f>VLOOKUP(A188,'Trips&amp;Operators'!$C$1:$G$99999,5,FALSE)</f>
        <v>LEVERE CRAIG</v>
      </c>
      <c r="M188" s="6">
        <f t="shared" si="50"/>
        <v>1.1921296296350192E-2</v>
      </c>
      <c r="N188" s="7">
        <f t="shared" ref="N188:N219" si="68">24*60*SUM($M188:$M188)</f>
        <v>17.166666666744277</v>
      </c>
      <c r="O188" s="7"/>
      <c r="P188" s="7"/>
      <c r="Q188" s="22"/>
      <c r="R188" s="22"/>
      <c r="S188" s="31">
        <f t="shared" ref="S188:S219" si="69">SUM(U188:U188)/IF(AG188="EC",12,1)</f>
        <v>1</v>
      </c>
      <c r="T188" s="46" t="str">
        <f t="shared" si="52"/>
        <v>Southbound</v>
      </c>
      <c r="U188" s="18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7" t="str">
        <f t="shared" si="53"/>
        <v>https://d0f6bd738d7f1b3e5a7ca70fe4ff75f0.us-east-1.aws.found.io/app/kibana#/discover/Steve-Slow-Train-Analysis-(2080s-and-2083s)?_g=(refreshInterval:(display:Off,pause:!f,section:0,value:0),time:(from:'2017-02-17T14:36:48-0700',mode:absolute,to:'2017-02-17T16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8" s="188" t="str">
        <f t="shared" si="54"/>
        <v>N</v>
      </c>
      <c r="X188" s="188">
        <f t="shared" si="65"/>
        <v>1</v>
      </c>
      <c r="Y188" s="62">
        <f t="shared" si="60"/>
        <v>5.8647</v>
      </c>
      <c r="Z188" s="62">
        <f t="shared" si="61"/>
        <v>6.8199999999999997E-2</v>
      </c>
      <c r="AA188" s="62">
        <f t="shared" si="55"/>
        <v>5.7965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6"/>
        <v>0826-17</v>
      </c>
      <c r="AE188" s="85" t="str">
        <f t="shared" si="5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188" s="82" t="str">
        <f t="shared" si="58"/>
        <v>"C:\Program Files (x86)\AstroGrep\AstroGrep.exe" /spath="%USERPROFILE%\AppData\Local\Temp\OnboardLogs" /stypes="app*4008*20170217*" /stext=" 22:.+((SYSTEM_STATE.+slice.+state.+changed )|(ment ac)|(multiple cpu faults)|(system.+state.+changed )|(\[timeout)|(PRM\|1\|D)|(kpr)|(kdp)|(\|lc)|(penalty))" /e /r /s</v>
      </c>
      <c r="AG188" s="1" t="str">
        <f t="shared" si="59"/>
        <v>NW</v>
      </c>
      <c r="AH188" s="86" t="str">
        <f t="shared" si="62"/>
        <v>"%USERPROFILE%\Documents\GitHub\eaglep3\Utilities\RefineRTDCRunTimes.py" --tripid 826-17 --locoid 4008 --swversion DE.1.0.9.0 --startMP 300:58647 --initTime 2017-02-17T15:36:48 --startdatetime 2017-02-17T15:38:40 --delay 0 --endMP 204:682 --enddatetime 2017-02-17T15:55:50 --enforcementcount 0 &gt;&gt;C:\Users\stu\Documents\GitHub\eaglep3-reporting\EC\2017-02-17-refined-times.txt</v>
      </c>
      <c r="AI188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{"issue":{"subject":"","project_id":79,"tracker_id":40,"status_id":1,"priority_id":2,"assigned_to_id":23,"start_date":"2017-02-17","description":"","custom_fields":[{"id":1,"name":"Subdivision","value":"NW"},{"id":4,"name":"Milepost","value":"0.0682"},{"id":17,"name":"Train ID","value":"826-17"},{"id":16,"name":"Locomotive ID","value":"4008"},{"id":130,"name":"Impact","value":""},{"id":150,"name":"Time of Event (Mountain Time)","value":"15:55:50"},{"id":151,"name":"Denver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4"/>
        <v>start /low /b %USERPROFILE%\Documents\GitHub\eaglep3\Utilities\DownloadLogsFromS3.py --loco 4008 --day 2017-02-17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"%USERPROFILE%\AppData\Local\Temp\OnboardLogs"\RTDC4008\*4008*20170217* | grep -SE "(Enforcement Action)|(\[TIMEOUT)|(CHR.+\|PRM\|1\|D.+(SWITCH|SIGNAL).+UNKNOWN)" - &gt;&gt; 2017-02-17-UncaughtWiMAX.txt</v>
      </c>
    </row>
    <row r="189" spans="1:91" x14ac:dyDescent="0.25">
      <c r="A189" s="33" t="s">
        <v>596</v>
      </c>
      <c r="B189" s="7">
        <v>4014</v>
      </c>
      <c r="C189" s="21" t="s">
        <v>682</v>
      </c>
      <c r="D189" s="21" t="s">
        <v>377</v>
      </c>
      <c r="E189" s="13">
        <v>42783.653819444444</v>
      </c>
      <c r="F189" s="13">
        <v>42783.660624999997</v>
      </c>
      <c r="G189" s="7">
        <v>1</v>
      </c>
      <c r="H189" s="21" t="s">
        <v>810</v>
      </c>
      <c r="I189" s="13">
        <v>42783.670370370368</v>
      </c>
      <c r="J189" s="7">
        <v>0</v>
      </c>
      <c r="K189" s="98" t="str">
        <f t="shared" si="49"/>
        <v>4013/4014</v>
      </c>
      <c r="L189" s="21" t="str">
        <f>VLOOKUP(A189,'Trips&amp;Operators'!$C$1:$G$99999,5,FALSE)</f>
        <v>SMITH MICHAEL</v>
      </c>
      <c r="M189" s="6">
        <f t="shared" si="50"/>
        <v>9.7453703710925765E-3</v>
      </c>
      <c r="N189" s="7">
        <f t="shared" si="68"/>
        <v>14.03333333437331</v>
      </c>
      <c r="O189" s="7"/>
      <c r="P189" s="7"/>
      <c r="Q189" s="22"/>
      <c r="R189" s="22"/>
      <c r="S189" s="31">
        <f t="shared" si="69"/>
        <v>1</v>
      </c>
      <c r="T189" s="46" t="str">
        <f t="shared" si="52"/>
        <v>NorthBound</v>
      </c>
      <c r="U189" s="18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7" t="str">
        <f t="shared" si="53"/>
        <v>https://d0f6bd738d7f1b3e5a7ca70fe4ff75f0.us-east-1.aws.found.io/app/kibana#/discover/Steve-Slow-Train-Analysis-(2080s-and-2083s)?_g=(refreshInterval:(display:Off,pause:!f,section:0,value:0),time:(from:'2017-02-17T14:41:30-0700',mode:absolute,to:'2017-02-17T17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9" s="188" t="str">
        <f t="shared" si="54"/>
        <v>N</v>
      </c>
      <c r="X189" s="188">
        <f t="shared" si="65"/>
        <v>1</v>
      </c>
      <c r="Y189" s="62">
        <f t="shared" si="60"/>
        <v>9.7900000000000001E-2</v>
      </c>
      <c r="Z189" s="62">
        <f t="shared" si="61"/>
        <v>5.8948</v>
      </c>
      <c r="AA189" s="62">
        <f t="shared" si="55"/>
        <v>5.7968999999999999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6"/>
        <v>0827-17</v>
      </c>
      <c r="AE189" s="85" t="str">
        <f t="shared" si="57"/>
        <v>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 &amp; aws s3 cp s3://rtdc.mdm.uploadarchive.raw/RTDC4014/ "%USERPROFILE%\AppData\Local\Temp\OnboardLogs"\RTDC4014\2017-02-18 --exclude "*" --recursive --include "*20170218*" &amp; "%USERPROFILE%\Documents\GitHub\mrs-test-scripts\Headless Mode &amp; Sideloading\WalkAndUnGZ.bat" "%USERPROFILE%\AppData\Local\Temp\OnboardLogs"\RTDC4014\2017-02-18</v>
      </c>
      <c r="AF189" s="82" t="str">
        <f t="shared" si="58"/>
        <v>"C:\Program Files (x86)\AstroGrep\AstroGrep.exe" /spath="%USERPROFILE%\AppData\Local\Temp\OnboardLogs" /stypes="app*4014*20170217*" /stext=" 23:.+((SYSTEM_STATE.+slice.+state.+changed )|(ment ac)|(multiple cpu faults)|(system.+state.+changed )|(\[timeout)|(PRM\|1\|D)|(kpr)|(kdp)|(\|lc)|(penalty))" /e /r /s</v>
      </c>
      <c r="AG189" s="1" t="str">
        <f t="shared" si="59"/>
        <v>NW</v>
      </c>
      <c r="AH189" s="86" t="str">
        <f t="shared" si="62"/>
        <v>"%USERPROFILE%\Documents\GitHub\eaglep3\Utilities\RefineRTDCRunTimes.py" --tripid 827-17 --locoid 4014 --swversion DE.1.0.9.0 --startMP 204:979 --initTime 2017-02-17T15:41:30 --startdatetime 2017-02-17T15:51:18 --delay 1 --endMP 300:58948 --enddatetime 2017-02-17T16:05:20 --enforcementcount 0 &gt;&gt;C:\Users\stu\Documents\GitHub\eaglep3-reporting\EC\2017-02-17-refined-times.txt</v>
      </c>
      <c r="AI189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{"issue":{"subject":"","project_id":79,"tracker_id":40,"status_id":1,"priority_id":2,"assigned_to_id":23,"start_date":"2017-02-17","description":"","custom_fields":[{"id":1,"name":"Subdivision","value":"NW"},{"id":4,"name":"Milepost","value":"5.8948"},{"id":17,"name":"Train ID","value":"827-17"},{"id":16,"name":"Locomotive ID","value":"4014"},{"id":130,"name":"Impact","value":""},{"id":150,"name":"Time of Event (Mountain Time)","value":"16:05:20"},{"id":151,"name":"Denver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4"/>
        <v>start /low /b %USERPROFILE%\Documents\GitHub\eaglep3\Utilities\DownloadLogsFromS3.py --loco 4014 --day 2017-02-17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"%USERPROFILE%\AppData\Local\Temp\OnboardLogs"\RTDC4014\*4014*20170217* | grep -SE "(Enforcement Action)|(\[TIMEOUT)|(CHR.+\|PRM\|1\|D.+(SWITCH|SIGNAL).+UNKNOWN)" - &gt;&gt; 2017-02-17-UncaughtWiMAX.txt</v>
      </c>
    </row>
    <row r="190" spans="1:91" x14ac:dyDescent="0.25">
      <c r="A190" s="33" t="s">
        <v>599</v>
      </c>
      <c r="B190" s="7">
        <v>4013</v>
      </c>
      <c r="C190" s="21" t="s">
        <v>682</v>
      </c>
      <c r="D190" s="21" t="s">
        <v>432</v>
      </c>
      <c r="E190" s="13">
        <v>42783.671412037038</v>
      </c>
      <c r="F190" s="13">
        <v>42783.672812500001</v>
      </c>
      <c r="G190" s="7">
        <v>1</v>
      </c>
      <c r="H190" s="21" t="s">
        <v>428</v>
      </c>
      <c r="I190" s="13">
        <v>42783.684421296297</v>
      </c>
      <c r="J190" s="7">
        <v>0</v>
      </c>
      <c r="K190" s="98" t="str">
        <f t="shared" si="49"/>
        <v>4013/4014</v>
      </c>
      <c r="L190" s="21" t="str">
        <f>VLOOKUP(A190,'Trips&amp;Operators'!$C$1:$G$99999,5,FALSE)</f>
        <v>SMITH MICHAEL</v>
      </c>
      <c r="M190" s="6">
        <f t="shared" si="50"/>
        <v>1.1608796296059154E-2</v>
      </c>
      <c r="N190" s="7">
        <f t="shared" si="68"/>
        <v>16.716666666325182</v>
      </c>
      <c r="O190" s="7"/>
      <c r="P190" s="7"/>
      <c r="Q190" s="22"/>
      <c r="R190" s="22"/>
      <c r="S190" s="31">
        <f t="shared" si="69"/>
        <v>1</v>
      </c>
      <c r="T190" s="46" t="str">
        <f t="shared" si="52"/>
        <v>Southbound</v>
      </c>
      <c r="U190" s="18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7" t="str">
        <f t="shared" si="53"/>
        <v>https://d0f6bd738d7f1b3e5a7ca70fe4ff75f0.us-east-1.aws.found.io/app/kibana#/discover/Steve-Slow-Train-Analysis-(2080s-and-2083s)?_g=(refreshInterval:(display:Off,pause:!f,section:0,value:0),time:(from:'2017-02-17T15:06:50-0700',mode:absolute,to:'2017-02-17T17:25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0" s="188" t="str">
        <f t="shared" si="54"/>
        <v>N</v>
      </c>
      <c r="X190" s="188">
        <f t="shared" si="65"/>
        <v>1</v>
      </c>
      <c r="Y190" s="62">
        <f t="shared" si="60"/>
        <v>5.8638000000000003</v>
      </c>
      <c r="Z190" s="62">
        <f t="shared" si="61"/>
        <v>6.6600000000000006E-2</v>
      </c>
      <c r="AA190" s="62">
        <f t="shared" si="55"/>
        <v>5.7972000000000001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6"/>
        <v>0828-17</v>
      </c>
      <c r="AE190" s="85" t="str">
        <f t="shared" si="57"/>
        <v>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 &amp; aws s3 cp s3://rtdc.mdm.uploadarchive.raw/RTDC4013/ "%USERPROFILE%\AppData\Local\Temp\OnboardLogs"\RTDC4013\2017-02-18 --exclude "*" --recursive --include "*20170218*" &amp; "%USERPROFILE%\Documents\GitHub\mrs-test-scripts\Headless Mode &amp; Sideloading\WalkAndUnGZ.bat" "%USERPROFILE%\AppData\Local\Temp\OnboardLogs"\RTDC4013\2017-02-18</v>
      </c>
      <c r="AF190" s="82" t="str">
        <f t="shared" si="58"/>
        <v>"C:\Program Files (x86)\AstroGrep\AstroGrep.exe" /spath="%USERPROFILE%\AppData\Local\Temp\OnboardLogs" /stypes="app*4013*20170217*" /stext=" 23:.+((SYSTEM_STATE.+slice.+state.+changed )|(ment ac)|(multiple cpu faults)|(system.+state.+changed )|(\[timeout)|(PRM\|1\|D)|(kpr)|(kdp)|(\|lc)|(penalty))" /e /r /s</v>
      </c>
      <c r="AG190" s="1" t="str">
        <f t="shared" si="59"/>
        <v>NW</v>
      </c>
      <c r="AH190" s="86" t="str">
        <f t="shared" si="62"/>
        <v>"%USERPROFILE%\Documents\GitHub\eaglep3\Utilities\RefineRTDCRunTimes.py" --tripid 828-17 --locoid 4013 --swversion DE.1.0.9.0 --startMP 300:58638 --initTime 2017-02-17T16:06:50 --startdatetime 2017-02-17T16:08:51 --delay 1 --endMP 204:666 --enddatetime 2017-02-17T16:25:34 --enforcementcount 0 &gt;&gt;C:\Users\stu\Documents\GitHub\eaglep3-reporting\EC\2017-02-17-refined-times.txt</v>
      </c>
      <c r="AI190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{"issue":{"subject":"","project_id":79,"tracker_id":40,"status_id":1,"priority_id":2,"assigned_to_id":23,"start_date":"2017-02-17","description":"","custom_fields":[{"id":1,"name":"Subdivision","value":"NW"},{"id":4,"name":"Milepost","value":"0.0666"},{"id":17,"name":"Train ID","value":"828-17"},{"id":16,"name":"Locomotive ID","value":"4013"},{"id":130,"name":"Impact","value":""},{"id":150,"name":"Time of Event (Mountain Time)","value":"16:25:34"},{"id":151,"name":"Denver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4"/>
        <v>start /low /b %USERPROFILE%\Documents\GitHub\eaglep3\Utilities\DownloadLogsFromS3.py --loco 4013 --day 2017-02-17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"%USERPROFILE%\AppData\Local\Temp\OnboardLogs"\RTDC4013\*4013*20170217* | grep -SE "(Enforcement Action)|(\[TIMEOUT)|(CHR.+\|PRM\|1\|D.+(SWITCH|SIGNAL).+UNKNOWN)" - &gt;&gt; 2017-02-17-UncaughtWiMAX.txt</v>
      </c>
    </row>
    <row r="191" spans="1:91" x14ac:dyDescent="0.25">
      <c r="A191" s="33" t="s">
        <v>601</v>
      </c>
      <c r="B191" s="7">
        <v>4007</v>
      </c>
      <c r="C191" s="21" t="s">
        <v>682</v>
      </c>
      <c r="D191" s="21" t="s">
        <v>807</v>
      </c>
      <c r="E191" s="13">
        <v>42783.676874999997</v>
      </c>
      <c r="F191" s="13">
        <v>42783.681435185186</v>
      </c>
      <c r="G191" s="7">
        <v>1</v>
      </c>
      <c r="H191" s="21" t="s">
        <v>811</v>
      </c>
      <c r="I191" s="13">
        <v>42783.691111111111</v>
      </c>
      <c r="J191" s="7">
        <v>0</v>
      </c>
      <c r="K191" s="98" t="str">
        <f t="shared" si="49"/>
        <v>4007/4008</v>
      </c>
      <c r="L191" s="21" t="str">
        <f>VLOOKUP(A191,'Trips&amp;Operators'!$C$1:$G$99999,5,FALSE)</f>
        <v>DELGADO DIANAH</v>
      </c>
      <c r="M191" s="6">
        <f t="shared" si="50"/>
        <v>9.6759259249665774E-3</v>
      </c>
      <c r="N191" s="7">
        <f t="shared" si="68"/>
        <v>13.933333331951872</v>
      </c>
      <c r="O191" s="7"/>
      <c r="P191" s="7"/>
      <c r="Q191" s="22"/>
      <c r="R191" s="22"/>
      <c r="S191" s="31">
        <f t="shared" si="69"/>
        <v>1</v>
      </c>
      <c r="T191" s="46" t="str">
        <f t="shared" si="52"/>
        <v>NorthBound</v>
      </c>
      <c r="U191" s="18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7" t="str">
        <f t="shared" si="53"/>
        <v>https://d0f6bd738d7f1b3e5a7ca70fe4ff75f0.us-east-1.aws.found.io/app/kibana#/discover/Steve-Slow-Train-Analysis-(2080s-and-2083s)?_g=(refreshInterval:(display:Off,pause:!f,section:0,value:0),time:(from:'2017-02-17T15:14:42-0700',mode:absolute,to:'2017-02-17T17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1" s="188" t="str">
        <f t="shared" si="54"/>
        <v>N</v>
      </c>
      <c r="X191" s="188">
        <f t="shared" si="65"/>
        <v>1</v>
      </c>
      <c r="Y191" s="62">
        <f t="shared" si="60"/>
        <v>9.7799999999999998E-2</v>
      </c>
      <c r="Z191" s="62">
        <f t="shared" si="61"/>
        <v>5.8929</v>
      </c>
      <c r="AA191" s="62">
        <f t="shared" si="55"/>
        <v>5.7950999999999997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6"/>
        <v>0829-17</v>
      </c>
      <c r="AE191" s="85" t="str">
        <f t="shared" si="57"/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AF191" s="82" t="str">
        <f t="shared" si="58"/>
        <v>"C:\Program Files (x86)\AstroGrep\AstroGrep.exe" /spath="%USERPROFILE%\AppData\Local\Temp\OnboardLogs" /stypes="app*4007*20170217*" /stext=" 23:.+((SYSTEM_STATE.+slice.+state.+changed )|(ment ac)|(multiple cpu faults)|(system.+state.+changed )|(\[timeout)|(PRM\|1\|D)|(kpr)|(kdp)|(\|lc)|(penalty))" /e /r /s</v>
      </c>
      <c r="AG191" s="1" t="str">
        <f t="shared" si="59"/>
        <v>NW</v>
      </c>
      <c r="AH191" s="86" t="str">
        <f t="shared" si="62"/>
        <v>"%USERPROFILE%\Documents\GitHub\eaglep3\Utilities\RefineRTDCRunTimes.py" --tripid 829-17 --locoid 4007 --swversion DE.1.0.9.0 --startMP 204:978 --initTime 2017-02-17T16:14:42 --startdatetime 2017-02-17T16:21:16 --delay 1 --endMP 300:58929 --enddatetime 2017-02-17T16:35:12 --enforcementcount 0 &gt;&gt;C:\Users\stu\Documents\GitHub\eaglep3-reporting\EC\2017-02-17-refined-times.txt</v>
      </c>
      <c r="AI191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{"issue":{"subject":"","project_id":79,"tracker_id":40,"status_id":1,"priority_id":2,"assigned_to_id":23,"start_date":"2017-02-17","description":"","custom_fields":[{"id":1,"name":"Subdivision","value":"NW"},{"id":4,"name":"Milepost","value":"5.8929"},{"id":17,"name":"Train ID","value":"829-17"},{"id":16,"name":"Locomotive ID","value":"4007"},{"id":130,"name":"Impact","value":""},{"id":150,"name":"Time of Event (Mountain Time)","value":"16:35:12"},{"id":151,"name":"Denver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4"/>
        <v>start /low /b %USERPROFILE%\Documents\GitHub\eaglep3\Utilities\DownloadLogsFromS3.py --loco 4007 --day 2017-02-17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"%USERPROFILE%\AppData\Local\Temp\OnboardLogs"\RTDC4007\*4007*20170217* | grep -SE "(Enforcement Action)|(\[TIMEOUT)|(CHR.+\|PRM\|1\|D.+(SWITCH|SIGNAL).+UNKNOWN)" - &gt;&gt; 2017-02-17-UncaughtWiMAX.txt</v>
      </c>
    </row>
    <row r="192" spans="1:91" x14ac:dyDescent="0.25">
      <c r="A192" s="33" t="s">
        <v>605</v>
      </c>
      <c r="B192" s="7">
        <v>4008</v>
      </c>
      <c r="C192" s="21" t="s">
        <v>682</v>
      </c>
      <c r="D192" s="21" t="s">
        <v>812</v>
      </c>
      <c r="E192" s="13">
        <v>42783.692187499997</v>
      </c>
      <c r="F192" s="13">
        <v>42783.693576388891</v>
      </c>
      <c r="G192" s="7">
        <v>1</v>
      </c>
      <c r="H192" s="21" t="s">
        <v>430</v>
      </c>
      <c r="I192" s="13">
        <v>42783.705289351848</v>
      </c>
      <c r="J192" s="7">
        <v>0</v>
      </c>
      <c r="K192" s="98" t="str">
        <f t="shared" si="49"/>
        <v>4007/4008</v>
      </c>
      <c r="L192" s="21" t="str">
        <f>VLOOKUP(A192,'Trips&amp;Operators'!$C$1:$G$99999,5,FALSE)</f>
        <v>DELGADO DIANAH</v>
      </c>
      <c r="M192" s="6">
        <f t="shared" si="50"/>
        <v>1.1712962957972195E-2</v>
      </c>
      <c r="N192" s="7">
        <f t="shared" si="68"/>
        <v>16.866666659479961</v>
      </c>
      <c r="O192" s="7"/>
      <c r="P192" s="7"/>
      <c r="Q192" s="22"/>
      <c r="R192" s="22"/>
      <c r="S192" s="31">
        <f t="shared" si="69"/>
        <v>1</v>
      </c>
      <c r="T192" s="46" t="str">
        <f t="shared" si="52"/>
        <v>Southbound</v>
      </c>
      <c r="U192" s="18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7" t="str">
        <f t="shared" si="53"/>
        <v>https://d0f6bd738d7f1b3e5a7ca70fe4ff75f0.us-east-1.aws.found.io/app/kibana#/discover/Steve-Slow-Train-Analysis-(2080s-and-2083s)?_g=(refreshInterval:(display:Off,pause:!f,section:0,value:0),time:(from:'2017-02-17T15:36:45-0700',mode:absolute,to:'2017-02-17T17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2" s="188" t="str">
        <f t="shared" si="54"/>
        <v>N</v>
      </c>
      <c r="X192" s="188">
        <f t="shared" si="65"/>
        <v>1</v>
      </c>
      <c r="Y192" s="62">
        <f t="shared" si="60"/>
        <v>5.8611000000000004</v>
      </c>
      <c r="Z192" s="62">
        <f t="shared" si="61"/>
        <v>7.22E-2</v>
      </c>
      <c r="AA192" s="62">
        <f t="shared" si="55"/>
        <v>5.7889000000000008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6"/>
        <v>0830-17</v>
      </c>
      <c r="AE192" s="85" t="str">
        <f t="shared" si="5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192" s="82" t="str">
        <f t="shared" si="58"/>
        <v>"C:\Program Files (x86)\AstroGrep\AstroGrep.exe" /spath="%USERPROFILE%\AppData\Local\Temp\OnboardLogs" /stypes="app*4008*20170217*" /stext=" 23:.+((SYSTEM_STATE.+slice.+state.+changed )|(ment ac)|(multiple cpu faults)|(system.+state.+changed )|(\[timeout)|(PRM\|1\|D)|(kpr)|(kdp)|(\|lc)|(penalty))" /e /r /s</v>
      </c>
      <c r="AG192" s="1" t="str">
        <f t="shared" si="59"/>
        <v>NW</v>
      </c>
      <c r="AH192" s="86" t="str">
        <f t="shared" si="62"/>
        <v>"%USERPROFILE%\Documents\GitHub\eaglep3\Utilities\RefineRTDCRunTimes.py" --tripid 830-17 --locoid 4008 --swversion DE.1.0.9.0 --startMP 300:58611 --initTime 2017-02-17T16:36:45 --startdatetime 2017-02-17T16:38:45 --delay 1 --endMP 204:722 --enddatetime 2017-02-17T16:55:37 --enforcementcount 0 &gt;&gt;C:\Users\stu\Documents\GitHub\eaglep3-reporting\EC\2017-02-17-refined-times.txt</v>
      </c>
      <c r="AI192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{"issue":{"subject":"","project_id":79,"tracker_id":40,"status_id":1,"priority_id":2,"assigned_to_id":23,"start_date":"2017-02-17","description":"","custom_fields":[{"id":1,"name":"Subdivision","value":"NW"},{"id":4,"name":"Milepost","value":"0.0722"},{"id":17,"name":"Train ID","value":"830-17"},{"id":16,"name":"Locomotive ID","value":"4008"},{"id":130,"name":"Impact","value":""},{"id":150,"name":"Time of Event (Mountain Time)","value":"16:55:37"},{"id":151,"name":"Denver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4"/>
        <v>start /low /b %USERPROFILE%\Documents\GitHub\eaglep3\Utilities\DownloadLogsFromS3.py --loco 4008 --day 2017-02-17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"%USERPROFILE%\AppData\Local\Temp\OnboardLogs"\RTDC4008\*4008*20170217* | grep -SE "(Enforcement Action)|(\[TIMEOUT)|(CHR.+\|PRM\|1\|D.+(SWITCH|SIGNAL).+UNKNOWN)" - &gt;&gt; 2017-02-17-UncaughtWiMAX.txt</v>
      </c>
    </row>
    <row r="193" spans="1:40" x14ac:dyDescent="0.25">
      <c r="A193" s="33" t="s">
        <v>607</v>
      </c>
      <c r="B193" s="7">
        <v>4014</v>
      </c>
      <c r="C193" s="21" t="s">
        <v>682</v>
      </c>
      <c r="D193" s="21" t="s">
        <v>434</v>
      </c>
      <c r="E193" s="13">
        <v>42783.694606481484</v>
      </c>
      <c r="F193" s="13">
        <v>42783.702314814815</v>
      </c>
      <c r="G193" s="7">
        <v>1</v>
      </c>
      <c r="H193" s="21" t="s">
        <v>813</v>
      </c>
      <c r="I193" s="13">
        <v>42783.711944444447</v>
      </c>
      <c r="J193" s="7">
        <v>0</v>
      </c>
      <c r="K193" s="98" t="str">
        <f t="shared" si="49"/>
        <v>4013/4014</v>
      </c>
      <c r="L193" s="21" t="str">
        <f>VLOOKUP(A193,'Trips&amp;Operators'!$C$1:$G$99999,5,FALSE)</f>
        <v>SMITH MICHAEL</v>
      </c>
      <c r="M193" s="6">
        <f t="shared" si="50"/>
        <v>9.6296296323998831E-3</v>
      </c>
      <c r="N193" s="7">
        <f t="shared" si="68"/>
        <v>13.866666670655832</v>
      </c>
      <c r="O193" s="7"/>
      <c r="P193" s="7"/>
      <c r="Q193" s="22"/>
      <c r="R193" s="22"/>
      <c r="S193" s="31">
        <f t="shared" si="69"/>
        <v>1</v>
      </c>
      <c r="T193" s="46" t="str">
        <f t="shared" si="52"/>
        <v>NorthBound</v>
      </c>
      <c r="U193" s="18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7" t="str">
        <f t="shared" si="53"/>
        <v>https://d0f6bd738d7f1b3e5a7ca70fe4ff75f0.us-east-1.aws.found.io/app/kibana#/discover/Steve-Slow-Train-Analysis-(2080s-and-2083s)?_g=(refreshInterval:(display:Off,pause:!f,section:0,value:0),time:(from:'2017-02-17T15:40:14-0700',mode:absolute,to:'2017-02-17T18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3" s="188" t="str">
        <f t="shared" si="54"/>
        <v>N</v>
      </c>
      <c r="X193" s="188">
        <f t="shared" si="65"/>
        <v>1</v>
      </c>
      <c r="Y193" s="62">
        <f t="shared" si="60"/>
        <v>9.6199999999999994E-2</v>
      </c>
      <c r="Z193" s="62">
        <f t="shared" si="61"/>
        <v>5.8930999999999996</v>
      </c>
      <c r="AA193" s="62">
        <f t="shared" si="55"/>
        <v>5.7968999999999999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6"/>
        <v>0831-17</v>
      </c>
      <c r="AE193" s="85" t="str">
        <f t="shared" si="57"/>
        <v>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 &amp; aws s3 cp s3://rtdc.mdm.uploadarchive.raw/RTDC4014/ "%USERPROFILE%\AppData\Local\Temp\OnboardLogs"\RTDC4014\2017-02-18 --exclude "*" --recursive --include "*20170218*" &amp; "%USERPROFILE%\Documents\GitHub\mrs-test-scripts\Headless Mode &amp; Sideloading\WalkAndUnGZ.bat" "%USERPROFILE%\AppData\Local\Temp\OnboardLogs"\RTDC4014\2017-02-18</v>
      </c>
      <c r="AF193" s="82" t="str">
        <f t="shared" si="58"/>
        <v>"C:\Program Files (x86)\AstroGrep\AstroGrep.exe" /spath="%USERPROFILE%\AppData\Local\Temp\OnboardLogs" /stypes="app*4014*20170218*" /stext=" 00:.+((SYSTEM_STATE.+slice.+state.+changed )|(ment ac)|(multiple cpu faults)|(system.+state.+changed )|(\[timeout)|(PRM\|1\|D)|(kpr)|(kdp)|(\|lc)|(penalty))" /e /r /s</v>
      </c>
      <c r="AG193" s="1" t="str">
        <f t="shared" si="59"/>
        <v>NW</v>
      </c>
      <c r="AH193" s="86" t="str">
        <f t="shared" si="62"/>
        <v>"%USERPROFILE%\Documents\GitHub\eaglep3\Utilities\RefineRTDCRunTimes.py" --tripid 831-17 --locoid 4014 --swversion DE.1.0.9.0 --startMP 204:962 --initTime 2017-02-17T16:40:14 --startdatetime 2017-02-17T16:51:20 --delay 1 --endMP 300:58931 --enddatetime 2017-02-17T17:05:12 --enforcementcount 0 &gt;&gt;C:\Users\stu\Documents\GitHub\eaglep3-reporting\EC\2017-02-17-refined-times.txt</v>
      </c>
      <c r="AI193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{"issue":{"subject":"","project_id":79,"tracker_id":40,"status_id":1,"priority_id":2,"assigned_to_id":23,"start_date":"2017-02-17","description":"","custom_fields":[{"id":1,"name":"Subdivision","value":"NW"},{"id":4,"name":"Milepost","value":"5.8931"},{"id":17,"name":"Train ID","value":"831-17"},{"id":16,"name":"Locomotive ID","value":"4014"},{"id":130,"name":"Impact","value":""},{"id":150,"name":"Time of Event (Mountain Time)","value":"17:05:12"},{"id":151,"name":"Denver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4"/>
        <v>start /low /b %USERPROFILE%\Documents\GitHub\eaglep3\Utilities\DownloadLogsFromS3.py --loco 4014 --day 2017-02-17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"%USERPROFILE%\AppData\Local\Temp\OnboardLogs"\RTDC4014\*4014*20170217* | grep -SE "(Enforcement Action)|(\[TIMEOUT)|(CHR.+\|PRM\|1\|D.+(SWITCH|SIGNAL).+UNKNOWN)" - &gt;&gt; 2017-02-17-UncaughtWiMAX.txt</v>
      </c>
    </row>
    <row r="194" spans="1:40" x14ac:dyDescent="0.25">
      <c r="A194" s="33" t="s">
        <v>611</v>
      </c>
      <c r="B194" s="7">
        <v>4013</v>
      </c>
      <c r="C194" s="21" t="s">
        <v>682</v>
      </c>
      <c r="D194" s="21" t="s">
        <v>814</v>
      </c>
      <c r="E194" s="13">
        <v>42783.712939814817</v>
      </c>
      <c r="F194" s="13">
        <v>42783.714421296296</v>
      </c>
      <c r="G194" s="7">
        <v>1</v>
      </c>
      <c r="H194" s="21" t="s">
        <v>815</v>
      </c>
      <c r="I194" s="13">
        <v>42783.7262962963</v>
      </c>
      <c r="J194" s="7">
        <v>0</v>
      </c>
      <c r="K194" s="98" t="str">
        <f t="shared" si="49"/>
        <v>4013/4014</v>
      </c>
      <c r="L194" s="21" t="str">
        <f>VLOOKUP(A194,'Trips&amp;Operators'!$C$1:$G$99999,5,FALSE)</f>
        <v>SMITH MICHAEL</v>
      </c>
      <c r="M194" s="6">
        <f t="shared" si="50"/>
        <v>1.1875000003783498E-2</v>
      </c>
      <c r="N194" s="7">
        <f t="shared" si="68"/>
        <v>17.100000005448237</v>
      </c>
      <c r="O194" s="7"/>
      <c r="P194" s="7"/>
      <c r="Q194" s="22"/>
      <c r="R194" s="22"/>
      <c r="S194" s="31">
        <f t="shared" si="69"/>
        <v>1</v>
      </c>
      <c r="T194" s="46" t="str">
        <f t="shared" si="52"/>
        <v>Southbound</v>
      </c>
      <c r="U194" s="18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7" t="str">
        <f t="shared" si="53"/>
        <v>https://d0f6bd738d7f1b3e5a7ca70fe4ff75f0.us-east-1.aws.found.io/app/kibana#/discover/Steve-Slow-Train-Analysis-(2080s-and-2083s)?_g=(refreshInterval:(display:Off,pause:!f,section:0,value:0),time:(from:'2017-02-17T16:06:38-0700',mode:absolute,to:'2017-02-17T18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4" s="188" t="str">
        <f t="shared" si="54"/>
        <v>N</v>
      </c>
      <c r="X194" s="188">
        <f t="shared" si="65"/>
        <v>1</v>
      </c>
      <c r="Y194" s="62">
        <f t="shared" si="60"/>
        <v>5.8615000000000004</v>
      </c>
      <c r="Z194" s="62">
        <f t="shared" si="61"/>
        <v>6.7100000000000007E-2</v>
      </c>
      <c r="AA194" s="62">
        <f t="shared" si="55"/>
        <v>5.7944000000000004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6"/>
        <v>0832-17</v>
      </c>
      <c r="AE194" s="85" t="str">
        <f t="shared" si="57"/>
        <v>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 &amp; aws s3 cp s3://rtdc.mdm.uploadarchive.raw/RTDC4013/ "%USERPROFILE%\AppData\Local\Temp\OnboardLogs"\RTDC4013\2017-02-18 --exclude "*" --recursive --include "*20170218*" &amp; "%USERPROFILE%\Documents\GitHub\mrs-test-scripts\Headless Mode &amp; Sideloading\WalkAndUnGZ.bat" "%USERPROFILE%\AppData\Local\Temp\OnboardLogs"\RTDC4013\2017-02-18</v>
      </c>
      <c r="AF194" s="82" t="str">
        <f t="shared" si="58"/>
        <v>"C:\Program Files (x86)\AstroGrep\AstroGrep.exe" /spath="%USERPROFILE%\AppData\Local\Temp\OnboardLogs" /stypes="app*4013*20170218*" /stext=" 00:.+((SYSTEM_STATE.+slice.+state.+changed )|(ment ac)|(multiple cpu faults)|(system.+state.+changed )|(\[timeout)|(PRM\|1\|D)|(kpr)|(kdp)|(\|lc)|(penalty))" /e /r /s</v>
      </c>
      <c r="AG194" s="1" t="str">
        <f t="shared" si="59"/>
        <v>NW</v>
      </c>
      <c r="AH194" s="86" t="str">
        <f t="shared" si="62"/>
        <v>"%USERPROFILE%\Documents\GitHub\eaglep3\Utilities\RefineRTDCRunTimes.py" --tripid 832-17 --locoid 4013 --swversion DE.1.0.9.0 --startMP 300:58615 --initTime 2017-02-17T17:06:38 --startdatetime 2017-02-17T17:08:46 --delay 1 --endMP 204:671 --enddatetime 2017-02-17T17:25:52 --enforcementcount 0 &gt;&gt;C:\Users\stu\Documents\GitHub\eaglep3-reporting\EC\2017-02-17-refined-times.txt</v>
      </c>
      <c r="AI194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{"issue":{"subject":"","project_id":79,"tracker_id":40,"status_id":1,"priority_id":2,"assigned_to_id":23,"start_date":"2017-02-17","description":"","custom_fields":[{"id":1,"name":"Subdivision","value":"NW"},{"id":4,"name":"Milepost","value":"0.0671"},{"id":17,"name":"Train ID","value":"832-17"},{"id":16,"name":"Locomotive ID","value":"4013"},{"id":130,"name":"Impact","value":""},{"id":150,"name":"Time of Event (Mountain Time)","value":"17:25:52"},{"id":151,"name":"Denver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4"/>
        <v>start /low /b %USERPROFILE%\Documents\GitHub\eaglep3\Utilities\DownloadLogsFromS3.py --loco 4013 --day 2017-02-17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"%USERPROFILE%\AppData\Local\Temp\OnboardLogs"\RTDC4013\*4013*20170218* | grep -SE "(Enforcement Action)|(\[TIMEOUT)|(CHR.+\|PRM\|1\|D.+(SWITCH|SIGNAL).+UNKNOWN)" - &gt;&gt; 2017-02-17-UncaughtWiMAX.txt</v>
      </c>
    </row>
    <row r="195" spans="1:40" x14ac:dyDescent="0.25">
      <c r="A195" s="33" t="s">
        <v>612</v>
      </c>
      <c r="B195" s="7">
        <v>4007</v>
      </c>
      <c r="C195" s="21" t="s">
        <v>682</v>
      </c>
      <c r="D195" s="21" t="s">
        <v>816</v>
      </c>
      <c r="E195" s="13">
        <v>42783.713530092595</v>
      </c>
      <c r="F195" s="13">
        <v>42783.723252314812</v>
      </c>
      <c r="G195" s="7">
        <v>1</v>
      </c>
      <c r="H195" s="21" t="s">
        <v>433</v>
      </c>
      <c r="I195" s="13">
        <v>42783.732997685183</v>
      </c>
      <c r="J195" s="7">
        <v>0</v>
      </c>
      <c r="K195" s="98" t="str">
        <f t="shared" si="49"/>
        <v>4007/4008</v>
      </c>
      <c r="L195" s="21" t="str">
        <f>VLOOKUP(A195,'Trips&amp;Operators'!$C$1:$G$99999,5,FALSE)</f>
        <v>LEVERE CRAIG</v>
      </c>
      <c r="M195" s="6">
        <f t="shared" si="50"/>
        <v>9.7453703710925765E-3</v>
      </c>
      <c r="N195" s="7">
        <f t="shared" si="68"/>
        <v>14.03333333437331</v>
      </c>
      <c r="O195" s="7"/>
      <c r="P195" s="7"/>
      <c r="Q195" s="22"/>
      <c r="R195" s="22"/>
      <c r="S195" s="31">
        <f t="shared" si="69"/>
        <v>1</v>
      </c>
      <c r="T195" s="46" t="str">
        <f t="shared" si="52"/>
        <v>NorthBound</v>
      </c>
      <c r="U195" s="18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7" t="str">
        <f t="shared" si="53"/>
        <v>https://d0f6bd738d7f1b3e5a7ca70fe4ff75f0.us-east-1.aws.found.io/app/kibana#/discover/Steve-Slow-Train-Analysis-(2080s-and-2083s)?_g=(refreshInterval:(display:Off,pause:!f,section:0,value:0),time:(from:'2017-02-17T16:07:29-0700',mode:absolute,to:'2017-02-17T18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5" s="188" t="str">
        <f t="shared" si="54"/>
        <v>N</v>
      </c>
      <c r="X195" s="188">
        <f t="shared" si="65"/>
        <v>1</v>
      </c>
      <c r="Y195" s="62">
        <f t="shared" si="60"/>
        <v>0.1</v>
      </c>
      <c r="Z195" s="62">
        <f t="shared" si="61"/>
        <v>5.8968999999999996</v>
      </c>
      <c r="AA195" s="62">
        <f t="shared" si="55"/>
        <v>5.7968999999999999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6"/>
        <v>0833-17</v>
      </c>
      <c r="AE195" s="85" t="str">
        <f t="shared" si="57"/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AF195" s="82" t="str">
        <f t="shared" si="58"/>
        <v>"C:\Program Files (x86)\AstroGrep\AstroGrep.exe" /spath="%USERPROFILE%\AppData\Local\Temp\OnboardLogs" /stypes="app*4007*20170218*" /stext=" 00:.+((SYSTEM_STATE.+slice.+state.+changed )|(ment ac)|(multiple cpu faults)|(system.+state.+changed )|(\[timeout)|(PRM\|1\|D)|(kpr)|(kdp)|(\|lc)|(penalty))" /e /r /s</v>
      </c>
      <c r="AG195" s="1" t="str">
        <f t="shared" si="59"/>
        <v>NW</v>
      </c>
      <c r="AH195" s="86" t="str">
        <f t="shared" si="62"/>
        <v>"%USERPROFILE%\Documents\GitHub\eaglep3\Utilities\RefineRTDCRunTimes.py" --tripid 833-17 --locoid 4007 --swversion DE.1.0.9.0 --startMP 204:1000 --initTime 2017-02-17T17:07:29 --startdatetime 2017-02-17T17:21:29 --delay 1 --endMP 300:58969 --enddatetime 2017-02-17T17:35:31 --enforcementcount 0 &gt;&gt;C:\Users\stu\Documents\GitHub\eaglep3-reporting\EC\2017-02-17-refined-times.txt</v>
      </c>
      <c r="AI195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{"issue":{"subject":"","project_id":79,"tracker_id":40,"status_id":1,"priority_id":2,"assigned_to_id":23,"start_date":"2017-02-17","description":"","custom_fields":[{"id":1,"name":"Subdivision","value":"NW"},{"id":4,"name":"Milepost","value":"5.8969"},{"id":17,"name":"Train ID","value":"833-17"},{"id":16,"name":"Locomotive ID","value":"4007"},{"id":130,"name":"Impact","value":""},{"id":150,"name":"Time of Event (Mountain Time)","value":"17:35:31"},{"id":151,"name":"Denver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4"/>
        <v>start /low /b %USERPROFILE%\Documents\GitHub\eaglep3\Utilities\DownloadLogsFromS3.py --loco 4007 --day 2017-02-17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2017-02-17-UncaughtWiMAX.txt</v>
      </c>
    </row>
    <row r="196" spans="1:40" x14ac:dyDescent="0.25">
      <c r="A196" s="33" t="s">
        <v>616</v>
      </c>
      <c r="B196" s="7">
        <v>4008</v>
      </c>
      <c r="C196" s="21" t="s">
        <v>682</v>
      </c>
      <c r="D196" s="21" t="s">
        <v>375</v>
      </c>
      <c r="E196" s="13">
        <v>42783.733865740738</v>
      </c>
      <c r="F196" s="13">
        <v>42783.73542824074</v>
      </c>
      <c r="G196" s="7">
        <v>1</v>
      </c>
      <c r="H196" s="21" t="s">
        <v>806</v>
      </c>
      <c r="I196" s="13">
        <v>42783.749513888892</v>
      </c>
      <c r="J196" s="7">
        <v>0</v>
      </c>
      <c r="K196" s="98" t="str">
        <f t="shared" si="49"/>
        <v>4007/4008</v>
      </c>
      <c r="L196" s="21" t="str">
        <f>VLOOKUP(A196,'Trips&amp;Operators'!$C$1:$G$99999,5,FALSE)</f>
        <v>LEVERE CRAIG</v>
      </c>
      <c r="M196" s="6">
        <f t="shared" si="50"/>
        <v>1.4085648152104113E-2</v>
      </c>
      <c r="N196" s="7">
        <f t="shared" si="68"/>
        <v>20.283333339029923</v>
      </c>
      <c r="O196" s="7"/>
      <c r="P196" s="7"/>
      <c r="Q196" s="22"/>
      <c r="R196" s="22"/>
      <c r="S196" s="31">
        <f t="shared" si="69"/>
        <v>1</v>
      </c>
      <c r="T196" s="46" t="str">
        <f t="shared" si="52"/>
        <v>Southbound</v>
      </c>
      <c r="U196" s="18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7" t="str">
        <f t="shared" si="53"/>
        <v>https://d0f6bd738d7f1b3e5a7ca70fe4ff75f0.us-east-1.aws.found.io/app/kibana#/discover/Steve-Slow-Train-Analysis-(2080s-and-2083s)?_g=(refreshInterval:(display:Off,pause:!f,section:0,value:0),time:(from:'2017-02-17T16:36:46-0700',mode:absolute,to:'2017-02-17T18:59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6" s="188" t="str">
        <f t="shared" si="54"/>
        <v>N</v>
      </c>
      <c r="X196" s="188">
        <f t="shared" si="65"/>
        <v>1</v>
      </c>
      <c r="Y196" s="62">
        <f t="shared" si="60"/>
        <v>5.8644999999999996</v>
      </c>
      <c r="Z196" s="62">
        <f t="shared" si="61"/>
        <v>6.7699999999999996E-2</v>
      </c>
      <c r="AA196" s="62">
        <f t="shared" si="55"/>
        <v>5.7967999999999993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6"/>
        <v>0834-17</v>
      </c>
      <c r="AE196" s="85" t="str">
        <f t="shared" si="5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196" s="82" t="str">
        <f t="shared" si="58"/>
        <v>"C:\Program Files (x86)\AstroGrep\AstroGrep.exe" /spath="%USERPROFILE%\AppData\Local\Temp\OnboardLogs" /stypes="app*4008*20170218*" /stext=" 00:.+((SYSTEM_STATE.+slice.+state.+changed )|(ment ac)|(multiple cpu faults)|(system.+state.+changed )|(\[timeout)|(PRM\|1\|D)|(kpr)|(kdp)|(\|lc)|(penalty))" /e /r /s</v>
      </c>
      <c r="AG196" s="1" t="str">
        <f t="shared" si="59"/>
        <v>NW</v>
      </c>
      <c r="AH196" s="86" t="str">
        <f t="shared" si="62"/>
        <v>"%USERPROFILE%\Documents\GitHub\eaglep3\Utilities\RefineRTDCRunTimes.py" --tripid 834-17 --locoid 4008 --swversion DE.1.0.9.0 --startMP 300:58645 --initTime 2017-02-17T17:36:46 --startdatetime 2017-02-17T17:39:01 --delay 1 --endMP 204:677 --enddatetime 2017-02-17T17:59:18 --enforcementcount 0 &gt;&gt;C:\Users\stu\Documents\GitHub\eaglep3-reporting\EC\2017-02-17-refined-times.txt</v>
      </c>
      <c r="AI196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{"issue":{"subject":"","project_id":79,"tracker_id":40,"status_id":1,"priority_id":2,"assigned_to_id":23,"start_date":"2017-02-17","description":"","custom_fields":[{"id":1,"name":"Subdivision","value":"NW"},{"id":4,"name":"Milepost","value":"0.0677"},{"id":17,"name":"Train ID","value":"834-17"},{"id":16,"name":"Locomotive ID","value":"4008"},{"id":130,"name":"Impact","value":""},{"id":150,"name":"Time of Event (Mountain Time)","value":"17:59:18"},{"id":151,"name":"Denver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4"/>
        <v>start /low /b %USERPROFILE%\Documents\GitHub\eaglep3\Utilities\DownloadLogsFromS3.py --loco 4008 --day 2017-02-17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2017-02-17-UncaughtWiMAX.txt</v>
      </c>
    </row>
    <row r="197" spans="1:40" x14ac:dyDescent="0.25">
      <c r="A197" s="33" t="s">
        <v>459</v>
      </c>
      <c r="B197" s="7">
        <v>4014</v>
      </c>
      <c r="C197" s="21" t="s">
        <v>682</v>
      </c>
      <c r="D197" s="21" t="s">
        <v>817</v>
      </c>
      <c r="E197" s="13">
        <v>42783.734664351854</v>
      </c>
      <c r="F197" s="13">
        <v>42783.743946759256</v>
      </c>
      <c r="G197" s="7">
        <v>1</v>
      </c>
      <c r="H197" s="21" t="s">
        <v>818</v>
      </c>
      <c r="I197" s="13">
        <v>42783.753287037034</v>
      </c>
      <c r="J197" s="7">
        <v>0</v>
      </c>
      <c r="K197" s="98" t="str">
        <f t="shared" si="49"/>
        <v>4013/4014</v>
      </c>
      <c r="L197" s="21" t="str">
        <f>VLOOKUP(A197,'Trips&amp;Operators'!$C$1:$G$99999,5,FALSE)</f>
        <v>SMITH MICHAEL</v>
      </c>
      <c r="M197" s="6">
        <f t="shared" si="50"/>
        <v>9.340277778392192E-3</v>
      </c>
      <c r="N197" s="7">
        <f t="shared" si="68"/>
        <v>13.450000000884756</v>
      </c>
      <c r="O197" s="7"/>
      <c r="P197" s="7"/>
      <c r="Q197" s="22"/>
      <c r="R197" s="22"/>
      <c r="S197" s="31">
        <f t="shared" si="69"/>
        <v>1</v>
      </c>
      <c r="T197" s="46" t="str">
        <f t="shared" si="52"/>
        <v>NorthBound</v>
      </c>
      <c r="U197" s="18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7" t="str">
        <f t="shared" si="53"/>
        <v>https://d0f6bd738d7f1b3e5a7ca70fe4ff75f0.us-east-1.aws.found.io/app/kibana#/discover/Steve-Slow-Train-Analysis-(2080s-and-2083s)?_g=(refreshInterval:(display:Off,pause:!f,section:0,value:0),time:(from:'2017-02-17T16:37:55-0700',mode:absolute,to:'2017-02-17T19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7" s="188" t="str">
        <f t="shared" si="54"/>
        <v>N</v>
      </c>
      <c r="X197" s="188">
        <f t="shared" si="65"/>
        <v>1</v>
      </c>
      <c r="Y197" s="62">
        <f t="shared" si="60"/>
        <v>9.64E-2</v>
      </c>
      <c r="Z197" s="62">
        <f t="shared" si="61"/>
        <v>5.8928000000000003</v>
      </c>
      <c r="AA197" s="62">
        <f t="shared" si="55"/>
        <v>5.7964000000000002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6"/>
        <v>0835-17</v>
      </c>
      <c r="AE197" s="85" t="str">
        <f t="shared" si="57"/>
        <v>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 &amp; aws s3 cp s3://rtdc.mdm.uploadarchive.raw/RTDC4014/ "%USERPROFILE%\AppData\Local\Temp\OnboardLogs"\RTDC4014\2017-02-18 --exclude "*" --recursive --include "*20170218*" &amp; "%USERPROFILE%\Documents\GitHub\mrs-test-scripts\Headless Mode &amp; Sideloading\WalkAndUnGZ.bat" "%USERPROFILE%\AppData\Local\Temp\OnboardLogs"\RTDC4014\2017-02-18</v>
      </c>
      <c r="AF197" s="82" t="str">
        <f t="shared" si="58"/>
        <v>"C:\Program Files (x86)\AstroGrep\AstroGrep.exe" /spath="%USERPROFILE%\AppData\Local\Temp\OnboardLogs" /stypes="app*4014*20170218*" /stext=" 01:.+((SYSTEM_STATE.+slice.+state.+changed )|(ment ac)|(multiple cpu faults)|(system.+state.+changed )|(\[timeout)|(PRM\|1\|D)|(kpr)|(kdp)|(\|lc)|(penalty))" /e /r /s</v>
      </c>
      <c r="AG197" s="1" t="str">
        <f t="shared" si="59"/>
        <v>NW</v>
      </c>
      <c r="AH197" s="86" t="str">
        <f t="shared" si="62"/>
        <v>"%USERPROFILE%\Documents\GitHub\eaglep3\Utilities\RefineRTDCRunTimes.py" --tripid 835-17 --locoid 4014 --swversion DE.1.0.9.0 --startMP 204:964 --initTime 2017-02-17T17:37:55 --startdatetime 2017-02-17T17:51:17 --delay 1 --endMP 300:58928 --enddatetime 2017-02-17T18:04:44 --enforcementcount 0 &gt;&gt;C:\Users\stu\Documents\GitHub\eaglep3-reporting\EC\2017-02-17-refined-times.txt</v>
      </c>
      <c r="AI197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{"issue":{"subject":"","project_id":79,"tracker_id":40,"status_id":1,"priority_id":2,"assigned_to_id":23,"start_date":"2017-02-17","description":"","custom_fields":[{"id":1,"name":"Subdivision","value":"NW"},{"id":4,"name":"Milepost","value":"5.8928"},{"id":17,"name":"Train ID","value":"835-17"},{"id":16,"name":"Locomotive ID","value":"4014"},{"id":130,"name":"Impact","value":""},{"id":150,"name":"Time of Event (Mountain Time)","value":"18:04:44"},{"id":151,"name":"Denver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4"/>
        <v>start /low /b %USERPROFILE%\Documents\GitHub\eaglep3\Utilities\DownloadLogsFromS3.py --loco 4014 --day 2017-02-17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"%USERPROFILE%\AppData\Local\Temp\OnboardLogs"\RTDC4014\*4014*20170218* | grep -SE "(Enforcement Action)|(\[TIMEOUT)|(CHR.+\|PRM\|1\|D.+(SWITCH|SIGNAL).+UNKNOWN)" - &gt;&gt; 2017-02-17-UncaughtWiMAX.txt</v>
      </c>
    </row>
    <row r="198" spans="1:40" x14ac:dyDescent="0.25">
      <c r="A198" s="33" t="s">
        <v>624</v>
      </c>
      <c r="B198" s="7">
        <v>4013</v>
      </c>
      <c r="C198" s="21" t="s">
        <v>682</v>
      </c>
      <c r="D198" s="21" t="s">
        <v>819</v>
      </c>
      <c r="E198" s="13">
        <v>42783.755046296297</v>
      </c>
      <c r="F198" s="13">
        <v>42783.756608796299</v>
      </c>
      <c r="G198" s="7">
        <v>1</v>
      </c>
      <c r="H198" s="21" t="s">
        <v>425</v>
      </c>
      <c r="I198" s="13">
        <v>42783.767777777779</v>
      </c>
      <c r="J198" s="7">
        <v>0</v>
      </c>
      <c r="K198" s="98" t="str">
        <f t="shared" si="49"/>
        <v>4013/4014</v>
      </c>
      <c r="L198" s="21" t="str">
        <f>VLOOKUP(A198,'Trips&amp;Operators'!$C$1:$G$99999,5,FALSE)</f>
        <v>SMITH MICHAEL</v>
      </c>
      <c r="M198" s="6">
        <f t="shared" si="50"/>
        <v>1.116898148029577E-2</v>
      </c>
      <c r="N198" s="7">
        <f t="shared" si="68"/>
        <v>16.083333331625909</v>
      </c>
      <c r="O198" s="7"/>
      <c r="P198" s="7"/>
      <c r="Q198" s="22"/>
      <c r="R198" s="22"/>
      <c r="S198" s="31">
        <f t="shared" si="69"/>
        <v>1</v>
      </c>
      <c r="T198" s="46" t="str">
        <f t="shared" si="52"/>
        <v>Southbound</v>
      </c>
      <c r="U198" s="18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7" t="str">
        <f t="shared" si="53"/>
        <v>https://d0f6bd738d7f1b3e5a7ca70fe4ff75f0.us-east-1.aws.found.io/app/kibana#/discover/Steve-Slow-Train-Analysis-(2080s-and-2083s)?_g=(refreshInterval:(display:Off,pause:!f,section:0,value:0),time:(from:'2017-02-17T17:07:16-0700',mode:absolute,to:'2017-02-17T19:25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8" s="188" t="str">
        <f t="shared" si="54"/>
        <v>N</v>
      </c>
      <c r="X198" s="188">
        <f t="shared" si="65"/>
        <v>1</v>
      </c>
      <c r="Y198" s="62">
        <f t="shared" si="60"/>
        <v>5.8620999999999999</v>
      </c>
      <c r="Z198" s="62">
        <f t="shared" si="61"/>
        <v>7.0300000000000001E-2</v>
      </c>
      <c r="AA198" s="62">
        <f t="shared" si="55"/>
        <v>5.7918000000000003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6"/>
        <v>0836-17</v>
      </c>
      <c r="AE198" s="85" t="str">
        <f t="shared" si="57"/>
        <v>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 &amp; aws s3 cp s3://rtdc.mdm.uploadarchive.raw/RTDC4013/ "%USERPROFILE%\AppData\Local\Temp\OnboardLogs"\RTDC4013\2017-02-18 --exclude "*" --recursive --include "*20170218*" &amp; "%USERPROFILE%\Documents\GitHub\mrs-test-scripts\Headless Mode &amp; Sideloading\WalkAndUnGZ.bat" "%USERPROFILE%\AppData\Local\Temp\OnboardLogs"\RTDC4013\2017-02-18</v>
      </c>
      <c r="AF198" s="82" t="str">
        <f t="shared" si="58"/>
        <v>"C:\Program Files (x86)\AstroGrep\AstroGrep.exe" /spath="%USERPROFILE%\AppData\Local\Temp\OnboardLogs" /stypes="app*4013*20170218*" /stext=" 01:.+((SYSTEM_STATE.+slice.+state.+changed )|(ment ac)|(multiple cpu faults)|(system.+state.+changed )|(\[timeout)|(PRM\|1\|D)|(kpr)|(kdp)|(\|lc)|(penalty))" /e /r /s</v>
      </c>
      <c r="AG198" s="1" t="str">
        <f t="shared" si="59"/>
        <v>NW</v>
      </c>
      <c r="AH198" s="86" t="str">
        <f t="shared" si="62"/>
        <v>"%USERPROFILE%\Documents\GitHub\eaglep3\Utilities\RefineRTDCRunTimes.py" --tripid 836-17 --locoid 4013 --swversion DE.1.0.9.0 --startMP 300:58621 --initTime 2017-02-17T18:07:16 --startdatetime 2017-02-17T18:09:31 --delay 1 --endMP 204:703 --enddatetime 2017-02-17T18:25:36 --enforcementcount 0 &gt;&gt;C:\Users\stu\Documents\GitHub\eaglep3-reporting\EC\2017-02-17-refined-times.txt</v>
      </c>
      <c r="AI198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{"issue":{"subject":"","project_id":79,"tracker_id":40,"status_id":1,"priority_id":2,"assigned_to_id":23,"start_date":"2017-02-17","description":"","custom_fields":[{"id":1,"name":"Subdivision","value":"NW"},{"id":4,"name":"Milepost","value":"0.0703"},{"id":17,"name":"Train ID","value":"836-17"},{"id":16,"name":"Locomotive ID","value":"4013"},{"id":130,"name":"Impact","value":""},{"id":150,"name":"Time of Event (Mountain Time)","value":"18:25:36"},{"id":151,"name":"Denver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4"/>
        <v>start /low /b %USERPROFILE%\Documents\GitHub\eaglep3\Utilities\DownloadLogsFromS3.py --loco 4013 --day 2017-02-17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"%USERPROFILE%\AppData\Local\Temp\OnboardLogs"\RTDC4013\*4013*20170218* | grep -SE "(Enforcement Action)|(\[TIMEOUT)|(CHR.+\|PRM\|1\|D.+(SWITCH|SIGNAL).+UNKNOWN)" - &gt;&gt; 2017-02-17-UncaughtWiMAX.txt</v>
      </c>
    </row>
    <row r="199" spans="1:40" x14ac:dyDescent="0.25">
      <c r="A199" s="33" t="s">
        <v>625</v>
      </c>
      <c r="B199" s="7">
        <v>4007</v>
      </c>
      <c r="C199" s="21" t="s">
        <v>682</v>
      </c>
      <c r="D199" s="21" t="s">
        <v>820</v>
      </c>
      <c r="E199" s="13">
        <v>42783.759976851848</v>
      </c>
      <c r="F199" s="13">
        <v>42783.764803240738</v>
      </c>
      <c r="G199" s="7">
        <v>1</v>
      </c>
      <c r="H199" s="21" t="s">
        <v>433</v>
      </c>
      <c r="I199" s="13">
        <v>42783.775069444448</v>
      </c>
      <c r="J199" s="7">
        <v>0</v>
      </c>
      <c r="K199" s="98" t="str">
        <f t="shared" si="49"/>
        <v>4007/4008</v>
      </c>
      <c r="L199" s="21" t="str">
        <f>VLOOKUP(A199,'Trips&amp;Operators'!$C$1:$G$99999,5,FALSE)</f>
        <v>LEVERE CRAIG</v>
      </c>
      <c r="M199" s="6">
        <f t="shared" si="50"/>
        <v>1.0266203709761612E-2</v>
      </c>
      <c r="N199" s="7">
        <f t="shared" si="68"/>
        <v>14.783333342056721</v>
      </c>
      <c r="O199" s="7"/>
      <c r="P199" s="7"/>
      <c r="Q199" s="22"/>
      <c r="R199" s="22"/>
      <c r="S199" s="31">
        <f t="shared" si="69"/>
        <v>1</v>
      </c>
      <c r="T199" s="46" t="str">
        <f t="shared" si="52"/>
        <v>NorthBound</v>
      </c>
      <c r="U199" s="18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7" t="str">
        <f t="shared" si="53"/>
        <v>https://d0f6bd738d7f1b3e5a7ca70fe4ff75f0.us-east-1.aws.found.io/app/kibana#/discover/Steve-Slow-Train-Analysis-(2080s-and-2083s)?_g=(refreshInterval:(display:Off,pause:!f,section:0,value:0),time:(from:'2017-02-17T17:14:22-0700',mode:absolute,to:'2017-02-17T19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9" s="188" t="str">
        <f t="shared" si="54"/>
        <v>N</v>
      </c>
      <c r="X199" s="188">
        <f t="shared" si="65"/>
        <v>1</v>
      </c>
      <c r="Y199" s="62">
        <f t="shared" si="60"/>
        <v>9.8299999999999998E-2</v>
      </c>
      <c r="Z199" s="62">
        <f t="shared" si="61"/>
        <v>5.8968999999999996</v>
      </c>
      <c r="AA199" s="62">
        <f t="shared" si="55"/>
        <v>5.7985999999999995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6"/>
        <v>0837-17</v>
      </c>
      <c r="AE199" s="85" t="str">
        <f t="shared" si="57"/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AF199" s="82" t="str">
        <f t="shared" si="58"/>
        <v>"C:\Program Files (x86)\AstroGrep\AstroGrep.exe" /spath="%USERPROFILE%\AppData\Local\Temp\OnboardLogs" /stypes="app*4007*20170218*" /stext=" 01:.+((SYSTEM_STATE.+slice.+state.+changed )|(ment ac)|(multiple cpu faults)|(system.+state.+changed )|(\[timeout)|(PRM\|1\|D)|(kpr)|(kdp)|(\|lc)|(penalty))" /e /r /s</v>
      </c>
      <c r="AG199" s="1" t="str">
        <f t="shared" si="59"/>
        <v>NW</v>
      </c>
      <c r="AH199" s="86" t="str">
        <f t="shared" si="62"/>
        <v>"%USERPROFILE%\Documents\GitHub\eaglep3\Utilities\RefineRTDCRunTimes.py" --tripid 837-17 --locoid 4007 --swversion DE.1.0.9.0 --startMP 204:983 --initTime 2017-02-17T18:14:22 --startdatetime 2017-02-17T18:21:19 --delay 1 --endMP 300:58969 --enddatetime 2017-02-17T18:36:06 --enforcementcount 0 &gt;&gt;C:\Users\stu\Documents\GitHub\eaglep3-reporting\EC\2017-02-17-refined-times.txt</v>
      </c>
      <c r="AI199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{"issue":{"subject":"","project_id":79,"tracker_id":40,"status_id":1,"priority_id":2,"assigned_to_id":23,"start_date":"2017-02-17","description":"","custom_fields":[{"id":1,"name":"Subdivision","value":"NW"},{"id":4,"name":"Milepost","value":"5.8969"},{"id":17,"name":"Train ID","value":"837-17"},{"id":16,"name":"Locomotive ID","value":"4007"},{"id":130,"name":"Impact","value":""},{"id":150,"name":"Time of Event (Mountain Time)","value":"18:36:06"},{"id":151,"name":"Denver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4"/>
        <v>start /low /b %USERPROFILE%\Documents\GitHub\eaglep3\Utilities\DownloadLogsFromS3.py --loco 4007 --day 2017-02-17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2017-02-17-UncaughtWiMAX.txt</v>
      </c>
    </row>
    <row r="200" spans="1:40" x14ac:dyDescent="0.25">
      <c r="A200" s="33" t="s">
        <v>632</v>
      </c>
      <c r="B200" s="7">
        <v>4008</v>
      </c>
      <c r="C200" s="21" t="s">
        <v>682</v>
      </c>
      <c r="D200" s="21" t="s">
        <v>429</v>
      </c>
      <c r="E200" s="13">
        <v>42783.77615740741</v>
      </c>
      <c r="F200" s="13">
        <v>42783.777685185189</v>
      </c>
      <c r="G200" s="7">
        <v>1</v>
      </c>
      <c r="H200" s="21" t="s">
        <v>423</v>
      </c>
      <c r="I200" s="13">
        <v>42783.789907407408</v>
      </c>
      <c r="J200" s="7">
        <v>0</v>
      </c>
      <c r="K200" s="98" t="str">
        <f t="shared" si="49"/>
        <v>4007/4008</v>
      </c>
      <c r="L200" s="21" t="str">
        <f>VLOOKUP(A200,'Trips&amp;Operators'!$C$1:$G$99999,5,FALSE)</f>
        <v>LEVERE CRAIG</v>
      </c>
      <c r="M200" s="6">
        <f t="shared" si="50"/>
        <v>1.2222222219861578E-2</v>
      </c>
      <c r="N200" s="7">
        <f t="shared" si="68"/>
        <v>17.599999996600673</v>
      </c>
      <c r="O200" s="7"/>
      <c r="P200" s="7"/>
      <c r="Q200" s="22"/>
      <c r="R200" s="22"/>
      <c r="S200" s="31">
        <f t="shared" si="69"/>
        <v>1</v>
      </c>
      <c r="T200" s="46" t="str">
        <f t="shared" si="52"/>
        <v>Southbound</v>
      </c>
      <c r="U200" s="18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7" t="str">
        <f t="shared" si="53"/>
        <v>https://d0f6bd738d7f1b3e5a7ca70fe4ff75f0.us-east-1.aws.found.io/app/kibana#/discover/Steve-Slow-Train-Analysis-(2080s-and-2083s)?_g=(refreshInterval:(display:Off,pause:!f,section:0,value:0),time:(from:'2017-02-17T17:37:40-0700',mode:absolute,to:'2017-02-17T19:57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0" s="188" t="str">
        <f t="shared" si="54"/>
        <v>N</v>
      </c>
      <c r="X200" s="188">
        <f t="shared" si="65"/>
        <v>1</v>
      </c>
      <c r="Y200" s="62">
        <f t="shared" si="60"/>
        <v>5.8654999999999999</v>
      </c>
      <c r="Z200" s="62">
        <f t="shared" si="61"/>
        <v>7.0800000000000002E-2</v>
      </c>
      <c r="AA200" s="62">
        <f t="shared" si="55"/>
        <v>5.7946999999999997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6"/>
        <v>0838-17</v>
      </c>
      <c r="AE200" s="85" t="str">
        <f t="shared" si="5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200" s="82" t="str">
        <f t="shared" si="58"/>
        <v>"C:\Program Files (x86)\AstroGrep\AstroGrep.exe" /spath="%USERPROFILE%\AppData\Local\Temp\OnboardLogs" /stypes="app*4008*20170218*" /stext=" 01:.+((SYSTEM_STATE.+slice.+state.+changed )|(ment ac)|(multiple cpu faults)|(system.+state.+changed )|(\[timeout)|(PRM\|1\|D)|(kpr)|(kdp)|(\|lc)|(penalty))" /e /r /s</v>
      </c>
      <c r="AG200" s="1" t="str">
        <f t="shared" si="59"/>
        <v>NW</v>
      </c>
      <c r="AH200" s="86" t="str">
        <f t="shared" si="62"/>
        <v>"%USERPROFILE%\Documents\GitHub\eaglep3\Utilities\RefineRTDCRunTimes.py" --tripid 838-17 --locoid 4008 --swversion DE.1.0.9.0 --startMP 300:58655 --initTime 2017-02-17T18:37:40 --startdatetime 2017-02-17T18:39:52 --delay 1 --endMP 204:708 --enddatetime 2017-02-17T18:57:28 --enforcementcount 0 &gt;&gt;C:\Users\stu\Documents\GitHub\eaglep3-reporting\EC\2017-02-17-refined-times.txt</v>
      </c>
      <c r="AI200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{"issue":{"subject":"","project_id":79,"tracker_id":40,"status_id":1,"priority_id":2,"assigned_to_id":23,"start_date":"2017-02-17","description":"","custom_fields":[{"id":1,"name":"Subdivision","value":"NW"},{"id":4,"name":"Milepost","value":"0.0708"},{"id":17,"name":"Train ID","value":"838-17"},{"id":16,"name":"Locomotive ID","value":"4008"},{"id":130,"name":"Impact","value":""},{"id":150,"name":"Time of Event (Mountain Time)","value":"18:57:28"},{"id":151,"name":"Denver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4"/>
        <v>start /low /b %USERPROFILE%\Documents\GitHub\eaglep3\Utilities\DownloadLogsFromS3.py --loco 4008 --day 2017-02-17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2017-02-17-UncaughtWiMAX.txt</v>
      </c>
    </row>
    <row r="201" spans="1:40" x14ac:dyDescent="0.25">
      <c r="A201" s="33" t="s">
        <v>630</v>
      </c>
      <c r="B201" s="7">
        <v>4014</v>
      </c>
      <c r="C201" s="21" t="s">
        <v>682</v>
      </c>
      <c r="D201" s="21" t="s">
        <v>378</v>
      </c>
      <c r="E201" s="13">
        <v>42783.773414351854</v>
      </c>
      <c r="F201" s="13">
        <v>42783.785624999997</v>
      </c>
      <c r="G201" s="7">
        <v>1</v>
      </c>
      <c r="H201" s="21" t="s">
        <v>818</v>
      </c>
      <c r="I201" s="13">
        <v>42783.795740740738</v>
      </c>
      <c r="J201" s="7">
        <v>0</v>
      </c>
      <c r="K201" s="98" t="str">
        <f t="shared" si="49"/>
        <v>4013/4014</v>
      </c>
      <c r="L201" s="21" t="str">
        <f>VLOOKUP(A201,'Trips&amp;Operators'!$C$1:$G$99999,5,FALSE)</f>
        <v>SMITH MICHAEL</v>
      </c>
      <c r="M201" s="6">
        <f t="shared" si="50"/>
        <v>1.0115740740729962E-2</v>
      </c>
      <c r="N201" s="7">
        <f t="shared" si="68"/>
        <v>14.566666666651145</v>
      </c>
      <c r="O201" s="7"/>
      <c r="P201" s="7"/>
      <c r="Q201" s="22"/>
      <c r="R201" s="22"/>
      <c r="S201" s="31">
        <f t="shared" si="69"/>
        <v>1</v>
      </c>
      <c r="T201" s="46" t="str">
        <f t="shared" si="52"/>
        <v>NorthBound</v>
      </c>
      <c r="U201" s="18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7" t="str">
        <f t="shared" si="53"/>
        <v>https://d0f6bd738d7f1b3e5a7ca70fe4ff75f0.us-east-1.aws.found.io/app/kibana#/discover/Steve-Slow-Train-Analysis-(2080s-and-2083s)?_g=(refreshInterval:(display:Off,pause:!f,section:0,value:0),time:(from:'2017-02-17T17:33:43-0700',mode:absolute,to:'2017-02-17T20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1" s="188" t="str">
        <f t="shared" si="54"/>
        <v>N</v>
      </c>
      <c r="X201" s="188">
        <f t="shared" si="65"/>
        <v>1</v>
      </c>
      <c r="Y201" s="62">
        <f t="shared" si="60"/>
        <v>9.69E-2</v>
      </c>
      <c r="Z201" s="62">
        <f t="shared" si="61"/>
        <v>5.8928000000000003</v>
      </c>
      <c r="AA201" s="62">
        <f t="shared" si="55"/>
        <v>5.7959000000000005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6"/>
        <v>0839-17</v>
      </c>
      <c r="AE201" s="85" t="str">
        <f t="shared" si="57"/>
        <v>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 &amp; aws s3 cp s3://rtdc.mdm.uploadarchive.raw/RTDC4014/ "%USERPROFILE%\AppData\Local\Temp\OnboardLogs"\RTDC4014\2017-02-18 --exclude "*" --recursive --include "*20170218*" &amp; "%USERPROFILE%\Documents\GitHub\mrs-test-scripts\Headless Mode &amp; Sideloading\WalkAndUnGZ.bat" "%USERPROFILE%\AppData\Local\Temp\OnboardLogs"\RTDC4014\2017-02-18</v>
      </c>
      <c r="AF201" s="82" t="str">
        <f t="shared" si="58"/>
        <v>"C:\Program Files (x86)\AstroGrep\AstroGrep.exe" /spath="%USERPROFILE%\AppData\Local\Temp\OnboardLogs" /stypes="app*4014*20170218*" /stext=" 02:.+((SYSTEM_STATE.+slice.+state.+changed )|(ment ac)|(multiple cpu faults)|(system.+state.+changed )|(\[timeout)|(PRM\|1\|D)|(kpr)|(kdp)|(\|lc)|(penalty))" /e /r /s</v>
      </c>
      <c r="AG201" s="1" t="str">
        <f t="shared" si="59"/>
        <v>NW</v>
      </c>
      <c r="AH201" s="86" t="str">
        <f t="shared" si="62"/>
        <v>"%USERPROFILE%\Documents\GitHub\eaglep3\Utilities\RefineRTDCRunTimes.py" --tripid 839-17 --locoid 4014 --swversion DE.1.0.9.0 --startMP 204:969 --initTime 2017-02-17T18:33:43 --startdatetime 2017-02-17T18:51:18 --delay 1 --endMP 300:58928 --enddatetime 2017-02-17T19:05:52 --enforcementcount 0 &gt;&gt;C:\Users\stu\Documents\GitHub\eaglep3-reporting\EC\2017-02-17-refined-times.txt</v>
      </c>
      <c r="AI201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{"issue":{"subject":"","project_id":79,"tracker_id":40,"status_id":1,"priority_id":2,"assigned_to_id":23,"start_date":"2017-02-17","description":"","custom_fields":[{"id":1,"name":"Subdivision","value":"NW"},{"id":4,"name":"Milepost","value":"5.8928"},{"id":17,"name":"Train ID","value":"839-17"},{"id":16,"name":"Locomotive ID","value":"4014"},{"id":130,"name":"Impact","value":""},{"id":150,"name":"Time of Event (Mountain Time)","value":"19:05:52"},{"id":151,"name":"Denver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4"/>
        <v>start /low /b %USERPROFILE%\Documents\GitHub\eaglep3\Utilities\DownloadLogsFromS3.py --loco 4014 --day 2017-02-17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"%USERPROFILE%\AppData\Local\Temp\OnboardLogs"\RTDC4014\*4014*20170218* | grep -SE "(Enforcement Action)|(\[TIMEOUT)|(CHR.+\|PRM\|1\|D.+(SWITCH|SIGNAL).+UNKNOWN)" - &gt;&gt; 2017-02-17-UncaughtWiMAX.txt</v>
      </c>
    </row>
    <row r="202" spans="1:40" x14ac:dyDescent="0.25">
      <c r="A202" s="33" t="s">
        <v>641</v>
      </c>
      <c r="B202" s="7">
        <v>4008</v>
      </c>
      <c r="C202" s="21" t="s">
        <v>682</v>
      </c>
      <c r="D202" s="21" t="s">
        <v>376</v>
      </c>
      <c r="E202" s="13">
        <v>42783.817407407405</v>
      </c>
      <c r="F202" s="13">
        <v>42783.818831018521</v>
      </c>
      <c r="G202" s="7">
        <v>1</v>
      </c>
      <c r="H202" s="21" t="s">
        <v>821</v>
      </c>
      <c r="I202" s="13">
        <v>42783.830254629633</v>
      </c>
      <c r="J202" s="7">
        <v>0</v>
      </c>
      <c r="K202" s="98" t="str">
        <f t="shared" si="49"/>
        <v>4007/4008</v>
      </c>
      <c r="L202" s="21" t="str">
        <f>VLOOKUP(A202,'Trips&amp;Operators'!$C$1:$G$99999,5,FALSE)</f>
        <v>LEVERE CRAIG</v>
      </c>
      <c r="M202" s="6">
        <f t="shared" si="50"/>
        <v>1.1423611111240461E-2</v>
      </c>
      <c r="N202" s="7">
        <f t="shared" si="68"/>
        <v>16.450000000186265</v>
      </c>
      <c r="O202" s="7"/>
      <c r="P202" s="7"/>
      <c r="Q202" s="22"/>
      <c r="R202" s="22"/>
      <c r="S202" s="31">
        <f t="shared" si="69"/>
        <v>1</v>
      </c>
      <c r="T202" s="46" t="str">
        <f t="shared" si="52"/>
        <v>Southbound</v>
      </c>
      <c r="U202" s="18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7" t="str">
        <f t="shared" si="53"/>
        <v>https://d0f6bd738d7f1b3e5a7ca70fe4ff75f0.us-east-1.aws.found.io/app/kibana#/discover/Steve-Slow-Train-Analysis-(2080s-and-2083s)?_g=(refreshInterval:(display:Off,pause:!f,section:0,value:0),time:(from:'2017-02-17T18:37:04-0700',mode:absolute,to:'2017-02-17T20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2" s="188" t="str">
        <f t="shared" si="54"/>
        <v>N</v>
      </c>
      <c r="X202" s="188">
        <f t="shared" si="65"/>
        <v>1</v>
      </c>
      <c r="Y202" s="62">
        <f t="shared" si="60"/>
        <v>5.8640999999999996</v>
      </c>
      <c r="Z202" s="62">
        <f t="shared" si="61"/>
        <v>6.9800000000000001E-2</v>
      </c>
      <c r="AA202" s="62">
        <f t="shared" si="55"/>
        <v>5.7942999999999998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6"/>
        <v>0840-17</v>
      </c>
      <c r="AE202" s="85" t="str">
        <f t="shared" si="5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202" s="82" t="str">
        <f t="shared" si="58"/>
        <v>"C:\Program Files (x86)\AstroGrep\AstroGrep.exe" /spath="%USERPROFILE%\AppData\Local\Temp\OnboardLogs" /stypes="app*4008*20170218*" /stext=" 02:.+((SYSTEM_STATE.+slice.+state.+changed )|(ment ac)|(multiple cpu faults)|(system.+state.+changed )|(\[timeout)|(PRM\|1\|D)|(kpr)|(kdp)|(\|lc)|(penalty))" /e /r /s</v>
      </c>
      <c r="AG202" s="1" t="str">
        <f t="shared" si="59"/>
        <v>NW</v>
      </c>
      <c r="AH202" s="86" t="str">
        <f t="shared" si="62"/>
        <v>"%USERPROFILE%\Documents\GitHub\eaglep3\Utilities\RefineRTDCRunTimes.py" --tripid 840-17 --locoid 4008 --swversion DE.1.0.9.0 --startMP 300:58641 --initTime 2017-02-17T19:37:04 --startdatetime 2017-02-17T19:39:07 --delay 1 --endMP 204:698 --enddatetime 2017-02-17T19:55:34 --enforcementcount 0 &gt;&gt;C:\Users\stu\Documents\GitHub\eaglep3-reporting\EC\2017-02-17-refined-times.txt</v>
      </c>
      <c r="AI202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{"issue":{"subject":"","project_id":79,"tracker_id":40,"status_id":1,"priority_id":2,"assigned_to_id":23,"start_date":"2017-02-17","description":"","custom_fields":[{"id":1,"name":"Subdivision","value":"NW"},{"id":4,"name":"Milepost","value":"0.0698"},{"id":17,"name":"Train ID","value":"840-17"},{"id":16,"name":"Locomotive ID","value":"4008"},{"id":130,"name":"Impact","value":""},{"id":150,"name":"Time of Event (Mountain Time)","value":"19:55:34"},{"id":151,"name":"Denver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4"/>
        <v>start /low /b %USERPROFILE%\Documents\GitHub\eaglep3\Utilities\DownloadLogsFromS3.py --loco 4008 --day 2017-02-17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2017-02-17-UncaughtWiMAX.txt</v>
      </c>
    </row>
    <row r="203" spans="1:40" x14ac:dyDescent="0.25">
      <c r="A203" s="33" t="s">
        <v>638</v>
      </c>
      <c r="B203" s="7">
        <v>4007</v>
      </c>
      <c r="C203" s="21" t="s">
        <v>682</v>
      </c>
      <c r="D203" s="21" t="s">
        <v>822</v>
      </c>
      <c r="E203" s="13">
        <v>42783.800775462965</v>
      </c>
      <c r="F203" s="13">
        <v>42783.806446759256</v>
      </c>
      <c r="G203" s="7">
        <v>1</v>
      </c>
      <c r="H203" s="21" t="s">
        <v>426</v>
      </c>
      <c r="I203" s="13">
        <v>42783.816388888888</v>
      </c>
      <c r="J203" s="7">
        <v>0</v>
      </c>
      <c r="K203" s="98" t="str">
        <f t="shared" si="49"/>
        <v>4007/4008</v>
      </c>
      <c r="L203" s="21" t="str">
        <f>VLOOKUP(A203,'Trips&amp;Operators'!$C$1:$G$99999,5,FALSE)</f>
        <v>LEVERE CRAIG</v>
      </c>
      <c r="M203" s="6">
        <f t="shared" si="50"/>
        <v>9.9421296326909214E-3</v>
      </c>
      <c r="N203" s="7">
        <f t="shared" si="68"/>
        <v>14.316666671074927</v>
      </c>
      <c r="O203" s="7"/>
      <c r="P203" s="7"/>
      <c r="Q203" s="22"/>
      <c r="R203" s="22"/>
      <c r="S203" s="31">
        <f t="shared" si="69"/>
        <v>1</v>
      </c>
      <c r="T203" s="46" t="str">
        <f t="shared" si="52"/>
        <v>NorthBound</v>
      </c>
      <c r="U203" s="18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7" t="str">
        <f t="shared" si="53"/>
        <v>https://d0f6bd738d7f1b3e5a7ca70fe4ff75f0.us-east-1.aws.found.io/app/kibana#/discover/Steve-Slow-Train-Analysis-(2080s-and-2083s)?_g=(refreshInterval:(display:Off,pause:!f,section:0,value:0),time:(from:'2017-02-17T18:13:07-0700',mode:absolute,to:'2017-02-17T20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3" s="188" t="str">
        <f t="shared" si="54"/>
        <v>N</v>
      </c>
      <c r="X203" s="188">
        <f t="shared" si="65"/>
        <v>1</v>
      </c>
      <c r="Y203" s="62">
        <f t="shared" si="60"/>
        <v>9.74E-2</v>
      </c>
      <c r="Z203" s="62">
        <f t="shared" si="61"/>
        <v>5.8959999999999999</v>
      </c>
      <c r="AA203" s="62">
        <f t="shared" si="55"/>
        <v>5.7985999999999995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6"/>
        <v>0841-17</v>
      </c>
      <c r="AE203" s="85" t="str">
        <f t="shared" si="57"/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AF203" s="82" t="str">
        <f t="shared" si="58"/>
        <v>"C:\Program Files (x86)\AstroGrep\AstroGrep.exe" /spath="%USERPROFILE%\AppData\Local\Temp\OnboardLogs" /stypes="app*4007*20170218*" /stext=" 02:.+((SYSTEM_STATE.+slice.+state.+changed )|(ment ac)|(multiple cpu faults)|(system.+state.+changed )|(\[timeout)|(PRM\|1\|D)|(kpr)|(kdp)|(\|lc)|(penalty))" /e /r /s</v>
      </c>
      <c r="AG203" s="1" t="str">
        <f t="shared" si="59"/>
        <v>NW</v>
      </c>
      <c r="AH203" s="86" t="str">
        <f t="shared" si="62"/>
        <v>"%USERPROFILE%\Documents\GitHub\eaglep3\Utilities\RefineRTDCRunTimes.py" --tripid 841-17 --locoid 4007 --swversion DE.1.0.9.0 --startMP 204:974 --initTime 2017-02-17T19:13:07 --startdatetime 2017-02-17T19:21:17 --delay 1 --endMP 300:58960 --enddatetime 2017-02-17T19:35:36 --enforcementcount 0 &gt;&gt;C:\Users\stu\Documents\GitHub\eaglep3-reporting\EC\2017-02-17-refined-times.txt</v>
      </c>
      <c r="AI203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{"issue":{"subject":"","project_id":79,"tracker_id":40,"status_id":1,"priority_id":2,"assigned_to_id":23,"start_date":"2017-02-17","description":"","custom_fields":[{"id":1,"name":"Subdivision","value":"NW"},{"id":4,"name":"Milepost","value":"5.896"},{"id":17,"name":"Train ID","value":"841-17"},{"id":16,"name":"Locomotive ID","value":"4007"},{"id":130,"name":"Impact","value":""},{"id":150,"name":"Time of Event (Mountain Time)","value":"19:35:36"},{"id":151,"name":"Denver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4"/>
        <v>start /low /b %USERPROFILE%\Documents\GitHub\eaglep3\Utilities\DownloadLogsFromS3.py --loco 4007 --day 2017-02-17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2017-02-17-UncaughtWiMAX.txt</v>
      </c>
    </row>
    <row r="204" spans="1:40" x14ac:dyDescent="0.25">
      <c r="A204" s="33" t="s">
        <v>650</v>
      </c>
      <c r="B204" s="7">
        <v>4008</v>
      </c>
      <c r="C204" s="21" t="s">
        <v>682</v>
      </c>
      <c r="D204" s="21" t="s">
        <v>823</v>
      </c>
      <c r="E204" s="13">
        <v>42783.858854166669</v>
      </c>
      <c r="F204" s="13">
        <v>42783.860162037039</v>
      </c>
      <c r="G204" s="7">
        <v>1</v>
      </c>
      <c r="H204" s="21" t="s">
        <v>824</v>
      </c>
      <c r="I204" s="13">
        <v>42783.872175925928</v>
      </c>
      <c r="J204" s="7">
        <v>0</v>
      </c>
      <c r="K204" s="98" t="str">
        <f t="shared" si="49"/>
        <v>4007/4008</v>
      </c>
      <c r="L204" s="21" t="str">
        <f>VLOOKUP(A204,'Trips&amp;Operators'!$C$1:$G$99999,5,FALSE)</f>
        <v>LEVERE CRAIG</v>
      </c>
      <c r="M204" s="6">
        <f t="shared" si="50"/>
        <v>1.2013888888759539E-2</v>
      </c>
      <c r="N204" s="7">
        <f t="shared" si="68"/>
        <v>17.299999999813735</v>
      </c>
      <c r="O204" s="7"/>
      <c r="P204" s="7"/>
      <c r="Q204" s="22"/>
      <c r="R204" s="22"/>
      <c r="S204" s="31">
        <f t="shared" si="69"/>
        <v>1</v>
      </c>
      <c r="T204" s="46" t="str">
        <f t="shared" si="52"/>
        <v>Southbound</v>
      </c>
      <c r="U204" s="18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7" t="str">
        <f t="shared" si="53"/>
        <v>https://d0f6bd738d7f1b3e5a7ca70fe4ff75f0.us-east-1.aws.found.io/app/kibana#/discover/Steve-Slow-Train-Analysis-(2080s-and-2083s)?_g=(refreshInterval:(display:Off,pause:!f,section:0,value:0),time:(from:'2017-02-17T19:36:45-0700',mode:absolute,to:'2017-02-17T21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4" s="188" t="str">
        <f t="shared" si="54"/>
        <v>N</v>
      </c>
      <c r="X204" s="188">
        <f t="shared" si="65"/>
        <v>1</v>
      </c>
      <c r="Y204" s="62">
        <f t="shared" si="60"/>
        <v>5.8630000000000004</v>
      </c>
      <c r="Z204" s="62">
        <f t="shared" si="61"/>
        <v>7.0099999999999996E-2</v>
      </c>
      <c r="AA204" s="62">
        <f t="shared" si="55"/>
        <v>5.7929000000000004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6"/>
        <v>0842-17</v>
      </c>
      <c r="AE204" s="85" t="str">
        <f t="shared" si="5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204" s="82" t="str">
        <f t="shared" si="58"/>
        <v>"C:\Program Files (x86)\AstroGrep\AstroGrep.exe" /spath="%USERPROFILE%\AppData\Local\Temp\OnboardLogs" /stypes="app*4008*20170218*" /stext=" 03:.+((SYSTEM_STATE.+slice.+state.+changed )|(ment ac)|(multiple cpu faults)|(system.+state.+changed )|(\[timeout)|(PRM\|1\|D)|(kpr)|(kdp)|(\|lc)|(penalty))" /e /r /s</v>
      </c>
      <c r="AG204" s="1" t="str">
        <f t="shared" si="59"/>
        <v>NW</v>
      </c>
      <c r="AH204" s="86" t="str">
        <f t="shared" si="62"/>
        <v>"%USERPROFILE%\Documents\GitHub\eaglep3\Utilities\RefineRTDCRunTimes.py" --tripid 842-17 --locoid 4008 --swversion DE.1.0.9.0 --startMP 300:58630 --initTime 2017-02-17T20:36:45 --startdatetime 2017-02-17T20:38:38 --delay 1 --endMP 204:701 --enddatetime 2017-02-17T20:55:56 --enforcementcount 0 &gt;&gt;C:\Users\stu\Documents\GitHub\eaglep3-reporting\EC\2017-02-17-refined-times.txt</v>
      </c>
      <c r="AI204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{"issue":{"subject":"","project_id":79,"tracker_id":40,"status_id":1,"priority_id":2,"assigned_to_id":23,"start_date":"2017-02-17","description":"","custom_fields":[{"id":1,"name":"Subdivision","value":"NW"},{"id":4,"name":"Milepost","value":"0.0701"},{"id":17,"name":"Train ID","value":"842-17"},{"id":16,"name":"Locomotive ID","value":"4008"},{"id":130,"name":"Impact","value":""},{"id":150,"name":"Time of Event (Mountain Time)","value":"20:55:56"},{"id":151,"name":"Denver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4"/>
        <v>start /low /b %USERPROFILE%\Documents\GitHub\eaglep3\Utilities\DownloadLogsFromS3.py --loco 4008 --day 2017-02-17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2017-02-17-UncaughtWiMAX.txt</v>
      </c>
    </row>
    <row r="205" spans="1:40" x14ac:dyDescent="0.25">
      <c r="A205" s="33" t="s">
        <v>646</v>
      </c>
      <c r="B205" s="7">
        <v>4007</v>
      </c>
      <c r="C205" s="21" t="s">
        <v>682</v>
      </c>
      <c r="D205" s="21" t="s">
        <v>820</v>
      </c>
      <c r="E205" s="13">
        <v>42783.837500000001</v>
      </c>
      <c r="F205" s="13">
        <v>42783.84815972222</v>
      </c>
      <c r="G205" s="7">
        <v>1</v>
      </c>
      <c r="H205" s="21" t="s">
        <v>810</v>
      </c>
      <c r="I205" s="13">
        <v>42783.857870370368</v>
      </c>
      <c r="J205" s="7">
        <v>0</v>
      </c>
      <c r="K205" s="98" t="str">
        <f t="shared" ref="K205:K233" si="70">IF(ISEVEN(B205),(B205-1)&amp;"/"&amp;B205,B205&amp;"/"&amp;(B205+1))</f>
        <v>4007/4008</v>
      </c>
      <c r="L205" s="21" t="str">
        <f>VLOOKUP(A205,'Trips&amp;Operators'!$C$1:$G$99999,5,FALSE)</f>
        <v>LEVERE CRAIG</v>
      </c>
      <c r="M205" s="6">
        <f t="shared" ref="M205:M233" si="71">I205-F205</f>
        <v>9.710648148029577E-3</v>
      </c>
      <c r="N205" s="7">
        <f t="shared" si="68"/>
        <v>13.983333333162591</v>
      </c>
      <c r="O205" s="7"/>
      <c r="P205" s="7"/>
      <c r="Q205" s="22"/>
      <c r="R205" s="22"/>
      <c r="S205" s="31">
        <f t="shared" si="69"/>
        <v>1</v>
      </c>
      <c r="T205" s="46" t="str">
        <f t="shared" ref="T205:T233" si="72">IF(ISEVEN(LEFT(AD205,4)),"Southbound","NorthBound")</f>
        <v>NorthBound</v>
      </c>
      <c r="U205" s="18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7" t="str">
        <f t="shared" ref="V205:V233" si="7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-17T19:06:00-0700',mode:absolute,to:'2017-02-17T21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5" s="188" t="str">
        <f t="shared" ref="W205:W233" si="74">IF(AA205&lt;IF(AG205="EC",23,5.65),"Y","N")</f>
        <v>N</v>
      </c>
      <c r="X205" s="188">
        <f t="shared" si="65"/>
        <v>1</v>
      </c>
      <c r="Y205" s="62">
        <f t="shared" si="60"/>
        <v>9.8299999999999998E-2</v>
      </c>
      <c r="Z205" s="62">
        <f t="shared" si="61"/>
        <v>5.8948</v>
      </c>
      <c r="AA205" s="62">
        <f t="shared" ref="AA205:AA233" si="75">ABS(Z205-Y205)</f>
        <v>5.7965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3" si="76">IF(LEN(A205)=6,"0"&amp;A205,A205)</f>
        <v>0843-17</v>
      </c>
      <c r="AE205" s="85" t="str">
        <f t="shared" ref="AE205:AE233" si="7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AF205" s="82" t="str">
        <f t="shared" ref="AF205:AF233" si="78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/stypes="app*4007*20170218*" /stext=" 03:.+((SYSTEM_STATE.+slice.+state.+changed )|(ment ac)|(multiple cpu faults)|(system.+state.+changed )|(\[timeout)|(PRM\|1\|D)|(kpr)|(kdp)|(\|lc)|(penalty))" /e /r /s</v>
      </c>
      <c r="AG205" s="1" t="str">
        <f t="shared" ref="AG205:AG233" si="79">IFERROR(IF(VALUE(LEFT(AD205,2))&lt;=2,"EC",IF(OR(VALUE(LEFT(AD205,2))=8,VALUE(LEFT(AD205,2))=18),"NW","Other")),"Other")</f>
        <v>NW</v>
      </c>
      <c r="AH205" s="86" t="str">
        <f t="shared" si="62"/>
        <v>"%USERPROFILE%\Documents\GitHub\eaglep3\Utilities\RefineRTDCRunTimes.py" --tripid 843-17 --locoid 4007 --swversion DE.1.0.9.0 --startMP 204:983 --initTime 2017-02-17T20:06:00 --startdatetime 2017-02-17T20:21:21 --delay 1 --endMP 300:58948 --enddatetime 2017-02-17T20:35:20 --enforcementcount 0 &gt;&gt;C:\Users\stu\Documents\GitHub\eaglep3-reporting\EC\2017-02-17-refined-times.txt</v>
      </c>
      <c r="AI205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{"issue":{"subject":"","project_id":79,"tracker_id":40,"status_id":1,"priority_id":2,"assigned_to_id":23,"start_date":"2017-02-17","description":"","custom_fields":[{"id":1,"name":"Subdivision","value":"NW"},{"id":4,"name":"Milepost","value":"5.8948"},{"id":17,"name":"Train ID","value":"843-17"},{"id":16,"name":"Locomotive ID","value":"4007"},{"id":130,"name":"Impact","value":""},{"id":150,"name":"Time of Event (Mountain Time)","value":"20:35:20"},{"id":151,"name":"Denver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64"/>
        <v>start /low /b %USERPROFILE%\Documents\GitHub\eaglep3\Utilities\DownloadLogsFromS3.py --loco 4007 --day 2017-02-17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2017-02-17-UncaughtWiMAX.txt</v>
      </c>
    </row>
    <row r="206" spans="1:40" x14ac:dyDescent="0.25">
      <c r="A206" s="33" t="s">
        <v>655</v>
      </c>
      <c r="B206" s="7">
        <v>4008</v>
      </c>
      <c r="C206" s="21" t="s">
        <v>682</v>
      </c>
      <c r="D206" s="21" t="s">
        <v>825</v>
      </c>
      <c r="E206" s="13">
        <v>42783.901134259257</v>
      </c>
      <c r="F206" s="13">
        <v>42783.902777777781</v>
      </c>
      <c r="G206" s="7">
        <v>1</v>
      </c>
      <c r="H206" s="21" t="s">
        <v>325</v>
      </c>
      <c r="I206" s="13">
        <v>42783.913495370369</v>
      </c>
      <c r="J206" s="7">
        <v>0</v>
      </c>
      <c r="K206" s="98" t="str">
        <f t="shared" si="70"/>
        <v>4007/4008</v>
      </c>
      <c r="L206" s="21" t="str">
        <f>VLOOKUP(A206,'Trips&amp;Operators'!$C$1:$G$99999,5,FALSE)</f>
        <v>SMITH MICHAEL</v>
      </c>
      <c r="M206" s="6">
        <f t="shared" si="71"/>
        <v>1.0717592587752733E-2</v>
      </c>
      <c r="N206" s="7">
        <f t="shared" si="68"/>
        <v>15.433333326363936</v>
      </c>
      <c r="O206" s="7"/>
      <c r="P206" s="7"/>
      <c r="Q206" s="22"/>
      <c r="R206" s="22"/>
      <c r="S206" s="31">
        <f t="shared" si="69"/>
        <v>1</v>
      </c>
      <c r="T206" s="46" t="str">
        <f t="shared" si="72"/>
        <v>Southbound</v>
      </c>
      <c r="U206" s="18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7" t="str">
        <f t="shared" si="73"/>
        <v>https://d0f6bd738d7f1b3e5a7ca70fe4ff75f0.us-east-1.aws.found.io/app/kibana#/discover/Steve-Slow-Train-Analysis-(2080s-and-2083s)?_g=(refreshInterval:(display:Off,pause:!f,section:0,value:0),time:(from:'2017-02-17T20:37:38-0700',mode:absolute,to:'2017-02-17T22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6" s="188" t="str">
        <f t="shared" si="74"/>
        <v>N</v>
      </c>
      <c r="X206" s="188">
        <f t="shared" si="65"/>
        <v>1</v>
      </c>
      <c r="Y206" s="62">
        <f t="shared" ref="Y206:Y233" si="80">RIGHT(D206,LEN(D206)-4)/10000</f>
        <v>5.8613</v>
      </c>
      <c r="Z206" s="62">
        <f t="shared" ref="Z206:Z233" si="81">RIGHT(H206,LEN(H206)-4)/10000</f>
        <v>6.7799999999999999E-2</v>
      </c>
      <c r="AA206" s="62">
        <f t="shared" si="75"/>
        <v>5.7934999999999999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6"/>
        <v>0844-17</v>
      </c>
      <c r="AE206" s="85" t="str">
        <f t="shared" si="7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206" s="82" t="str">
        <f t="shared" si="78"/>
        <v>"C:\Program Files (x86)\AstroGrep\AstroGrep.exe" /spath="%USERPROFILE%\AppData\Local\Temp\OnboardLogs" /stypes="app*4008*20170218*" /stext=" 04:.+((SYSTEM_STATE.+slice.+state.+changed )|(ment ac)|(multiple cpu faults)|(system.+state.+changed )|(\[timeout)|(PRM\|1\|D)|(kpr)|(kdp)|(\|lc)|(penalty))" /e /r /s</v>
      </c>
      <c r="AG206" s="1" t="str">
        <f t="shared" si="79"/>
        <v>NW</v>
      </c>
      <c r="AH206" s="86" t="str">
        <f t="shared" si="62"/>
        <v>"%USERPROFILE%\Documents\GitHub\eaglep3\Utilities\RefineRTDCRunTimes.py" --tripid 844-17 --locoid 4008 --swversion DE.1.0.9.0 --startMP 300:58613 --initTime 2017-02-17T21:37:38 --startdatetime 2017-02-17T21:40:00 --delay 1 --endMP 204:678 --enddatetime 2017-02-17T21:55:26 --enforcementcount 0 &gt;&gt;C:\Users\stu\Documents\GitHub\eaglep3-reporting\EC\2017-02-17-refined-times.txt</v>
      </c>
      <c r="AI206" s="108" t="str">
        <f t="shared" si="63"/>
        <v>echo {"issue":{"subject":"","project_id":79,"tracker_id":40,"status_id":1,"priority_id":2,"assigned_to_id":23,"start_date":"2017-02-17","description":"","custom_fields":[{"id":1,"name":"Subdivision","value":"NW"},{"id":4,"name":"Milepost","value":"0.0678"},{"id":17,"name":"Train ID","value":"844-17"},{"id":16,"name":"Locomotive ID","value":"4008"},{"id":130,"name":"Impact","value":""},{"id":150,"name":"Time of Event (Mountain Time)","value":"21:55:26"},{"id":151,"name":"Denver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64"/>
        <v>start /low /b %USERPROFILE%\Documents\GitHub\eaglep3\Utilities\DownloadLogsFromS3.py --loco 4008 --day 2017-02-17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2017-02-17-UncaughtWiMAX.txt</v>
      </c>
    </row>
    <row r="207" spans="1:40" x14ac:dyDescent="0.25">
      <c r="A207" s="33" t="s">
        <v>652</v>
      </c>
      <c r="B207" s="7">
        <v>4007</v>
      </c>
      <c r="C207" s="21" t="s">
        <v>682</v>
      </c>
      <c r="D207" s="21" t="s">
        <v>379</v>
      </c>
      <c r="E207" s="13">
        <v>42783.876782407409</v>
      </c>
      <c r="F207" s="13">
        <v>42783.889814814815</v>
      </c>
      <c r="G207" s="7">
        <v>2</v>
      </c>
      <c r="H207" s="21" t="s">
        <v>826</v>
      </c>
      <c r="I207" s="13">
        <v>42783.899907407409</v>
      </c>
      <c r="J207" s="7">
        <v>0</v>
      </c>
      <c r="K207" s="98" t="str">
        <f t="shared" si="70"/>
        <v>4007/4008</v>
      </c>
      <c r="L207" s="21" t="str">
        <f>VLOOKUP(A207,'Trips&amp;Operators'!$C$1:$G$99999,5,FALSE)</f>
        <v>SMITH MICHAEL</v>
      </c>
      <c r="M207" s="6">
        <f t="shared" si="71"/>
        <v>1.0092592594446614E-2</v>
      </c>
      <c r="N207" s="7">
        <f t="shared" si="68"/>
        <v>14.533333336003125</v>
      </c>
      <c r="O207" s="7"/>
      <c r="P207" s="7"/>
      <c r="Q207" s="22"/>
      <c r="R207" s="22"/>
      <c r="S207" s="31">
        <f t="shared" si="69"/>
        <v>1</v>
      </c>
      <c r="T207" s="46" t="str">
        <f t="shared" si="72"/>
        <v>NorthBound</v>
      </c>
      <c r="U207" s="18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7" t="str">
        <f t="shared" si="73"/>
        <v>https://d0f6bd738d7f1b3e5a7ca70fe4ff75f0.us-east-1.aws.found.io/app/kibana#/discover/Steve-Slow-Train-Analysis-(2080s-and-2083s)?_g=(refreshInterval:(display:Off,pause:!f,section:0,value:0),time:(from:'2017-02-17T20:02:34-0700',mode:absolute,to:'2017-02-17T22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7" s="188" t="str">
        <f t="shared" si="74"/>
        <v>N</v>
      </c>
      <c r="X207" s="188">
        <f t="shared" si="65"/>
        <v>1</v>
      </c>
      <c r="Y207" s="62">
        <f t="shared" si="80"/>
        <v>9.7100000000000006E-2</v>
      </c>
      <c r="Z207" s="62">
        <f t="shared" si="81"/>
        <v>5.8933</v>
      </c>
      <c r="AA207" s="62">
        <f t="shared" si="75"/>
        <v>5.7961999999999998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6"/>
        <v>0845-17</v>
      </c>
      <c r="AE207" s="85" t="str">
        <f t="shared" si="77"/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AF207" s="82" t="str">
        <f t="shared" si="78"/>
        <v>"C:\Program Files (x86)\AstroGrep\AstroGrep.exe" /spath="%USERPROFILE%\AppData\Local\Temp\OnboardLogs" /stypes="app*4007*20170218*" /stext=" 04:.+((SYSTEM_STATE.+slice.+state.+changed )|(ment ac)|(multiple cpu faults)|(system.+state.+changed )|(\[timeout)|(PRM\|1\|D)|(kpr)|(kdp)|(\|lc)|(penalty))" /e /r /s</v>
      </c>
      <c r="AG207" s="1" t="str">
        <f t="shared" si="79"/>
        <v>NW</v>
      </c>
      <c r="AH207" s="86" t="str">
        <f t="shared" ref="AH207:AH233" si="82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845-17 --locoid 4007 --swversion DE.1.0.9.0 --startMP 204:971 --initTime 2017-02-17T21:02:34 --startdatetime 2017-02-17T21:21:20 --delay 2 --endMP 300:58933 --enddatetime 2017-02-17T21:35:52 --enforcementcount 0 &gt;&gt;C:\Users\stu\Documents\GitHub\eaglep3-reporting\EC\2017-02-17-refined-times.txt</v>
      </c>
      <c r="AI207" s="108" t="str">
        <f t="shared" ref="AI207:AI233" si="83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{"issue":{"subject":"","project_id":79,"tracker_id":40,"status_id":1,"priority_id":2,"assigned_to_id":23,"start_date":"2017-02-17","description":"","custom_fields":[{"id":1,"name":"Subdivision","value":"NW"},{"id":4,"name":"Milepost","value":"5.8933"},{"id":17,"name":"Train ID","value":"845-17"},{"id":16,"name":"Locomotive ID","value":"4007"},{"id":130,"name":"Impact","value":""},{"id":150,"name":"Time of Event (Mountain Time)","value":"21:35:52"},{"id":151,"name":"Denver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ref="AM207:AM233" si="84">"start /low /b "&amp;dls3logs&amp;" --loco "&amp;B207&amp;" --day "&amp;TEXT(F207,"YYYY-MM-DD")</f>
        <v>start /low /b %USERPROFILE%\Documents\GitHub\eaglep3\Utilities\DownloadLogsFromS3.py --loco 4007 --day 2017-02-17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2017-02-17-UncaughtWiMAX.txt</v>
      </c>
    </row>
    <row r="208" spans="1:40" x14ac:dyDescent="0.25">
      <c r="A208" s="33" t="s">
        <v>658</v>
      </c>
      <c r="B208" s="7">
        <v>4007</v>
      </c>
      <c r="C208" s="21" t="s">
        <v>682</v>
      </c>
      <c r="D208" s="21" t="s">
        <v>817</v>
      </c>
      <c r="E208" s="13">
        <v>42783.91814814815</v>
      </c>
      <c r="F208" s="13">
        <v>42783.931458333333</v>
      </c>
      <c r="G208" s="7">
        <v>1</v>
      </c>
      <c r="H208" s="21" t="s">
        <v>818</v>
      </c>
      <c r="I208" s="13">
        <v>42783.941412037035</v>
      </c>
      <c r="J208" s="7">
        <v>0</v>
      </c>
      <c r="K208" s="98" t="str">
        <f t="shared" si="70"/>
        <v>4007/4008</v>
      </c>
      <c r="L208" s="21" t="str">
        <f>VLOOKUP(A208,'Trips&amp;Operators'!$C$1:$G$99999,5,FALSE)</f>
        <v>SMITH MICHAEL</v>
      </c>
      <c r="M208" s="6">
        <f t="shared" si="71"/>
        <v>9.9537037021946162E-3</v>
      </c>
      <c r="N208" s="7">
        <f t="shared" si="68"/>
        <v>14.333333331160247</v>
      </c>
      <c r="O208" s="7"/>
      <c r="P208" s="7"/>
      <c r="Q208" s="22"/>
      <c r="R208" s="22"/>
      <c r="S208" s="31">
        <f t="shared" si="69"/>
        <v>1</v>
      </c>
      <c r="T208" s="46" t="str">
        <f t="shared" si="72"/>
        <v>NorthBound</v>
      </c>
      <c r="U208" s="18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7" t="str">
        <f t="shared" si="73"/>
        <v>https://d0f6bd738d7f1b3e5a7ca70fe4ff75f0.us-east-1.aws.found.io/app/kibana#/discover/Steve-Slow-Train-Analysis-(2080s-and-2083s)?_g=(refreshInterval:(display:Off,pause:!f,section:0,value:0),time:(from:'2017-02-17T21:02:08-0700',mode:absolute,to:'2017-02-17T23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8" s="188" t="str">
        <f t="shared" si="74"/>
        <v>N</v>
      </c>
      <c r="X208" s="188">
        <f t="shared" si="65"/>
        <v>2</v>
      </c>
      <c r="Y208" s="62">
        <f t="shared" si="80"/>
        <v>9.64E-2</v>
      </c>
      <c r="Z208" s="62">
        <f t="shared" si="81"/>
        <v>5.8928000000000003</v>
      </c>
      <c r="AA208" s="62">
        <f t="shared" si="75"/>
        <v>5.7964000000000002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6"/>
        <v>0847-17</v>
      </c>
      <c r="AE208" s="85" t="str">
        <f t="shared" si="77"/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AF208" s="82" t="str">
        <f t="shared" si="78"/>
        <v>"C:\Program Files (x86)\AstroGrep\AstroGrep.exe" /spath="%USERPROFILE%\AppData\Local\Temp\OnboardLogs" /stypes="app*4007*20170218*" /stext=" 05:.+((SYSTEM_STATE.+slice.+state.+changed )|(ment ac)|(multiple cpu faults)|(system.+state.+changed )|(\[timeout)|(PRM\|1\|D)|(kpr)|(kdp)|(\|lc)|(penalty))" /e /r /s</v>
      </c>
      <c r="AG208" s="1" t="str">
        <f t="shared" si="79"/>
        <v>NW</v>
      </c>
      <c r="AH208" s="86" t="str">
        <f t="shared" si="82"/>
        <v>"%USERPROFILE%\Documents\GitHub\eaglep3\Utilities\RefineRTDCRunTimes.py" --tripid 847-17 --locoid 4007 --swversion DE.1.0.9.0 --startMP 204:964 --initTime 2017-02-17T22:02:08 --startdatetime 2017-02-17T22:21:18 --delay 1 --endMP 300:58928 --enddatetime 2017-02-17T22:35:38 --enforcementcount 0 &gt;&gt;C:\Users\stu\Documents\GitHub\eaglep3-reporting\EC\2017-02-17-refined-times.txt</v>
      </c>
      <c r="AI208" s="108" t="str">
        <f t="shared" si="83"/>
        <v>echo {"issue":{"subject":"","project_id":79,"tracker_id":40,"status_id":1,"priority_id":2,"assigned_to_id":23,"start_date":"2017-02-17","description":"","custom_fields":[{"id":1,"name":"Subdivision","value":"NW"},{"id":4,"name":"Milepost","value":"5.8928"},{"id":17,"name":"Train ID","value":"847-17"},{"id":16,"name":"Locomotive ID","value":"4007"},{"id":130,"name":"Impact","value":""},{"id":150,"name":"Time of Event (Mountain Time)","value":"22:35:38"},{"id":151,"name":"Denver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4"/>
        <v>start /low /b %USERPROFILE%\Documents\GitHub\eaglep3\Utilities\DownloadLogsFromS3.py --loco 4007 --day 2017-02-17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"%USERPROFILE%\AppData\Local\Temp\OnboardLogs"\RTDC4007\*4007*20170218* | grep -SE "(Enforcement Action)|(\[TIMEOUT)|(CHR.+\|PRM\|1\|D.+(SWITCH|SIGNAL).+UNKNOWN)" - &gt;&gt; 2017-02-17-UncaughtWiMAX.txt</v>
      </c>
    </row>
    <row r="209" spans="1:40" x14ac:dyDescent="0.25">
      <c r="A209" s="33" t="s">
        <v>470</v>
      </c>
      <c r="B209" s="7">
        <v>4028</v>
      </c>
      <c r="C209" s="21" t="s">
        <v>682</v>
      </c>
      <c r="D209" s="21" t="s">
        <v>761</v>
      </c>
      <c r="E209" s="13">
        <v>42783.125671296293</v>
      </c>
      <c r="F209" s="13">
        <v>42783.126875000002</v>
      </c>
      <c r="G209" s="7">
        <v>0</v>
      </c>
      <c r="H209" s="21" t="s">
        <v>184</v>
      </c>
      <c r="I209" s="13">
        <v>42783.132754629631</v>
      </c>
      <c r="J209" s="7">
        <v>0</v>
      </c>
      <c r="K209" s="98" t="str">
        <f t="shared" si="70"/>
        <v>4027/4028</v>
      </c>
      <c r="L209" s="21" t="str">
        <f>VLOOKUP(A209,'Trips&amp;Operators'!$C$1:$G$99999,5,FALSE)</f>
        <v>BADERTSCHER DIANE</v>
      </c>
      <c r="M209" s="6">
        <f t="shared" si="71"/>
        <v>5.8796296289074235E-3</v>
      </c>
      <c r="N209" s="7">
        <f t="shared" si="68"/>
        <v>8.4666666656266898</v>
      </c>
      <c r="O209" s="7"/>
      <c r="P209" s="7"/>
      <c r="Q209" s="22"/>
      <c r="R209" s="22"/>
      <c r="S209" s="31">
        <f t="shared" si="69"/>
        <v>1</v>
      </c>
      <c r="T209" s="46" t="str">
        <f t="shared" si="72"/>
        <v>Southbound</v>
      </c>
      <c r="U209" s="18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7" t="str">
        <f t="shared" si="73"/>
        <v>https://d0f6bd738d7f1b3e5a7ca70fe4ff75f0.us-east-1.aws.found.io/app/kibana#/discover/Steve-Slow-Train-Analysis-(2080s-and-2083s)?_g=(refreshInterval:(display:Off,pause:!f,section:0,value:0),time:(from:'2017-02-17T02:00:58-0700',mode:absolute,to:'2017-02-17T04:11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9" s="188" t="str">
        <f t="shared" si="74"/>
        <v>Y</v>
      </c>
      <c r="X209" s="188">
        <f t="shared" ref="X209:X233" si="85">VALUE(LEFT(AD209,4))-VALUE(LEFT(AD208,4))</f>
        <v>-545</v>
      </c>
      <c r="Y209" s="62">
        <f t="shared" si="80"/>
        <v>2.2730000000000001</v>
      </c>
      <c r="Z209" s="62">
        <f t="shared" si="81"/>
        <v>1.49E-2</v>
      </c>
      <c r="AA209" s="62">
        <f t="shared" si="75"/>
        <v>2.2581000000000002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6"/>
        <v>0302-17</v>
      </c>
      <c r="AE209" s="85" t="str">
        <f t="shared" si="77"/>
        <v>aws s3 cp s3://rtdc.mdm.uploadarchive.raw/RTDC4028/ "%USERPROFILE%\AppData\Local\Temp\OnboardLogs"\RTDC4028\2017-02-17 --exclude "*" --recursive --include "*20170217*" &amp; "%USERPROFILE%\Documents\GitHub\mrs-test-scripts\Headless Mode &amp; Sideloading\WalkAndUnGZ.bat" "%USERPROFILE%\AppData\Local\Temp\OnboardLogs"\RTDC4028\2017-02-17 &amp; 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</v>
      </c>
      <c r="AF209" s="82" t="str">
        <f t="shared" si="78"/>
        <v>"C:\Program Files (x86)\AstroGrep\AstroGrep.exe" /spath="%USERPROFILE%\AppData\Local\Temp\OnboardLogs" /stypes="app*4028*20170217*" /stext=" 10:.+((SYSTEM_STATE.+slice.+state.+changed )|(ment ac)|(multiple cpu faults)|(system.+state.+changed )|(\[timeout)|(PRM\|1\|D)|(kpr)|(kdp)|(\|lc)|(penalty))" /e /r /s</v>
      </c>
      <c r="AG209" s="1" t="str">
        <f t="shared" si="79"/>
        <v>Other</v>
      </c>
      <c r="AH209" s="86" t="str">
        <f t="shared" si="82"/>
        <v>"%USERPROFILE%\Documents\GitHub\eaglep3\Utilities\RefineRTDCRunTimes.py" --tripid 302-17 --locoid 4028 --swversion DE.1.0.9.0 --startMP 300:22730 --initTime 2017-02-17T03:00:58 --startdatetime 2017-02-17T03:02:42 --delay 0 --endMP 204:149 --enddatetime 2017-02-17T03:11:10 --enforcementcount 0 &gt;&gt;C:\Users\stu\Documents\GitHub\eaglep3-reporting\EC\2017-02-17-refined-times.txt</v>
      </c>
      <c r="AI209" s="108" t="str">
        <f t="shared" si="83"/>
        <v>echo {"issue":{"subject":"","project_id":79,"tracker_id":40,"status_id":1,"priority_id":2,"assigned_to_id":23,"start_date":"2017-02-17","description":"","custom_fields":[{"id":1,"name":"Subdivision","value":"Other"},{"id":4,"name":"Milepost","value":"0.0149"},{"id":17,"name":"Train ID","value":"302-17"},{"id":16,"name":"Locomotive ID","value":"4028"},{"id":130,"name":"Impact","value":""},{"id":150,"name":"Time of Event (Mountain Time)","value":"03:11:10"},{"id":151,"name":"Denver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4"/>
        <v>start /low /b %USERPROFILE%\Documents\GitHub\eaglep3\Utilities\DownloadLogsFromS3.py --loco 4028 --day 2017-02-17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"%USERPROFILE%\AppData\Local\Temp\OnboardLogs"\RTDC4028\*4028*20170217* | grep -SE "(Enforcement Action)|(\[TIMEOUT)|(CHR.+\|PRM\|1\|D.+(SWITCH|SIGNAL).+UNKNOWN)" - &gt;&gt; 2017-02-17-UncaughtWiMAX.txt</v>
      </c>
    </row>
    <row r="210" spans="1:40" x14ac:dyDescent="0.25">
      <c r="A210" s="33" t="s">
        <v>472</v>
      </c>
      <c r="B210" s="7">
        <v>4017</v>
      </c>
      <c r="C210" s="21" t="s">
        <v>682</v>
      </c>
      <c r="D210" s="21" t="s">
        <v>762</v>
      </c>
      <c r="E210" s="13">
        <v>42783.143680555557</v>
      </c>
      <c r="F210" s="13">
        <v>42783.144918981481</v>
      </c>
      <c r="G210" s="7">
        <v>1</v>
      </c>
      <c r="H210" s="21" t="s">
        <v>745</v>
      </c>
      <c r="I210" s="13">
        <v>42783.150393518517</v>
      </c>
      <c r="J210" s="7">
        <v>0</v>
      </c>
      <c r="K210" s="98" t="str">
        <f t="shared" si="70"/>
        <v>4017/4018</v>
      </c>
      <c r="L210" s="21" t="str">
        <f>VLOOKUP(A210,'Trips&amp;Operators'!$C$1:$G$99999,5,FALSE)</f>
        <v>ACKERMAN JARED</v>
      </c>
      <c r="M210" s="6">
        <f t="shared" si="71"/>
        <v>5.4745370362070389E-3</v>
      </c>
      <c r="N210" s="7">
        <f t="shared" si="68"/>
        <v>7.883333332138136</v>
      </c>
      <c r="O210" s="7"/>
      <c r="P210" s="7"/>
      <c r="Q210" s="22"/>
      <c r="R210" s="22"/>
      <c r="S210" s="31">
        <f t="shared" si="69"/>
        <v>1</v>
      </c>
      <c r="T210" s="46" t="str">
        <f t="shared" si="72"/>
        <v>Southbound</v>
      </c>
      <c r="U210" s="18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7" t="str">
        <f t="shared" si="73"/>
        <v>https://d0f6bd738d7f1b3e5a7ca70fe4ff75f0.us-east-1.aws.found.io/app/kibana#/discover/Steve-Slow-Train-Analysis-(2080s-and-2083s)?_g=(refreshInterval:(display:Off,pause:!f,section:0,value:0),time:(from:'2017-02-17T02:26:54-0700',mode:absolute,to:'2017-02-17T04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0" s="188" t="str">
        <f t="shared" si="74"/>
        <v>Y</v>
      </c>
      <c r="X210" s="188">
        <f t="shared" si="85"/>
        <v>2</v>
      </c>
      <c r="Y210" s="62">
        <f t="shared" si="80"/>
        <v>2.2355</v>
      </c>
      <c r="Z210" s="62">
        <f t="shared" si="81"/>
        <v>1.0999999999999999E-2</v>
      </c>
      <c r="AA210" s="62">
        <f t="shared" si="75"/>
        <v>2.2244999999999999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6"/>
        <v>0304-17</v>
      </c>
      <c r="AE210" s="85" t="str">
        <f t="shared" si="77"/>
        <v>aws s3 cp s3://rtdc.mdm.uploadarchive.raw/RTDC4017/ "%USERPROFILE%\AppData\Local\Temp\OnboardLogs"\RTDC4017\2017-02-17 --exclude "*" --recursive --include "*20170217*" &amp; "%USERPROFILE%\Documents\GitHub\mrs-test-scripts\Headless Mode &amp; Sideloading\WalkAndUnGZ.bat" "%USERPROFILE%\AppData\Local\Temp\OnboardLogs"\RTDC4017\2017-02-17 &amp; 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</v>
      </c>
      <c r="AF210" s="82" t="str">
        <f t="shared" si="78"/>
        <v>"C:\Program Files (x86)\AstroGrep\AstroGrep.exe" /spath="%USERPROFILE%\AppData\Local\Temp\OnboardLogs" /stypes="app*4017*20170217*" /stext=" 10:.+((SYSTEM_STATE.+slice.+state.+changed )|(ment ac)|(multiple cpu faults)|(system.+state.+changed )|(\[timeout)|(PRM\|1\|D)|(kpr)|(kdp)|(\|lc)|(penalty))" /e /r /s</v>
      </c>
      <c r="AG210" s="1" t="str">
        <f t="shared" si="79"/>
        <v>Other</v>
      </c>
      <c r="AH210" s="86" t="str">
        <f t="shared" si="82"/>
        <v>"%USERPROFILE%\Documents\GitHub\eaglep3\Utilities\RefineRTDCRunTimes.py" --tripid 304-17 --locoid 4017 --swversion DE.1.0.9.0 --startMP 300:22355 --initTime 2017-02-17T03:26:54 --startdatetime 2017-02-17T03:28:41 --delay 1 --endMP 204:110 --enddatetime 2017-02-17T03:36:34 --enforcementcount 0 &gt;&gt;C:\Users\stu\Documents\GitHub\eaglep3-reporting\EC\2017-02-17-refined-times.txt</v>
      </c>
      <c r="AI210" s="108" t="str">
        <f t="shared" si="83"/>
        <v>echo {"issue":{"subject":"","project_id":79,"tracker_id":40,"status_id":1,"priority_id":2,"assigned_to_id":23,"start_date":"2017-02-17","description":"","custom_fields":[{"id":1,"name":"Subdivision","value":"Other"},{"id":4,"name":"Milepost","value":"0.011"},{"id":17,"name":"Train ID","value":"304-17"},{"id":16,"name":"Locomotive ID","value":"4017"},{"id":130,"name":"Impact","value":""},{"id":150,"name":"Time of Event (Mountain Time)","value":"03:36:34"},{"id":151,"name":"Denver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4"/>
        <v>start /low /b %USERPROFILE%\Documents\GitHub\eaglep3\Utilities\DownloadLogsFromS3.py --loco 4017 --day 2017-02-17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"%USERPROFILE%\AppData\Local\Temp\OnboardLogs"\RTDC4017\*4017*20170217* | grep -SE "(Enforcement Action)|(\[TIMEOUT)|(CHR.+\|PRM\|1\|D.+(SWITCH|SIGNAL).+UNKNOWN)" - &gt;&gt; 2017-02-17-UncaughtWiMAX.txt</v>
      </c>
    </row>
    <row r="211" spans="1:40" x14ac:dyDescent="0.25">
      <c r="A211" s="33" t="s">
        <v>464</v>
      </c>
      <c r="B211" s="7">
        <v>4027</v>
      </c>
      <c r="C211" s="21" t="s">
        <v>682</v>
      </c>
      <c r="D211" s="21" t="s">
        <v>763</v>
      </c>
      <c r="E211" s="13">
        <v>42783.797083333331</v>
      </c>
      <c r="F211" s="13">
        <v>25568.708333333332</v>
      </c>
      <c r="G211" s="7">
        <v>1</v>
      </c>
      <c r="H211" s="21" t="s">
        <v>296</v>
      </c>
      <c r="I211" s="13">
        <v>25568.708333333332</v>
      </c>
      <c r="J211" s="7">
        <v>0</v>
      </c>
      <c r="K211" s="98" t="str">
        <f t="shared" si="70"/>
        <v>4027/4028</v>
      </c>
      <c r="L211" s="21" t="str">
        <f>VLOOKUP(A211,'Trips&amp;Operators'!$C$1:$G$99999,5,FALSE)</f>
        <v>KILLION DAVID</v>
      </c>
      <c r="M211" s="6">
        <f t="shared" si="71"/>
        <v>0</v>
      </c>
      <c r="N211" s="7">
        <f t="shared" si="68"/>
        <v>0</v>
      </c>
      <c r="O211" s="7"/>
      <c r="P211" s="7"/>
      <c r="Q211" s="22"/>
      <c r="R211" s="22"/>
      <c r="S211" s="31">
        <f t="shared" si="69"/>
        <v>1</v>
      </c>
      <c r="T211" s="46" t="str">
        <f t="shared" si="72"/>
        <v>NorthBound</v>
      </c>
      <c r="U211" s="18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7" t="str">
        <f t="shared" si="73"/>
        <v>https://d0f6bd738d7f1b3e5a7ca70fe4ff75f0.us-east-1.aws.found.io/app/kibana#/discover/Steve-Slow-Train-Analysis-(2080s-and-2083s)?_g=(refreshInterval:(display:Off,pause:!f,section:0,value:0),time:(from:'2017-02-17T18:07:48-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1" s="188" t="str">
        <f t="shared" si="74"/>
        <v>Y</v>
      </c>
      <c r="X211" s="188">
        <f t="shared" si="85"/>
        <v>1</v>
      </c>
      <c r="Y211" s="62">
        <f t="shared" si="80"/>
        <v>0.13550000000000001</v>
      </c>
      <c r="Z211" s="62">
        <f t="shared" si="81"/>
        <v>2.3346</v>
      </c>
      <c r="AA211" s="62">
        <f t="shared" si="75"/>
        <v>2.1991000000000001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6"/>
        <v>0305-17</v>
      </c>
      <c r="AE211" s="85" t="str">
        <f t="shared" si="77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11" s="82" t="str">
        <f t="shared" si="78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11" s="1" t="str">
        <f t="shared" si="79"/>
        <v>Other</v>
      </c>
      <c r="AH211" s="86" t="str">
        <f t="shared" si="82"/>
        <v>"%USERPROFILE%\Documents\GitHub\eaglep3\Utilities\RefineRTDCRunTimes.py" --tripid 305-17 --locoid 4027 --swversion DE.1.0.9.0 --startMP 204:1355 --initTime 2017-02-17T19:07:48 --startdatetime 1969-12-31T17:00:00 --delay 1 --endMP 300:23346 --enddatetime 1969-12-31T17:00:00 --enforcementcount 0 &gt;&gt;C:\Users\stu\Documents\GitHub\eaglep3-reporting\EC\2017-02-17-refined-times.txt</v>
      </c>
      <c r="AI211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ID","value":"305-17"},{"id":16,"name":"Locomotive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4"/>
        <v>start /low /b %USERPROFILE%\Documents\GitHub\eaglep3\Utilities\DownloadLogsFromS3.py --loco 4027 --day 1969-12-31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2017-02-17-UncaughtWiMAX.txt</v>
      </c>
    </row>
    <row r="212" spans="1:40" x14ac:dyDescent="0.25">
      <c r="A212" s="33" t="s">
        <v>476</v>
      </c>
      <c r="B212" s="7">
        <v>4032</v>
      </c>
      <c r="C212" s="21" t="s">
        <v>682</v>
      </c>
      <c r="D212" s="21" t="s">
        <v>764</v>
      </c>
      <c r="E212" s="13">
        <v>42783.159907407404</v>
      </c>
      <c r="F212" s="13">
        <v>42783.160960648151</v>
      </c>
      <c r="G212" s="7">
        <v>1</v>
      </c>
      <c r="H212" s="21" t="s">
        <v>276</v>
      </c>
      <c r="I212" s="13">
        <v>42783.166643518518</v>
      </c>
      <c r="J212" s="7">
        <v>0</v>
      </c>
      <c r="K212" s="98" t="str">
        <f t="shared" si="70"/>
        <v>4031/4032</v>
      </c>
      <c r="L212" s="21" t="str">
        <f>VLOOKUP(A212,'Trips&amp;Operators'!$C$1:$G$99999,5,FALSE)</f>
        <v>ROBINSON KADDIBA</v>
      </c>
      <c r="M212" s="6">
        <f t="shared" si="71"/>
        <v>5.6828703673090786E-3</v>
      </c>
      <c r="N212" s="7">
        <f t="shared" si="68"/>
        <v>8.1833333289250731</v>
      </c>
      <c r="O212" s="7"/>
      <c r="P212" s="7"/>
      <c r="Q212" s="22"/>
      <c r="R212" s="22"/>
      <c r="S212" s="31">
        <f t="shared" si="69"/>
        <v>1</v>
      </c>
      <c r="T212" s="46" t="str">
        <f t="shared" si="72"/>
        <v>Southbound</v>
      </c>
      <c r="U212" s="18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7" t="str">
        <f t="shared" si="73"/>
        <v>https://d0f6bd738d7f1b3e5a7ca70fe4ff75f0.us-east-1.aws.found.io/app/kibana#/discover/Steve-Slow-Train-Analysis-(2080s-and-2083s)?_g=(refreshInterval:(display:Off,pause:!f,section:0,value:0),time:(from:'2017-02-17T02:50:16-0700',mode:absolute,to:'2017-02-17T04:59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2" s="188" t="str">
        <f t="shared" si="74"/>
        <v>Y</v>
      </c>
      <c r="X212" s="188">
        <f t="shared" si="85"/>
        <v>1</v>
      </c>
      <c r="Y212" s="62">
        <f t="shared" si="80"/>
        <v>2.3304999999999998</v>
      </c>
      <c r="Z212" s="62">
        <f t="shared" si="81"/>
        <v>1.61E-2</v>
      </c>
      <c r="AA212" s="62">
        <f t="shared" si="75"/>
        <v>2.3144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6"/>
        <v>0306-17</v>
      </c>
      <c r="AE212" s="85" t="str">
        <f t="shared" si="77"/>
        <v>aws s3 cp s3://rtdc.mdm.uploadarchive.raw/RTDC4032/ "%USERPROFILE%\AppData\Local\Temp\OnboardLogs"\RTDC4032\2017-02-17 --exclude "*" --recursive --include "*20170217*" &amp; "%USERPROFILE%\Documents\GitHub\mrs-test-scripts\Headless Mode &amp; Sideloading\WalkAndUnGZ.bat" "%USERPROFILE%\AppData\Local\Temp\OnboardLogs"\RTDC4032\2017-02-17 &amp; 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</v>
      </c>
      <c r="AF212" s="82" t="str">
        <f t="shared" si="78"/>
        <v>"C:\Program Files (x86)\AstroGrep\AstroGrep.exe" /spath="%USERPROFILE%\AppData\Local\Temp\OnboardLogs" /stypes="app*4032*20170217*" /stext=" 10:.+((SYSTEM_STATE.+slice.+state.+changed )|(ment ac)|(multiple cpu faults)|(system.+state.+changed )|(\[timeout)|(PRM\|1\|D)|(kpr)|(kdp)|(\|lc)|(penalty))" /e /r /s</v>
      </c>
      <c r="AG212" s="1" t="str">
        <f t="shared" si="79"/>
        <v>Other</v>
      </c>
      <c r="AH212" s="86" t="str">
        <f t="shared" si="82"/>
        <v>"%USERPROFILE%\Documents\GitHub\eaglep3\Utilities\RefineRTDCRunTimes.py" --tripid 306-17 --locoid 4032 --swversion DE.1.0.9.0 --startMP 300:23305 --initTime 2017-02-17T03:50:16 --startdatetime 2017-02-17T03:51:47 --delay 1 --endMP 204:161 --enddatetime 2017-02-17T03:59:58 --enforcementcount 0 &gt;&gt;C:\Users\stu\Documents\GitHub\eaglep3-reporting\EC\2017-02-17-refined-times.txt</v>
      </c>
      <c r="AI212" s="108" t="str">
        <f t="shared" si="83"/>
        <v>echo {"issue":{"subject":"","project_id":79,"tracker_id":40,"status_id":1,"priority_id":2,"assigned_to_id":23,"start_date":"2017-02-17","description":"","custom_fields":[{"id":1,"name":"Subdivision","value":"Other"},{"id":4,"name":"Milepost","value":"0.0161"},{"id":17,"name":"Train ID","value":"306-17"},{"id":16,"name":"Locomotive ID","value":"4032"},{"id":130,"name":"Impact","value":""},{"id":150,"name":"Time of Event (Mountain Time)","value":"03:59:58"},{"id":151,"name":"Denver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4"/>
        <v>start /low /b %USERPROFILE%\Documents\GitHub\eaglep3\Utilities\DownloadLogsFromS3.py --loco 4032 --day 2017-02-17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"%USERPROFILE%\AppData\Local\Temp\OnboardLogs"\RTDC4032\*4032*20170217* | grep -SE "(Enforcement Action)|(\[TIMEOUT)|(CHR.+\|PRM\|1\|D.+(SWITCH|SIGNAL).+UNKNOWN)" - &gt;&gt; 2017-02-17-UncaughtWiMAX.txt</v>
      </c>
    </row>
    <row r="213" spans="1:40" x14ac:dyDescent="0.25">
      <c r="A213" s="33" t="s">
        <v>640</v>
      </c>
      <c r="B213" s="7">
        <v>4018</v>
      </c>
      <c r="C213" s="21" t="s">
        <v>682</v>
      </c>
      <c r="D213" s="21" t="s">
        <v>297</v>
      </c>
      <c r="E213" s="13">
        <v>42783.81726851852</v>
      </c>
      <c r="F213" s="13">
        <v>25568.708333333332</v>
      </c>
      <c r="G213" s="7">
        <v>1</v>
      </c>
      <c r="H213" s="21" t="s">
        <v>765</v>
      </c>
      <c r="I213" s="13">
        <v>25568.708333333332</v>
      </c>
      <c r="J213" s="7">
        <v>0</v>
      </c>
      <c r="K213" s="98" t="str">
        <f t="shared" si="70"/>
        <v>4017/4018</v>
      </c>
      <c r="L213" s="21" t="str">
        <f>VLOOKUP(A213,'Trips&amp;Operators'!$C$1:$G$99999,5,FALSE)</f>
        <v>BRANNON JEFFREY</v>
      </c>
      <c r="M213" s="6">
        <f t="shared" si="71"/>
        <v>0</v>
      </c>
      <c r="N213" s="7">
        <f t="shared" si="68"/>
        <v>0</v>
      </c>
      <c r="O213" s="7"/>
      <c r="P213" s="7"/>
      <c r="Q213" s="22"/>
      <c r="R213" s="22"/>
      <c r="S213" s="31">
        <f t="shared" si="69"/>
        <v>1</v>
      </c>
      <c r="T213" s="46" t="str">
        <f t="shared" si="72"/>
        <v>NorthBound</v>
      </c>
      <c r="U213" s="18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7" t="str">
        <f t="shared" si="73"/>
        <v>https://d0f6bd738d7f1b3e5a7ca70fe4ff75f0.us-east-1.aws.found.io/app/kibana#/discover/Steve-Slow-Train-Analysis-(2080s-and-2083s)?_g=(refreshInterval:(display:Off,pause:!f,section:0,value:0),time:(from:'2017-02-17T18:36:52-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3" s="188" t="str">
        <f t="shared" si="74"/>
        <v>Y</v>
      </c>
      <c r="X213" s="188">
        <f t="shared" si="85"/>
        <v>1</v>
      </c>
      <c r="Y213" s="62">
        <f t="shared" si="80"/>
        <v>4.7699999999999999E-2</v>
      </c>
      <c r="Z213" s="62">
        <f t="shared" si="81"/>
        <v>2.331</v>
      </c>
      <c r="AA213" s="62">
        <f t="shared" si="75"/>
        <v>2.2833000000000001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6"/>
        <v>0307-17</v>
      </c>
      <c r="AE213" s="85" t="str">
        <f t="shared" si="77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3" s="82" t="str">
        <f t="shared" si="78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13" s="1" t="str">
        <f t="shared" si="79"/>
        <v>Other</v>
      </c>
      <c r="AH213" s="86" t="str">
        <f t="shared" si="82"/>
        <v>"%USERPROFILE%\Documents\GitHub\eaglep3\Utilities\RefineRTDCRunTimes.py" --tripid 307-17 --locoid 4018 --swversion DE.1.0.9.0 --startMP 204:477 --initTime 2017-02-17T19:36:52 --startdatetime 1969-12-31T17:00:00 --delay 1 --endMP 300:23310 --enddatetime 1969-12-31T17:00:00 --enforcementcount 0 &gt;&gt;C:\Users\stu\Documents\GitHub\eaglep3-reporting\EC\2017-02-17-refined-times.txt</v>
      </c>
      <c r="AI213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ID","value":"307-17"},{"id":16,"name":"Locomotive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4"/>
        <v>start /low /b %USERPROFILE%\Documents\GitHub\eaglep3\Utilities\DownloadLogsFromS3.py --loco 4018 --day 1969-12-31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2017-02-17-UncaughtWiMAX.txt</v>
      </c>
    </row>
    <row r="214" spans="1:40" x14ac:dyDescent="0.25">
      <c r="A214" s="33" t="s">
        <v>477</v>
      </c>
      <c r="B214" s="7">
        <v>4026</v>
      </c>
      <c r="C214" s="21" t="s">
        <v>682</v>
      </c>
      <c r="D214" s="21" t="s">
        <v>766</v>
      </c>
      <c r="E214" s="13">
        <v>42783.171840277777</v>
      </c>
      <c r="F214" s="13">
        <v>42783.174872685187</v>
      </c>
      <c r="G214" s="7">
        <v>4</v>
      </c>
      <c r="H214" s="21" t="s">
        <v>208</v>
      </c>
      <c r="I214" s="13">
        <v>42783.180925925924</v>
      </c>
      <c r="J214" s="7">
        <v>0</v>
      </c>
      <c r="K214" s="98" t="str">
        <f t="shared" si="70"/>
        <v>4025/4026</v>
      </c>
      <c r="L214" s="21" t="str">
        <f>VLOOKUP(A214,'Trips&amp;Operators'!$C$1:$G$99999,5,FALSE)</f>
        <v>STARKS ANGELINA</v>
      </c>
      <c r="M214" s="6">
        <f t="shared" si="71"/>
        <v>6.0532407369464636E-3</v>
      </c>
      <c r="N214" s="7">
        <f t="shared" si="68"/>
        <v>8.7166666612029076</v>
      </c>
      <c r="O214" s="7"/>
      <c r="P214" s="7"/>
      <c r="Q214" s="22"/>
      <c r="R214" s="22"/>
      <c r="S214" s="31">
        <f t="shared" si="69"/>
        <v>1</v>
      </c>
      <c r="T214" s="46" t="str">
        <f t="shared" si="72"/>
        <v>Southbound</v>
      </c>
      <c r="U214" s="18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7" t="str">
        <f t="shared" si="73"/>
        <v>https://d0f6bd738d7f1b3e5a7ca70fe4ff75f0.us-east-1.aws.found.io/app/kibana#/discover/Steve-Slow-Train-Analysis-(2080s-and-2083s)?_g=(refreshInterval:(display:Off,pause:!f,section:0,value:0),time:(from:'2017-02-17T03:07:27-0700',mode:absolute,to:'2017-02-17T05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4" s="188" t="str">
        <f t="shared" si="74"/>
        <v>Y</v>
      </c>
      <c r="X214" s="188">
        <f t="shared" si="85"/>
        <v>1</v>
      </c>
      <c r="Y214" s="62">
        <f t="shared" si="80"/>
        <v>2.3403999999999998</v>
      </c>
      <c r="Z214" s="62">
        <f t="shared" si="81"/>
        <v>1.52E-2</v>
      </c>
      <c r="AA214" s="62">
        <f t="shared" si="75"/>
        <v>2.3251999999999997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6"/>
        <v>0308-17</v>
      </c>
      <c r="AE214" s="85" t="str">
        <f t="shared" si="77"/>
        <v>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 &amp; aws s3 cp s3://rtdc.mdm.uploadarchive.raw/RTDC4026/ "%USERPROFILE%\AppData\Local\Temp\OnboardLogs"\RTDC4026\2017-02-18 --exclude "*" --recursive --include "*20170218*" &amp; "%USERPROFILE%\Documents\GitHub\mrs-test-scripts\Headless Mode &amp; Sideloading\WalkAndUnGZ.bat" "%USERPROFILE%\AppData\Local\Temp\OnboardLogs"\RTDC4026\2017-02-18</v>
      </c>
      <c r="AF214" s="82" t="str">
        <f t="shared" si="78"/>
        <v>"C:\Program Files (x86)\AstroGrep\AstroGrep.exe" /spath="%USERPROFILE%\AppData\Local\Temp\OnboardLogs" /stypes="app*4026*20170217*" /stext=" 11:.+((SYSTEM_STATE.+slice.+state.+changed )|(ment ac)|(multiple cpu faults)|(system.+state.+changed )|(\[timeout)|(PRM\|1\|D)|(kpr)|(kdp)|(\|lc)|(penalty))" /e /r /s</v>
      </c>
      <c r="AG214" s="1" t="str">
        <f t="shared" si="79"/>
        <v>Other</v>
      </c>
      <c r="AH214" s="86" t="str">
        <f t="shared" si="82"/>
        <v>"%USERPROFILE%\Documents\GitHub\eaglep3\Utilities\RefineRTDCRunTimes.py" --tripid 308-17 --locoid 4026 --swversion DE.1.0.9.0 --startMP 300:23404 --initTime 2017-02-17T04:07:27 --startdatetime 2017-02-17T04:11:49 --delay 4 --endMP 204:152 --enddatetime 2017-02-17T04:20:32 --enforcementcount 0 &gt;&gt;C:\Users\stu\Documents\GitHub\eaglep3-reporting\EC\2017-02-17-refined-times.txt</v>
      </c>
      <c r="AI214" s="108" t="str">
        <f t="shared" si="83"/>
        <v>echo {"issue":{"subject":"","project_id":79,"tracker_id":40,"status_id":1,"priority_id":2,"assigned_to_id":23,"start_date":"2017-02-17","description":"","custom_fields":[{"id":1,"name":"Subdivision","value":"Other"},{"id":4,"name":"Milepost","value":"0.0152"},{"id":17,"name":"Train ID","value":"308-17"},{"id":16,"name":"Locomotive ID","value":"4026"},{"id":130,"name":"Impact","value":""},{"id":150,"name":"Time of Event (Mountain Time)","value":"04:20:32"},{"id":151,"name":"Denver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4"/>
        <v>start /low /b %USERPROFILE%\Documents\GitHub\eaglep3\Utilities\DownloadLogsFromS3.py --loco 4026 --day 2017-02-17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"%USERPROFILE%\AppData\Local\Temp\OnboardLogs"\RTDC4026\*4026*20170217* | grep -SE "(Enforcement Action)|(\[TIMEOUT)|(CHR.+\|PRM\|1\|D.+(SWITCH|SIGNAL).+UNKNOWN)" - &gt;&gt; 2017-02-17-UncaughtWiMAX.txt</v>
      </c>
    </row>
    <row r="215" spans="1:40" x14ac:dyDescent="0.25">
      <c r="A215" s="33" t="s">
        <v>673</v>
      </c>
      <c r="B215" s="7">
        <v>4046</v>
      </c>
      <c r="C215" s="21" t="s">
        <v>682</v>
      </c>
      <c r="D215" s="21" t="s">
        <v>234</v>
      </c>
      <c r="E215" s="13">
        <v>42784.050219907411</v>
      </c>
      <c r="F215" s="13">
        <v>25568.708333333332</v>
      </c>
      <c r="G215" s="7">
        <v>1</v>
      </c>
      <c r="H215" s="21" t="s">
        <v>767</v>
      </c>
      <c r="I215" s="13">
        <v>25568.708333333332</v>
      </c>
      <c r="J215" s="7">
        <v>0</v>
      </c>
      <c r="K215" s="98" t="str">
        <f t="shared" si="70"/>
        <v>4045/4046</v>
      </c>
      <c r="L215" s="21" t="str">
        <f>VLOOKUP(A215,'Trips&amp;Operators'!$C$1:$G$99999,5,FALSE)</f>
        <v>STORY SAMANTHA</v>
      </c>
      <c r="M215" s="6">
        <f t="shared" si="71"/>
        <v>0</v>
      </c>
      <c r="N215" s="7">
        <f t="shared" si="68"/>
        <v>0</v>
      </c>
      <c r="O215" s="7"/>
      <c r="P215" s="7"/>
      <c r="Q215" s="22"/>
      <c r="R215" s="22"/>
      <c r="S215" s="31">
        <f t="shared" si="69"/>
        <v>1</v>
      </c>
      <c r="T215" s="46" t="str">
        <f t="shared" si="72"/>
        <v>NorthBound</v>
      </c>
      <c r="U215" s="18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7" t="str">
        <f t="shared" si="73"/>
        <v>https://d0f6bd738d7f1b3e5a7ca70fe4ff75f0.us-east-1.aws.found.io/app/kibana#/discover/Steve-Slow-Train-Analysis-(2080s-and-2083s)?_g=(refreshInterval:(display:Off,pause:!f,section:0,value:0),time:(from:'2017-02-18T00:12:19-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5" s="188" t="str">
        <f t="shared" si="74"/>
        <v>Y</v>
      </c>
      <c r="X215" s="188">
        <f t="shared" si="85"/>
        <v>1</v>
      </c>
      <c r="Y215" s="62">
        <f t="shared" si="80"/>
        <v>4.5999999999999999E-2</v>
      </c>
      <c r="Z215" s="62">
        <f t="shared" si="81"/>
        <v>2.3311999999999999</v>
      </c>
      <c r="AA215" s="62">
        <f t="shared" si="75"/>
        <v>2.2852000000000001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6"/>
        <v>0309-17</v>
      </c>
      <c r="AE215" s="85" t="str">
        <f t="shared" si="77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5" s="82" t="str">
        <f t="shared" si="78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5" s="1" t="str">
        <f t="shared" si="79"/>
        <v>Other</v>
      </c>
      <c r="AH215" s="86" t="str">
        <f t="shared" si="82"/>
        <v>"%USERPROFILE%\Documents\GitHub\eaglep3\Utilities\RefineRTDCRunTimes.py" --tripid 309-17 --locoid 4046 --swversion DE.1.0.9.0 --startMP 204:460 --initTime 2017-02-18T01:12:19 --startdatetime 1969-12-31T17:00:00 --delay 1 --endMP 300:23312 --enddatetime 1969-12-31T17:00:00 --enforcementcount 0 &gt;&gt;C:\Users\stu\Documents\GitHub\eaglep3-reporting\EC\2017-02-17-refined-times.txt</v>
      </c>
      <c r="AI215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ID","value":"309-17"},{"id":16,"name":"Locomotive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4"/>
        <v>start /low /b %USERPROFILE%\Documents\GitHub\eaglep3\Utilities\DownloadLogsFromS3.py --loco 4046 --day 1969-12-31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"%USERPROFILE%\AppData\Local\Temp\OnboardLogs"\RTDC4046\*4046*19700101* | grep -SE "(Enforcement Action)|(\[TIMEOUT)|(CHR.+\|PRM\|1\|D.+(SWITCH|SIGNAL).+UNKNOWN)" - &gt;&gt; 2017-02-17-UncaughtWiMAX.txt</v>
      </c>
    </row>
    <row r="216" spans="1:40" x14ac:dyDescent="0.25">
      <c r="A216" s="33" t="s">
        <v>481</v>
      </c>
      <c r="B216" s="7">
        <v>4015</v>
      </c>
      <c r="C216" s="21" t="s">
        <v>682</v>
      </c>
      <c r="D216" s="21" t="s">
        <v>768</v>
      </c>
      <c r="E216" s="13">
        <v>42783.18546296296</v>
      </c>
      <c r="F216" s="13">
        <v>42783.188784722224</v>
      </c>
      <c r="G216" s="7">
        <v>3</v>
      </c>
      <c r="H216" s="21" t="s">
        <v>209</v>
      </c>
      <c r="I216" s="13">
        <v>42783.193773148145</v>
      </c>
      <c r="J216" s="7">
        <v>0</v>
      </c>
      <c r="K216" s="98" t="str">
        <f t="shared" si="70"/>
        <v>4015/4016</v>
      </c>
      <c r="L216" s="21" t="str">
        <f>VLOOKUP(A216,'Trips&amp;Operators'!$C$1:$G$99999,5,FALSE)</f>
        <v>LOZA FIDEL</v>
      </c>
      <c r="M216" s="6">
        <f t="shared" si="71"/>
        <v>4.9884259206010029E-3</v>
      </c>
      <c r="N216" s="7">
        <f t="shared" si="68"/>
        <v>7.1833333256654441</v>
      </c>
      <c r="O216" s="7"/>
      <c r="P216" s="7"/>
      <c r="Q216" s="22"/>
      <c r="R216" s="22"/>
      <c r="S216" s="31">
        <f t="shared" si="69"/>
        <v>1</v>
      </c>
      <c r="T216" s="46" t="str">
        <f t="shared" si="72"/>
        <v>Southbound</v>
      </c>
      <c r="U216" s="18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7" t="str">
        <f t="shared" si="73"/>
        <v>https://d0f6bd738d7f1b3e5a7ca70fe4ff75f0.us-east-1.aws.found.io/app/kibana#/discover/Steve-Slow-Train-Analysis-(2080s-and-2083s)?_g=(refreshInterval:(display:Off,pause:!f,section:0,value:0),time:(from:'2017-02-17T03:27:04-0700',mode:absolute,to:'2017-02-17T05:39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6" s="188" t="str">
        <f t="shared" si="74"/>
        <v>Y</v>
      </c>
      <c r="X216" s="188">
        <f t="shared" si="85"/>
        <v>1</v>
      </c>
      <c r="Y216" s="62">
        <f t="shared" si="80"/>
        <v>2.3249</v>
      </c>
      <c r="Z216" s="62">
        <f t="shared" si="81"/>
        <v>1.5800000000000002E-2</v>
      </c>
      <c r="AA216" s="62">
        <f t="shared" si="75"/>
        <v>2.3090999999999999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6"/>
        <v>0310-17</v>
      </c>
      <c r="AE216" s="85" t="str">
        <f t="shared" si="77"/>
        <v>aws s3 cp s3://rtdc.mdm.uploadarchive.raw/RTDC4015/ "%USERPROFILE%\AppData\Local\Temp\OnboardLogs"\RTDC4015\2017-02-17 --exclude "*" --recursive --include "*20170217*" &amp; "%USERPROFILE%\Documents\GitHub\mrs-test-scripts\Headless Mode &amp; Sideloading\WalkAndUnGZ.bat" "%USERPROFILE%\AppData\Local\Temp\OnboardLogs"\RTDC4015\2017-02-17 &amp; aws s3 cp s3://rtdc.mdm.uploadarchive.raw/RTDC4015/ "%USERPROFILE%\AppData\Local\Temp\OnboardLogs"\RTDC4015\2017-02-18 --exclude "*" --recursive --include "*20170218*" &amp; "%USERPROFILE%\Documents\GitHub\mrs-test-scripts\Headless Mode &amp; Sideloading\WalkAndUnGZ.bat" "%USERPROFILE%\AppData\Local\Temp\OnboardLogs"\RTDC4015\2017-02-18</v>
      </c>
      <c r="AF216" s="82" t="str">
        <f t="shared" si="78"/>
        <v>"C:\Program Files (x86)\AstroGrep\AstroGrep.exe" /spath="%USERPROFILE%\AppData\Local\Temp\OnboardLogs" /stypes="app*4015*20170217*" /stext=" 11:.+((SYSTEM_STATE.+slice.+state.+changed )|(ment ac)|(multiple cpu faults)|(system.+state.+changed )|(\[timeout)|(PRM\|1\|D)|(kpr)|(kdp)|(\|lc)|(penalty))" /e /r /s</v>
      </c>
      <c r="AG216" s="1" t="str">
        <f t="shared" si="79"/>
        <v>Other</v>
      </c>
      <c r="AH216" s="86" t="str">
        <f t="shared" si="82"/>
        <v>"%USERPROFILE%\Documents\GitHub\eaglep3\Utilities\RefineRTDCRunTimes.py" --tripid 310-17 --locoid 4015 --swversion DE.1.0.9.0 --startMP 300:23249 --initTime 2017-02-17T04:27:04 --startdatetime 2017-02-17T04:31:51 --delay 3 --endMP 204:158 --enddatetime 2017-02-17T04:39:02 --enforcementcount 0 &gt;&gt;C:\Users\stu\Documents\GitHub\eaglep3-reporting\EC\2017-02-17-refined-times.txt</v>
      </c>
      <c r="AI216" s="108" t="str">
        <f t="shared" si="83"/>
        <v>echo {"issue":{"subject":"","project_id":79,"tracker_id":40,"status_id":1,"priority_id":2,"assigned_to_id":23,"start_date":"2017-02-17","description":"","custom_fields":[{"id":1,"name":"Subdivision","value":"Other"},{"id":4,"name":"Milepost","value":"0.0158"},{"id":17,"name":"Train ID","value":"310-17"},{"id":16,"name":"Locomotive ID","value":"4015"},{"id":130,"name":"Impact","value":""},{"id":150,"name":"Time of Event (Mountain Time)","value":"04:39:02"},{"id":151,"name":"Denver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4"/>
        <v>start /low /b %USERPROFILE%\Documents\GitHub\eaglep3\Utilities\DownloadLogsFromS3.py --loco 4015 --day 2017-02-17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"%USERPROFILE%\AppData\Local\Temp\OnboardLogs"\RTDC4015\*4015*20170217* | grep -SE "(Enforcement Action)|(\[TIMEOUT)|(CHR.+\|PRM\|1\|D.+(SWITCH|SIGNAL).+UNKNOWN)" - &gt;&gt; 2017-02-17-UncaughtWiMAX.txt</v>
      </c>
    </row>
    <row r="217" spans="1:40" x14ac:dyDescent="0.25">
      <c r="A217" s="33" t="s">
        <v>675</v>
      </c>
      <c r="B217" s="7">
        <v>4020</v>
      </c>
      <c r="C217" s="21" t="s">
        <v>682</v>
      </c>
      <c r="D217" s="21" t="s">
        <v>272</v>
      </c>
      <c r="E217" s="13">
        <v>42784.067523148151</v>
      </c>
      <c r="F217" s="13">
        <v>25568.708333333332</v>
      </c>
      <c r="G217" s="7">
        <v>1</v>
      </c>
      <c r="H217" s="21" t="s">
        <v>769</v>
      </c>
      <c r="I217" s="13">
        <v>25568.708333333332</v>
      </c>
      <c r="J217" s="7">
        <v>0</v>
      </c>
      <c r="K217" s="98" t="str">
        <f t="shared" si="70"/>
        <v>4019/4020</v>
      </c>
      <c r="L217" s="21" t="str">
        <f>VLOOKUP(A217,'Trips&amp;Operators'!$C$1:$G$99999,5,FALSE)</f>
        <v>MAGEE KENYA</v>
      </c>
      <c r="M217" s="6">
        <f t="shared" si="71"/>
        <v>0</v>
      </c>
      <c r="N217" s="7">
        <f t="shared" si="68"/>
        <v>0</v>
      </c>
      <c r="O217" s="7"/>
      <c r="P217" s="7"/>
      <c r="Q217" s="22"/>
      <c r="R217" s="22"/>
      <c r="S217" s="31">
        <f t="shared" si="69"/>
        <v>1</v>
      </c>
      <c r="T217" s="46" t="str">
        <f t="shared" si="72"/>
        <v>NorthBound</v>
      </c>
      <c r="U217" s="18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7" t="str">
        <f t="shared" si="73"/>
        <v>https://d0f6bd738d7f1b3e5a7ca70fe4ff75f0.us-east-1.aws.found.io/app/kibana#/discover/Steve-Slow-Train-Analysis-(2080s-and-2083s)?_g=(refreshInterval:(display:Off,pause:!f,section:0,value:0),time:(from:'2017-02-18T00:37:14-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7" s="188" t="str">
        <f t="shared" si="74"/>
        <v>Y</v>
      </c>
      <c r="X217" s="188">
        <f t="shared" si="85"/>
        <v>1</v>
      </c>
      <c r="Y217" s="62">
        <f t="shared" si="80"/>
        <v>4.6399999999999997E-2</v>
      </c>
      <c r="Z217" s="62">
        <f t="shared" si="81"/>
        <v>2.3302</v>
      </c>
      <c r="AA217" s="62">
        <f t="shared" si="75"/>
        <v>2.2838000000000003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6"/>
        <v>0311-17</v>
      </c>
      <c r="AE217" s="85" t="str">
        <f t="shared" si="77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7" s="82" t="str">
        <f t="shared" si="78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7" s="1" t="str">
        <f t="shared" si="79"/>
        <v>Other</v>
      </c>
      <c r="AH217" s="86" t="str">
        <f t="shared" si="82"/>
        <v>"%USERPROFILE%\Documents\GitHub\eaglep3\Utilities\RefineRTDCRunTimes.py" --tripid 311-17 --locoid 4020 --swversion DE.1.0.9.0 --startMP 204:464 --initTime 2017-02-18T01:37:14 --startdatetime 1969-12-31T17:00:00 --delay 1 --endMP 300:23302 --enddatetime 1969-12-31T17:00:00 --enforcementcount 0 &gt;&gt;C:\Users\stu\Documents\GitHub\eaglep3-reporting\EC\2017-02-17-refined-times.txt</v>
      </c>
      <c r="AI217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ID","value":"311-17"},{"id":16,"name":"Locomotive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4"/>
        <v>start /low /b %USERPROFILE%\Documents\GitHub\eaglep3\Utilities\DownloadLogsFromS3.py --loco 4020 --day 1969-12-31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"%USERPROFILE%\AppData\Local\Temp\OnboardLogs"\RTDC4020\*4020*19700101* | grep -SE "(Enforcement Action)|(\[TIMEOUT)|(CHR.+\|PRM\|1\|D.+(SWITCH|SIGNAL).+UNKNOWN)" - &gt;&gt; 2017-02-17-UncaughtWiMAX.txt</v>
      </c>
    </row>
    <row r="218" spans="1:40" x14ac:dyDescent="0.25">
      <c r="A218" s="33" t="s">
        <v>397</v>
      </c>
      <c r="B218" s="7">
        <v>4011</v>
      </c>
      <c r="C218" s="21" t="s">
        <v>193</v>
      </c>
      <c r="D218" s="21" t="s">
        <v>365</v>
      </c>
      <c r="E218" s="13">
        <v>42783.088888888888</v>
      </c>
      <c r="F218" s="13">
        <v>25568.708333333332</v>
      </c>
      <c r="G218" s="7">
        <v>1</v>
      </c>
      <c r="H218" s="21" t="s">
        <v>419</v>
      </c>
      <c r="I218" s="13">
        <v>25568.708333333332</v>
      </c>
      <c r="J218" s="7">
        <v>0</v>
      </c>
      <c r="K218" s="98" t="str">
        <f t="shared" si="70"/>
        <v>4011/4012</v>
      </c>
      <c r="L218" s="21" t="str">
        <f>VLOOKUP(A218,'Trips&amp;Operators'!$C$1:$G$99999,5,FALSE)</f>
        <v>HILLS DUSTIN</v>
      </c>
      <c r="M218" s="6">
        <f t="shared" si="71"/>
        <v>0</v>
      </c>
      <c r="N218" s="7">
        <f t="shared" si="68"/>
        <v>0</v>
      </c>
      <c r="O218" s="7"/>
      <c r="P218" s="7"/>
      <c r="Q218" s="22"/>
      <c r="R218" s="22"/>
      <c r="S218" s="31">
        <f t="shared" si="69"/>
        <v>1</v>
      </c>
      <c r="T218" s="46" t="str">
        <f t="shared" si="72"/>
        <v>NorthBound</v>
      </c>
      <c r="U218" s="18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7" t="str">
        <f t="shared" si="73"/>
        <v>https://d0f6bd738d7f1b3e5a7ca70fe4ff75f0.us-east-1.aws.found.io/app/kibana#/discover/Steve-Slow-Train-Analysis-(2080s-and-2083s)?_g=(refreshInterval:(display:Off,pause:!f,section:0,value:0),time:(from:'2017-02-17T01:08:00-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8" s="188" t="str">
        <f t="shared" si="74"/>
        <v>Y</v>
      </c>
      <c r="X218" s="188">
        <f t="shared" si="85"/>
        <v>2</v>
      </c>
      <c r="Y218" s="62">
        <f t="shared" si="80"/>
        <v>4.2900000000000001E-2</v>
      </c>
      <c r="Z218" s="62">
        <f t="shared" si="81"/>
        <v>2.3222999999999998</v>
      </c>
      <c r="AA218" s="62">
        <f t="shared" si="75"/>
        <v>2.2793999999999999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6"/>
        <v>0313-16</v>
      </c>
      <c r="AE218" s="85" t="str">
        <f t="shared" si="77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8" s="82" t="str">
        <f t="shared" si="78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18" s="1" t="str">
        <f t="shared" si="79"/>
        <v>Other</v>
      </c>
      <c r="AH218" s="86" t="str">
        <f t="shared" si="82"/>
        <v>"%USERPROFILE%\Documents\GitHub\eaglep3\Utilities\RefineRTDCRunTimes.py" --tripid 313-16 --locoid 4011 --swversion DE.1.0.8.0 --startMP 204:429 --initTime 2017-02-17T02:08:00 --startdatetime 1969-12-31T17:00:00 --delay 1 --endMP 300:23223 --enddatetime 1969-12-31T17:00:00 --enforcementcount 0 &gt;&gt;C:\Users\stu\Documents\GitHub\eaglep3-reporting\EC\2017-02-17-refined-times.txt</v>
      </c>
      <c r="AI218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{"issue":{"subject":"","project_id":79,"tracker_id":40,"status_id":1,"priority_id":2,"assigned_to_id":23,"start_date":"1969-12-31","description":"","custom_fields":[{"id":1,"name":"Subdivision","value":"Other"},{"id":4,"name":"Milepost","value":"2.3223"},{"id":17,"name":"Train ID","value":"313-16"},{"id":16,"name":"Locomotive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4"/>
        <v>start /low /b %USERPROFILE%\Documents\GitHub\eaglep3\Utilities\DownloadLogsFromS3.py --loco 4011 --day 1969-12-31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2017-02-17-UncaughtWiMAX.txt</v>
      </c>
    </row>
    <row r="219" spans="1:40" x14ac:dyDescent="0.25">
      <c r="A219" s="33" t="s">
        <v>677</v>
      </c>
      <c r="B219" s="7">
        <v>4025</v>
      </c>
      <c r="C219" s="21" t="s">
        <v>682</v>
      </c>
      <c r="D219" s="21" t="s">
        <v>770</v>
      </c>
      <c r="E219" s="13">
        <v>42784.078692129631</v>
      </c>
      <c r="F219" s="13">
        <v>25568.708333333332</v>
      </c>
      <c r="G219" s="7">
        <v>1</v>
      </c>
      <c r="H219" s="21" t="s">
        <v>767</v>
      </c>
      <c r="I219" s="13">
        <v>25568.708333333332</v>
      </c>
      <c r="J219" s="7">
        <v>0</v>
      </c>
      <c r="K219" s="98" t="str">
        <f t="shared" si="70"/>
        <v>4025/4026</v>
      </c>
      <c r="L219" s="21" t="str">
        <f>VLOOKUP(A219,'Trips&amp;Operators'!$C$1:$G$99999,5,FALSE)</f>
        <v>HILLS DUSTIN</v>
      </c>
      <c r="M219" s="6">
        <f t="shared" si="71"/>
        <v>0</v>
      </c>
      <c r="N219" s="7">
        <f t="shared" si="68"/>
        <v>0</v>
      </c>
      <c r="O219" s="7"/>
      <c r="P219" s="7"/>
      <c r="Q219" s="22"/>
      <c r="R219" s="22"/>
      <c r="S219" s="31">
        <f t="shared" si="69"/>
        <v>1</v>
      </c>
      <c r="T219" s="46" t="str">
        <f t="shared" si="72"/>
        <v>NorthBound</v>
      </c>
      <c r="U219" s="18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7" t="str">
        <f t="shared" si="73"/>
        <v>https://d0f6bd738d7f1b3e5a7ca70fe4ff75f0.us-east-1.aws.found.io/app/kibana#/discover/Steve-Slow-Train-Analysis-(2080s-and-2083s)?_g=(refreshInterval:(display:Off,pause:!f,section:0,value:0),time:(from:'2017-02-18T00:53:19-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9" s="188" t="str">
        <f t="shared" si="74"/>
        <v>Y</v>
      </c>
      <c r="X219" s="188">
        <f t="shared" si="85"/>
        <v>0</v>
      </c>
      <c r="Y219" s="62">
        <f t="shared" si="80"/>
        <v>0.12620000000000001</v>
      </c>
      <c r="Z219" s="62">
        <f t="shared" si="81"/>
        <v>2.3311999999999999</v>
      </c>
      <c r="AA219" s="62">
        <f t="shared" si="75"/>
        <v>2.2050000000000001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6"/>
        <v>0313-17</v>
      </c>
      <c r="AE219" s="85" t="str">
        <f t="shared" si="77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9" s="82" t="str">
        <f t="shared" si="78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19" s="1" t="str">
        <f t="shared" si="79"/>
        <v>Other</v>
      </c>
      <c r="AH219" s="86" t="str">
        <f t="shared" si="82"/>
        <v>"%USERPROFILE%\Documents\GitHub\eaglep3\Utilities\RefineRTDCRunTimes.py" --tripid 313-17 --locoid 4025 --swversion DE.1.0.9.0 --startMP 204:1262 --initTime 2017-02-18T01:53:19 --startdatetime 1969-12-31T17:00:00 --delay 1 --endMP 300:23312 --enddatetime 1969-12-31T17:00:00 --enforcementcount 0 &gt;&gt;C:\Users\stu\Documents\GitHub\eaglep3-reporting\EC\2017-02-17-refined-times.txt</v>
      </c>
      <c r="AI219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ID","value":"313-17"},{"id":16,"name":"Locomotive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84"/>
        <v>start /low /b %USERPROFILE%\Documents\GitHub\eaglep3\Utilities\DownloadLogsFromS3.py --loco 4025 --day 1969-12-31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2017-02-17-UncaughtWiMAX.txt</v>
      </c>
    </row>
    <row r="220" spans="1:40" x14ac:dyDescent="0.25">
      <c r="A220" s="33" t="s">
        <v>680</v>
      </c>
      <c r="B220" s="7">
        <v>4044</v>
      </c>
      <c r="C220" s="21" t="s">
        <v>682</v>
      </c>
      <c r="D220" s="21" t="s">
        <v>727</v>
      </c>
      <c r="E220" s="13">
        <v>42784.109409722223</v>
      </c>
      <c r="F220" s="13">
        <v>25568.708333333332</v>
      </c>
      <c r="G220" s="7">
        <v>1</v>
      </c>
      <c r="H220" s="21" t="s">
        <v>296</v>
      </c>
      <c r="I220" s="13">
        <v>25568.708333333332</v>
      </c>
      <c r="J220" s="7">
        <v>0</v>
      </c>
      <c r="K220" s="98" t="str">
        <f t="shared" si="70"/>
        <v>4043/4044</v>
      </c>
      <c r="L220" s="21" t="str">
        <f>VLOOKUP(A220,'Trips&amp;Operators'!$C$1:$G$99999,5,FALSE)</f>
        <v>BROWN JACOB</v>
      </c>
      <c r="M220" s="6">
        <f t="shared" si="71"/>
        <v>0</v>
      </c>
      <c r="N220" s="7">
        <f t="shared" ref="N220:N233" si="86">24*60*SUM($M220:$M220)</f>
        <v>0</v>
      </c>
      <c r="O220" s="7"/>
      <c r="P220" s="7"/>
      <c r="Q220" s="22"/>
      <c r="R220" s="22"/>
      <c r="S220" s="31">
        <f t="shared" ref="S220:S233" si="87">SUM(U220:U220)/IF(AG220="EC",12,1)</f>
        <v>1</v>
      </c>
      <c r="T220" s="46" t="str">
        <f t="shared" si="72"/>
        <v>NorthBound</v>
      </c>
      <c r="U220" s="18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7" t="str">
        <f t="shared" si="73"/>
        <v>https://d0f6bd738d7f1b3e5a7ca70fe4ff75f0.us-east-1.aws.found.io/app/kibana#/discover/Steve-Slow-Train-Analysis-(2080s-and-2083s)?_g=(refreshInterval:(display:Off,pause:!f,section:0,value:0),time:(from:'2017-02-18T01:37:33-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0" s="188" t="str">
        <f t="shared" si="74"/>
        <v>Y</v>
      </c>
      <c r="X220" s="188">
        <f t="shared" si="85"/>
        <v>2</v>
      </c>
      <c r="Y220" s="62">
        <f t="shared" si="80"/>
        <v>4.58E-2</v>
      </c>
      <c r="Z220" s="62">
        <f t="shared" si="81"/>
        <v>2.3346</v>
      </c>
      <c r="AA220" s="62">
        <f t="shared" si="75"/>
        <v>2.2888000000000002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6"/>
        <v>0315-17</v>
      </c>
      <c r="AE220" s="85" t="str">
        <f t="shared" si="77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0" s="82" t="str">
        <f t="shared" si="78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20" s="1" t="str">
        <f t="shared" si="79"/>
        <v>Other</v>
      </c>
      <c r="AH220" s="86" t="str">
        <f t="shared" si="82"/>
        <v>"%USERPROFILE%\Documents\GitHub\eaglep3\Utilities\RefineRTDCRunTimes.py" --tripid 315-17 --locoid 4044 --swversion DE.1.0.9.0 --startMP 204:458 --initTime 2017-02-18T02:37:33 --startdatetime 1969-12-31T17:00:00 --delay 1 --endMP 300:23346 --enddatetime 1969-12-31T17:00:00 --enforcementcount 0 &gt;&gt;C:\Users\stu\Documents\GitHub\eaglep3-reporting\EC\2017-02-17-refined-times.txt</v>
      </c>
      <c r="AI220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ID","value":"315-17"},{"id":16,"name":"Locomotive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84"/>
        <v>start /low /b %USERPROFILE%\Documents\GitHub\eaglep3\Utilities\DownloadLogsFromS3.py --loco 4044 --day 1969-12-31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2017-02-17-UncaughtWiMAX.txt</v>
      </c>
    </row>
    <row r="221" spans="1:40" x14ac:dyDescent="0.25">
      <c r="A221" s="33" t="s">
        <v>483</v>
      </c>
      <c r="B221" s="7">
        <v>4014</v>
      </c>
      <c r="C221" s="21" t="s">
        <v>682</v>
      </c>
      <c r="D221" s="21" t="s">
        <v>827</v>
      </c>
      <c r="E221" s="13">
        <v>42783.200011574074</v>
      </c>
      <c r="F221" s="13">
        <v>42783.202118055553</v>
      </c>
      <c r="G221" s="7">
        <v>1</v>
      </c>
      <c r="H221" s="21" t="s">
        <v>797</v>
      </c>
      <c r="I221" s="13">
        <v>42783.208078703705</v>
      </c>
      <c r="J221" s="7">
        <v>0</v>
      </c>
      <c r="K221" s="98" t="str">
        <f t="shared" si="70"/>
        <v>4013/4014</v>
      </c>
      <c r="L221" s="21" t="str">
        <f>VLOOKUP(A221,'Trips&amp;Operators'!$C$1:$G$99999,5,FALSE)</f>
        <v>GEBRETEKLE DAGNEW</v>
      </c>
      <c r="M221" s="6">
        <f t="shared" si="71"/>
        <v>5.9606481518130749E-3</v>
      </c>
      <c r="N221" s="7">
        <f t="shared" si="86"/>
        <v>8.5833333386108279</v>
      </c>
      <c r="O221" s="7"/>
      <c r="P221" s="7"/>
      <c r="Q221" s="22"/>
      <c r="R221" s="22"/>
      <c r="S221" s="31">
        <f t="shared" si="87"/>
        <v>0</v>
      </c>
      <c r="T221" s="46" t="str">
        <f t="shared" si="72"/>
        <v>NorthBound</v>
      </c>
      <c r="U221" s="18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7" t="str">
        <f t="shared" si="73"/>
        <v>https://d0f6bd738d7f1b3e5a7ca70fe4ff75f0.us-east-1.aws.found.io/app/kibana#/discover/Steve-Slow-Train-Analysis-(2080s-and-2083s)?_g=(refreshInterval:(display:Off,pause:!f,section:0,value:0),time:(from:'2017-02-17T03:48:01-0700',mode:absolute,to:'2017-02-17T05:59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1" s="188" t="str">
        <f t="shared" si="74"/>
        <v>Y</v>
      </c>
      <c r="X221" s="188">
        <f t="shared" si="85"/>
        <v>586</v>
      </c>
      <c r="Y221" s="62">
        <f t="shared" si="80"/>
        <v>2.9935999999999998</v>
      </c>
      <c r="Z221" s="62">
        <f t="shared" si="81"/>
        <v>5.8987999999999996</v>
      </c>
      <c r="AA221" s="62">
        <f t="shared" si="75"/>
        <v>2.9051999999999998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6"/>
        <v>0901-17</v>
      </c>
      <c r="AE221" s="85" t="str">
        <f t="shared" si="77"/>
        <v>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 &amp; aws s3 cp s3://rtdc.mdm.uploadarchive.raw/RTDC4014/ "%USERPROFILE%\AppData\Local\Temp\OnboardLogs"\RTDC4014\2017-02-18 --exclude "*" --recursive --include "*20170218*" &amp; "%USERPROFILE%\Documents\GitHub\mrs-test-scripts\Headless Mode &amp; Sideloading\WalkAndUnGZ.bat" "%USERPROFILE%\AppData\Local\Temp\OnboardLogs"\RTDC4014\2017-02-18</v>
      </c>
      <c r="AF221" s="82" t="str">
        <f t="shared" si="78"/>
        <v>"C:\Program Files (x86)\AstroGrep\AstroGrep.exe" /spath="%USERPROFILE%\AppData\Local\Temp\OnboardLogs" /stypes="app*4014*20170217*" /stext=" 11:.+((SYSTEM_STATE.+slice.+state.+changed )|(ment ac)|(multiple cpu faults)|(system.+state.+changed )|(\[timeout)|(PRM\|1\|D)|(kpr)|(kdp)|(\|lc)|(penalty))" /e /r /s</v>
      </c>
      <c r="AG221" s="1" t="str">
        <f t="shared" si="79"/>
        <v>Other</v>
      </c>
      <c r="AH221" s="86" t="str">
        <f t="shared" si="82"/>
        <v>"%USERPROFILE%\Documents\GitHub\eaglep3\Utilities\RefineRTDCRunTimes.py" --tripid 901-17 --locoid 4014 --swversion DE.1.0.9.0 --startMP 300:29936 --initTime 2017-02-17T04:48:01 --startdatetime 2017-02-17T04:51:03 --delay 1 --endMP 300:58988 --enddatetime 2017-02-17T04:59:38 --enforcementcount 0 &gt;&gt;C:\Users\stu\Documents\GitHub\eaglep3-reporting\EC\2017-02-17-refined-times.txt</v>
      </c>
      <c r="AI221" s="108" t="str">
        <f t="shared" si="83"/>
        <v>echo {"issue":{"subject":"","project_id":79,"tracker_id":40,"status_id":1,"priority_id":2,"assigned_to_id":23,"start_date":"2017-02-17","description":"","custom_fields":[{"id":1,"name":"Subdivision","value":"Other"},{"id":4,"name":"Milepost","value":"5.8988"},{"id":17,"name":"Train ID","value":"901-17"},{"id":16,"name":"Locomotive ID","value":"4014"},{"id":130,"name":"Impact","value":""},{"id":150,"name":"Time of Event (Mountain Time)","value":"04:59:38"},{"id":151,"name":"Denver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84"/>
        <v>start /low /b %USERPROFILE%\Documents\GitHub\eaglep3\Utilities\DownloadLogsFromS3.py --loco 4014 --day 2017-02-17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"%USERPROFILE%\AppData\Local\Temp\OnboardLogs"\RTDC4014\*4014*20170217* | grep -SE "(Enforcement Action)|(\[TIMEOUT)|(CHR.+\|PRM\|1\|D.+(SWITCH|SIGNAL).+UNKNOWN)" - &gt;&gt; 2017-02-17-UncaughtWiMAX.txt</v>
      </c>
    </row>
    <row r="222" spans="1:40" x14ac:dyDescent="0.25">
      <c r="A222" s="33" t="s">
        <v>492</v>
      </c>
      <c r="B222" s="7">
        <v>4008</v>
      </c>
      <c r="C222" s="21" t="s">
        <v>682</v>
      </c>
      <c r="D222" s="21" t="s">
        <v>828</v>
      </c>
      <c r="E222" s="13">
        <v>42783.245370370372</v>
      </c>
      <c r="F222" s="13">
        <v>42783.249155092592</v>
      </c>
      <c r="G222" s="7">
        <v>3</v>
      </c>
      <c r="H222" s="21" t="s">
        <v>829</v>
      </c>
      <c r="I222" s="13">
        <v>42783.254641203705</v>
      </c>
      <c r="J222" s="7">
        <v>0</v>
      </c>
      <c r="K222" s="98" t="str">
        <f t="shared" si="70"/>
        <v>4007/4008</v>
      </c>
      <c r="L222" s="21" t="str">
        <f>VLOOKUP(A222,'Trips&amp;Operators'!$C$1:$G$99999,5,FALSE)</f>
        <v>SHOOK JOHN</v>
      </c>
      <c r="M222" s="6">
        <f t="shared" si="71"/>
        <v>5.4861111129866913E-3</v>
      </c>
      <c r="N222" s="7">
        <f t="shared" si="86"/>
        <v>7.9000000027008355</v>
      </c>
      <c r="O222" s="7"/>
      <c r="P222" s="7"/>
      <c r="Q222" s="22"/>
      <c r="R222" s="22"/>
      <c r="S222" s="31">
        <f t="shared" si="87"/>
        <v>1</v>
      </c>
      <c r="T222" s="46" t="str">
        <f t="shared" si="72"/>
        <v>Southbound</v>
      </c>
      <c r="U222" s="18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7" t="str">
        <f t="shared" si="73"/>
        <v>https://d0f6bd738d7f1b3e5a7ca70fe4ff75f0.us-east-1.aws.found.io/app/kibana#/discover/Steve-Slow-Train-Analysis-(2080s-and-2083s)?_g=(refreshInterval:(display:Off,pause:!f,section:0,value:0),time:(from:'2017-02-17T04:53:20-0700',mode:absolute,to:'2017-02-17T07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2" s="188" t="str">
        <f t="shared" si="74"/>
        <v>Y</v>
      </c>
      <c r="X222" s="188">
        <f t="shared" si="85"/>
        <v>1</v>
      </c>
      <c r="Y222" s="62">
        <f t="shared" si="80"/>
        <v>2.2751000000000001</v>
      </c>
      <c r="Z222" s="62">
        <f t="shared" si="81"/>
        <v>7.4700000000000003E-2</v>
      </c>
      <c r="AA222" s="62">
        <f t="shared" si="75"/>
        <v>2.2004000000000001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6"/>
        <v>0902-17</v>
      </c>
      <c r="AE222" s="85" t="str">
        <f t="shared" si="7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222" s="82" t="str">
        <f t="shared" si="78"/>
        <v>"C:\Program Files (x86)\AstroGrep\AstroGrep.exe" /spath="%USERPROFILE%\AppData\Local\Temp\OnboardLogs" /stypes="app*4008*20170217*" /stext=" 13:.+((SYSTEM_STATE.+slice.+state.+changed )|(ment ac)|(multiple cpu faults)|(system.+state.+changed )|(\[timeout)|(PRM\|1\|D)|(kpr)|(kdp)|(\|lc)|(penalty))" /e /r /s</v>
      </c>
      <c r="AG222" s="1" t="str">
        <f t="shared" si="79"/>
        <v>Other</v>
      </c>
      <c r="AH222" s="86" t="str">
        <f t="shared" si="82"/>
        <v>"%USERPROFILE%\Documents\GitHub\eaglep3\Utilities\RefineRTDCRunTimes.py" --tripid 902-17 --locoid 4008 --swversion DE.1.0.9.0 --startMP 300:22751 --initTime 2017-02-17T05:53:20 --startdatetime 2017-02-17T05:58:47 --delay 3 --endMP 204:747 --enddatetime 2017-02-17T06:06:41 --enforcementcount 0 &gt;&gt;C:\Users\stu\Documents\GitHub\eaglep3-reporting\EC\2017-02-17-refined-times.txt</v>
      </c>
      <c r="AI222" s="108" t="str">
        <f t="shared" si="83"/>
        <v>echo {"issue":{"subject":"","project_id":79,"tracker_id":40,"status_id":1,"priority_id":2,"assigned_to_id":23,"start_date":"2017-02-17","description":"","custom_fields":[{"id":1,"name":"Subdivision","value":"Other"},{"id":4,"name":"Milepost","value":"0.0747"},{"id":17,"name":"Train ID","value":"902-17"},{"id":16,"name":"Locomotive ID","value":"4008"},{"id":130,"name":"Impact","value":""},{"id":150,"name":"Time of Event (Mountain Time)","value":"06:06:41"},{"id":151,"name":"Denver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84"/>
        <v>start /low /b %USERPROFILE%\Documents\GitHub\eaglep3\Utilities\DownloadLogsFromS3.py --loco 4008 --day 2017-02-17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"%USERPROFILE%\AppData\Local\Temp\OnboardLogs"\RTDC4008\*4008*20170217* | grep -SE "(Enforcement Action)|(\[TIMEOUT)|(CHR.+\|PRM\|1\|D.+(SWITCH|SIGNAL).+UNKNOWN)" - &gt;&gt; 2017-02-17-UncaughtWiMAX.txt</v>
      </c>
    </row>
    <row r="223" spans="1:40" x14ac:dyDescent="0.25">
      <c r="A223" s="33" t="s">
        <v>518</v>
      </c>
      <c r="B223" s="7">
        <v>4014</v>
      </c>
      <c r="C223" s="21" t="s">
        <v>682</v>
      </c>
      <c r="D223" s="21" t="s">
        <v>830</v>
      </c>
      <c r="E223" s="13">
        <v>42783.352175925924</v>
      </c>
      <c r="F223" s="13">
        <v>25568.708333333332</v>
      </c>
      <c r="G223" s="7">
        <v>1</v>
      </c>
      <c r="H223" s="21" t="s">
        <v>831</v>
      </c>
      <c r="I223" s="13">
        <v>25568.708333333332</v>
      </c>
      <c r="J223" s="7">
        <v>0</v>
      </c>
      <c r="K223" s="98" t="str">
        <f t="shared" si="70"/>
        <v>4013/4014</v>
      </c>
      <c r="L223" s="21" t="str">
        <f>VLOOKUP(A223,'Trips&amp;Operators'!$C$1:$G$99999,5,FALSE)</f>
        <v>GEBRETEKLE DAGNEW</v>
      </c>
      <c r="M223" s="6">
        <f t="shared" si="71"/>
        <v>0</v>
      </c>
      <c r="N223" s="7">
        <f t="shared" si="86"/>
        <v>0</v>
      </c>
      <c r="O223" s="7"/>
      <c r="P223" s="7"/>
      <c r="Q223" s="22"/>
      <c r="R223" s="22"/>
      <c r="S223" s="31">
        <f t="shared" si="87"/>
        <v>1</v>
      </c>
      <c r="T223" s="46" t="str">
        <f t="shared" si="72"/>
        <v>NorthBound</v>
      </c>
      <c r="U223" s="18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87" t="str">
        <f t="shared" si="73"/>
        <v>https://d0f6bd738d7f1b3e5a7ca70fe4ff75f0.us-east-1.aws.found.io/app/kibana#/discover/Steve-Slow-Train-Analysis-(2080s-and-2083s)?_g=(refreshInterval:(display:Off,pause:!f,section:0,value:0),time:(from:'2017-02-17T07:27:08-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3" s="188" t="str">
        <f t="shared" si="74"/>
        <v>Y</v>
      </c>
      <c r="X223" s="188">
        <f t="shared" si="85"/>
        <v>1</v>
      </c>
      <c r="Y223" s="62">
        <f t="shared" si="80"/>
        <v>4.24E-2</v>
      </c>
      <c r="Z223" s="62">
        <f t="shared" si="81"/>
        <v>2.4251999999999998</v>
      </c>
      <c r="AA223" s="62">
        <f t="shared" si="75"/>
        <v>2.3827999999999996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6"/>
        <v>0903-17</v>
      </c>
      <c r="AE223" s="85" t="str">
        <f t="shared" si="77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23" s="82" t="str">
        <f t="shared" si="78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23" s="1" t="str">
        <f t="shared" si="79"/>
        <v>Other</v>
      </c>
      <c r="AH223" s="86" t="str">
        <f t="shared" si="82"/>
        <v>"%USERPROFILE%\Documents\GitHub\eaglep3\Utilities\RefineRTDCRunTimes.py" --tripid 903-17 --locoid 4014 --swversion DE.1.0.9.0 --startMP 204:424 --initTime 2017-02-17T08:27:08 --startdatetime 1969-12-31T17:00:00 --delay 1 --endMP 300:24252 --enddatetime 1969-12-31T17:00:00 --enforcementcount 0 &gt;&gt;C:\Users\stu\Documents\GitHub\eaglep3-reporting\EC\2017-02-17-refined-times.txt</v>
      </c>
      <c r="AI223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{"issue":{"subject":"","project_id":79,"tracker_id":40,"status_id":1,"priority_id":2,"assigned_to_id":23,"start_date":"1969-12-31","description":"","custom_fields":[{"id":1,"name":"Subdivision","value":"Other"},{"id":4,"name":"Milepost","value":"2.4252"},{"id":17,"name":"Train ID","value":"903-17"},{"id":16,"name":"Locomotive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84"/>
        <v>start /low /b %USERPROFILE%\Documents\GitHub\eaglep3\Utilities\DownloadLogsFromS3.py --loco 4014 --day 1969-12-31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"%USERPROFILE%\AppData\Local\Temp\OnboardLogs"\RTDC4014\*4014*19700101* | grep -SE "(Enforcement Action)|(\[TIMEOUT)|(CHR.+\|PRM\|1\|D.+(SWITCH|SIGNAL).+UNKNOWN)" - &gt;&gt; 2017-02-17-UncaughtWiMAX.txt</v>
      </c>
    </row>
    <row r="224" spans="1:40" x14ac:dyDescent="0.25">
      <c r="A224" s="33" t="s">
        <v>455</v>
      </c>
      <c r="B224" s="7">
        <v>4013</v>
      </c>
      <c r="C224" s="21" t="s">
        <v>682</v>
      </c>
      <c r="D224" s="21" t="s">
        <v>832</v>
      </c>
      <c r="E224" s="13">
        <v>42783.642430555556</v>
      </c>
      <c r="F224" s="13">
        <v>42783.644999999997</v>
      </c>
      <c r="G224" s="7">
        <v>3</v>
      </c>
      <c r="H224" s="21" t="s">
        <v>833</v>
      </c>
      <c r="I224" s="13">
        <v>42783.651412037034</v>
      </c>
      <c r="J224" s="7">
        <v>0</v>
      </c>
      <c r="K224" s="98" t="str">
        <f t="shared" si="70"/>
        <v>4013/4014</v>
      </c>
      <c r="L224" s="21" t="str">
        <f>VLOOKUP(A224,'Trips&amp;Operators'!$C$1:$G$99999,5,FALSE)</f>
        <v>SMITH MICHAEL</v>
      </c>
      <c r="M224" s="6">
        <f t="shared" si="71"/>
        <v>6.4120370370801538E-3</v>
      </c>
      <c r="N224" s="7">
        <f t="shared" si="86"/>
        <v>9.2333333333954215</v>
      </c>
      <c r="O224" s="7"/>
      <c r="P224" s="7"/>
      <c r="Q224" s="22"/>
      <c r="R224" s="22"/>
      <c r="S224" s="31">
        <f t="shared" si="87"/>
        <v>1</v>
      </c>
      <c r="T224" s="46" t="str">
        <f t="shared" si="72"/>
        <v>Southbound</v>
      </c>
      <c r="U224" s="18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87" t="str">
        <f t="shared" si="73"/>
        <v>https://d0f6bd738d7f1b3e5a7ca70fe4ff75f0.us-east-1.aws.found.io/app/kibana#/discover/Steve-Slow-Train-Analysis-(2080s-and-2083s)?_g=(refreshInterval:(display:Off,pause:!f,section:0,value:0),time:(from:'2017-02-17T14:25:06-0700',mode:absolute,to:'2017-02-17T16:38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4" s="188" t="str">
        <f t="shared" si="74"/>
        <v>Y</v>
      </c>
      <c r="X224" s="188">
        <f t="shared" si="85"/>
        <v>1</v>
      </c>
      <c r="Y224" s="62">
        <f t="shared" si="80"/>
        <v>2.3382999999999998</v>
      </c>
      <c r="Z224" s="62">
        <f t="shared" si="81"/>
        <v>7.1199999999999999E-2</v>
      </c>
      <c r="AA224" s="62">
        <f t="shared" si="75"/>
        <v>2.2670999999999997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6"/>
        <v>0904-17</v>
      </c>
      <c r="AE224" s="85" t="str">
        <f t="shared" si="77"/>
        <v>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 &amp; aws s3 cp s3://rtdc.mdm.uploadarchive.raw/RTDC4013/ "%USERPROFILE%\AppData\Local\Temp\OnboardLogs"\RTDC4013\2017-02-18 --exclude "*" --recursive --include "*20170218*" &amp; "%USERPROFILE%\Documents\GitHub\mrs-test-scripts\Headless Mode &amp; Sideloading\WalkAndUnGZ.bat" "%USERPROFILE%\AppData\Local\Temp\OnboardLogs"\RTDC4013\2017-02-18</v>
      </c>
      <c r="AF224" s="82" t="str">
        <f t="shared" si="78"/>
        <v>"C:\Program Files (x86)\AstroGrep\AstroGrep.exe" /spath="%USERPROFILE%\AppData\Local\Temp\OnboardLogs" /stypes="app*4013*20170217*" /stext=" 22:.+((SYSTEM_STATE.+slice.+state.+changed )|(ment ac)|(multiple cpu faults)|(system.+state.+changed )|(\[timeout)|(PRM\|1\|D)|(kpr)|(kdp)|(\|lc)|(penalty))" /e /r /s</v>
      </c>
      <c r="AG224" s="1" t="str">
        <f t="shared" si="79"/>
        <v>Other</v>
      </c>
      <c r="AH224" s="86" t="str">
        <f t="shared" si="82"/>
        <v>"%USERPROFILE%\Documents\GitHub\eaglep3\Utilities\RefineRTDCRunTimes.py" --tripid 904-17 --locoid 4013 --swversion DE.1.0.9.0 --startMP 300:23383 --initTime 2017-02-17T15:25:06 --startdatetime 2017-02-17T15:28:48 --delay 3 --endMP 204:712 --enddatetime 2017-02-17T15:38:02 --enforcementcount 0 &gt;&gt;C:\Users\stu\Documents\GitHub\eaglep3-reporting\EC\2017-02-17-refined-times.txt</v>
      </c>
      <c r="AI224" s="108" t="str">
        <f t="shared" si="83"/>
        <v>echo {"issue":{"subject":"","project_id":79,"tracker_id":40,"status_id":1,"priority_id":2,"assigned_to_id":23,"start_date":"2017-02-17","description":"","custom_fields":[{"id":1,"name":"Subdivision","value":"Other"},{"id":4,"name":"Milepost","value":"0.0712"},{"id":17,"name":"Train ID","value":"904-17"},{"id":16,"name":"Locomotive ID","value":"4013"},{"id":130,"name":"Impact","value":""},{"id":150,"name":"Time of Event (Mountain Time)","value":"15:38:02"},{"id":151,"name":"Denver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84"/>
        <v>start /low /b %USERPROFILE%\Documents\GitHub\eaglep3\Utilities\DownloadLogsFromS3.py --loco 4013 --day 2017-02-17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"%USERPROFILE%\AppData\Local\Temp\OnboardLogs"\RTDC4013\*4013*20170217* | grep -SE "(Enforcement Action)|(\[TIMEOUT)|(CHR.+\|PRM\|1\|D.+(SWITCH|SIGNAL).+UNKNOWN)" - &gt;&gt; 2017-02-17-UncaughtWiMAX.txt</v>
      </c>
    </row>
    <row r="225" spans="1:40" x14ac:dyDescent="0.25">
      <c r="A225" s="33" t="s">
        <v>636</v>
      </c>
      <c r="B225" s="7">
        <v>4013</v>
      </c>
      <c r="C225" s="21" t="s">
        <v>682</v>
      </c>
      <c r="D225" s="21" t="s">
        <v>825</v>
      </c>
      <c r="E225" s="13">
        <v>42783.796886574077</v>
      </c>
      <c r="F225" s="13">
        <v>25568.708333333332</v>
      </c>
      <c r="G225" s="7">
        <v>1</v>
      </c>
      <c r="H225" s="21" t="s">
        <v>834</v>
      </c>
      <c r="I225" s="13">
        <v>25568.708333333332</v>
      </c>
      <c r="J225" s="7">
        <v>0</v>
      </c>
      <c r="K225" s="98" t="str">
        <f t="shared" si="70"/>
        <v>4013/4014</v>
      </c>
      <c r="L225" s="21" t="str">
        <f>VLOOKUP(A225,'Trips&amp;Operators'!$C$1:$G$99999,5,FALSE)</f>
        <v>SMITH MICHAEL</v>
      </c>
      <c r="M225" s="6">
        <f t="shared" si="71"/>
        <v>0</v>
      </c>
      <c r="N225" s="7">
        <f t="shared" si="86"/>
        <v>0</v>
      </c>
      <c r="O225" s="7"/>
      <c r="P225" s="7"/>
      <c r="Q225" s="22"/>
      <c r="R225" s="22"/>
      <c r="S225" s="31">
        <f t="shared" si="87"/>
        <v>0</v>
      </c>
      <c r="T225" s="46" t="str">
        <f t="shared" si="72"/>
        <v>Southbound</v>
      </c>
      <c r="U225" s="18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7" t="str">
        <f t="shared" si="73"/>
        <v>https://d0f6bd738d7f1b3e5a7ca70fe4ff75f0.us-east-1.aws.found.io/app/kibana#/discover/Steve-Slow-Train-Analysis-(2080s-and-2083s)?_g=(refreshInterval:(display:Off,pause:!f,section:0,value:0),time:(from:'2017-02-17T18:07:31-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5" s="188" t="str">
        <f t="shared" si="74"/>
        <v>Y</v>
      </c>
      <c r="X225" s="188">
        <f t="shared" si="85"/>
        <v>2</v>
      </c>
      <c r="Y225" s="62">
        <f t="shared" si="80"/>
        <v>5.8613</v>
      </c>
      <c r="Z225" s="62">
        <f t="shared" si="81"/>
        <v>2.8780000000000001</v>
      </c>
      <c r="AA225" s="62">
        <f t="shared" si="75"/>
        <v>2.9832999999999998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6"/>
        <v>0906-17</v>
      </c>
      <c r="AE225" s="85" t="str">
        <f t="shared" si="77"/>
        <v>aws s3 cp s3://rtdc.mdm.uploadarchive.raw/RTDC4013/ "%USERPROFILE%\AppData\Local\Temp\OnboardLogs"\RTDC4013\1969-12-31 --exclude "*" --recursive --include "*19691231*" &amp; "%USERPROFILE%\Documents\GitHub\mrs-test-scripts\Headless Mode &amp; Sideloading\WalkAndUnGZ.bat" "%USERPROFILE%\AppData\Local\Temp\OnboardLogs"\RTDC4013\1969-12-31 &amp; aws s3 cp s3://rtdc.mdm.uploadarchive.raw/RTDC4013/ "%USERPROFILE%\AppData\Local\Temp\OnboardLogs"\RTDC4013\1970-01-01 --exclude "*" --recursive --include "*19700101*" &amp; "%USERPROFILE%\Documents\GitHub\mrs-test-scripts\Headless Mode &amp; Sideloading\WalkAndUnGZ.bat" "%USERPROFILE%\AppData\Local\Temp\OnboardLogs"\RTDC4013\1970-01-01</v>
      </c>
      <c r="AF225" s="82" t="str">
        <f t="shared" si="78"/>
        <v>"C:\Program Files (x86)\AstroGrep\AstroGrep.exe" /spath="%USERPROFILE%\AppData\Local\Temp\OnboardLogs" /stypes="app*4013*19700101*" /stext=" 00:.+((SYSTEM_STATE.+slice.+state.+changed )|(ment ac)|(multiple cpu faults)|(system.+state.+changed )|(\[timeout)|(PRM\|1\|D)|(kpr)|(kdp)|(\|lc)|(penalty))" /e /r /s</v>
      </c>
      <c r="AG225" s="1" t="str">
        <f t="shared" si="79"/>
        <v>Other</v>
      </c>
      <c r="AH225" s="86" t="str">
        <f t="shared" si="82"/>
        <v>"%USERPROFILE%\Documents\GitHub\eaglep3\Utilities\RefineRTDCRunTimes.py" --tripid 906-17 --locoid 4013 --swversion DE.1.0.9.0 --startMP 300:58613 --initTime 2017-02-17T19:07:31 --startdatetime 1969-12-31T17:00:00 --delay 1 --endMP 300:28780 --enddatetime 1969-12-31T17:00:00 --enforcementcount 0 &gt;&gt;C:\Users\stu\Documents\GitHub\eaglep3-reporting\EC\2017-02-17-refined-times.txt</v>
      </c>
      <c r="AI225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{"issue":{"subject":"","project_id":79,"tracker_id":40,"status_id":1,"priority_id":2,"assigned_to_id":23,"start_date":"1969-12-31","description":"","custom_fields":[{"id":1,"name":"Subdivision","value":"Other"},{"id":4,"name":"Milepost","value":"2.878"},{"id":17,"name":"Train ID","value":"906-17"},{"id":16,"name":"Locomotive ID","value":"4013"},{"id":130,"name":"Impact","value":""},{"id":150,"name":"Time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84"/>
        <v>start /low /b %USERPROFILE%\Documents\GitHub\eaglep3\Utilities\DownloadLogsFromS3.py --loco 4013 --day 1969-12-31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"%USERPROFILE%\AppData\Local\Temp\OnboardLogs"\RTDC4013\*4013*19700101* | grep -SE "(Enforcement Action)|(\[TIMEOUT)|(CHR.+\|PRM\|1\|D.+(SWITCH|SIGNAL).+UNKNOWN)" - &gt;&gt; 2017-02-17-UncaughtWiMAX.txt</v>
      </c>
    </row>
    <row r="226" spans="1:40" x14ac:dyDescent="0.25">
      <c r="A226" s="33" t="s">
        <v>661</v>
      </c>
      <c r="B226" s="7">
        <v>4008</v>
      </c>
      <c r="C226" s="21" t="s">
        <v>682</v>
      </c>
      <c r="D226" s="21" t="s">
        <v>835</v>
      </c>
      <c r="E226" s="13">
        <v>42783.944178240738</v>
      </c>
      <c r="F226" s="13">
        <v>42783.945532407408</v>
      </c>
      <c r="G226" s="7">
        <v>1</v>
      </c>
      <c r="H226" s="21" t="s">
        <v>836</v>
      </c>
      <c r="I226" s="13">
        <v>42783.950208333335</v>
      </c>
      <c r="J226" s="7">
        <v>0</v>
      </c>
      <c r="K226" s="98" t="str">
        <f t="shared" si="70"/>
        <v>4007/4008</v>
      </c>
      <c r="L226" s="21" t="str">
        <f>VLOOKUP(A226,'Trips&amp;Operators'!$C$1:$G$99999,5,FALSE)</f>
        <v>SMITH MICHAEL</v>
      </c>
      <c r="M226" s="6">
        <f t="shared" si="71"/>
        <v>4.6759259275859222E-3</v>
      </c>
      <c r="N226" s="7">
        <f t="shared" si="86"/>
        <v>6.7333333357237279</v>
      </c>
      <c r="O226" s="7"/>
      <c r="P226" s="7"/>
      <c r="Q226" s="22"/>
      <c r="R226" s="22"/>
      <c r="S226" s="31">
        <f t="shared" si="87"/>
        <v>0</v>
      </c>
      <c r="T226" s="46" t="str">
        <f t="shared" si="72"/>
        <v>Southbound</v>
      </c>
      <c r="U226" s="18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7" t="str">
        <f t="shared" si="73"/>
        <v>https://d0f6bd738d7f1b3e5a7ca70fe4ff75f0.us-east-1.aws.found.io/app/kibana#/discover/Steve-Slow-Train-Analysis-(2080s-and-2083s)?_g=(refreshInterval:(display:Off,pause:!f,section:0,value:0),time:(from:'2017-02-17T21:39:37-0700',mode:absolute,to:'2017-02-17T23:48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6" s="188" t="str">
        <f t="shared" si="74"/>
        <v>Y</v>
      </c>
      <c r="X226" s="188">
        <f t="shared" si="85"/>
        <v>2</v>
      </c>
      <c r="Y226" s="62">
        <f t="shared" si="80"/>
        <v>5.8608000000000002</v>
      </c>
      <c r="Z226" s="62">
        <f t="shared" si="81"/>
        <v>2.16</v>
      </c>
      <c r="AA226" s="62">
        <f t="shared" si="75"/>
        <v>3.7008000000000001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6"/>
        <v>0908-17</v>
      </c>
      <c r="AE226" s="85" t="str">
        <f t="shared" si="7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226" s="82" t="str">
        <f t="shared" si="78"/>
        <v>"C:\Program Files (x86)\AstroGrep\AstroGrep.exe" /spath="%USERPROFILE%\AppData\Local\Temp\OnboardLogs" /stypes="app*4008*20170218*" /stext=" 05:.+((SYSTEM_STATE.+slice.+state.+changed )|(ment ac)|(multiple cpu faults)|(system.+state.+changed )|(\[timeout)|(PRM\|1\|D)|(kpr)|(kdp)|(\|lc)|(penalty))" /e /r /s</v>
      </c>
      <c r="AG226" s="1" t="str">
        <f t="shared" si="79"/>
        <v>Other</v>
      </c>
      <c r="AH226" s="86" t="str">
        <f t="shared" si="82"/>
        <v>"%USERPROFILE%\Documents\GitHub\eaglep3\Utilities\RefineRTDCRunTimes.py" --tripid 908-17 --locoid 4008 --swversion DE.1.0.9.0 --startMP 300:58608 --initTime 2017-02-17T22:39:37 --startdatetime 2017-02-17T22:41:34 --delay 1 --endMP 300:21600 --enddatetime 2017-02-17T22:48:18 --enforcementcount 0 &gt;&gt;C:\Users\stu\Documents\GitHub\eaglep3-reporting\EC\2017-02-17-refined-times.txt</v>
      </c>
      <c r="AI226" s="108" t="str">
        <f t="shared" si="83"/>
        <v>echo {"issue":{"subject":"","project_id":79,"tracker_id":40,"status_id":1,"priority_id":2,"assigned_to_id":23,"start_date":"2017-02-17","description":"","custom_fields":[{"id":1,"name":"Subdivision","value":"Other"},{"id":4,"name":"Milepost","value":"2.16"},{"id":17,"name":"Train ID","value":"908-17"},{"id":16,"name":"Locomotive ID","value":"4008"},{"id":130,"name":"Impact","value":""},{"id":150,"name":"Time of Event (Mountain Time)","value":"22:48:18"},{"id":151,"name":"Denver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84"/>
        <v>start /low /b %USERPROFILE%\Documents\GitHub\eaglep3\Utilities\DownloadLogsFromS3.py --loco 4008 --day 2017-02-17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2017-02-17-UncaughtWiMAX.txt</v>
      </c>
    </row>
    <row r="227" spans="1:40" x14ac:dyDescent="0.25">
      <c r="A227" s="33" t="s">
        <v>661</v>
      </c>
      <c r="B227" s="7">
        <v>4008</v>
      </c>
      <c r="C227" s="21" t="s">
        <v>682</v>
      </c>
      <c r="D227" s="21" t="s">
        <v>814</v>
      </c>
      <c r="E227" s="13">
        <v>42783.942418981482</v>
      </c>
      <c r="F227" s="13">
        <v>42783.945532407408</v>
      </c>
      <c r="G227" s="7">
        <v>1</v>
      </c>
      <c r="H227" s="21" t="s">
        <v>836</v>
      </c>
      <c r="I227" s="13">
        <v>42783.950208333335</v>
      </c>
      <c r="J227" s="7">
        <v>0</v>
      </c>
      <c r="K227" s="98" t="str">
        <f t="shared" si="70"/>
        <v>4007/4008</v>
      </c>
      <c r="L227" s="21" t="str">
        <f>VLOOKUP(A227,'Trips&amp;Operators'!$C$1:$G$99999,5,FALSE)</f>
        <v>SMITH MICHAEL</v>
      </c>
      <c r="M227" s="6">
        <f t="shared" si="71"/>
        <v>4.6759259275859222E-3</v>
      </c>
      <c r="N227" s="7">
        <f t="shared" si="86"/>
        <v>6.7333333357237279</v>
      </c>
      <c r="O227" s="7"/>
      <c r="P227" s="7"/>
      <c r="Q227" s="22"/>
      <c r="R227" s="22"/>
      <c r="S227" s="31">
        <f t="shared" si="87"/>
        <v>0</v>
      </c>
      <c r="T227" s="46" t="str">
        <f t="shared" si="72"/>
        <v>Southbound</v>
      </c>
      <c r="U227" s="18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7" t="str">
        <f t="shared" si="73"/>
        <v>https://d0f6bd738d7f1b3e5a7ca70fe4ff75f0.us-east-1.aws.found.io/app/kibana#/discover/Steve-Slow-Train-Analysis-(2080s-and-2083s)?_g=(refreshInterval:(display:Off,pause:!f,section:0,value:0),time:(from:'2017-02-17T21:37:05-0700',mode:absolute,to:'2017-02-17T23:48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7" s="188" t="str">
        <f t="shared" si="74"/>
        <v>Y</v>
      </c>
      <c r="X227" s="188">
        <f t="shared" si="85"/>
        <v>0</v>
      </c>
      <c r="Y227" s="62">
        <f t="shared" si="80"/>
        <v>5.8615000000000004</v>
      </c>
      <c r="Z227" s="62">
        <f t="shared" si="81"/>
        <v>2.16</v>
      </c>
      <c r="AA227" s="62">
        <f t="shared" si="75"/>
        <v>3.7015000000000002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6"/>
        <v>0908-17</v>
      </c>
      <c r="AE227" s="85" t="str">
        <f t="shared" si="77"/>
        <v>aws s3 cp s3://rtdc.mdm.uploadarchive.raw/RTDC4008/ "%USERPROFILE%\AppData\Local\Temp\OnboardLogs"\RTDC4008\2017-02-17 --exclude "*" --recursive --include "*20170217*" &amp; "%USERPROFILE%\Documents\GitHub\mrs-test-scripts\Headless Mode &amp; Sideloading\WalkAndUnGZ.bat" "%USERPROFILE%\AppData\Local\Temp\OnboardLogs"\RTDC4008\2017-02-17 &amp; aws s3 cp s3://rtdc.mdm.uploadarchive.raw/RTDC4008/ "%USERPROFILE%\AppData\Local\Temp\OnboardLogs"\RTDC4008\2017-02-18 --exclude "*" --recursive --include "*20170218*" &amp; "%USERPROFILE%\Documents\GitHub\mrs-test-scripts\Headless Mode &amp; Sideloading\WalkAndUnGZ.bat" "%USERPROFILE%\AppData\Local\Temp\OnboardLogs"\RTDC4008\2017-02-18</v>
      </c>
      <c r="AF227" s="82" t="str">
        <f t="shared" si="78"/>
        <v>"C:\Program Files (x86)\AstroGrep\AstroGrep.exe" /spath="%USERPROFILE%\AppData\Local\Temp\OnboardLogs" /stypes="app*4008*20170218*" /stext=" 05:.+((SYSTEM_STATE.+slice.+state.+changed )|(ment ac)|(multiple cpu faults)|(system.+state.+changed )|(\[timeout)|(PRM\|1\|D)|(kpr)|(kdp)|(\|lc)|(penalty))" /e /r /s</v>
      </c>
      <c r="AG227" s="1" t="str">
        <f t="shared" si="79"/>
        <v>Other</v>
      </c>
      <c r="AH227" s="86" t="str">
        <f t="shared" si="82"/>
        <v>"%USERPROFILE%\Documents\GitHub\eaglep3\Utilities\RefineRTDCRunTimes.py" --tripid 908-17 --locoid 4008 --swversion DE.1.0.9.0 --startMP 300:58615 --initTime 2017-02-17T22:37:05 --startdatetime 2017-02-17T22:41:34 --delay 1 --endMP 300:21600 --enddatetime 2017-02-17T22:48:18 --enforcementcount 0 &gt;&gt;C:\Users\stu\Documents\GitHub\eaglep3-reporting\EC\2017-02-17-refined-times.txt</v>
      </c>
      <c r="AI227" s="108" t="str">
        <f t="shared" si="83"/>
        <v>echo {"issue":{"subject":"","project_id":79,"tracker_id":40,"status_id":1,"priority_id":2,"assigned_to_id":23,"start_date":"2017-02-17","description":"","custom_fields":[{"id":1,"name":"Subdivision","value":"Other"},{"id":4,"name":"Milepost","value":"2.16"},{"id":17,"name":"Train ID","value":"908-17"},{"id":16,"name":"Locomotive ID","value":"4008"},{"id":130,"name":"Impact","value":""},{"id":150,"name":"Time of Event (Mountain Time)","value":"22:48:18"},{"id":151,"name":"Denver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84"/>
        <v>start /low /b %USERPROFILE%\Documents\GitHub\eaglep3\Utilities\DownloadLogsFromS3.py --loco 4008 --day 2017-02-17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"%USERPROFILE%\AppData\Local\Temp\OnboardLogs"\RTDC4008\*4008*20170218* | grep -SE "(Enforcement Action)|(\[TIMEOUT)|(CHR.+\|PRM\|1\|D.+(SWITCH|SIGNAL).+UNKNOWN)" - &gt;&gt; 2017-02-17-UncaughtWiMAX.txt</v>
      </c>
    </row>
    <row r="228" spans="1:40" x14ac:dyDescent="0.25">
      <c r="A228" s="33" t="s">
        <v>396</v>
      </c>
      <c r="B228" s="7">
        <v>4020</v>
      </c>
      <c r="C228" s="21" t="s">
        <v>193</v>
      </c>
      <c r="D228" s="21" t="s">
        <v>771</v>
      </c>
      <c r="E228" s="13">
        <v>42783.083634259259</v>
      </c>
      <c r="F228" s="13">
        <v>42783.104444444441</v>
      </c>
      <c r="G228" s="7">
        <v>1</v>
      </c>
      <c r="H228" s="21" t="s">
        <v>772</v>
      </c>
      <c r="I228" s="13">
        <v>42783.138067129628</v>
      </c>
      <c r="J228" s="7">
        <v>0</v>
      </c>
      <c r="K228" s="98" t="str">
        <f t="shared" si="70"/>
        <v>4019/4020</v>
      </c>
      <c r="L228" s="21" t="str">
        <f>VLOOKUP(A228,'Trips&amp;Operators'!$C$1:$G$99999,5,FALSE)</f>
        <v>COMELLA JUSTIN</v>
      </c>
      <c r="M228" s="6">
        <f t="shared" si="71"/>
        <v>3.3622685186855961E-2</v>
      </c>
      <c r="N228" s="7">
        <f t="shared" si="86"/>
        <v>48.416666669072583</v>
      </c>
      <c r="O228" s="7"/>
      <c r="P228" s="7"/>
      <c r="Q228" s="22"/>
      <c r="R228" s="22"/>
      <c r="S228" s="31">
        <f t="shared" si="87"/>
        <v>1</v>
      </c>
      <c r="T228" s="46" t="str">
        <f t="shared" si="72"/>
        <v>NorthBound</v>
      </c>
      <c r="U228" s="18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87" t="str">
        <f t="shared" si="73"/>
        <v>https://d0f6bd738d7f1b3e5a7ca70fe4ff75f0.us-east-1.aws.found.io/app/kibana#/discover/Steve-Slow-Train-Analysis-(2080s-and-2083s)?_g=(refreshInterval:(display:Off,pause:!f,section:0,value:0),time:(from:'2017-02-17T01:00:26-0700',mode:absolute,to:'2017-02-17T04:18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8" s="188" t="str">
        <f t="shared" si="74"/>
        <v>N</v>
      </c>
      <c r="X228" s="188">
        <f t="shared" si="85"/>
        <v>3111</v>
      </c>
      <c r="Y228" s="62">
        <f t="shared" si="80"/>
        <v>0.1167</v>
      </c>
      <c r="Z228" s="62">
        <f t="shared" si="81"/>
        <v>5.8787000000000003</v>
      </c>
      <c r="AA228" s="62">
        <f t="shared" si="75"/>
        <v>5.7620000000000005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6"/>
        <v>4019-17</v>
      </c>
      <c r="AE228" s="85" t="str">
        <f t="shared" si="77"/>
        <v>aws s3 cp s3://rtdc.mdm.uploadarchive.raw/RTDC4020/ "%USERPROFILE%\AppData\Local\Temp\OnboardLogs"\RTDC4020\2017-02-17 --exclude "*" --recursive --include "*20170217*" &amp; "%USERPROFILE%\Documents\GitHub\mrs-test-scripts\Headless Mode &amp; Sideloading\WalkAndUnGZ.bat" "%USERPROFILE%\AppData\Local\Temp\OnboardLogs"\RTDC4020\2017-02-17 &amp; aws s3 cp s3://rtdc.mdm.uploadarchive.raw/RTDC4020/ "%USERPROFILE%\AppData\Local\Temp\OnboardLogs"\RTDC4020\2017-02-18 --exclude "*" --recursive --include "*20170218*" &amp; "%USERPROFILE%\Documents\GitHub\mrs-test-scripts\Headless Mode &amp; Sideloading\WalkAndUnGZ.bat" "%USERPROFILE%\AppData\Local\Temp\OnboardLogs"\RTDC4020\2017-02-18</v>
      </c>
      <c r="AF228" s="82" t="str">
        <f t="shared" si="78"/>
        <v>"C:\Program Files (x86)\AstroGrep\AstroGrep.exe" /spath="%USERPROFILE%\AppData\Local\Temp\OnboardLogs" /stypes="app*4020*20170217*" /stext=" 10:.+((SYSTEM_STATE.+slice.+state.+changed )|(ment ac)|(multiple cpu faults)|(system.+state.+changed )|(\[timeout)|(PRM\|1\|D)|(kpr)|(kdp)|(\|lc)|(penalty))" /e /r /s</v>
      </c>
      <c r="AG228" s="1" t="str">
        <f t="shared" si="79"/>
        <v>Other</v>
      </c>
      <c r="AH228" s="86" t="str">
        <f t="shared" si="82"/>
        <v>"%USERPROFILE%\Documents\GitHub\eaglep3\Utilities\RefineRTDCRunTimes.py" --tripid 4019-17 --locoid 4020 --swversion DE.1.0.8.0 --startMP 204:1167 --initTime 2017-02-17T02:00:26 --startdatetime 2017-02-17T02:30:24 --delay 1 --endMP 204:58787 --enddatetime 2017-02-17T03:18:49 --enforcementcount 0 &gt;&gt;C:\Users\stu\Documents\GitHub\eaglep3-reporting\EC\2017-02-17-refined-times.txt</v>
      </c>
      <c r="AI228" s="108" t="str">
        <f t="shared" si="83"/>
        <v>echo {"issue":{"subject":"","project_id":79,"tracker_id":40,"status_id":1,"priority_id":2,"assigned_to_id":23,"start_date":"2017-02-17","description":"","custom_fields":[{"id":1,"name":"Subdivision","value":"Other"},{"id":4,"name":"Milepost","value":"5.8787"},{"id":17,"name":"Train ID","value":"4019-17"},{"id":16,"name":"Locomotive ID","value":"4020"},{"id":130,"name":"Impact","value":""},{"id":150,"name":"Time of Event (Mountain Time)","value":"03:18:49"},{"id":151,"name":"Denver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84"/>
        <v>start /low /b %USERPROFILE%\Documents\GitHub\eaglep3\Utilities\DownloadLogsFromS3.py --loco 4020 --day 2017-02-17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"%USERPROFILE%\AppData\Local\Temp\OnboardLogs"\RTDC4020\*4020*20170217* | grep -SE "(Enforcement Action)|(\[TIMEOUT)|(CHR.+\|PRM\|1\|D.+(SWITCH|SIGNAL).+UNKNOWN)" - &gt;&gt; 2017-02-17-UncaughtWiMAX.txt</v>
      </c>
    </row>
    <row r="229" spans="1:40" x14ac:dyDescent="0.25">
      <c r="A229" s="33" t="s">
        <v>617</v>
      </c>
      <c r="B229" s="7">
        <v>4031</v>
      </c>
      <c r="C229" s="21" t="s">
        <v>682</v>
      </c>
      <c r="D229" s="21" t="s">
        <v>773</v>
      </c>
      <c r="E229" s="13">
        <v>42783.735856481479</v>
      </c>
      <c r="F229" s="13">
        <v>25568.708333333332</v>
      </c>
      <c r="G229" s="7">
        <v>1</v>
      </c>
      <c r="H229" s="21" t="s">
        <v>767</v>
      </c>
      <c r="I229" s="13">
        <v>25568.708333333332</v>
      </c>
      <c r="J229" s="7">
        <v>0</v>
      </c>
      <c r="K229" s="98" t="str">
        <f t="shared" si="70"/>
        <v>4031/4032</v>
      </c>
      <c r="L229" s="21" t="str">
        <f>VLOOKUP(A229,'Trips&amp;Operators'!$C$1:$G$99999,5,FALSE)</f>
        <v>DELGADO DIANAH</v>
      </c>
      <c r="M229" s="6">
        <f t="shared" si="71"/>
        <v>0</v>
      </c>
      <c r="N229" s="7">
        <f t="shared" si="86"/>
        <v>0</v>
      </c>
      <c r="O229" s="7"/>
      <c r="P229" s="7"/>
      <c r="Q229" s="22"/>
      <c r="R229" s="22"/>
      <c r="S229" s="31">
        <f t="shared" si="87"/>
        <v>0</v>
      </c>
      <c r="T229" s="46" t="e">
        <f t="shared" si="72"/>
        <v>#VALUE!</v>
      </c>
      <c r="U229" s="18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7" t="str">
        <f t="shared" si="73"/>
        <v>https://d0f6bd738d7f1b3e5a7ca70fe4ff75f0.us-east-1.aws.found.io/app/kibana#/discover/Steve-Slow-Train-Analysis-(2080s-and-2083s)?_g=(refreshInterval:(display:Off,pause:!f,section:0,value:0),time:(from:'2017-02-17T16:39:38-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9" s="188" t="str">
        <f t="shared" si="74"/>
        <v>Y</v>
      </c>
      <c r="X229" s="188" t="e">
        <f t="shared" si="85"/>
        <v>#VALUE!</v>
      </c>
      <c r="Y229" s="62">
        <f t="shared" si="80"/>
        <v>0.15110000000000001</v>
      </c>
      <c r="Z229" s="62">
        <f t="shared" si="81"/>
        <v>2.3311999999999999</v>
      </c>
      <c r="AA229" s="62">
        <f t="shared" si="75"/>
        <v>2.1800999999999999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76"/>
        <v>51-17</v>
      </c>
      <c r="AE229" s="85" t="str">
        <f t="shared" si="77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29" s="82" t="str">
        <f t="shared" si="78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29" s="1" t="str">
        <f t="shared" si="79"/>
        <v>Other</v>
      </c>
      <c r="AH229" s="86" t="str">
        <f t="shared" si="82"/>
        <v>"%USERPROFILE%\Documents\GitHub\eaglep3\Utilities\RefineRTDCRunTimes.py" --tripid 51-17 --locoid 4031 --swversion DE.1.0.9.0 --startMP 204:1511 --initTime 2017-02-17T17:39:38 --startdatetime 1969-12-31T17:00:00 --delay 1 --endMP 300:23312 --enddatetime 1969-12-31T17:00:00 --enforcementcount 0 &gt;&gt;C:\Users\stu\Documents\GitHub\eaglep3-reporting\EC\2017-02-17-refined-times.txt</v>
      </c>
      <c r="AI229" s="108" t="str">
        <f t="shared" si="83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ID","value":"51-17"},{"id":16,"name":"Locomotive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84"/>
        <v>start /low /b %USERPROFILE%\Documents\GitHub\eaglep3\Utilities\DownloadLogsFromS3.py --loco 4031 --day 1969-12-31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"%USERPROFILE%\AppData\Local\Temp\OnboardLogs"\RTDC4031\*4031*19700101* | grep -SE "(Enforcement Action)|(\[TIMEOUT)|(CHR.+\|PRM\|1\|D.+(SWITCH|SIGNAL).+UNKNOWN)" - &gt;&gt; 2017-02-17-UncaughtWiMAX.txt</v>
      </c>
    </row>
    <row r="230" spans="1:40" x14ac:dyDescent="0.25">
      <c r="A230" s="33" t="s">
        <v>679</v>
      </c>
      <c r="B230" s="7">
        <v>4009</v>
      </c>
      <c r="C230" s="21" t="s">
        <v>682</v>
      </c>
      <c r="D230" s="21" t="s">
        <v>774</v>
      </c>
      <c r="E230" s="13">
        <v>42784.080451388887</v>
      </c>
      <c r="F230" s="13">
        <v>42784.085509259261</v>
      </c>
      <c r="G230" s="7">
        <v>2</v>
      </c>
      <c r="H230" s="21" t="s">
        <v>775</v>
      </c>
      <c r="I230" s="13">
        <v>42784.106249999997</v>
      </c>
      <c r="J230" s="7">
        <v>0</v>
      </c>
      <c r="K230" s="98" t="str">
        <f t="shared" si="70"/>
        <v>4009/4010</v>
      </c>
      <c r="L230" s="21" t="str">
        <f>VLOOKUP(A230,'Trips&amp;Operators'!$C$1:$G$99999,5,FALSE)</f>
        <v>SAFIEF AEIMEN</v>
      </c>
      <c r="M230" s="6">
        <f t="shared" si="71"/>
        <v>2.0740740736073349E-2</v>
      </c>
      <c r="N230" s="7">
        <f t="shared" si="86"/>
        <v>29.866666659945622</v>
      </c>
      <c r="O230" s="7"/>
      <c r="P230" s="7"/>
      <c r="Q230" s="22"/>
      <c r="R230" s="22"/>
      <c r="S230" s="31">
        <f t="shared" si="87"/>
        <v>0</v>
      </c>
      <c r="T230" s="46" t="e">
        <f t="shared" si="72"/>
        <v>#VALUE!</v>
      </c>
      <c r="U230" s="18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7" t="str">
        <f t="shared" si="73"/>
        <v>https://d0f6bd738d7f1b3e5a7ca70fe4ff75f0.us-east-1.aws.found.io/app/kibana#/discover/Steve-Slow-Train-Analysis-(2080s-and-2083s)?_g=(refreshInterval:(display:Off,pause:!f,section:0,value:0),time:(from:'2017-02-18T00:55:51-0700',mode:absolute,to:'2017-02-18T03:33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0" s="188" t="str">
        <f t="shared" si="74"/>
        <v>N</v>
      </c>
      <c r="X230" s="188" t="e">
        <f t="shared" si="85"/>
        <v>#VALUE!</v>
      </c>
      <c r="Y230" s="62">
        <f t="shared" si="80"/>
        <v>0.12529999999999999</v>
      </c>
      <c r="Z230" s="62">
        <f t="shared" si="81"/>
        <v>14.968299999999999</v>
      </c>
      <c r="AA230" s="62">
        <f t="shared" si="75"/>
        <v>14.843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76"/>
        <v>73-17</v>
      </c>
      <c r="AE230" s="85" t="str">
        <f t="shared" si="77"/>
        <v>aws s3 cp s3://rtdc.mdm.uploadarchive.raw/RTDC4009/ "%USERPROFILE%\AppData\Local\Temp\OnboardLogs"\RTDC4009\2017-02-18 --exclude "*" --recursive --include "*20170218*" &amp; "%USERPROFILE%\Documents\GitHub\mrs-test-scripts\Headless Mode &amp; Sideloading\WalkAndUnGZ.bat" "%USERPROFILE%\AppData\Local\Temp\OnboardLogs"\RTDC4009\2017-02-18 &amp; aws s3 cp s3://rtdc.mdm.uploadarchive.raw/RTDC4009/ "%USERPROFILE%\AppData\Local\Temp\OnboardLogs"\RTDC4009\2017-02-19 --exclude "*" --recursive --include "*20170219*" &amp; "%USERPROFILE%\Documents\GitHub\mrs-test-scripts\Headless Mode &amp; Sideloading\WalkAndUnGZ.bat" "%USERPROFILE%\AppData\Local\Temp\OnboardLogs"\RTDC4009\2017-02-19</v>
      </c>
      <c r="AF230" s="82" t="str">
        <f t="shared" si="78"/>
        <v>"C:\Program Files (x86)\AstroGrep\AstroGrep.exe" /spath="%USERPROFILE%\AppData\Local\Temp\OnboardLogs" /stypes="app*4009*20170218*" /stext=" 09:.+((SYSTEM_STATE.+slice.+state.+changed )|(ment ac)|(multiple cpu faults)|(system.+state.+changed )|(\[timeout)|(PRM\|1\|D)|(kpr)|(kdp)|(\|lc)|(penalty))" /e /r /s</v>
      </c>
      <c r="AG230" s="1" t="str">
        <f t="shared" si="79"/>
        <v>Other</v>
      </c>
      <c r="AH230" s="86" t="str">
        <f t="shared" si="82"/>
        <v>"%USERPROFILE%\Documents\GitHub\eaglep3\Utilities\RefineRTDCRunTimes.py" --tripid 73-17 --locoid 4009 --swversion DE.1.0.9.0 --startMP 204:1253 --initTime 2017-02-18T01:55:51 --startdatetime 2017-02-18T02:03:08 --delay 2 --endMP 204:149683 --enddatetime 2017-02-18T02:33:00 --enforcementcount 0 &gt;&gt;C:\Users\stu\Documents\GitHub\eaglep3-reporting\EC\2017-02-17-refined-times.txt</v>
      </c>
      <c r="AI230" s="108" t="str">
        <f t="shared" si="83"/>
        <v>echo {"issue":{"subject":"","project_id":79,"tracker_id":40,"status_id":1,"priority_id":2,"assigned_to_id":23,"start_date":"2017-02-18","description":"","custom_fields":[{"id":1,"name":"Subdivision","value":"Other"},{"id":4,"name":"Milepost","value":"14.9683"},{"id":17,"name":"Train ID","value":"73-17"},{"id":16,"name":"Locomotive ID","value":"4009"},{"id":130,"name":"Impact","value":""},{"id":150,"name":"Time of Event (Mountain Time)","value":"02:33:00"},{"id":151,"name":"Denver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84"/>
        <v>start /low /b %USERPROFILE%\Documents\GitHub\eaglep3\Utilities\DownloadLogsFromS3.py --loco 4009 --day 2017-02-18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"%USERPROFILE%\AppData\Local\Temp\OnboardLogs"\RTDC4009\*4009*20170218* | grep -SE "(Enforcement Action)|(\[TIMEOUT)|(CHR.+\|PRM\|1\|D.+(SWITCH|SIGNAL).+UNKNOWN)" - &gt;&gt; 2017-02-17-UncaughtWiMAX.txt</v>
      </c>
    </row>
    <row r="231" spans="1:40" x14ac:dyDescent="0.25">
      <c r="A231" s="33" t="s">
        <v>666</v>
      </c>
      <c r="B231" s="7">
        <v>4010</v>
      </c>
      <c r="C231" s="21" t="s">
        <v>682</v>
      </c>
      <c r="D231" s="21" t="s">
        <v>776</v>
      </c>
      <c r="E231" s="13">
        <v>42783.976909722223</v>
      </c>
      <c r="F231" s="13">
        <v>42783.982719907406</v>
      </c>
      <c r="G231" s="7">
        <v>2</v>
      </c>
      <c r="H231" s="21" t="s">
        <v>777</v>
      </c>
      <c r="I231" s="13">
        <v>42783.994363425925</v>
      </c>
      <c r="J231" s="7">
        <v>0</v>
      </c>
      <c r="K231" s="98" t="str">
        <f t="shared" si="70"/>
        <v>4009/4010</v>
      </c>
      <c r="L231" s="21" t="str">
        <f>VLOOKUP(A231,'Trips&amp;Operators'!$C$1:$G$99999,5,FALSE)</f>
        <v>SAFIEF AEIMEN</v>
      </c>
      <c r="M231" s="6">
        <f t="shared" si="71"/>
        <v>1.1643518519122154E-2</v>
      </c>
      <c r="N231" s="7">
        <f t="shared" si="86"/>
        <v>16.766666667535901</v>
      </c>
      <c r="O231" s="7"/>
      <c r="P231" s="7"/>
      <c r="Q231" s="22"/>
      <c r="R231" s="22"/>
      <c r="S231" s="31">
        <f t="shared" si="87"/>
        <v>0</v>
      </c>
      <c r="T231" s="46" t="e">
        <f t="shared" si="72"/>
        <v>#VALUE!</v>
      </c>
      <c r="U231" s="18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7" t="str">
        <f t="shared" si="73"/>
        <v>https://d0f6bd738d7f1b3e5a7ca70fe4ff75f0.us-east-1.aws.found.io/app/kibana#/discover/Steve-Slow-Train-Analysis-(2080s-and-2083s)?_g=(refreshInterval:(display:Off,pause:!f,section:0,value:0),time:(from:'2017-02-17T22:26:45-0700',mode:absolute,to:'2017-02-18T00:51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1" s="188" t="str">
        <f t="shared" si="74"/>
        <v>Y</v>
      </c>
      <c r="X231" s="188" t="e">
        <f t="shared" si="85"/>
        <v>#VALUE!</v>
      </c>
      <c r="Y231" s="62">
        <f t="shared" si="80"/>
        <v>2.3079000000000001</v>
      </c>
      <c r="Z231" s="62">
        <f t="shared" si="81"/>
        <v>9.3700000000000006E-2</v>
      </c>
      <c r="AA231" s="62">
        <f t="shared" si="75"/>
        <v>2.2141999999999999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76"/>
        <v>74-17</v>
      </c>
      <c r="AE231" s="85" t="str">
        <f t="shared" si="77"/>
        <v>aws s3 cp s3://rtdc.mdm.uploadarchive.raw/RTDC4010/ "%USERPROFILE%\AppData\Local\Temp\OnboardLogs"\RTDC4010\2017-02-17 --exclude "*" --recursive --include "*20170217*" &amp; "%USERPROFILE%\Documents\GitHub\mrs-test-scripts\Headless Mode &amp; Sideloading\WalkAndUnGZ.bat" "%USERPROFILE%\AppData\Local\Temp\OnboardLogs"\RTDC4010\2017-02-17 &amp; aws s3 cp s3://rtdc.mdm.uploadarchive.raw/RTDC4010/ "%USERPROFILE%\AppData\Local\Temp\OnboardLogs"\RTDC4010\2017-02-18 --exclude "*" --recursive --include "*20170218*" &amp; "%USERPROFILE%\Documents\GitHub\mrs-test-scripts\Headless Mode &amp; Sideloading\WalkAndUnGZ.bat" "%USERPROFILE%\AppData\Local\Temp\OnboardLogs"\RTDC4010\2017-02-18</v>
      </c>
      <c r="AF231" s="82" t="str">
        <f t="shared" si="78"/>
        <v>"C:\Program Files (x86)\AstroGrep\AstroGrep.exe" /spath="%USERPROFILE%\AppData\Local\Temp\OnboardLogs" /stypes="app*4010*20170218*" /stext=" 06:.+((SYSTEM_STATE.+slice.+state.+changed )|(ment ac)|(multiple cpu faults)|(system.+state.+changed )|(\[timeout)|(PRM\|1\|D)|(kpr)|(kdp)|(\|lc)|(penalty))" /e /r /s</v>
      </c>
      <c r="AG231" s="1" t="str">
        <f t="shared" si="79"/>
        <v>Other</v>
      </c>
      <c r="AH231" s="86" t="str">
        <f t="shared" si="82"/>
        <v>"%USERPROFILE%\Documents\GitHub\eaglep3\Utilities\RefineRTDCRunTimes.py" --tripid 74-17 --locoid 4010 --swversion DE.1.0.9.0 --startMP 300:23079 --initTime 2017-02-17T23:26:45 --startdatetime 2017-02-17T23:35:07 --delay 2 --endMP 204:937 --enddatetime 2017-02-17T23:51:53 --enforcementcount 0 &gt;&gt;C:\Users\stu\Documents\GitHub\eaglep3-reporting\EC\2017-02-17-refined-times.txt</v>
      </c>
      <c r="AI231" s="108" t="str">
        <f t="shared" si="83"/>
        <v>echo {"issue":{"subject":"","project_id":79,"tracker_id":40,"status_id":1,"priority_id":2,"assigned_to_id":23,"start_date":"2017-02-17","description":"","custom_fields":[{"id":1,"name":"Subdivision","value":"Other"},{"id":4,"name":"Milepost","value":"0.0937"},{"id":17,"name":"Train ID","value":"74-17"},{"id":16,"name":"Locomotive ID","value":"4010"},{"id":130,"name":"Impact","value":""},{"id":150,"name":"Time of Event (Mountain Time)","value":"23:51:53"},{"id":151,"name":"Denver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84"/>
        <v>start /low /b %USERPROFILE%\Documents\GitHub\eaglep3\Utilities\DownloadLogsFromS3.py --loco 4010 --day 2017-02-17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"%USERPROFILE%\AppData\Local\Temp\OnboardLogs"\RTDC4010\*4010*20170218* | grep -SE "(Enforcement Action)|(\[TIMEOUT)|(CHR.+\|PRM\|1\|D.+(SWITCH|SIGNAL).+UNKNOWN)" - &gt;&gt; 2017-02-17-UncaughtWiMAX.txt</v>
      </c>
    </row>
    <row r="232" spans="1:40" x14ac:dyDescent="0.25">
      <c r="A232" s="33" t="s">
        <v>461</v>
      </c>
      <c r="B232" s="7">
        <v>4029</v>
      </c>
      <c r="C232" s="21" t="s">
        <v>682</v>
      </c>
      <c r="D232" s="21" t="s">
        <v>778</v>
      </c>
      <c r="E232" s="13">
        <v>42783.755173611113</v>
      </c>
      <c r="F232" s="13">
        <v>42783.771226851852</v>
      </c>
      <c r="G232" s="7">
        <v>2</v>
      </c>
      <c r="H232" s="21" t="s">
        <v>779</v>
      </c>
      <c r="I232" s="13">
        <v>42783.77134259259</v>
      </c>
      <c r="J232" s="7">
        <v>0</v>
      </c>
      <c r="K232" s="98" t="str">
        <f t="shared" si="70"/>
        <v>4029/4030</v>
      </c>
      <c r="L232" s="21" t="str">
        <f>VLOOKUP(A232,'Trips&amp;Operators'!$C$1:$G$99999,5,FALSE)</f>
        <v>ROMERO CHAD</v>
      </c>
      <c r="M232" s="6">
        <f t="shared" si="71"/>
        <v>1.1574073869269341E-4</v>
      </c>
      <c r="N232" s="7">
        <f t="shared" si="86"/>
        <v>0.16666666371747851</v>
      </c>
      <c r="O232" s="7"/>
      <c r="P232" s="7"/>
      <c r="Q232" s="22"/>
      <c r="R232" s="22"/>
      <c r="S232" s="31">
        <f t="shared" si="87"/>
        <v>0</v>
      </c>
      <c r="T232" s="46" t="e">
        <f t="shared" si="72"/>
        <v>#VALUE!</v>
      </c>
      <c r="U232" s="18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7" t="str">
        <f t="shared" si="73"/>
        <v>https://d0f6bd738d7f1b3e5a7ca70fe4ff75f0.us-east-1.aws.found.io/app/kibana#/discover/Steve-Slow-Train-Analysis-(2080s-and-2083s)?_g=(refreshInterval:(display:Off,pause:!f,section:0,value:0),time:(from:'2017-02-17T17:07:27-0700',mode:absolute,to:'2017-02-17T19:30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2" s="188" t="str">
        <f t="shared" si="74"/>
        <v>Y</v>
      </c>
      <c r="X232" s="188" t="e">
        <f t="shared" si="85"/>
        <v>#VALUE!</v>
      </c>
      <c r="Y232" s="62">
        <f t="shared" si="80"/>
        <v>0.14610000000000001</v>
      </c>
      <c r="Z232" s="62">
        <f t="shared" si="81"/>
        <v>0.18479999999999999</v>
      </c>
      <c r="AA232" s="62">
        <f t="shared" si="75"/>
        <v>3.8699999999999984E-2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76"/>
        <v>77-17</v>
      </c>
      <c r="AE232" s="85" t="str">
        <f t="shared" si="77"/>
        <v>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 &amp; 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</v>
      </c>
      <c r="AF232" s="82" t="str">
        <f t="shared" si="78"/>
        <v>"C:\Program Files (x86)\AstroGrep\AstroGrep.exe" /spath="%USERPROFILE%\AppData\Local\Temp\OnboardLogs" /stypes="app*4029*20170218*" /stext=" 01:.+((SYSTEM_STATE.+slice.+state.+changed )|(ment ac)|(multiple cpu faults)|(system.+state.+changed )|(\[timeout)|(PRM\|1\|D)|(kpr)|(kdp)|(\|lc)|(penalty))" /e /r /s</v>
      </c>
      <c r="AG232" s="1" t="str">
        <f t="shared" si="79"/>
        <v>Other</v>
      </c>
      <c r="AH232" s="86" t="str">
        <f t="shared" si="82"/>
        <v>"%USERPROFILE%\Documents\GitHub\eaglep3\Utilities\RefineRTDCRunTimes.py" --tripid 77-17 --locoid 4029 --swversion DE.1.0.9.0 --startMP 204:1461 --initTime 2017-02-17T18:07:27 --startdatetime 2017-02-17T18:30:34 --delay 2 --endMP 204:1848 --enddatetime 2017-02-17T18:30:44 --enforcementcount 0 &gt;&gt;C:\Users\stu\Documents\GitHub\eaglep3-reporting\EC\2017-02-17-refined-times.txt</v>
      </c>
      <c r="AI232" s="108" t="str">
        <f t="shared" si="83"/>
        <v>echo {"issue":{"subject":"","project_id":79,"tracker_id":40,"status_id":1,"priority_id":2,"assigned_to_id":23,"start_date":"2017-02-17","description":"","custom_fields":[{"id":1,"name":"Subdivision","value":"Other"},{"id":4,"name":"Milepost","value":"0.1848"},{"id":17,"name":"Train ID","value":"77-17"},{"id":16,"name":"Locomotive ID","value":"4029"},{"id":130,"name":"Impact","value":""},{"id":150,"name":"Time of Event (Mountain Time)","value":"18:30:44"},{"id":151,"name":"Denver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84"/>
        <v>start /low /b %USERPROFILE%\Documents\GitHub\eaglep3\Utilities\DownloadLogsFromS3.py --loco 4029 --day 2017-02-17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"%USERPROFILE%\AppData\Local\Temp\OnboardLogs"\RTDC4029\*4029*20170218* | grep -SE "(Enforcement Action)|(\[TIMEOUT)|(CHR.+\|PRM\|1\|D.+(SWITCH|SIGNAL).+UNKNOWN)" - &gt;&gt; 2017-02-17-UncaughtWiMAX.txt</v>
      </c>
    </row>
    <row r="233" spans="1:40" x14ac:dyDescent="0.25">
      <c r="A233" s="33" t="s">
        <v>626</v>
      </c>
      <c r="B233" s="7">
        <v>4012</v>
      </c>
      <c r="C233" s="21" t="s">
        <v>193</v>
      </c>
      <c r="D233" s="21" t="s">
        <v>780</v>
      </c>
      <c r="E233" s="13">
        <v>42783.75141203704</v>
      </c>
      <c r="F233" s="13">
        <v>42783.765393518515</v>
      </c>
      <c r="G233" s="7">
        <v>19</v>
      </c>
      <c r="H233" s="21" t="s">
        <v>781</v>
      </c>
      <c r="I233" s="13">
        <v>42783.770856481482</v>
      </c>
      <c r="J233" s="7">
        <v>0</v>
      </c>
      <c r="K233" s="98" t="str">
        <f t="shared" si="70"/>
        <v>4011/4012</v>
      </c>
      <c r="L233" s="21" t="str">
        <f>VLOOKUP(A233,'Trips&amp;Operators'!$C$1:$G$99999,5,FALSE)</f>
        <v>DUNCAN SHEILA</v>
      </c>
      <c r="M233" s="6">
        <f t="shared" si="71"/>
        <v>5.4629629667033441E-3</v>
      </c>
      <c r="N233" s="7">
        <f t="shared" si="86"/>
        <v>7.8666666720528156</v>
      </c>
      <c r="O233" s="7"/>
      <c r="P233" s="7"/>
      <c r="Q233" s="22"/>
      <c r="R233" s="22"/>
      <c r="S233" s="31">
        <f t="shared" si="87"/>
        <v>0</v>
      </c>
      <c r="T233" s="46" t="e">
        <f t="shared" si="72"/>
        <v>#VALUE!</v>
      </c>
      <c r="U233" s="18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7" t="str">
        <f t="shared" si="73"/>
        <v>https://d0f6bd738d7f1b3e5a7ca70fe4ff75f0.us-east-1.aws.found.io/app/kibana#/discover/Steve-Slow-Train-Analysis-(2080s-and-2083s)?_g=(refreshInterval:(display:Off,pause:!f,section:0,value:0),time:(from:'2017-02-17T17:02:02-0700',mode:absolute,to:'2017-02-17T19:30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3" s="188" t="str">
        <f t="shared" si="74"/>
        <v>Y</v>
      </c>
      <c r="X233" s="188" t="e">
        <f t="shared" si="85"/>
        <v>#VALUE!</v>
      </c>
      <c r="Y233" s="62">
        <f t="shared" si="80"/>
        <v>2.1732999999999998</v>
      </c>
      <c r="Z233" s="62">
        <f t="shared" si="81"/>
        <v>0.13220000000000001</v>
      </c>
      <c r="AA233" s="62">
        <f t="shared" si="75"/>
        <v>2.0410999999999997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76"/>
        <v>78-17</v>
      </c>
      <c r="AE233" s="85" t="str">
        <f t="shared" si="77"/>
        <v>aws s3 cp s3://rtdc.mdm.uploadarchive.raw/RTDC4012/ "%USERPROFILE%\AppData\Local\Temp\OnboardLogs"\RTDC4012\2017-02-17 --exclude "*" --recursive --include "*20170217*" &amp; "%USERPROFILE%\Documents\GitHub\mrs-test-scripts\Headless Mode &amp; Sideloading\WalkAndUnGZ.bat" "%USERPROFILE%\AppData\Local\Temp\OnboardLogs"\RTDC4012\2017-02-17 &amp; aws s3 cp s3://rtdc.mdm.uploadarchive.raw/RTDC4012/ "%USERPROFILE%\AppData\Local\Temp\OnboardLogs"\RTDC4012\2017-02-18 --exclude "*" --recursive --include "*20170218*" &amp; "%USERPROFILE%\Documents\GitHub\mrs-test-scripts\Headless Mode &amp; Sideloading\WalkAndUnGZ.bat" "%USERPROFILE%\AppData\Local\Temp\OnboardLogs"\RTDC4012\2017-02-18</v>
      </c>
      <c r="AF233" s="82" t="str">
        <f t="shared" si="78"/>
        <v>"C:\Program Files (x86)\AstroGrep\AstroGrep.exe" /spath="%USERPROFILE%\AppData\Local\Temp\OnboardLogs" /stypes="app*4012*20170218*" /stext=" 01:.+((SYSTEM_STATE.+slice.+state.+changed )|(ment ac)|(multiple cpu faults)|(system.+state.+changed )|(\[timeout)|(PRM\|1\|D)|(kpr)|(kdp)|(\|lc)|(penalty))" /e /r /s</v>
      </c>
      <c r="AG233" s="1" t="str">
        <f t="shared" si="79"/>
        <v>Other</v>
      </c>
      <c r="AH233" s="86" t="str">
        <f t="shared" si="82"/>
        <v>"%USERPROFILE%\Documents\GitHub\eaglep3\Utilities\RefineRTDCRunTimes.py" --tripid 78-17 --locoid 4012 --swversion DE.1.0.8.0 --startMP 300:21733 --initTime 2017-02-17T18:02:02 --startdatetime 2017-02-17T18:22:10 --delay 19 --endMP 204:1322 --enddatetime 2017-02-17T18:30:02 --enforcementcount 0 &gt;&gt;C:\Users\stu\Documents\GitHub\eaglep3-reporting\EC\2017-02-17-refined-times.txt</v>
      </c>
      <c r="AI233" s="108" t="str">
        <f t="shared" si="83"/>
        <v>echo {"issue":{"subject":"","project_id":79,"tracker_id":40,"status_id":1,"priority_id":2,"assigned_to_id":23,"start_date":"2017-02-17","description":"","custom_fields":[{"id":1,"name":"Subdivision","value":"Other"},{"id":4,"name":"Milepost","value":"0.1322"},{"id":17,"name":"Train ID","value":"78-17"},{"id":16,"name":"Locomotive ID","value":"4012"},{"id":130,"name":"Impact","value":""},{"id":150,"name":"Time of Event (Mountain Time)","value":"18:30:02"},{"id":151,"name":"Denver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84"/>
        <v>start /low /b %USERPROFILE%\Documents\GitHub\eaglep3\Utilities\DownloadLogsFromS3.py --loco 4012 --day 2017-02-17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"%USERPROFILE%\AppData\Local\Temp\OnboardLogs"\RTDC4012\*4012*20170218* | grep -SE "(Enforcement Action)|(\[TIMEOUT)|(CHR.+\|PRM\|1\|D.+(SWITCH|SIGNAL).+UNKNOWN)" - &gt;&gt; 2017-02-17-UncaughtWiMAX.txt</v>
      </c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</sheetData>
  <autoFilter ref="A12:AG233">
    <sortState ref="A13:AG232">
      <sortCondition ref="AG13:AG232"/>
      <sortCondition ref="AD13:AD232"/>
    </sortState>
  </autoFilter>
  <sortState ref="A13:AH200">
    <sortCondition ref="AG13:AG200"/>
    <sortCondition ref="AD13:AD200"/>
  </sortState>
  <mergeCells count="1">
    <mergeCell ref="A11:P11"/>
  </mergeCells>
  <conditionalFormatting sqref="W11:W12 W249:X1048576 W13:X233">
    <cfRule type="cellIs" dxfId="10" priority="356" operator="equal">
      <formula>"Y"</formula>
    </cfRule>
  </conditionalFormatting>
  <conditionalFormatting sqref="X249:X1048576 X13:X233">
    <cfRule type="cellIs" dxfId="9" priority="339" operator="greaterThan">
      <formula>1</formula>
    </cfRule>
  </conditionalFormatting>
  <conditionalFormatting sqref="X249:X1048576 X12:X233">
    <cfRule type="cellIs" dxfId="8" priority="336" operator="equal">
      <formula>0</formula>
    </cfRule>
  </conditionalFormatting>
  <conditionalFormatting sqref="A13:S233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5"/>
  <sheetViews>
    <sheetView topLeftCell="A2" zoomScaleNormal="100" workbookViewId="0">
      <selection activeCell="F14" sqref="F1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7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7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COUNTIF($O$7:$O$314,"=Y")</f>
        <v>4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COUNTA($O$7:$O$314)-O2</f>
        <v>31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7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- 2017-02-17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196</v>
      </c>
      <c r="AE6" s="155" t="s">
        <v>211</v>
      </c>
    </row>
    <row r="7" spans="1:32" s="1" customFormat="1" x14ac:dyDescent="0.25">
      <c r="A7" s="32">
        <v>42783.238495370373</v>
      </c>
      <c r="B7" s="30" t="s">
        <v>274</v>
      </c>
      <c r="C7" s="30" t="s">
        <v>438</v>
      </c>
      <c r="D7" s="30" t="s">
        <v>49</v>
      </c>
      <c r="E7" s="30" t="s">
        <v>198</v>
      </c>
      <c r="F7" s="43">
        <v>0</v>
      </c>
      <c r="G7" s="43">
        <v>162</v>
      </c>
      <c r="H7" s="43">
        <v>27380</v>
      </c>
      <c r="I7" s="43">
        <v>27160</v>
      </c>
      <c r="J7" s="30" t="s">
        <v>199</v>
      </c>
      <c r="K7" s="43">
        <v>27350</v>
      </c>
      <c r="L7" s="143" t="s">
        <v>51</v>
      </c>
      <c r="M7" s="144">
        <f t="shared" ref="M7:M41" si="0">CONVERT((I7-K7)/10000,"mi","ft")*IF(L7="Increasing Mileposts (1)",-1,1)</f>
        <v>-100.32</v>
      </c>
      <c r="N7" s="145" t="str">
        <f>VLOOKUP(C7,'Trips&amp;Operators'!$C$1:$G$99999,5,FALSE)</f>
        <v>ROBINSON KADDIBA</v>
      </c>
      <c r="O7" s="194" t="s">
        <v>185</v>
      </c>
      <c r="P7" s="146" t="s">
        <v>281</v>
      </c>
      <c r="Q7" s="30"/>
      <c r="R7" s="89" t="str">
        <f>VLOOKUP(C7,'Train Runs'!$A$13:$AE$9953,31,0)</f>
        <v>aws s3 cp s3://rtdc.mdm.uploadarchive.raw/RTDC4032/ "%USERPROFILE%\AppData\Local\Temp\OnboardLogs"\RTDC4032\2017-02-17 --exclude "*" --recursive --include "*20170217*" &amp; "%USERPROFILE%\Documents\GitHub\mrs-test-scripts\Headless Mode &amp; Sideloading\WalkAndUnGZ.bat" "%USERPROFILE%\AppData\Local\Temp\OnboardLogs"\RTDC4032\2017-02-17 &amp; 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</v>
      </c>
      <c r="S7" s="92" t="str">
        <f>VLOOKUP(C7,'Train Runs'!$A$13:$AE$9953,22,0)</f>
        <v>https://d0f6bd738d7f1b3e5a7ca70fe4ff75f0.us-east-1.aws.found.io/app/kibana#/discover/Steve-Slow-Train-Analysis-(2080s-and-2083s)?_g=(refreshInterval:(display:Off,pause:!f,section:0,value:0),time:(from:'2017-02-17T03:58:17-0700',mode:absolute,to:'2017-02-17T06:53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7" s="94" t="str">
        <f t="shared" ref="T7:T41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/stypes="*4032*201702171*" /stext=" 12:.+((SYSTEM_STATE.+slice.+state.+changed )|(ment ac)|(multiple cpu faults)|(system.+state.+changed )|(\[timeout)|(PRM\|1\|D)|(kpr)|(kdp)|(\|lc)|(penalty))" /e /r /s</v>
      </c>
      <c r="U7" s="9" t="str">
        <f t="shared" ref="U7:U41" si="2">MID(B7,13,4)</f>
        <v>4032</v>
      </c>
      <c r="V7" s="32">
        <f t="shared" ref="V7:V41" si="3">A7-utc_offset/24</f>
        <v>42783.530162037037</v>
      </c>
      <c r="W7" s="46" t="str">
        <f t="shared" ref="W7:W41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1" si="5">IF(AND(E7="TRACK WARRANT AUTHORITY",G7&lt;10),"OMIT","KEEP")</f>
        <v>KEEP</v>
      </c>
      <c r="Y7" s="108" t="str">
        <f t="shared" ref="Y7:Y4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arrival","project_id":79,"tracker_id":40,"status_id":1,"priority_id":2,"assigned_to_id":23,"start_date":"2017-02-17","description":"","custom_fields":[{"id":1,"name":"Subdivision","value":"EC"},{"id":4,"name":"Milepost","value":"2.735"},{"id":17,"name":"Train ID","value":"106-17"},{"id":16,"name":"Locomotive ID","value":"4032"},{"id":130,"name":"Impact","value":""},{"id":150,"name":"Time of Event (Mountain Time)","value":"05:43:26"},{"id":151,"name":"Denver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41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"%USERPROFILE%\AppData\Local\Temp\OnboardLogs"\RTDC4032\*4032*201702171*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"%USERPROFILE%\AppData\Local\Temp\OnboardLogs"\RTDC4032\*4032*201702171* &gt;&gt; 2017-02-17-SliceDisagreementCheck.txt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4032 --day 2017-02-17</v>
      </c>
    </row>
    <row r="8" spans="1:32" s="1" customFormat="1" x14ac:dyDescent="0.25">
      <c r="A8" s="32">
        <v>42783.7659375</v>
      </c>
      <c r="B8" s="30" t="s">
        <v>277</v>
      </c>
      <c r="C8" s="30" t="s">
        <v>460</v>
      </c>
      <c r="D8" s="30" t="s">
        <v>49</v>
      </c>
      <c r="E8" s="30" t="s">
        <v>198</v>
      </c>
      <c r="F8" s="43">
        <v>0</v>
      </c>
      <c r="G8" s="43">
        <v>174</v>
      </c>
      <c r="H8" s="43">
        <v>30758</v>
      </c>
      <c r="I8" s="43">
        <v>30976</v>
      </c>
      <c r="J8" s="30" t="s">
        <v>199</v>
      </c>
      <c r="K8" s="43">
        <v>30830</v>
      </c>
      <c r="L8" s="143" t="s">
        <v>50</v>
      </c>
      <c r="M8" s="144">
        <f t="shared" si="0"/>
        <v>-77.087999999999994</v>
      </c>
      <c r="N8" s="145" t="str">
        <f>VLOOKUP(C8,'Trips&amp;Operators'!$C$1:$G$99999,5,FALSE)</f>
        <v>PERKINS DARREN</v>
      </c>
      <c r="O8" s="194" t="s">
        <v>185</v>
      </c>
      <c r="P8" s="146" t="s">
        <v>281</v>
      </c>
      <c r="Q8" s="30"/>
      <c r="R8" s="89" t="str">
        <f>VLOOKUP(C8,'Train Runs'!$A$13:$AE$9953,31,0)</f>
        <v>aws s3 cp s3://rtdc.mdm.uploadarchive.raw/RTDC4020/ "%USERPROFILE%\AppData\Local\Temp\OnboardLogs"\RTDC4020\2017-02-17 --exclude "*" --recursive --include "*20170217*" &amp; "%USERPROFILE%\Documents\GitHub\mrs-test-scripts\Headless Mode &amp; Sideloading\WalkAndUnGZ.bat" "%USERPROFILE%\AppData\Local\Temp\OnboardLogs"\RTDC4020\2017-02-17 &amp; aws s3 cp s3://rtdc.mdm.uploadarchive.raw/RTDC4020/ "%USERPROFILE%\AppData\Local\Temp\OnboardLogs"\RTDC4020\2017-02-18 --exclude "*" --recursive --include "*20170218*" &amp; "%USERPROFILE%\Documents\GitHub\mrs-test-scripts\Headless Mode &amp; Sideloading\WalkAndUnGZ.bat" "%USERPROFILE%\AppData\Local\Temp\OnboardLogs"\RTDC4020\2017-02-18</v>
      </c>
      <c r="S8" s="92" t="str">
        <f>VLOOKUP(C8,'Train Runs'!$A$13:$AE$9953,22,0)</f>
        <v>https://d0f6bd738d7f1b3e5a7ca70fe4ff75f0.us-east-1.aws.found.io/app/kibana#/discover/Steve-Slow-Train-Analysis-(2080s-and-2083s)?_g=(refreshInterval:(display:Off,pause:!f,section:0,value:0),time:(from:'2017-02-17T17:04:35-0700',mode:absolute,to:'2017-02-17T19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8" s="94" t="str">
        <f t="shared" si="1"/>
        <v>"C:\Program Files (x86)\AstroGrep\AstroGrep.exe" /spath="%USERPROFILE%\AppData\Local\Temp\OnboardLogs" /stypes="*4020*201702180*" /stext=" 01:.+((SYSTEM_STATE.+slice.+state.+changed )|(ment ac)|(multiple cpu faults)|(system.+state.+changed )|(\[timeout)|(PRM\|1\|D)|(kpr)|(kdp)|(\|lc)|(penalty))" /e /r /s</v>
      </c>
      <c r="U8" s="9" t="str">
        <f t="shared" si="2"/>
        <v>4020</v>
      </c>
      <c r="V8" s="32">
        <f t="shared" si="3"/>
        <v>42784.057604166665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arrival","project_id":79,"tracker_id":40,"status_id":1,"priority_id":2,"assigned_to_id":23,"start_date":"2017-02-17","description":"","custom_fields":[{"id":1,"name":"Subdivision","value":"EC"},{"id":4,"name":"Milepost","value":"3.083"},{"id":17,"name":"Train ID","value":"217-17"},{"id":16,"name":"Locomotive ID","value":"4020"},{"id":130,"name":"Impact","value":""},{"id":150,"name":"Time of Event (Mountain Time)","value":"18:22:57"},{"id":151,"name":"Denver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"%USERPROFILE%\AppData\Local\Temp\OnboardLogs"\RTDC4020\*4020*201702180*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"%USERPROFILE%\AppData\Local\Temp\OnboardLogs"\RTDC4020\*4020*201702180* &gt;&gt; 2017-02-17-SliceDisagreementCheck.txt</v>
      </c>
      <c r="AE8" s="157" t="str">
        <f t="shared" ref="AE8:AE41" si="9">"start /low /b "&amp;dls3logs&amp;" --loco "&amp;U8&amp;" --day "&amp;TEXT(V8,"YYYY-MM-DD")</f>
        <v>start /low /b %USERPROFILE%\Documents\GitHub\eaglep3\Utilities\DownloadLogsFromS3.py --loco 4020 --day 2017-02-18</v>
      </c>
    </row>
    <row r="9" spans="1:32" s="1" customFormat="1" x14ac:dyDescent="0.25">
      <c r="A9" s="32">
        <v>42783.516261574077</v>
      </c>
      <c r="B9" s="30" t="s">
        <v>224</v>
      </c>
      <c r="C9" s="30" t="s">
        <v>451</v>
      </c>
      <c r="D9" s="30" t="s">
        <v>98</v>
      </c>
      <c r="E9" s="30" t="s">
        <v>198</v>
      </c>
      <c r="F9" s="43">
        <v>120</v>
      </c>
      <c r="G9" s="43">
        <v>177</v>
      </c>
      <c r="H9" s="43">
        <v>30960</v>
      </c>
      <c r="I9" s="43">
        <v>31338</v>
      </c>
      <c r="J9" s="30" t="s">
        <v>199</v>
      </c>
      <c r="K9" s="43">
        <v>30830</v>
      </c>
      <c r="L9" s="143" t="s">
        <v>50</v>
      </c>
      <c r="M9" s="144">
        <f t="shared" si="0"/>
        <v>-268.22399999999999</v>
      </c>
      <c r="N9" s="145" t="str">
        <f>VLOOKUP(C9,'Trips&amp;Operators'!$C$1:$G$99999,5,FALSE)</f>
        <v>KILLION DAVID</v>
      </c>
      <c r="O9" s="194" t="s">
        <v>185</v>
      </c>
      <c r="P9" s="146" t="s">
        <v>281</v>
      </c>
      <c r="Q9" s="30"/>
      <c r="R9" s="89" t="str">
        <f>VLOOKUP(C9,'Train Runs'!$A$13:$AE$9953,31,0)</f>
        <v>aws s3 cp s3://rtdc.mdm.uploadarchive.raw/RTDC4027/ "%USERPROFILE%\AppData\Local\Temp\OnboardLogs"\RTDC4027\2017-02-17 --exclude "*" --recursive --include "*20170217*" &amp; "%USERPROFILE%\Documents\GitHub\mrs-test-scripts\Headless Mode &amp; Sideloading\WalkAndUnGZ.bat" "%USERPROFILE%\AppData\Local\Temp\OnboardLogs"\RTDC4027\2017-02-17 &amp; aws s3 cp s3://rtdc.mdm.uploadarchive.raw/RTDC4027/ "%USERPROFILE%\AppData\Local\Temp\OnboardLogs"\RTDC4027\2017-02-18 --exclude "*" --recursive --include "*20170218*" &amp; "%USERPROFILE%\Documents\GitHub\mrs-test-scripts\Headless Mode &amp; Sideloading\WalkAndUnGZ.bat" "%USERPROFILE%\AppData\Local\Temp\OnboardLogs"\RTDC4027\2017-02-18</v>
      </c>
      <c r="S9" s="92" t="str">
        <f>VLOOKUP(C9,'Train Runs'!$A$13:$AE$9953,22,0)</f>
        <v>https://d0f6bd738d7f1b3e5a7ca70fe4ff75f0.us-east-1.aws.found.io/app/kibana#/discover/Steve-Slow-Train-Analysis-(2080s-and-2083s)?_g=(refreshInterval:(display:Off,pause:!f,section:0,value:0),time:(from:'2017-02-17T11:06:39-0700',mode:absolute,to:'2017-02-17T13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9" s="94" t="str">
        <f t="shared" si="1"/>
        <v>"C:\Program Files (x86)\AstroGrep\AstroGrep.exe" /spath="%USERPROFILE%\AppData\Local\Temp\OnboardLogs" /stypes="*4027*201702171*" /stext=" 19:.+((SYSTEM_STATE.+slice.+state.+changed )|(ment ac)|(multiple cpu faults)|(system.+state.+changed )|(\[timeout)|(PRM\|1\|D)|(kpr)|(kdp)|(\|lc)|(penalty))" /e /r /s</v>
      </c>
      <c r="U9" s="9" t="str">
        <f t="shared" si="2"/>
        <v>4027</v>
      </c>
      <c r="V9" s="32">
        <f t="shared" si="3"/>
        <v>42783.807928240742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arrival","project_id":79,"tracker_id":40,"status_id":1,"priority_id":2,"assigned_to_id":23,"start_date":"2017-02-17","description":"","custom_fields":[{"id":1,"name":"Subdivision","value":"EC"},{"id":4,"name":"Milepost","value":"3.083"},{"id":17,"name":"Train ID","value":"169-17"},{"id":16,"name":"Locomotive ID","value":"4027"},{"id":130,"name":"Impact","value":""},{"id":150,"name":"Time of Event (Mountain Time)","value":"12:23:25"},{"id":151,"name":"Denver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"%USERPROFILE%\AppData\Local\Temp\OnboardLogs"\RTDC4027\*4027*201702171*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"%USERPROFILE%\AppData\Local\Temp\OnboardLogs"\RTDC4027\*4027*201702171* &gt;&gt; 2017-02-17-SliceDisagreementCheck.txt</v>
      </c>
      <c r="AE9" s="157" t="str">
        <f t="shared" si="9"/>
        <v>start /low /b %USERPROFILE%\Documents\GitHub\eaglep3\Utilities\DownloadLogsFromS3.py --loco 4027 --day 2017-02-17</v>
      </c>
    </row>
    <row r="10" spans="1:32" s="1" customFormat="1" x14ac:dyDescent="0.25">
      <c r="A10" s="32">
        <v>42783.360439814816</v>
      </c>
      <c r="B10" s="30" t="s">
        <v>278</v>
      </c>
      <c r="C10" s="30" t="s">
        <v>448</v>
      </c>
      <c r="D10" s="30" t="s">
        <v>98</v>
      </c>
      <c r="E10" s="30" t="s">
        <v>198</v>
      </c>
      <c r="F10" s="43">
        <v>210</v>
      </c>
      <c r="G10" s="43">
        <v>263</v>
      </c>
      <c r="H10" s="43">
        <v>31005</v>
      </c>
      <c r="I10" s="43">
        <v>31631</v>
      </c>
      <c r="J10" s="30" t="s">
        <v>199</v>
      </c>
      <c r="K10" s="43">
        <v>30830</v>
      </c>
      <c r="L10" s="143" t="s">
        <v>50</v>
      </c>
      <c r="M10" s="144">
        <f t="shared" si="0"/>
        <v>-422.928</v>
      </c>
      <c r="N10" s="145" t="str">
        <f>VLOOKUP(C10,'Trips&amp;Operators'!$C$1:$G$99999,5,FALSE)</f>
        <v>STRICKLAND EVAN</v>
      </c>
      <c r="O10" s="194" t="s">
        <v>185</v>
      </c>
      <c r="P10" s="146" t="s">
        <v>281</v>
      </c>
      <c r="Q10" s="30"/>
      <c r="R10" s="89" t="str">
        <f>VLOOKUP(C10,'Train Runs'!$A$13:$AE$9953,31,0)</f>
        <v>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 &amp; 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</v>
      </c>
      <c r="S10" s="92" t="str">
        <f>VLOOKUP(C10,'Train Runs'!$A$13:$AE$9953,22,0)</f>
        <v>https://d0f6bd738d7f1b3e5a7ca70fe4ff75f0.us-east-1.aws.found.io/app/kibana#/discover/Steve-Slow-Train-Analysis-(2080s-and-2083s)?_g=(refreshInterval:(display:Off,pause:!f,section:0,value:0),time:(from:'2017-02-17T07:23:50-0700',mode:absolute,to:'2017-02-17T10:10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0" s="94" t="str">
        <f t="shared" si="1"/>
        <v>"C:\Program Files (x86)\AstroGrep\AstroGrep.exe" /spath="%USERPROFILE%\AppData\Local\Temp\OnboardLogs" /stypes="*4044*201702171*" /stext=" 15:.+((SYSTEM_STATE.+slice.+state.+changed )|(ment ac)|(multiple cpu faults)|(system.+state.+changed )|(\[timeout)|(PRM\|1\|D)|(kpr)|(kdp)|(\|lc)|(penalty))" /e /r /s</v>
      </c>
      <c r="U10" s="9" t="str">
        <f t="shared" si="2"/>
        <v>4044</v>
      </c>
      <c r="V10" s="32">
        <f t="shared" si="3"/>
        <v>42783.652106481481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arrival","project_id":79,"tracker_id":40,"status_id":1,"priority_id":2,"assigned_to_id":23,"start_date":"2017-02-17","description":"","custom_fields":[{"id":1,"name":"Subdivision","value":"EC"},{"id":4,"name":"Milepost","value":"3.083"},{"id":17,"name":"Train ID","value":"139-17"},{"id":16,"name":"Locomotive ID","value":"4044"},{"id":130,"name":"Impact","value":""},{"id":150,"name":"Time of Event (Mountain Time)","value":"08:39:02"},{"id":151,"name":"Denver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"%USERPROFILE%\AppData\Local\Temp\OnboardLogs"\RTDC4044\*4044*201702171*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"%USERPROFILE%\AppData\Local\Temp\OnboardLogs"\RTDC4044\*4044*201702171* &gt;&gt; 2017-02-17-SliceDisagreementCheck.txt</v>
      </c>
      <c r="AE10" s="157" t="str">
        <f t="shared" si="9"/>
        <v>start /low /b %USERPROFILE%\Documents\GitHub\eaglep3\Utilities\DownloadLogsFromS3.py --loco 4044 --day 2017-02-17</v>
      </c>
    </row>
    <row r="11" spans="1:32" s="1" customFormat="1" x14ac:dyDescent="0.25">
      <c r="A11" s="32">
        <v>42783.307650462964</v>
      </c>
      <c r="B11" s="30" t="s">
        <v>210</v>
      </c>
      <c r="C11" s="30" t="s">
        <v>443</v>
      </c>
      <c r="D11" s="30" t="s">
        <v>49</v>
      </c>
      <c r="E11" s="30" t="s">
        <v>198</v>
      </c>
      <c r="F11" s="43">
        <v>0</v>
      </c>
      <c r="G11" s="43">
        <v>609</v>
      </c>
      <c r="H11" s="43">
        <v>43936</v>
      </c>
      <c r="I11" s="43">
        <v>41670</v>
      </c>
      <c r="J11" s="30" t="s">
        <v>199</v>
      </c>
      <c r="K11" s="43">
        <v>42961</v>
      </c>
      <c r="L11" s="143" t="s">
        <v>51</v>
      </c>
      <c r="M11" s="144">
        <f t="shared" si="0"/>
        <v>-681.64800000000002</v>
      </c>
      <c r="N11" s="145" t="str">
        <f>VLOOKUP(C11,'Trips&amp;Operators'!$C$1:$G$99999,5,FALSE)</f>
        <v>ROBINSON KADDIBA</v>
      </c>
      <c r="O11" s="194" t="s">
        <v>185</v>
      </c>
      <c r="P11" s="146" t="s">
        <v>281</v>
      </c>
      <c r="Q11" s="30"/>
      <c r="R11" s="89" t="str">
        <f>VLOOKUP(C11,'Train Runs'!$A$13:$AE$9953,31,0)</f>
        <v>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 &amp; 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</v>
      </c>
      <c r="S11" s="92" t="str">
        <f>VLOOKUP(C11,'Train Runs'!$A$13:$AE$9953,22,0)</f>
        <v>https://d0f6bd738d7f1b3e5a7ca70fe4ff75f0.us-east-1.aws.found.io/app/kibana#/discover/Steve-Slow-Train-Analysis-(2080s-and-2083s)?_g=(refreshInterval:(display:Off,pause:!f,section:0,value:0),time:(from:'2017-02-17T05:49:12-0700',mode:absolute,to:'2017-02-17T08:35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1" s="94" t="str">
        <f t="shared" si="1"/>
        <v>"C:\Program Files (x86)\AstroGrep\AstroGrep.exe" /spath="%USERPROFILE%\AppData\Local\Temp\OnboardLogs" /stypes="*4030*201702171*" /stext=" 14:.+((SYSTEM_STATE.+slice.+state.+changed )|(ment ac)|(multiple cpu faults)|(system.+state.+changed )|(\[timeout)|(PRM\|1\|D)|(kpr)|(kdp)|(\|lc)|(penalty))" /e /r /s</v>
      </c>
      <c r="U11" s="9" t="str">
        <f t="shared" si="2"/>
        <v>4030</v>
      </c>
      <c r="V11" s="32">
        <f t="shared" si="3"/>
        <v>42783.599317129629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arrival","project_id":79,"tracker_id":40,"status_id":1,"priority_id":2,"assigned_to_id":23,"start_date":"2017-02-17","description":"","custom_fields":[{"id":1,"name":"Subdivision","value":"EC"},{"id":4,"name":"Milepost","value":"4.2961"},{"id":17,"name":"Train ID","value":"120-17"},{"id":16,"name":"Locomotive ID","value":"4030"},{"id":130,"name":"Impact","value":""},{"id":150,"name":"Time of Event (Mountain Time)","value":"07:23:01"},{"id":151,"name":"Denver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"%USERPROFILE%\AppData\Local\Temp\OnboardLogs"\RTDC4030\*4030*201702171*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"%USERPROFILE%\AppData\Local\Temp\OnboardLogs"\RTDC4030\*4030*201702171* &gt;&gt; 2017-02-17-SliceDisagreementCheck.txt</v>
      </c>
      <c r="AE11" s="157" t="str">
        <f t="shared" si="9"/>
        <v>start /low /b %USERPROFILE%\Documents\GitHub\eaglep3\Utilities\DownloadLogsFromS3.py --loco 4030 --day 2017-02-17</v>
      </c>
    </row>
    <row r="12" spans="1:32" s="1" customFormat="1" x14ac:dyDescent="0.25">
      <c r="A12" s="32">
        <v>42783.883171296293</v>
      </c>
      <c r="B12" s="30" t="s">
        <v>278</v>
      </c>
      <c r="C12" s="30" t="s">
        <v>465</v>
      </c>
      <c r="D12" s="30" t="s">
        <v>49</v>
      </c>
      <c r="E12" s="30" t="s">
        <v>198</v>
      </c>
      <c r="F12" s="43">
        <v>0</v>
      </c>
      <c r="G12" s="43">
        <v>408</v>
      </c>
      <c r="H12" s="43">
        <v>52642</v>
      </c>
      <c r="I12" s="43">
        <v>53403</v>
      </c>
      <c r="J12" s="30" t="s">
        <v>199</v>
      </c>
      <c r="K12" s="43">
        <v>53156</v>
      </c>
      <c r="L12" s="143" t="s">
        <v>50</v>
      </c>
      <c r="M12" s="144">
        <f t="shared" si="0"/>
        <v>-130.416</v>
      </c>
      <c r="N12" s="145" t="str">
        <f>VLOOKUP(C12,'Trips&amp;Operators'!$C$1:$G$99999,5,FALSE)</f>
        <v>BROWN JACOB</v>
      </c>
      <c r="O12" s="194" t="s">
        <v>185</v>
      </c>
      <c r="P12" s="146" t="s">
        <v>281</v>
      </c>
      <c r="Q12" s="30"/>
      <c r="R12" s="89" t="str">
        <f>VLOOKUP(C12,'Train Runs'!$A$13:$AE$9953,31,0)</f>
        <v>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 &amp; 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</v>
      </c>
      <c r="S12" s="92" t="str">
        <f>VLOOKUP(C12,'Train Runs'!$A$13:$AE$9953,22,0)</f>
        <v>https://d0f6bd738d7f1b3e5a7ca70fe4ff75f0.us-east-1.aws.found.io/app/kibana#/discover/Steve-Slow-Train-Analysis-(2080s-and-2083s)?_g=(refreshInterval:(display:Off,pause:!f,section:0,value:0),time:(from:'2017-02-17T19:53:22-0700',mode:absolute,to:'2017-02-17T22:37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2" s="94" t="str">
        <f t="shared" si="1"/>
        <v>"C:\Program Files (x86)\AstroGrep\AstroGrep.exe" /spath="%USERPROFILE%\AppData\Local\Temp\OnboardLogs" /stypes="*4044*201702180*" /stext=" 04:.+((SYSTEM_STATE.+slice.+state.+changed )|(ment ac)|(multiple cpu faults)|(system.+state.+changed )|(\[timeout)|(PRM\|1\|D)|(kpr)|(kdp)|(\|lc)|(penalty))" /e /r /s</v>
      </c>
      <c r="U12" s="9" t="str">
        <f t="shared" si="2"/>
        <v>4044</v>
      </c>
      <c r="V12" s="32">
        <f t="shared" si="3"/>
        <v>42784.174837962957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arrival","project_id":79,"tracker_id":40,"status_id":1,"priority_id":2,"assigned_to_id":23,"start_date":"2017-02-17","description":"","custom_fields":[{"id":1,"name":"Subdivision","value":"EC"},{"id":4,"name":"Milepost","value":"5.3156"},{"id":17,"name":"Train ID","value":"229-17"},{"id":16,"name":"Locomotive ID","value":"4044"},{"id":130,"name":"Impact","value":""},{"id":150,"name":"Time of Event (Mountain Time)","value":"21:11:46"},{"id":151,"name":"Denver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"%USERPROFILE%\AppData\Local\Temp\OnboardLogs"\RTDC4044\*4044*201702180*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"%USERPROFILE%\AppData\Local\Temp\OnboardLogs"\RTDC4044\*4044*201702180* &gt;&gt; 2017-02-17-SliceDisagreementCheck.txt</v>
      </c>
      <c r="AE12" s="157" t="str">
        <f t="shared" si="9"/>
        <v>start /low /b %USERPROFILE%\Documents\GitHub\eaglep3\Utilities\DownloadLogsFromS3.py --loco 4044 --day 2017-02-18</v>
      </c>
    </row>
    <row r="13" spans="1:32" s="1" customFormat="1" x14ac:dyDescent="0.25">
      <c r="A13" s="32">
        <v>42783.581493055557</v>
      </c>
      <c r="B13" s="30" t="s">
        <v>278</v>
      </c>
      <c r="C13" s="30" t="s">
        <v>453</v>
      </c>
      <c r="D13" s="30" t="s">
        <v>49</v>
      </c>
      <c r="E13" s="30" t="s">
        <v>198</v>
      </c>
      <c r="F13" s="43">
        <v>490</v>
      </c>
      <c r="G13" s="43">
        <v>549</v>
      </c>
      <c r="H13" s="43">
        <v>52107</v>
      </c>
      <c r="I13" s="43">
        <v>53799</v>
      </c>
      <c r="J13" s="30" t="s">
        <v>199</v>
      </c>
      <c r="K13" s="43">
        <v>53156</v>
      </c>
      <c r="L13" s="143" t="s">
        <v>50</v>
      </c>
      <c r="M13" s="144">
        <f t="shared" si="0"/>
        <v>-339.50399999999996</v>
      </c>
      <c r="N13" s="145" t="str">
        <f>VLOOKUP(C13,'Trips&amp;Operators'!$C$1:$G$99999,5,FALSE)</f>
        <v>HOLCOMB KAMDEN</v>
      </c>
      <c r="O13" s="194" t="s">
        <v>185</v>
      </c>
      <c r="P13" s="146" t="s">
        <v>281</v>
      </c>
      <c r="Q13" s="30"/>
      <c r="R13" s="89" t="str">
        <f>VLOOKUP(C13,'Train Runs'!$A$13:$AE$9953,31,0)</f>
        <v>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 &amp; 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</v>
      </c>
      <c r="S13" s="92" t="str">
        <f>VLOOKUP(C13,'Train Runs'!$A$13:$AE$9953,22,0)</f>
        <v>https://d0f6bd738d7f1b3e5a7ca70fe4ff75f0.us-east-1.aws.found.io/app/kibana#/discover/Steve-Slow-Train-Analysis-(2080s-and-2083s)?_g=(refreshInterval:(display:Off,pause:!f,section:0,value:0),time:(from:'2017-02-17T12:36:27-0700',mode:absolute,to:'2017-02-17T15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3" s="94" t="str">
        <f t="shared" si="1"/>
        <v>"C:\Program Files (x86)\AstroGrep\AstroGrep.exe" /spath="%USERPROFILE%\AppData\Local\Temp\OnboardLogs" /stypes="*4044*201702172*" /stext=" 20:.+((SYSTEM_STATE.+slice.+state.+changed )|(ment ac)|(multiple cpu faults)|(system.+state.+changed )|(\[timeout)|(PRM\|1\|D)|(kpr)|(kdp)|(\|lc)|(penalty))" /e /r /s</v>
      </c>
      <c r="U13" s="9" t="str">
        <f t="shared" si="2"/>
        <v>4044</v>
      </c>
      <c r="V13" s="32">
        <f t="shared" si="3"/>
        <v>42783.873159722221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arrival","project_id":79,"tracker_id":40,"status_id":1,"priority_id":2,"assigned_to_id":23,"start_date":"2017-02-17","description":"","custom_fields":[{"id":1,"name":"Subdivision","value":"EC"},{"id":4,"name":"Milepost","value":"5.3156"},{"id":17,"name":"Train ID","value":"181-17"},{"id":16,"name":"Locomotive ID","value":"4044"},{"id":130,"name":"Impact","value":""},{"id":150,"name":"Time of Event (Mountain Time)","value":"13:57:21"},{"id":151,"name":"Denver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"%USERPROFILE%\AppData\Local\Temp\OnboardLogs"\RTDC4044\*4044*201702172*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"%USERPROFILE%\AppData\Local\Temp\OnboardLogs"\RTDC4044\*4044*201702172* &gt;&gt; 2017-02-17-SliceDisagreementCheck.txt</v>
      </c>
      <c r="AE13" s="157" t="str">
        <f t="shared" si="9"/>
        <v>start /low /b %USERPROFILE%\Documents\GitHub\eaglep3\Utilities\DownloadLogsFromS3.py --loco 4044 --day 2017-02-17</v>
      </c>
    </row>
    <row r="14" spans="1:32" x14ac:dyDescent="0.25">
      <c r="A14" s="32">
        <v>42783.968009259261</v>
      </c>
      <c r="B14" s="30" t="s">
        <v>278</v>
      </c>
      <c r="C14" s="30" t="s">
        <v>466</v>
      </c>
      <c r="D14" s="30" t="s">
        <v>49</v>
      </c>
      <c r="E14" s="30" t="s">
        <v>198</v>
      </c>
      <c r="F14" s="43">
        <v>440</v>
      </c>
      <c r="G14" s="43">
        <v>563</v>
      </c>
      <c r="H14" s="43">
        <v>61681</v>
      </c>
      <c r="I14" s="43">
        <v>63409</v>
      </c>
      <c r="J14" s="30" t="s">
        <v>199</v>
      </c>
      <c r="K14" s="43">
        <v>63069</v>
      </c>
      <c r="L14" s="143" t="s">
        <v>50</v>
      </c>
      <c r="M14" s="144">
        <f t="shared" si="0"/>
        <v>-179.52</v>
      </c>
      <c r="N14" s="145" t="str">
        <f>VLOOKUP(C14,'Trips&amp;Operators'!$C$1:$G$99999,5,FALSE)</f>
        <v>BROWN JACOB</v>
      </c>
      <c r="O14" s="194" t="s">
        <v>185</v>
      </c>
      <c r="P14" s="146" t="s">
        <v>281</v>
      </c>
      <c r="Q14" s="30"/>
      <c r="R14" s="89" t="str">
        <f>VLOOKUP(C14,'Train Runs'!$A$13:$AE$9953,31,0)</f>
        <v>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 &amp; 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</v>
      </c>
      <c r="S14" s="92" t="str">
        <f>VLOOKUP(C14,'Train Runs'!$A$13:$AE$9953,22,0)</f>
        <v>https://d0f6bd738d7f1b3e5a7ca70fe4ff75f0.us-east-1.aws.found.io/app/kibana#/discover/Steve-Slow-Train-Analysis-(2080s-and-2083s)?_g=(refreshInterval:(display:Off,pause:!f,section:0,value:0),time:(from:'2017-02-17T21:59:53-0700',mode:absolute,to:'2017-02-18T00:38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4" s="94" t="str">
        <f t="shared" si="1"/>
        <v>"C:\Program Files (x86)\AstroGrep\AstroGrep.exe" /spath="%USERPROFILE%\AppData\Local\Temp\OnboardLogs" /stypes="*4044*201702180*" /stext=" 06:.+((SYSTEM_STATE.+slice.+state.+changed )|(ment ac)|(multiple cpu faults)|(system.+state.+changed )|(\[timeout)|(PRM\|1\|D)|(kpr)|(kdp)|(\|lc)|(penalty))" /e /r /s</v>
      </c>
      <c r="U14" s="9" t="str">
        <f t="shared" si="2"/>
        <v>4044</v>
      </c>
      <c r="V14" s="32">
        <f t="shared" si="3"/>
        <v>42784.259675925925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arrival","project_id":79,"tracker_id":40,"status_id":1,"priority_id":2,"assigned_to_id":23,"start_date":"2017-02-17","description":"","custom_fields":[{"id":1,"name":"Subdivision","value":"EC"},{"id":4,"name":"Milepost","value":"6.3069"},{"id":17,"name":"Train ID","value":"237-17"},{"id":16,"name":"Locomotive ID","value":"4044"},{"id":130,"name":"Impact","value":""},{"id":150,"name":"Time of Event (Mountain Time)","value":"23:13:56"},{"id":151,"name":"Denver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"%USERPROFILE%\AppData\Local\Temp\OnboardLogs"\RTDC4044\*4044*201702180*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"%USERPROFILE%\AppData\Local\Temp\OnboardLogs"\RTDC4044\*4044*201702180* &gt;&gt; 2017-02-17-SliceDisagreementCheck.txt</v>
      </c>
      <c r="AE14" s="157" t="str">
        <f t="shared" si="9"/>
        <v>start /low /b %USERPROFILE%\Documents\GitHub\eaglep3\Utilities\DownloadLogsFromS3.py --loco 4044 --day 2017-02-18</v>
      </c>
      <c r="AF14" s="1"/>
    </row>
    <row r="15" spans="1:32" x14ac:dyDescent="0.25">
      <c r="A15" s="32">
        <v>42783.669027777774</v>
      </c>
      <c r="B15" s="30" t="s">
        <v>210</v>
      </c>
      <c r="C15" s="30" t="s">
        <v>456</v>
      </c>
      <c r="D15" s="30" t="s">
        <v>49</v>
      </c>
      <c r="E15" s="30" t="s">
        <v>198</v>
      </c>
      <c r="F15" s="43">
        <v>0</v>
      </c>
      <c r="G15" s="43">
        <v>668</v>
      </c>
      <c r="H15" s="43">
        <v>66948</v>
      </c>
      <c r="I15" s="43">
        <v>64509</v>
      </c>
      <c r="J15" s="30" t="s">
        <v>199</v>
      </c>
      <c r="K15" s="43">
        <v>63309</v>
      </c>
      <c r="L15" s="143" t="s">
        <v>51</v>
      </c>
      <c r="M15" s="144">
        <f t="shared" si="0"/>
        <v>633.6</v>
      </c>
      <c r="N15" s="145" t="str">
        <f>VLOOKUP(C15,'Trips&amp;Operators'!$C$1:$G$99999,5,FALSE)</f>
        <v>ROMERO CHAD</v>
      </c>
      <c r="O15" s="194" t="s">
        <v>185</v>
      </c>
      <c r="P15" s="146" t="s">
        <v>281</v>
      </c>
      <c r="Q15" s="30"/>
      <c r="R15" s="89" t="str">
        <f>VLOOKUP(C15,'Train Runs'!$A$13:$AE$9953,31,0)</f>
        <v>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 &amp; 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</v>
      </c>
      <c r="S15" s="92" t="str">
        <f>VLOOKUP(C15,'Train Runs'!$A$13:$AE$9953,22,0)</f>
        <v>https://d0f6bd738d7f1b3e5a7ca70fe4ff75f0.us-east-1.aws.found.io/app/kibana#/discover/Steve-Slow-Train-Analysis-(2080s-and-2083s)?_g=(refreshInterval:(display:Off,pause:!f,section:0,value:0),time:(from:'2017-02-17T14:34:29-0700',mode:absolute,to:'2017-02-17T17:18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5" s="94" t="str">
        <f t="shared" si="1"/>
        <v>"C:\Program Files (x86)\AstroGrep\AstroGrep.exe" /spath="%USERPROFILE%\AppData\Local\Temp\OnboardLogs" /stypes="*4030*201702172*" /stext=" 23:.+((SYSTEM_STATE.+slice.+state.+changed )|(ment ac)|(multiple cpu faults)|(system.+state.+changed )|(\[timeout)|(PRM\|1\|D)|(kpr)|(kdp)|(\|lc)|(penalty))" /e /r /s</v>
      </c>
      <c r="U15" s="9" t="str">
        <f t="shared" si="2"/>
        <v>4030</v>
      </c>
      <c r="V15" s="32">
        <f t="shared" si="3"/>
        <v>42783.960694444439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arrival","project_id":79,"tracker_id":40,"status_id":1,"priority_id":2,"assigned_to_id":23,"start_date":"2017-02-17","description":"","custom_fields":[{"id":1,"name":"Subdivision","value":"EC"},{"id":4,"name":"Milepost","value":"6.3309"},{"id":17,"name":"Train ID","value":"190-17"},{"id":16,"name":"Locomotive ID","value":"4030"},{"id":130,"name":"Impact","value":""},{"id":150,"name":"Time of Event (Mountain Time)","value":"16:03:24"},{"id":151,"name":"Denver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"%USERPROFILE%\AppData\Local\Temp\OnboardLogs"\RTDC4030\*4030*201702172*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"%USERPROFILE%\AppData\Local\Temp\OnboardLogs"\RTDC4030\*4030*201702172* &gt;&gt; 2017-02-17-SliceDisagreementCheck.txt</v>
      </c>
      <c r="AE15" s="157" t="str">
        <f t="shared" si="9"/>
        <v>start /low /b %USERPROFILE%\Documents\GitHub\eaglep3\Utilities\DownloadLogsFromS3.py --loco 4030 --day 2017-02-17</v>
      </c>
      <c r="AF15" s="1"/>
    </row>
    <row r="16" spans="1:32" x14ac:dyDescent="0.25">
      <c r="A16" s="32">
        <v>42783.337500000001</v>
      </c>
      <c r="B16" s="30" t="s">
        <v>238</v>
      </c>
      <c r="C16" s="30" t="s">
        <v>444</v>
      </c>
      <c r="D16" s="30" t="s">
        <v>98</v>
      </c>
      <c r="E16" s="30" t="s">
        <v>445</v>
      </c>
      <c r="F16" s="43">
        <v>200</v>
      </c>
      <c r="G16" s="43">
        <v>250</v>
      </c>
      <c r="H16" s="43">
        <v>5302</v>
      </c>
      <c r="I16" s="43">
        <v>5699</v>
      </c>
      <c r="J16" s="30" t="s">
        <v>446</v>
      </c>
      <c r="K16" s="43">
        <v>4677</v>
      </c>
      <c r="L16" s="143" t="s">
        <v>50</v>
      </c>
      <c r="M16" s="144">
        <f t="shared" si="0"/>
        <v>-539.61599999999999</v>
      </c>
      <c r="N16" s="145" t="str">
        <f>VLOOKUP(C16,'Trips&amp;Operators'!$C$1:$G$99999,5,FALSE)</f>
        <v>STARKS ANGELINA</v>
      </c>
      <c r="O16" s="194" t="s">
        <v>185</v>
      </c>
      <c r="P16" s="146"/>
      <c r="Q16" s="30"/>
      <c r="R16" s="89" t="str">
        <f>VLOOKUP(C16,'Train Runs'!$A$13:$AE$9953,31,0)</f>
        <v>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 &amp; aws s3 cp s3://rtdc.mdm.uploadarchive.raw/RTDC4025/ "%USERPROFILE%\AppData\Local\Temp\OnboardLogs"\RTDC4025\2017-02-18 --exclude "*" --recursive --include "*20170218*" &amp; "%USERPROFILE%\Documents\GitHub\mrs-test-scripts\Headless Mode &amp; Sideloading\WalkAndUnGZ.bat" "%USERPROFILE%\AppData\Local\Temp\OnboardLogs"\RTDC4025\2017-02-18</v>
      </c>
      <c r="S16" s="92" t="str">
        <f>VLOOKUP(C16,'Train Runs'!$A$13:$AE$9953,22,0)</f>
        <v>https://d0f6bd738d7f1b3e5a7ca70fe4ff75f0.us-east-1.aws.found.io/app/kibana#/discover/Steve-Slow-Train-Analysis-(2080s-and-2083s)?_g=(refreshInterval:(display:Off,pause:!f,section:0,value:0),time:(from:'2017-02-17T06:55:14-0700',mode:absolute,to:'2017-02-17T09:40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6" s="94" t="str">
        <f t="shared" si="1"/>
        <v>"C:\Program Files (x86)\AstroGrep\AstroGrep.exe" /spath="%USERPROFILE%\AppData\Local\Temp\OnboardLogs" /stypes="*4025*201702171*" /stext=" 15:.+((SYSTEM_STATE.+slice.+state.+changed )|(ment ac)|(multiple cpu faults)|(system.+state.+changed )|(\[timeout)|(PRM\|1\|D)|(kpr)|(kdp)|(\|lc)|(penalty))" /e /r /s</v>
      </c>
      <c r="U16" s="9" t="str">
        <f t="shared" si="2"/>
        <v>4025</v>
      </c>
      <c r="V16" s="32">
        <f t="shared" si="3"/>
        <v>42783.629166666666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{"issue":{"subject":"","project_id":79,"tracker_id":40,"status_id":1,"priority_id":2,"assigned_to_id":23,"start_date":"2017-02-17","description":"","custom_fields":[{"id":1,"name":"Subdivision","value":"EC"},{"id":4,"name":"Milepost","value":"0.4677"},{"id":17,"name":"Train ID","value":"135-17"},{"id":16,"name":"Locomotive ID","value":"4025"},{"id":130,"name":"Impact","value":""},{"id":150,"name":"Time of Event (Mountain Time)","value":"08:06:00"},{"id":151,"name":"Denver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"%USERPROFILE%\AppData\Local\Temp\OnboardLogs"\RTDC4025\*4025*201702171*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"%USERPROFILE%\AppData\Local\Temp\OnboardLogs"\RTDC4025\*4025*201702171* &gt;&gt; 2017-02-17-SliceDisagreementCheck.txt</v>
      </c>
      <c r="AE16" s="157" t="str">
        <f t="shared" si="9"/>
        <v>start /low /b %USERPROFILE%\Documents\GitHub\eaglep3\Utilities\DownloadLogsFromS3.py --loco 4025 --day 2017-02-17</v>
      </c>
      <c r="AF16" s="1"/>
    </row>
    <row r="17" spans="1:32" x14ac:dyDescent="0.25">
      <c r="A17" s="32">
        <v>42783.575601851851</v>
      </c>
      <c r="B17" s="30" t="s">
        <v>278</v>
      </c>
      <c r="C17" s="30" t="s">
        <v>453</v>
      </c>
      <c r="D17" s="30" t="s">
        <v>49</v>
      </c>
      <c r="E17" s="30" t="s">
        <v>445</v>
      </c>
      <c r="F17" s="43">
        <v>400</v>
      </c>
      <c r="G17" s="43">
        <v>534</v>
      </c>
      <c r="H17" s="43">
        <v>16582</v>
      </c>
      <c r="I17" s="43">
        <v>17831</v>
      </c>
      <c r="J17" s="30" t="s">
        <v>446</v>
      </c>
      <c r="K17" s="43">
        <v>17867</v>
      </c>
      <c r="L17" s="143" t="s">
        <v>50</v>
      </c>
      <c r="M17" s="144">
        <f t="shared" si="0"/>
        <v>19.007999999999999</v>
      </c>
      <c r="N17" s="145" t="str">
        <f>VLOOKUP(C17,'Trips&amp;Operators'!$C$1:$G$99999,5,FALSE)</f>
        <v>HOLCOMB KAMDEN</v>
      </c>
      <c r="O17" s="194" t="s">
        <v>185</v>
      </c>
      <c r="P17" s="146"/>
      <c r="Q17" s="30"/>
      <c r="R17" s="89" t="str">
        <f>VLOOKUP(C17,'Train Runs'!$A$13:$AE$9953,31,0)</f>
        <v>aws s3 cp s3://rtdc.mdm.uploadarchive.raw/RTDC4044/ "%USERPROFILE%\AppData\Local\Temp\OnboardLogs"\RTDC4044\2017-02-17 --exclude "*" --recursive --include "*20170217*" &amp; "%USERPROFILE%\Documents\GitHub\mrs-test-scripts\Headless Mode &amp; Sideloading\WalkAndUnGZ.bat" "%USERPROFILE%\AppData\Local\Temp\OnboardLogs"\RTDC4044\2017-02-17 &amp; aws s3 cp s3://rtdc.mdm.uploadarchive.raw/RTDC4044/ "%USERPROFILE%\AppData\Local\Temp\OnboardLogs"\RTDC4044\2017-02-18 --exclude "*" --recursive --include "*20170218*" &amp; "%USERPROFILE%\Documents\GitHub\mrs-test-scripts\Headless Mode &amp; Sideloading\WalkAndUnGZ.bat" "%USERPROFILE%\AppData\Local\Temp\OnboardLogs"\RTDC4044\2017-02-18</v>
      </c>
      <c r="S17" s="92" t="str">
        <f>VLOOKUP(C17,'Train Runs'!$A$13:$AE$9953,22,0)</f>
        <v>https://d0f6bd738d7f1b3e5a7ca70fe4ff75f0.us-east-1.aws.found.io/app/kibana#/discover/Steve-Slow-Train-Analysis-(2080s-and-2083s)?_g=(refreshInterval:(display:Off,pause:!f,section:0,value:0),time:(from:'2017-02-17T12:36:27-0700',mode:absolute,to:'2017-02-17T15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7" s="94" t="str">
        <f t="shared" si="1"/>
        <v>"C:\Program Files (x86)\AstroGrep\AstroGrep.exe" /spath="%USERPROFILE%\AppData\Local\Temp\OnboardLogs" /stypes="*4044*201702172*" /stext=" 20:.+((SYSTEM_STATE.+slice.+state.+changed )|(ment ac)|(multiple cpu faults)|(system.+state.+changed )|(\[timeout)|(PRM\|1\|D)|(kpr)|(kdp)|(\|lc)|(penalty))" /e /r /s</v>
      </c>
      <c r="U17" s="9" t="str">
        <f t="shared" si="2"/>
        <v>4044</v>
      </c>
      <c r="V17" s="32">
        <f t="shared" si="3"/>
        <v>42783.867268518516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{"issue":{"subject":"","project_id":79,"tracker_id":40,"status_id":1,"priority_id":2,"assigned_to_id":23,"start_date":"2017-02-17","description":"","custom_fields":[{"id":1,"name":"Subdivision","value":"EC"},{"id":4,"name":"Milepost","value":"1.7867"},{"id":17,"name":"Train ID","value":"181-17"},{"id":16,"name":"Locomotive ID","value":"4044"},{"id":130,"name":"Impact","value":""},{"id":150,"name":"Time of Event (Mountain Time)","value":"13:48:52"},{"id":151,"name":"Denver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"%USERPROFILE%\AppData\Local\Temp\OnboardLogs"\RTDC4044\*4044*201702172*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"%USERPROFILE%\AppData\Local\Temp\OnboardLogs"\RTDC4044\*4044*201702172* &gt;&gt; 2017-02-17-SliceDisagreementCheck.txt</v>
      </c>
      <c r="AE17" s="157" t="str">
        <f t="shared" si="9"/>
        <v>start /low /b %USERPROFILE%\Documents\GitHub\eaglep3\Utilities\DownloadLogsFromS3.py --loco 4044 --day 2017-02-17</v>
      </c>
      <c r="AF17" s="1"/>
    </row>
    <row r="18" spans="1:32" ht="15" customHeight="1" x14ac:dyDescent="0.25">
      <c r="A18" s="32">
        <v>42783.635208333333</v>
      </c>
      <c r="B18" s="30" t="s">
        <v>252</v>
      </c>
      <c r="C18" s="30" t="s">
        <v>454</v>
      </c>
      <c r="D18" s="30" t="s">
        <v>49</v>
      </c>
      <c r="E18" s="30" t="s">
        <v>445</v>
      </c>
      <c r="F18" s="43">
        <v>300</v>
      </c>
      <c r="G18" s="43">
        <v>434</v>
      </c>
      <c r="H18" s="43">
        <v>23473</v>
      </c>
      <c r="I18" s="43">
        <v>22055</v>
      </c>
      <c r="J18" s="30" t="s">
        <v>446</v>
      </c>
      <c r="K18" s="43">
        <v>21848</v>
      </c>
      <c r="L18" s="143" t="s">
        <v>51</v>
      </c>
      <c r="M18" s="144">
        <f t="shared" si="0"/>
        <v>109.29600000000001</v>
      </c>
      <c r="N18" s="145" t="str">
        <f>VLOOKUP(C18,'Trips&amp;Operators'!$C$1:$G$99999,5,FALSE)</f>
        <v>HOLCOMB KAMDEN</v>
      </c>
      <c r="O18" s="194" t="s">
        <v>185</v>
      </c>
      <c r="P18" s="146"/>
      <c r="Q18" s="30"/>
      <c r="R18" s="89" t="str">
        <f>VLOOKUP(C18,'Train Runs'!$A$13:$AE$9953,31,0)</f>
        <v>aws s3 cp s3://rtdc.mdm.uploadarchive.raw/RTDC4043/ "%USERPROFILE%\AppData\Local\Temp\OnboardLogs"\RTDC4043\2017-02-17 --exclude "*" --recursive --include "*20170217*" &amp; "%USERPROFILE%\Documents\GitHub\mrs-test-scripts\Headless Mode &amp; Sideloading\WalkAndUnGZ.bat" "%USERPROFILE%\AppData\Local\Temp\OnboardLogs"\RTDC4043\2017-02-17 &amp; aws s3 cp s3://rtdc.mdm.uploadarchive.raw/RTDC4043/ "%USERPROFILE%\AppData\Local\Temp\OnboardLogs"\RTDC4043\2017-02-18 --exclude "*" --recursive --include "*20170218*" &amp; "%USERPROFILE%\Documents\GitHub\mrs-test-scripts\Headless Mode &amp; Sideloading\WalkAndUnGZ.bat" "%USERPROFILE%\AppData\Local\Temp\OnboardLogs"\RTDC4043\2017-02-18</v>
      </c>
      <c r="S18" s="92" t="str">
        <f>VLOOKUP(C18,'Train Runs'!$A$13:$AE$9953,22,0)</f>
        <v>https://d0f6bd738d7f1b3e5a7ca70fe4ff75f0.us-east-1.aws.found.io/app/kibana#/discover/Steve-Slow-Train-Analysis-(2080s-and-2083s)?_g=(refreshInterval:(display:Off,pause:!f,section:0,value:0),time:(from:'2017-02-17T13:36:19-0700',mode:absolute,to:'2017-02-17T16:21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8" s="94" t="str">
        <f t="shared" si="1"/>
        <v>"C:\Program Files (x86)\AstroGrep\AstroGrep.exe" /spath="%USERPROFILE%\AppData\Local\Temp\OnboardLogs" /stypes="*4043*201702172*" /stext=" 22:.+((SYSTEM_STATE.+slice.+state.+changed )|(ment ac)|(multiple cpu faults)|(system.+state.+changed )|(\[timeout)|(PRM\|1\|D)|(kpr)|(kdp)|(\|lc)|(penalty))" /e /r /s</v>
      </c>
      <c r="U18" s="9" t="str">
        <f t="shared" si="2"/>
        <v>4043</v>
      </c>
      <c r="V18" s="32">
        <f t="shared" si="3"/>
        <v>42783.926874999997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{"issue":{"subject":"","project_id":79,"tracker_id":40,"status_id":1,"priority_id":2,"assigned_to_id":23,"start_date":"2017-02-17","description":"","custom_fields":[{"id":1,"name":"Subdivision","value":"EC"},{"id":4,"name":"Milepost","value":"2.1848"},{"id":17,"name":"Train ID","value":"182-17"},{"id":16,"name":"Locomotive ID","value":"4043"},{"id":130,"name":"Impact","value":""},{"id":150,"name":"Time of Event (Mountain Time)","value":"15:14:42"},{"id":151,"name":"Denver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"%USERPROFILE%\AppData\Local\Temp\OnboardLogs"\RTDC4043\*4043*201702172*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"%USERPROFILE%\AppData\Local\Temp\OnboardLogs"\RTDC4043\*4043*201702172* &gt;&gt; 2017-02-17-SliceDisagreementCheck.txt</v>
      </c>
      <c r="AE18" s="157" t="str">
        <f t="shared" si="9"/>
        <v>start /low /b %USERPROFILE%\Documents\GitHub\eaglep3\Utilities\DownloadLogsFromS3.py --loco 4043 --day 2017-02-17</v>
      </c>
      <c r="AF18" s="1"/>
    </row>
    <row r="19" spans="1:32" x14ac:dyDescent="0.25">
      <c r="A19" s="32">
        <v>42783.793194444443</v>
      </c>
      <c r="B19" s="30" t="s">
        <v>289</v>
      </c>
      <c r="C19" s="30" t="s">
        <v>462</v>
      </c>
      <c r="D19" s="30" t="s">
        <v>49</v>
      </c>
      <c r="E19" s="30" t="s">
        <v>445</v>
      </c>
      <c r="F19" s="43">
        <v>600</v>
      </c>
      <c r="G19" s="43">
        <v>652</v>
      </c>
      <c r="H19" s="43">
        <v>192906</v>
      </c>
      <c r="I19" s="43">
        <v>190308</v>
      </c>
      <c r="J19" s="30" t="s">
        <v>446</v>
      </c>
      <c r="K19" s="43">
        <v>191104</v>
      </c>
      <c r="L19" s="143" t="s">
        <v>51</v>
      </c>
      <c r="M19" s="144">
        <f t="shared" si="0"/>
        <v>-420.28800000000001</v>
      </c>
      <c r="N19" s="145" t="str">
        <f>VLOOKUP(C19,'Trips&amp;Operators'!$C$1:$G$99999,5,FALSE)</f>
        <v>BRANNON JEFFREY</v>
      </c>
      <c r="O19" s="194" t="s">
        <v>185</v>
      </c>
      <c r="P19" s="146"/>
      <c r="Q19" s="30"/>
      <c r="R19" s="89" t="str">
        <f>VLOOKUP(C19,'Train Runs'!$A$13:$AE$9953,31,0)</f>
        <v>aws s3 cp s3://rtdc.mdm.uploadarchive.raw/RTDC4017/ "%USERPROFILE%\AppData\Local\Temp\OnboardLogs"\RTDC4017\2017-02-17 --exclude "*" --recursive --include "*20170217*" &amp; "%USERPROFILE%\Documents\GitHub\mrs-test-scripts\Headless Mode &amp; Sideloading\WalkAndUnGZ.bat" "%USERPROFILE%\AppData\Local\Temp\OnboardLogs"\RTDC4017\2017-02-17 &amp; 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</v>
      </c>
      <c r="S19" s="92" t="str">
        <f>VLOOKUP(C19,'Train Runs'!$A$13:$AE$9953,22,0)</f>
        <v>https://d0f6bd738d7f1b3e5a7ca70fe4ff75f0.us-east-1.aws.found.io/app/kibana#/discover/Steve-Slow-Train-Analysis-(2080s-and-2083s)?_g=(refreshInterval:(display:Off,pause:!f,section:0,value:0),time:(from:'2017-02-17T17:43:33-0700',mode:absolute,to:'2017-02-17T20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9" s="94" t="str">
        <f t="shared" si="1"/>
        <v>"C:\Program Files (x86)\AstroGrep\AstroGrep.exe" /spath="%USERPROFILE%\AppData\Local\Temp\OnboardLogs" /stypes="*4017*201702180*" /stext=" 02:.+((SYSTEM_STATE.+slice.+state.+changed )|(ment ac)|(multiple cpu faults)|(system.+state.+changed )|(\[timeout)|(PRM\|1\|D)|(kpr)|(kdp)|(\|lc)|(penalty))" /e /r /s</v>
      </c>
      <c r="U19" s="9" t="str">
        <f t="shared" si="2"/>
        <v>4017</v>
      </c>
      <c r="V19" s="32">
        <f t="shared" si="3"/>
        <v>42784.084861111107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{"issue":{"subject":"","project_id":79,"tracker_id":40,"status_id":1,"priority_id":2,"assigned_to_id":23,"start_date":"2017-02-17","description":"","custom_fields":[{"id":1,"name":"Subdivision","value":"EC"},{"id":4,"name":"Milepost","value":"19.1104"},{"id":17,"name":"Train ID","value":"216-17"},{"id":16,"name":"Locomotive ID","value":"4017"},{"id":130,"name":"Impact","value":""},{"id":150,"name":"Time of Event (Mountain Time)","value":"19:02:12"},{"id":151,"name":"Denver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"%USERPROFILE%\AppData\Local\Temp\OnboardLogs"\RTDC4017\*4017*201702180*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"%USERPROFILE%\AppData\Local\Temp\OnboardLogs"\RTDC4017\*4017*201702180* &gt;&gt; 2017-02-17-SliceDisagreementCheck.txt</v>
      </c>
      <c r="AE19" s="157" t="str">
        <f t="shared" si="9"/>
        <v>start /low /b %USERPROFILE%\Documents\GitHub\eaglep3\Utilities\DownloadLogsFromS3.py --loco 4017 --day 2017-02-18</v>
      </c>
      <c r="AF19" s="1"/>
    </row>
    <row r="20" spans="1:32" x14ac:dyDescent="0.25">
      <c r="A20" s="32">
        <v>42783.68949074074</v>
      </c>
      <c r="B20" s="30" t="s">
        <v>220</v>
      </c>
      <c r="C20" s="30" t="s">
        <v>457</v>
      </c>
      <c r="D20" s="30" t="s">
        <v>49</v>
      </c>
      <c r="E20" s="30" t="s">
        <v>445</v>
      </c>
      <c r="F20" s="43">
        <v>550</v>
      </c>
      <c r="G20" s="43">
        <v>781</v>
      </c>
      <c r="H20" s="43">
        <v>217945</v>
      </c>
      <c r="I20" s="43">
        <v>221620</v>
      </c>
      <c r="J20" s="30" t="s">
        <v>446</v>
      </c>
      <c r="K20" s="43">
        <v>222091</v>
      </c>
      <c r="L20" s="143" t="s">
        <v>50</v>
      </c>
      <c r="M20" s="144">
        <f t="shared" si="0"/>
        <v>248.68799999999999</v>
      </c>
      <c r="N20" s="145" t="str">
        <f>VLOOKUP(C20,'Trips&amp;Operators'!$C$1:$G$99999,5,FALSE)</f>
        <v>BRANNON JEFFREY</v>
      </c>
      <c r="O20" s="194" t="s">
        <v>185</v>
      </c>
      <c r="P20" s="146"/>
      <c r="Q20" s="30"/>
      <c r="R20" s="89" t="str">
        <f>VLOOKUP(C20,'Train Runs'!$A$13:$AE$9953,31,0)</f>
        <v>aws s3 cp s3://rtdc.mdm.uploadarchive.raw/RTDC4046/ "%USERPROFILE%\AppData\Local\Temp\OnboardLogs"\RTDC4046\2017-02-17 --exclude "*" --recursive --include "*20170217*" &amp; "%USERPROFILE%\Documents\GitHub\mrs-test-scripts\Headless Mode &amp; Sideloading\WalkAndUnGZ.bat" "%USERPROFILE%\AppData\Local\Temp\OnboardLogs"\RTDC4046\2017-02-17 &amp; aws s3 cp s3://rtdc.mdm.uploadarchive.raw/RTDC4046/ "%USERPROFILE%\AppData\Local\Temp\OnboardLogs"\RTDC4046\2017-02-18 --exclude "*" --recursive --include "*20170218*" &amp; "%USERPROFILE%\Documents\GitHub\mrs-test-scripts\Headless Mode &amp; Sideloading\WalkAndUnGZ.bat" "%USERPROFILE%\AppData\Local\Temp\OnboardLogs"\RTDC4046\2017-02-18</v>
      </c>
      <c r="S20" s="92" t="str">
        <f>VLOOKUP(C20,'Train Runs'!$A$13:$AE$9953,22,0)</f>
        <v>https://d0f6bd738d7f1b3e5a7ca70fe4ff75f0.us-east-1.aws.found.io/app/kibana#/discover/Steve-Slow-Train-Analysis-(2080s-and-2083s)?_g=(refreshInterval:(display:Off,pause:!f,section:0,value:0),time:(from:'2017-02-17T14:51:48-0700',mode:absolute,to:'2017-02-17T17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0" s="94" t="str">
        <f t="shared" si="1"/>
        <v>"C:\Program Files (x86)\AstroGrep\AstroGrep.exe" /spath="%USERPROFILE%\AppData\Local\Temp\OnboardLogs" /stypes="*4046*201702172*" /stext=" 23:.+((SYSTEM_STATE.+slice.+state.+changed )|(ment ac)|(multiple cpu faults)|(system.+state.+changed )|(\[timeout)|(PRM\|1\|D)|(kpr)|(kdp)|(\|lc)|(penalty))" /e /r /s</v>
      </c>
      <c r="U20" s="9" t="str">
        <f t="shared" si="2"/>
        <v>4046</v>
      </c>
      <c r="V20" s="32">
        <f t="shared" si="3"/>
        <v>42783.981157407405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{"issue":{"subject":"","project_id":79,"tracker_id":40,"status_id":1,"priority_id":2,"assigned_to_id":23,"start_date":"2017-02-17","description":"","custom_fields":[{"id":1,"name":"Subdivision","value":"EC"},{"id":4,"name":"Milepost","value":"22.2091"},{"id":17,"name":"Train ID","value":"199-17"},{"id":16,"name":"Locomotive ID","value":"4046"},{"id":130,"name":"Impact","value":""},{"id":150,"name":"Time of Event (Mountain Time)","value":"16:32:52"},{"id":151,"name":"Denver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"%USERPROFILE%\AppData\Local\Temp\OnboardLogs"\RTDC4046\*4046*201702172*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"%USERPROFILE%\AppData\Local\Temp\OnboardLogs"\RTDC4046\*4046*201702172* &gt;&gt; 2017-02-17-SliceDisagreementCheck.txt</v>
      </c>
      <c r="AE20" s="157" t="str">
        <f t="shared" si="9"/>
        <v>start /low /b %USERPROFILE%\Documents\GitHub\eaglep3\Utilities\DownloadLogsFromS3.py --loco 4046 --day 2017-02-17</v>
      </c>
      <c r="AF20" s="1"/>
    </row>
    <row r="21" spans="1:32" x14ac:dyDescent="0.25">
      <c r="A21" s="32">
        <v>42783.728171296294</v>
      </c>
      <c r="B21" s="30" t="s">
        <v>210</v>
      </c>
      <c r="C21" s="30" t="s">
        <v>458</v>
      </c>
      <c r="D21" s="30" t="s">
        <v>98</v>
      </c>
      <c r="E21" s="30" t="s">
        <v>445</v>
      </c>
      <c r="F21" s="43">
        <v>350</v>
      </c>
      <c r="G21" s="43">
        <v>401</v>
      </c>
      <c r="H21" s="43">
        <v>226155</v>
      </c>
      <c r="I21" s="43">
        <v>225254</v>
      </c>
      <c r="J21" s="30" t="s">
        <v>446</v>
      </c>
      <c r="K21" s="43">
        <v>230436</v>
      </c>
      <c r="L21" s="143" t="s">
        <v>51</v>
      </c>
      <c r="M21" s="144">
        <f t="shared" si="0"/>
        <v>-2736.096</v>
      </c>
      <c r="N21" s="145" t="str">
        <f>VLOOKUP(C21,'Trips&amp;Operators'!$C$1:$G$99999,5,FALSE)</f>
        <v>ROMERO CHAD</v>
      </c>
      <c r="O21" s="194" t="s">
        <v>185</v>
      </c>
      <c r="P21" s="146"/>
      <c r="Q21" s="30"/>
      <c r="R21" s="89" t="str">
        <f>VLOOKUP(C21,'Train Runs'!$A$13:$AE$9953,31,0)</f>
        <v>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 &amp; 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</v>
      </c>
      <c r="S21" s="92" t="str">
        <f>VLOOKUP(C21,'Train Runs'!$A$13:$AE$9953,22,0)</f>
        <v>https://d0f6bd738d7f1b3e5a7ca70fe4ff75f0.us-east-1.aws.found.io/app/kibana#/discover/Steve-Slow-Train-Analysis-(2080s-and-2083s)?_g=(refreshInterval:(display:Off,pause:!f,section:0,value:0),time:(from:'2017-02-17T16:08:16-0700',mode:absolute,to:'2017-02-17T19:02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1" s="94" t="str">
        <f t="shared" si="1"/>
        <v>"C:\Program Files (x86)\AstroGrep\AstroGrep.exe" /spath="%USERPROFILE%\AppData\Local\Temp\OnboardLogs" /stypes="*4030*201702180*" /stext=" 00:.+((SYSTEM_STATE.+slice.+state.+changed )|(ment ac)|(multiple cpu faults)|(system.+state.+changed )|(\[timeout)|(PRM\|1\|D)|(kpr)|(kdp)|(\|lc)|(penalty))" /e /r /s</v>
      </c>
      <c r="U21" s="9" t="str">
        <f t="shared" si="2"/>
        <v>4030</v>
      </c>
      <c r="V21" s="32">
        <f t="shared" si="3"/>
        <v>42784.019837962958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{"issue":{"subject":"","project_id":79,"tracker_id":40,"status_id":1,"priority_id":2,"assigned_to_id":23,"start_date":"2017-02-17","description":"","custom_fields":[{"id":1,"name":"Subdivision","value":"EC"},{"id":4,"name":"Milepost","value":"23.0436"},{"id":17,"name":"Train ID","value":"204-17"},{"id":16,"name":"Locomotive ID","value":"4030"},{"id":130,"name":"Impact","value":""},{"id":150,"name":"Time of Event (Mountain Time)","value":"17:28:34"},{"id":151,"name":"Denver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"%USERPROFILE%\AppData\Local\Temp\OnboardLogs"\RTDC4030\*4030*201702180*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"%USERPROFILE%\AppData\Local\Temp\OnboardLogs"\RTDC4030\*4030*201702180* &gt;&gt; 2017-02-17-SliceDisagreementCheck.txt</v>
      </c>
      <c r="AE21" s="157" t="str">
        <f t="shared" si="9"/>
        <v>start /low /b %USERPROFILE%\Documents\GitHub\eaglep3\Utilities\DownloadLogsFromS3.py --loco 4030 --day 2017-02-18</v>
      </c>
      <c r="AF21" s="1"/>
    </row>
    <row r="22" spans="1:32" x14ac:dyDescent="0.25">
      <c r="A22" s="32">
        <v>42783.374201388891</v>
      </c>
      <c r="B22" s="30" t="s">
        <v>216</v>
      </c>
      <c r="C22" s="30" t="s">
        <v>449</v>
      </c>
      <c r="D22" s="30" t="s">
        <v>98</v>
      </c>
      <c r="E22" s="30" t="s">
        <v>445</v>
      </c>
      <c r="F22" s="43">
        <v>350</v>
      </c>
      <c r="G22" s="43">
        <v>404</v>
      </c>
      <c r="H22" s="43">
        <v>224966</v>
      </c>
      <c r="I22" s="43">
        <v>223629</v>
      </c>
      <c r="J22" s="30" t="s">
        <v>446</v>
      </c>
      <c r="K22" s="43">
        <v>232107</v>
      </c>
      <c r="L22" s="143" t="s">
        <v>51</v>
      </c>
      <c r="M22" s="144">
        <f t="shared" si="0"/>
        <v>-4476.384</v>
      </c>
      <c r="N22" s="145" t="str">
        <f>VLOOKUP(C22,'Trips&amp;Operators'!$C$1:$G$99999,5,FALSE)</f>
        <v>STARKS ANGELINA</v>
      </c>
      <c r="O22" s="194" t="s">
        <v>185</v>
      </c>
      <c r="P22" s="146"/>
      <c r="Q22" s="30"/>
      <c r="R22" s="89" t="str">
        <f>VLOOKUP(C22,'Train Runs'!$A$13:$AE$9953,31,0)</f>
        <v>aws s3 cp s3://rtdc.mdm.uploadarchive.raw/RTDC4026/ "%USERPROFILE%\AppData\Local\Temp\OnboardLogs"\RTDC4026\2017-02-17 --exclude "*" --recursive --include "*20170217*" &amp; "%USERPROFILE%\Documents\GitHub\mrs-test-scripts\Headless Mode &amp; Sideloading\WalkAndUnGZ.bat" "%USERPROFILE%\AppData\Local\Temp\OnboardLogs"\RTDC4026\2017-02-17 &amp; aws s3 cp s3://rtdc.mdm.uploadarchive.raw/RTDC4026/ "%USERPROFILE%\AppData\Local\Temp\OnboardLogs"\RTDC4026\2017-02-18 --exclude "*" --recursive --include "*20170218*" &amp; "%USERPROFILE%\Documents\GitHub\mrs-test-scripts\Headless Mode &amp; Sideloading\WalkAndUnGZ.bat" "%USERPROFILE%\AppData\Local\Temp\OnboardLogs"\RTDC4026\2017-02-18</v>
      </c>
      <c r="S22" s="92" t="str">
        <f>VLOOKUP(C22,'Train Runs'!$A$13:$AE$9953,22,0)</f>
        <v>https://d0f6bd738d7f1b3e5a7ca70fe4ff75f0.us-east-1.aws.found.io/app/kibana#/discover/Steve-Slow-Train-Analysis-(2080s-and-2083s)?_g=(refreshInterval:(display:Off,pause:!f,section:0,value:0),time:(from:'2017-02-17T07:53:27-0700',mode:absolute,to:'2017-02-17T10:38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2" s="94" t="str">
        <f t="shared" si="1"/>
        <v>"C:\Program Files (x86)\AstroGrep\AstroGrep.exe" /spath="%USERPROFILE%\AppData\Local\Temp\OnboardLogs" /stypes="*4026*201702171*" /stext=" 15:.+((SYSTEM_STATE.+slice.+state.+changed )|(ment ac)|(multiple cpu faults)|(system.+state.+changed )|(\[timeout)|(PRM\|1\|D)|(kpr)|(kdp)|(\|lc)|(penalty))" /e /r /s</v>
      </c>
      <c r="U22" s="9" t="str">
        <f t="shared" si="2"/>
        <v>4026</v>
      </c>
      <c r="V22" s="32">
        <f t="shared" si="3"/>
        <v>42783.665868055556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{"issue":{"subject":"","project_id":79,"tracker_id":40,"status_id":1,"priority_id":2,"assigned_to_id":23,"start_date":"2017-02-17","description":"","custom_fields":[{"id":1,"name":"Subdivision","value":"EC"},{"id":4,"name":"Milepost","value":"23.2107"},{"id":17,"name":"Train ID","value":"136-17"},{"id":16,"name":"Locomotive ID","value":"4026"},{"id":130,"name":"Impact","value":""},{"id":150,"name":"Time of Event (Mountain Time)","value":"08:58:51"},{"id":151,"name":"Denver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"%USERPROFILE%\AppData\Local\Temp\OnboardLogs"\RTDC4026\*4026*201702171*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"%USERPROFILE%\AppData\Local\Temp\OnboardLogs"\RTDC4026\*4026*201702171* &gt;&gt; 2017-02-17-SliceDisagreementCheck.txt</v>
      </c>
      <c r="AE22" s="157" t="str">
        <f t="shared" si="9"/>
        <v>start /low /b %USERPROFILE%\Documents\GitHub\eaglep3\Utilities\DownloadLogsFromS3.py --loco 4026 --day 2017-02-17</v>
      </c>
      <c r="AF22" s="1"/>
    </row>
    <row r="23" spans="1:32" x14ac:dyDescent="0.25">
      <c r="A23" s="32">
        <v>42784.039907407408</v>
      </c>
      <c r="B23" s="30" t="s">
        <v>271</v>
      </c>
      <c r="C23" s="30" t="s">
        <v>468</v>
      </c>
      <c r="D23" s="30" t="s">
        <v>98</v>
      </c>
      <c r="E23" s="30" t="s">
        <v>445</v>
      </c>
      <c r="F23" s="43">
        <v>350</v>
      </c>
      <c r="G23" s="43">
        <v>408</v>
      </c>
      <c r="H23" s="43">
        <v>229950</v>
      </c>
      <c r="I23" s="43">
        <v>228896</v>
      </c>
      <c r="J23" s="30" t="s">
        <v>446</v>
      </c>
      <c r="K23" s="43">
        <v>232107</v>
      </c>
      <c r="L23" s="143" t="s">
        <v>51</v>
      </c>
      <c r="M23" s="144">
        <f t="shared" si="0"/>
        <v>-1695.4079999999999</v>
      </c>
      <c r="N23" s="145" t="str">
        <f>VLOOKUP(C23,'Trips&amp;Operators'!$C$1:$G$99999,5,FALSE)</f>
        <v>MAGEE KENYA</v>
      </c>
      <c r="O23" s="194" t="s">
        <v>185</v>
      </c>
      <c r="P23" s="146"/>
      <c r="Q23" s="30"/>
      <c r="R23" s="89" t="str">
        <f>VLOOKUP(C23,'Train Runs'!$A$13:$AE$9953,31,0)</f>
        <v>aws s3 cp s3://rtdc.mdm.uploadarchive.raw/RTDC4019/ "%USERPROFILE%\AppData\Local\Temp\OnboardLogs"\RTDC4019\2017-02-18 --exclude "*" --recursive --include "*20170218*" &amp; "%USERPROFILE%\Documents\GitHub\mrs-test-scripts\Headless Mode &amp; Sideloading\WalkAndUnGZ.bat" "%USERPROFILE%\AppData\Local\Temp\OnboardLogs"\RTDC4019\2017-02-18 &amp; aws s3 cp s3://rtdc.mdm.uploadarchive.raw/RTDC4019/ "%USERPROFILE%\AppData\Local\Temp\OnboardLogs"\RTDC4019\2017-02-19 --exclude "*" --recursive --include "*20170219*" &amp; "%USERPROFILE%\Documents\GitHub\mrs-test-scripts\Headless Mode &amp; Sideloading\WalkAndUnGZ.bat" "%USERPROFILE%\AppData\Local\Temp\OnboardLogs"\RTDC4019\2017-02-19</v>
      </c>
      <c r="S23" s="92" t="str">
        <f>VLOOKUP(C23,'Train Runs'!$A$13:$AE$9953,22,0)</f>
        <v>https://d0f6bd738d7f1b3e5a7ca70fe4ff75f0.us-east-1.aws.found.io/app/kibana#/discover/Steve-Slow-Train-Analysis-(2080s-and-2083s)?_g=(refreshInterval:(display:Off,pause:!f,section:0,value:0),time:(from:'2017-02-17T23:51:09-0700',mode:absolute,to:'2017-02-18T02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3" s="94" t="str">
        <f t="shared" si="1"/>
        <v>"C:\Program Files (x86)\AstroGrep\AstroGrep.exe" /spath="%USERPROFILE%\AppData\Local\Temp\OnboardLogs" /stypes="*4019*201702180*" /stext=" 07:.+((SYSTEM_STATE.+slice.+state.+changed )|(ment ac)|(multiple cpu faults)|(system.+state.+changed )|(\[timeout)|(PRM\|1\|D)|(kpr)|(kdp)|(\|lc)|(penalty))" /e /r /s</v>
      </c>
      <c r="U23" s="9" t="str">
        <f t="shared" si="2"/>
        <v>4019</v>
      </c>
      <c r="V23" s="32">
        <f t="shared" si="3"/>
        <v>42784.331574074073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{"issue":{"subject":"","project_id":79,"tracker_id":40,"status_id":1,"priority_id":2,"assigned_to_id":23,"start_date":"2017-02-18","description":"","custom_fields":[{"id":1,"name":"Subdivision","value":"EC"},{"id":4,"name":"Milepost","value":"23.2107"},{"id":17,"name":"Train ID","value":"242-17"},{"id":16,"name":"Locomotive ID","value":"4019"},{"id":130,"name":"Impact","value":""},{"id":150,"name":"Time of Event (Mountain Time)","value":"00:57:28"},{"id":151,"name":"Denver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"%USERPROFILE%\AppData\Local\Temp\OnboardLogs"\RTDC4019\*4019*201702180*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"%USERPROFILE%\AppData\Local\Temp\OnboardLogs"\RTDC4019\*4019*201702180* &gt;&gt; 2017-02-17-SliceDisagreementCheck.txt</v>
      </c>
      <c r="AE23" s="157" t="str">
        <f t="shared" si="9"/>
        <v>start /low /b %USERPROFILE%\Documents\GitHub\eaglep3\Utilities\DownloadLogsFromS3.py --loco 4019 --day 2017-02-18</v>
      </c>
      <c r="AF23" s="1"/>
    </row>
    <row r="24" spans="1:32" x14ac:dyDescent="0.25">
      <c r="A24" s="32">
        <v>42783.526180555556</v>
      </c>
      <c r="B24" s="30" t="s">
        <v>210</v>
      </c>
      <c r="C24" s="30" t="s">
        <v>452</v>
      </c>
      <c r="D24" s="30" t="s">
        <v>49</v>
      </c>
      <c r="E24" s="30" t="s">
        <v>186</v>
      </c>
      <c r="F24" s="43">
        <v>0</v>
      </c>
      <c r="G24" s="43">
        <v>565</v>
      </c>
      <c r="H24" s="43">
        <v>39214</v>
      </c>
      <c r="I24" s="43">
        <v>37197</v>
      </c>
      <c r="J24" s="30" t="s">
        <v>187</v>
      </c>
      <c r="K24" s="43">
        <v>38656</v>
      </c>
      <c r="L24" s="143" t="s">
        <v>51</v>
      </c>
      <c r="M24" s="144">
        <f t="shared" si="0"/>
        <v>-770.35199999999998</v>
      </c>
      <c r="N24" s="145" t="str">
        <f>VLOOKUP(C24,'Trips&amp;Operators'!$C$1:$G$99999,5,FALSE)</f>
        <v>ROMERO CHAD</v>
      </c>
      <c r="O24" s="194" t="s">
        <v>469</v>
      </c>
      <c r="P24" s="146" t="s">
        <v>859</v>
      </c>
      <c r="Q24" s="30"/>
      <c r="R24" s="89" t="str">
        <f>VLOOKUP(C24,'Train Runs'!$A$13:$AE$9953,31,0)</f>
        <v>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 &amp; 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</v>
      </c>
      <c r="S24" s="92" t="str">
        <f>VLOOKUP(C24,'Train Runs'!$A$13:$AE$9953,22,0)</f>
        <v>https://d0f6bd738d7f1b3e5a7ca70fe4ff75f0.us-east-1.aws.found.io/app/kibana#/discover/Steve-Slow-Train-Analysis-(2080s-and-2083s)?_g=(refreshInterval:(display:Off,pause:!f,section:0,value:0),time:(from:'2017-02-17T11:03:26-0700',mode:absolute,to:'2017-02-17T13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4" s="94" t="str">
        <f t="shared" si="1"/>
        <v>"C:\Program Files (x86)\AstroGrep\AstroGrep.exe" /spath="%USERPROFILE%\AppData\Local\Temp\OnboardLogs" /stypes="*4030*201702171*" /stext=" 19:.+((SYSTEM_STATE.+slice.+state.+changed )|(ment ac)|(multiple cpu faults)|(system.+state.+changed )|(\[timeout)|(PRM\|1\|D)|(kpr)|(kdp)|(\|lc)|(penalty))" /e /r /s</v>
      </c>
      <c r="U24" s="9" t="str">
        <f t="shared" si="2"/>
        <v>4030</v>
      </c>
      <c r="V24" s="32">
        <f t="shared" si="3"/>
        <v>42783.817847222221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{"issue":{"subject":"Wi-MAX data drop","project_id":79,"tracker_id":40,"status_id":1,"priority_id":2,"assigned_to_id":23,"start_date":"2017-02-17","description":"http://stevetu21.github.io/eaglep3/load_kml.html?kml=http://rtdc.gmaps-snips.s3.amazonaws.com/ae90afed-9a63-48aa-bffb-adc34b553f0b.kml","custom_fields":[{"id":1,"name":"Subdivision","value":"EC"},{"id":4,"name":"Milepost","value":"3.8656"},{"id":17,"name":"Train ID","value":"162-17"},{"id":16,"name":"Locomotive ID","value":"4030"},{"id":130,"name":"Impact","value":"Enforcement"},{"id":150,"name":"Time of Event (Mountain Time)","value":"12:37:42"},{"id":151,"name":"Denver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4" t="s">
        <v>860</v>
      </c>
      <c r="AA24" s="48" t="s">
        <v>124</v>
      </c>
      <c r="AB24" s="48" t="s">
        <v>137</v>
      </c>
      <c r="AC24" s="127" t="str">
        <f t="shared" si="7"/>
        <v>grep -hSE -A400 "Enforcement Action" "%USERPROFILE%\AppData\Local\Temp\OnboardLogs"\RTDC4030\*4030*201702171*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"%USERPROFILE%\AppData\Local\Temp\OnboardLogs"\RTDC4030\*4030*201702171* &gt;&gt; 2017-02-17-SliceDisagreementCheck.txt</v>
      </c>
      <c r="AE24" s="157" t="str">
        <f t="shared" si="9"/>
        <v>start /low /b %USERPROFILE%\Documents\GitHub\eaglep3\Utilities\DownloadLogsFromS3.py --loco 4030 --day 2017-02-17</v>
      </c>
      <c r="AF24" s="1"/>
    </row>
    <row r="25" spans="1:32" x14ac:dyDescent="0.25">
      <c r="A25" s="32">
        <v>42784.032881944448</v>
      </c>
      <c r="B25" s="30" t="s">
        <v>221</v>
      </c>
      <c r="C25" s="30" t="s">
        <v>467</v>
      </c>
      <c r="D25" s="30" t="s">
        <v>49</v>
      </c>
      <c r="E25" s="30" t="s">
        <v>186</v>
      </c>
      <c r="F25" s="43">
        <v>0</v>
      </c>
      <c r="G25" s="43">
        <v>198</v>
      </c>
      <c r="H25" s="43">
        <v>88482</v>
      </c>
      <c r="I25" s="43">
        <v>88168</v>
      </c>
      <c r="J25" s="30" t="s">
        <v>187</v>
      </c>
      <c r="K25" s="43">
        <v>87902</v>
      </c>
      <c r="L25" s="143" t="s">
        <v>51</v>
      </c>
      <c r="M25" s="144">
        <f t="shared" si="0"/>
        <v>140.44800000000001</v>
      </c>
      <c r="N25" s="145" t="str">
        <f>VLOOKUP(C25,'Trips&amp;Operators'!$C$1:$G$99999,5,FALSE)</f>
        <v>STORY SAMANTHA</v>
      </c>
      <c r="O25" s="194" t="s">
        <v>469</v>
      </c>
      <c r="P25" s="146" t="s">
        <v>858</v>
      </c>
      <c r="Q25" s="30"/>
      <c r="R25" s="89" t="str">
        <f>VLOOKUP(C25,'Train Runs'!$A$13:$AE$9953,31,0)</f>
        <v>aws s3 cp s3://rtdc.mdm.uploadarchive.raw/RTDC4045/ "%USERPROFILE%\AppData\Local\Temp\OnboardLogs"\RTDC4045\2017-02-18 --exclude "*" --recursive --include "*20170218*" &amp; "%USERPROFILE%\Documents\GitHub\mrs-test-scripts\Headless Mode &amp; Sideloading\WalkAndUnGZ.bat" "%USERPROFILE%\AppData\Local\Temp\OnboardLogs"\RTDC4045\2017-02-18 &amp; aws s3 cp s3://rtdc.mdm.uploadarchive.raw/RTDC4045/ "%USERPROFILE%\AppData\Local\Temp\OnboardLogs"\RTDC4045\2017-02-19 --exclude "*" --recursive --include "*20170219*" &amp; "%USERPROFILE%\Documents\GitHub\mrs-test-scripts\Headless Mode &amp; Sideloading\WalkAndUnGZ.bat" "%USERPROFILE%\AppData\Local\Temp\OnboardLogs"\RTDC4045\2017-02-19</v>
      </c>
      <c r="S25" s="92" t="str">
        <f>VLOOKUP(C25,'Train Runs'!$A$13:$AE$9953,22,0)</f>
        <v>https://d0f6bd738d7f1b3e5a7ca70fe4ff75f0.us-east-1.aws.found.io/app/kibana#/discover/Steve-Slow-Train-Analysis-(2080s-and-2083s)?_g=(refreshInterval:(display:Off,pause:!f,section:0,value:0),time:(from:'2017-02-17T23:24:30-0700',mode:absolute,to:'2017-02-18T01:47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5" s="94" t="str">
        <f t="shared" si="1"/>
        <v>"C:\Program Files (x86)\AstroGrep\AstroGrep.exe" /spath="%USERPROFILE%\AppData\Local\Temp\OnboardLogs" /stypes="*4045*201702180*" /stext=" 07:.+((SYSTEM_STATE.+slice.+state.+changed )|(ment ac)|(multiple cpu faults)|(system.+state.+changed )|(\[timeout)|(PRM\|1\|D)|(kpr)|(kdp)|(\|lc)|(penalty))" /e /r /s</v>
      </c>
      <c r="U25" s="9" t="str">
        <f t="shared" si="2"/>
        <v>4045</v>
      </c>
      <c r="V25" s="32">
        <f t="shared" si="3"/>
        <v>42784.324548611112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{"issue":{"subject":"Onboard in-route failure","project_id":79,"tracker_id":40,"status_id":1,"priority_id":2,"assigned_to_id":23,"start_date":"2017-02-18","description":"","custom_fields":[{"id":1,"name":"Subdivision","value":"EC"},{"id":4,"name":"Milepost","value":"8.7902"},{"id":17,"name":"Train ID","value":"240-17"},{"id":16,"name":"Locomotive ID","value":"4045"},{"id":130,"name":"Impact","value":""},{"id":150,"name":"Time of Event (Mountain Time)","value":"00:47:21"},{"id":151,"name":"Denver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"%USERPROFILE%\AppData\Local\Temp\OnboardLogs"\RTDC4045\*4045*201702180*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"%USERPROFILE%\AppData\Local\Temp\OnboardLogs"\RTDC4045\*4045*201702180* &gt;&gt; 2017-02-17-SliceDisagreementCheck.txt</v>
      </c>
      <c r="AE25" s="157" t="str">
        <f t="shared" si="9"/>
        <v>start /low /b %USERPROFILE%\Documents\GitHub\eaglep3\Utilities\DownloadLogsFromS3.py --loco 4045 --day 2017-02-18</v>
      </c>
      <c r="AF25" s="1"/>
    </row>
    <row r="26" spans="1:32" x14ac:dyDescent="0.25">
      <c r="A26" s="32">
        <v>42783.414826388886</v>
      </c>
      <c r="B26" s="30" t="s">
        <v>221</v>
      </c>
      <c r="C26" s="30" t="s">
        <v>450</v>
      </c>
      <c r="D26" s="30" t="s">
        <v>98</v>
      </c>
      <c r="E26" s="30" t="s">
        <v>186</v>
      </c>
      <c r="F26" s="43">
        <v>0</v>
      </c>
      <c r="G26" s="43">
        <v>143</v>
      </c>
      <c r="H26" s="43">
        <v>231271</v>
      </c>
      <c r="I26" s="43">
        <v>230918</v>
      </c>
      <c r="J26" s="30" t="s">
        <v>187</v>
      </c>
      <c r="K26" s="43">
        <v>231650</v>
      </c>
      <c r="L26" s="143" t="s">
        <v>51</v>
      </c>
      <c r="M26" s="144">
        <f t="shared" si="0"/>
        <v>-386.49599999999998</v>
      </c>
      <c r="N26" s="145" t="str">
        <f>VLOOKUP(C26,'Trips&amp;Operators'!$C$1:$G$99999,5,FALSE)</f>
        <v>ROCHA YAOTL</v>
      </c>
      <c r="O26" s="194" t="s">
        <v>469</v>
      </c>
      <c r="P26" s="146" t="s">
        <v>858</v>
      </c>
      <c r="Q26" s="30"/>
      <c r="R26" s="89" t="str">
        <f>VLOOKUP(C26,'Train Runs'!$A$13:$AE$9953,31,0)</f>
        <v>aws s3 cp s3://rtdc.mdm.uploadarchive.raw/RTDC4045/ "%USERPROFILE%\AppData\Local\Temp\OnboardLogs"\RTDC4045\2017-02-17 --exclude "*" --recursive --include "*20170217*" &amp; "%USERPROFILE%\Documents\GitHub\mrs-test-scripts\Headless Mode &amp; Sideloading\WalkAndUnGZ.bat" "%USERPROFILE%\AppData\Local\Temp\OnboardLogs"\RTDC4045\2017-02-17 &amp; aws s3 cp s3://rtdc.mdm.uploadarchive.raw/RTDC4045/ "%USERPROFILE%\AppData\Local\Temp\OnboardLogs"\RTDC4045\2017-02-18 --exclude "*" --recursive --include "*20170218*" &amp; "%USERPROFILE%\Documents\GitHub\mrs-test-scripts\Headless Mode &amp; Sideloading\WalkAndUnGZ.bat" "%USERPROFILE%\AppData\Local\Temp\OnboardLogs"\RTDC4045\2017-02-18</v>
      </c>
      <c r="S26" s="92" t="str">
        <f>VLOOKUP(C26,'Train Runs'!$A$13:$AE$9953,22,0)</f>
        <v>https://d0f6bd738d7f1b3e5a7ca70fe4ff75f0.us-east-1.aws.found.io/app/kibana#/discover/Steve-Slow-Train-Analysis-(2080s-and-2083s)?_g=(refreshInterval:(display:Off,pause:!f,section:0,value:0),time:(from:'2017-02-17T09:10:00-0700',mode:absolute,to:'2017-02-17T11:33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6" s="94" t="str">
        <f t="shared" si="1"/>
        <v>"C:\Program Files (x86)\AstroGrep\AstroGrep.exe" /spath="%USERPROFILE%\AppData\Local\Temp\OnboardLogs" /stypes="*4045*201702171*" /stext=" 16:.+((SYSTEM_STATE.+slice.+state.+changed )|(ment ac)|(multiple cpu faults)|(system.+state.+changed )|(\[timeout)|(PRM\|1\|D)|(kpr)|(kdp)|(\|lc)|(penalty))" /e /r /s</v>
      </c>
      <c r="U26" s="9" t="str">
        <f t="shared" si="2"/>
        <v>4045</v>
      </c>
      <c r="V26" s="32">
        <f t="shared" si="3"/>
        <v>42783.70649305555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{"issue":{"subject":"Onboard in-route failure","project_id":79,"tracker_id":40,"status_id":1,"priority_id":2,"assigned_to_id":23,"start_date":"2017-02-17","description":"","custom_fields":[{"id":1,"name":"Subdivision","value":"EC"},{"id":4,"name":"Milepost","value":"23.165"},{"id":17,"name":"Train ID","value":"144-17"},{"id":16,"name":"Locomotive ID","value":"4045"},{"id":130,"name":"Impact","value":""},{"id":150,"name":"Time of Event (Mountain Time)","value":"09:57:21"},{"id":151,"name":"Denver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"%USERPROFILE%\AppData\Local\Temp\OnboardLogs"\RTDC4045\*4045*201702171*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"%USERPROFILE%\AppData\Local\Temp\OnboardLogs"\RTDC4045\*4045*201702171* &gt;&gt; 2017-02-17-SliceDisagreementCheck.txt</v>
      </c>
      <c r="AE26" s="157" t="str">
        <f t="shared" si="9"/>
        <v>start /low /b %USERPROFILE%\Documents\GitHub\eaglep3\Utilities\DownloadLogsFromS3.py --loco 4045 --day 2017-02-17</v>
      </c>
      <c r="AF26" s="1"/>
    </row>
    <row r="27" spans="1:32" x14ac:dyDescent="0.25">
      <c r="A27" s="32">
        <v>42783.222245370373</v>
      </c>
      <c r="B27" s="30" t="s">
        <v>289</v>
      </c>
      <c r="C27" s="30" t="s">
        <v>436</v>
      </c>
      <c r="D27" s="30" t="s">
        <v>49</v>
      </c>
      <c r="E27" s="30" t="s">
        <v>188</v>
      </c>
      <c r="F27" s="43">
        <v>0</v>
      </c>
      <c r="G27" s="43">
        <v>49</v>
      </c>
      <c r="H27" s="43">
        <v>180</v>
      </c>
      <c r="I27" s="43">
        <v>136</v>
      </c>
      <c r="J27" s="30" t="s">
        <v>189</v>
      </c>
      <c r="K27" s="43">
        <v>1</v>
      </c>
      <c r="L27" s="143" t="s">
        <v>51</v>
      </c>
      <c r="M27" s="144">
        <f t="shared" si="0"/>
        <v>71.28</v>
      </c>
      <c r="N27" s="145" t="str">
        <f>VLOOKUP(C27,'Trips&amp;Operators'!$C$1:$G$99999,5,FALSE)</f>
        <v>ACKERMAN JARED</v>
      </c>
      <c r="O27" s="194" t="s">
        <v>185</v>
      </c>
      <c r="P27" s="146"/>
      <c r="Q27" s="30"/>
      <c r="R27" s="89" t="str">
        <f>VLOOKUP(C27,'Train Runs'!$A$13:$AE$9953,31,0)</f>
        <v>aws s3 cp s3://rtdc.mdm.uploadarchive.raw/RTDC4017/ "%USERPROFILE%\AppData\Local\Temp\OnboardLogs"\RTDC4017\2017-02-17 --exclude "*" --recursive --include "*20170217*" &amp; "%USERPROFILE%\Documents\GitHub\mrs-test-scripts\Headless Mode &amp; Sideloading\WalkAndUnGZ.bat" "%USERPROFILE%\AppData\Local\Temp\OnboardLogs"\RTDC4017\2017-02-17 &amp; 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</v>
      </c>
      <c r="S27" s="92" t="str">
        <f>VLOOKUP(C27,'Train Runs'!$A$13:$AE$9953,22,0)</f>
        <v>https://d0f6bd738d7f1b3e5a7ca70fe4ff75f0.us-east-1.aws.found.io/app/kibana#/discover/Steve-Slow-Train-Analysis-(2080s-and-2083s)?_g=(refreshInterval:(display:Off,pause:!f,section:0,value:0),time:(from:'2017-02-17T03:30:29-0700',mode:absolute,to:'2017-02-17T06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7" s="94" t="str">
        <f t="shared" si="1"/>
        <v>"C:\Program Files (x86)\AstroGrep\AstroGrep.exe" /spath="%USERPROFILE%\AppData\Local\Temp\OnboardLogs" /stypes="*4017*201702171*" /stext=" 12:.+((SYSTEM_STATE.+slice.+state.+changed )|(ment ac)|(multiple cpu faults)|(system.+state.+changed )|(\[timeout)|(PRM\|1\|D)|(kpr)|(kdp)|(\|lc)|(penalty))" /e /r /s</v>
      </c>
      <c r="U27" s="9" t="str">
        <f t="shared" si="2"/>
        <v>4017</v>
      </c>
      <c r="V27" s="32">
        <f t="shared" si="3"/>
        <v>42783.513912037037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{"issue":{"subject":"","project_id":79,"tracker_id":40,"status_id":1,"priority_id":2,"assigned_to_id":23,"start_date":"2017-02-17","description":"","custom_fields":[{"id":1,"name":"Subdivision","value":"EC"},{"id":4,"name":"Milepost","value":"0.0001"},{"id":17,"name":"Train ID","value":"104-17"},{"id":16,"name":"Locomotive ID","value":"4017"},{"id":130,"name":"Impact","value":""},{"id":150,"name":"Time of Event (Mountain Time)","value":"05:20:02"},{"id":151,"name":"Denver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"%USERPROFILE%\AppData\Local\Temp\OnboardLogs"\RTDC4017\*4017*201702171*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"%USERPROFILE%\AppData\Local\Temp\OnboardLogs"\RTDC4017\*4017*201702171* &gt;&gt; 2017-02-17-SliceDisagreementCheck.txt</v>
      </c>
      <c r="AE27" s="157" t="str">
        <f t="shared" si="9"/>
        <v>start /low /b %USERPROFILE%\Documents\GitHub\eaglep3\Utilities\DownloadLogsFromS3.py --loco 4017 --day 2017-02-17</v>
      </c>
      <c r="AF27" s="1"/>
    </row>
    <row r="28" spans="1:32" x14ac:dyDescent="0.25">
      <c r="A28" s="32">
        <v>42783.244606481479</v>
      </c>
      <c r="B28" s="30" t="s">
        <v>274</v>
      </c>
      <c r="C28" s="30" t="s">
        <v>438</v>
      </c>
      <c r="D28" s="30" t="s">
        <v>49</v>
      </c>
      <c r="E28" s="30" t="s">
        <v>188</v>
      </c>
      <c r="F28" s="43">
        <v>0</v>
      </c>
      <c r="G28" s="43">
        <v>45</v>
      </c>
      <c r="H28" s="43">
        <v>269</v>
      </c>
      <c r="I28" s="43">
        <v>231</v>
      </c>
      <c r="J28" s="30" t="s">
        <v>189</v>
      </c>
      <c r="K28" s="43">
        <v>1</v>
      </c>
      <c r="L28" s="143" t="s">
        <v>51</v>
      </c>
      <c r="M28" s="144">
        <f t="shared" si="0"/>
        <v>121.44</v>
      </c>
      <c r="N28" s="145" t="str">
        <f>VLOOKUP(C28,'Trips&amp;Operators'!$C$1:$G$99999,5,FALSE)</f>
        <v>ROBINSON KADDIBA</v>
      </c>
      <c r="O28" s="194" t="s">
        <v>185</v>
      </c>
      <c r="P28" s="146"/>
      <c r="Q28" s="30"/>
      <c r="R28" s="89" t="str">
        <f>VLOOKUP(C28,'Train Runs'!$A$13:$AE$9953,31,0)</f>
        <v>aws s3 cp s3://rtdc.mdm.uploadarchive.raw/RTDC4032/ "%USERPROFILE%\AppData\Local\Temp\OnboardLogs"\RTDC4032\2017-02-17 --exclude "*" --recursive --include "*20170217*" &amp; "%USERPROFILE%\Documents\GitHub\mrs-test-scripts\Headless Mode &amp; Sideloading\WalkAndUnGZ.bat" "%USERPROFILE%\AppData\Local\Temp\OnboardLogs"\RTDC4032\2017-02-17 &amp; aws s3 cp s3://rtdc.mdm.uploadarchive.raw/RTDC4032/ "%USERPROFILE%\AppData\Local\Temp\OnboardLogs"\RTDC4032\2017-02-18 --exclude "*" --recursive --include "*20170218*" &amp; "%USERPROFILE%\Documents\GitHub\mrs-test-scripts\Headless Mode &amp; Sideloading\WalkAndUnGZ.bat" "%USERPROFILE%\AppData\Local\Temp\OnboardLogs"\RTDC4032\2017-02-18</v>
      </c>
      <c r="S28" s="92" t="str">
        <f>VLOOKUP(C28,'Train Runs'!$A$13:$AE$9953,22,0)</f>
        <v>https://d0f6bd738d7f1b3e5a7ca70fe4ff75f0.us-east-1.aws.found.io/app/kibana#/discover/Steve-Slow-Train-Analysis-(2080s-and-2083s)?_g=(refreshInterval:(display:Off,pause:!f,section:0,value:0),time:(from:'2017-02-17T03:58:17-0700',mode:absolute,to:'2017-02-17T06:53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8" s="94" t="str">
        <f t="shared" si="1"/>
        <v>"C:\Program Files (x86)\AstroGrep\AstroGrep.exe" /spath="%USERPROFILE%\AppData\Local\Temp\OnboardLogs" /stypes="*4032*201702171*" /stext=" 12:.+((SYSTEM_STATE.+slice.+state.+changed )|(ment ac)|(multiple cpu faults)|(system.+state.+changed )|(\[timeout)|(PRM\|1\|D)|(kpr)|(kdp)|(\|lc)|(penalty))" /e /r /s</v>
      </c>
      <c r="U28" s="9" t="str">
        <f t="shared" si="2"/>
        <v>4032</v>
      </c>
      <c r="V28" s="32">
        <f t="shared" si="3"/>
        <v>42783.536273148144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{"issue":{"subject":"","project_id":79,"tracker_id":40,"status_id":1,"priority_id":2,"assigned_to_id":23,"start_date":"2017-02-17","description":"","custom_fields":[{"id":1,"name":"Subdivision","value":"EC"},{"id":4,"name":"Milepost","value":"0.0001"},{"id":17,"name":"Train ID","value":"106-17"},{"id":16,"name":"Locomotive ID","value":"4032"},{"id":130,"name":"Impact","value":""},{"id":150,"name":"Time of Event (Mountain Time)","value":"05:52:14"},{"id":151,"name":"Denver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"%USERPROFILE%\AppData\Local\Temp\OnboardLogs"\RTDC4032\*4032*201702171*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"%USERPROFILE%\AppData\Local\Temp\OnboardLogs"\RTDC4032\*4032*201702171* &gt;&gt; 2017-02-17-SliceDisagreementCheck.txt</v>
      </c>
      <c r="AE28" s="157" t="str">
        <f t="shared" si="9"/>
        <v>start /low /b %USERPROFILE%\Documents\GitHub\eaglep3\Utilities\DownloadLogsFromS3.py --loco 4032 --day 2017-02-17</v>
      </c>
      <c r="AF28" s="1"/>
    </row>
    <row r="29" spans="1:32" x14ac:dyDescent="0.25">
      <c r="A29" s="32">
        <v>42783.286608796298</v>
      </c>
      <c r="B29" s="30" t="s">
        <v>223</v>
      </c>
      <c r="C29" s="30" t="s">
        <v>441</v>
      </c>
      <c r="D29" s="30" t="s">
        <v>49</v>
      </c>
      <c r="E29" s="30" t="s">
        <v>188</v>
      </c>
      <c r="F29" s="43">
        <v>0</v>
      </c>
      <c r="G29" s="43">
        <v>41</v>
      </c>
      <c r="H29" s="43">
        <v>154</v>
      </c>
      <c r="I29" s="43">
        <v>130</v>
      </c>
      <c r="J29" s="30" t="s">
        <v>189</v>
      </c>
      <c r="K29" s="43">
        <v>1</v>
      </c>
      <c r="L29" s="143" t="s">
        <v>51</v>
      </c>
      <c r="M29" s="144">
        <f t="shared" si="0"/>
        <v>68.111999999999995</v>
      </c>
      <c r="N29" s="145" t="str">
        <f>VLOOKUP(C29,'Trips&amp;Operators'!$C$1:$G$99999,5,FALSE)</f>
        <v>BADERTSCHER DIANE</v>
      </c>
      <c r="O29" s="194" t="s">
        <v>185</v>
      </c>
      <c r="P29" s="146"/>
      <c r="Q29" s="30"/>
      <c r="R29" s="89" t="str">
        <f>VLOOKUP(C29,'Train Runs'!$A$13:$AE$9953,31,0)</f>
        <v>aws s3 cp s3://rtdc.mdm.uploadarchive.raw/RTDC4028/ "%USERPROFILE%\AppData\Local\Temp\OnboardLogs"\RTDC4028\2017-02-17 --exclude "*" --recursive --include "*20170217*" &amp; "%USERPROFILE%\Documents\GitHub\mrs-test-scripts\Headless Mode &amp; Sideloading\WalkAndUnGZ.bat" "%USERPROFILE%\AppData\Local\Temp\OnboardLogs"\RTDC4028\2017-02-17 &amp; 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</v>
      </c>
      <c r="S29" s="92" t="str">
        <f>VLOOKUP(C29,'Train Runs'!$A$13:$AE$9953,22,0)</f>
        <v>https://d0f6bd738d7f1b3e5a7ca70fe4ff75f0.us-east-1.aws.found.io/app/kibana#/discover/Steve-Slow-Train-Analysis-(2080s-and-2083s)?_g=(refreshInterval:(display:Off,pause:!f,section:0,value:0),time:(from:'2017-02-17T04:58:35-0700',mode:absolute,to:'2017-02-17T07:52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9" s="94" t="str">
        <f t="shared" si="1"/>
        <v>"C:\Program Files (x86)\AstroGrep\AstroGrep.exe" /spath="%USERPROFILE%\AppData\Local\Temp\OnboardLogs" /stypes="*4028*201702171*" /stext=" 13:.+((SYSTEM_STATE.+slice.+state.+changed )|(ment ac)|(multiple cpu faults)|(system.+state.+changed )|(\[timeout)|(PRM\|1\|D)|(kpr)|(kdp)|(\|lc)|(penalty))" /e /r /s</v>
      </c>
      <c r="U29" s="9" t="str">
        <f t="shared" si="2"/>
        <v>4028</v>
      </c>
      <c r="V29" s="32">
        <f t="shared" si="3"/>
        <v>42783.578275462962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{"issue":{"subject":"","project_id":79,"tracker_id":40,"status_id":1,"priority_id":2,"assigned_to_id":23,"start_date":"2017-02-17","description":"","custom_fields":[{"id":1,"name":"Subdivision","value":"EC"},{"id":4,"name":"Milepost","value":"0.0001"},{"id":17,"name":"Train ID","value":"114-17"},{"id":16,"name":"Locomotive ID","value":"4028"},{"id":130,"name":"Impact","value":""},{"id":150,"name":"Time of Event (Mountain Time)","value":"06:52:43"},{"id":151,"name":"Denver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"%USERPROFILE%\AppData\Local\Temp\OnboardLogs"\RTDC4028\*4028*201702171*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"%USERPROFILE%\AppData\Local\Temp\OnboardLogs"\RTDC4028\*4028*201702171* &gt;&gt; 2017-02-17-SliceDisagreementCheck.txt</v>
      </c>
      <c r="AE29" s="157" t="str">
        <f t="shared" si="9"/>
        <v>start /low /b %USERPROFILE%\Documents\GitHub\eaglep3\Utilities\DownloadLogsFromS3.py --loco 4028 --day 2017-02-17</v>
      </c>
      <c r="AF29" s="1"/>
    </row>
    <row r="30" spans="1:32" x14ac:dyDescent="0.25">
      <c r="A30" s="32">
        <v>42783.305497685185</v>
      </c>
      <c r="B30" s="30" t="s">
        <v>289</v>
      </c>
      <c r="C30" s="30" t="s">
        <v>442</v>
      </c>
      <c r="D30" s="30" t="s">
        <v>49</v>
      </c>
      <c r="E30" s="30" t="s">
        <v>188</v>
      </c>
      <c r="F30" s="43">
        <v>0</v>
      </c>
      <c r="G30" s="43">
        <v>73</v>
      </c>
      <c r="H30" s="43">
        <v>260</v>
      </c>
      <c r="I30" s="43">
        <v>183</v>
      </c>
      <c r="J30" s="30" t="s">
        <v>189</v>
      </c>
      <c r="K30" s="43">
        <v>1</v>
      </c>
      <c r="L30" s="143" t="s">
        <v>51</v>
      </c>
      <c r="M30" s="144">
        <f t="shared" si="0"/>
        <v>96.096000000000004</v>
      </c>
      <c r="N30" s="145" t="str">
        <f>VLOOKUP(C30,'Trips&amp;Operators'!$C$1:$G$99999,5,FALSE)</f>
        <v>ACKERMAN JARED</v>
      </c>
      <c r="O30" s="194" t="s">
        <v>185</v>
      </c>
      <c r="P30" s="146"/>
      <c r="Q30" s="30"/>
      <c r="R30" s="89" t="str">
        <f>VLOOKUP(C30,'Train Runs'!$A$13:$AE$9953,31,0)</f>
        <v>aws s3 cp s3://rtdc.mdm.uploadarchive.raw/RTDC4017/ "%USERPROFILE%\AppData\Local\Temp\OnboardLogs"\RTDC4017\2017-02-17 --exclude "*" --recursive --include "*20170217*" &amp; "%USERPROFILE%\Documents\GitHub\mrs-test-scripts\Headless Mode &amp; Sideloading\WalkAndUnGZ.bat" "%USERPROFILE%\AppData\Local\Temp\OnboardLogs"\RTDC4017\2017-02-17 &amp; 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</v>
      </c>
      <c r="S30" s="92" t="str">
        <f>VLOOKUP(C30,'Train Runs'!$A$13:$AE$9953,22,0)</f>
        <v>https://d0f6bd738d7f1b3e5a7ca70fe4ff75f0.us-east-1.aws.found.io/app/kibana#/discover/Steve-Slow-Train-Analysis-(2080s-and-2083s)?_g=(refreshInterval:(display:Off,pause:!f,section:0,value:0),time:(from:'2017-02-17T05:31:59-0700',mode:absolute,to:'2017-02-17T08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0" s="94" t="str">
        <f t="shared" si="1"/>
        <v>"C:\Program Files (x86)\AstroGrep\AstroGrep.exe" /spath="%USERPROFILE%\AppData\Local\Temp\OnboardLogs" /stypes="*4017*201702171*" /stext=" 14:.+((SYSTEM_STATE.+slice.+state.+changed )|(ment ac)|(multiple cpu faults)|(system.+state.+changed )|(\[timeout)|(PRM\|1\|D)|(kpr)|(kdp)|(\|lc)|(penalty))" /e /r /s</v>
      </c>
      <c r="U30" s="9" t="str">
        <f t="shared" si="2"/>
        <v>4017</v>
      </c>
      <c r="V30" s="32">
        <f t="shared" si="3"/>
        <v>42783.59716435185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{"issue":{"subject":"","project_id":79,"tracker_id":40,"status_id":1,"priority_id":2,"assigned_to_id":23,"start_date":"2017-02-17","description":"","custom_fields":[{"id":1,"name":"Subdivision","value":"EC"},{"id":4,"name":"Milepost","value":"0.0001"},{"id":17,"name":"Train ID","value":"118-17"},{"id":16,"name":"Locomotive ID","value":"4017"},{"id":130,"name":"Impact","value":""},{"id":150,"name":"Time of Event (Mountain Time)","value":"07:19:55"},{"id":151,"name":"Denver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"%USERPROFILE%\AppData\Local\Temp\OnboardLogs"\RTDC4017\*4017*201702171*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"%USERPROFILE%\AppData\Local\Temp\OnboardLogs"\RTDC4017\*4017*201702171* &gt;&gt; 2017-02-17-SliceDisagreementCheck.txt</v>
      </c>
      <c r="AE30" s="157" t="str">
        <f t="shared" si="9"/>
        <v>start /low /b %USERPROFILE%\Documents\GitHub\eaglep3\Utilities\DownloadLogsFromS3.py --loco 4017 --day 2017-02-17</v>
      </c>
      <c r="AF30" s="1"/>
    </row>
    <row r="31" spans="1:32" x14ac:dyDescent="0.25">
      <c r="A31" s="32">
        <v>42783.305960648147</v>
      </c>
      <c r="B31" s="30" t="s">
        <v>289</v>
      </c>
      <c r="C31" s="30" t="s">
        <v>442</v>
      </c>
      <c r="D31" s="30" t="s">
        <v>49</v>
      </c>
      <c r="E31" s="30" t="s">
        <v>188</v>
      </c>
      <c r="F31" s="43">
        <v>0</v>
      </c>
      <c r="G31" s="43">
        <v>31</v>
      </c>
      <c r="H31" s="43">
        <v>110</v>
      </c>
      <c r="I31" s="43">
        <v>98</v>
      </c>
      <c r="J31" s="30" t="s">
        <v>189</v>
      </c>
      <c r="K31" s="43">
        <v>1</v>
      </c>
      <c r="L31" s="143" t="s">
        <v>51</v>
      </c>
      <c r="M31" s="144">
        <f t="shared" si="0"/>
        <v>51.216000000000001</v>
      </c>
      <c r="N31" s="145" t="str">
        <f>VLOOKUP(C31,'Trips&amp;Operators'!$C$1:$G$99999,5,FALSE)</f>
        <v>ACKERMAN JARED</v>
      </c>
      <c r="O31" s="194" t="s">
        <v>185</v>
      </c>
      <c r="P31" s="146"/>
      <c r="Q31" s="30"/>
      <c r="R31" s="89" t="str">
        <f>VLOOKUP(C31,'Train Runs'!$A$13:$AE$9953,31,0)</f>
        <v>aws s3 cp s3://rtdc.mdm.uploadarchive.raw/RTDC4017/ "%USERPROFILE%\AppData\Local\Temp\OnboardLogs"\RTDC4017\2017-02-17 --exclude "*" --recursive --include "*20170217*" &amp; "%USERPROFILE%\Documents\GitHub\mrs-test-scripts\Headless Mode &amp; Sideloading\WalkAndUnGZ.bat" "%USERPROFILE%\AppData\Local\Temp\OnboardLogs"\RTDC4017\2017-02-17 &amp; aws s3 cp s3://rtdc.mdm.uploadarchive.raw/RTDC4017/ "%USERPROFILE%\AppData\Local\Temp\OnboardLogs"\RTDC4017\2017-02-18 --exclude "*" --recursive --include "*20170218*" &amp; "%USERPROFILE%\Documents\GitHub\mrs-test-scripts\Headless Mode &amp; Sideloading\WalkAndUnGZ.bat" "%USERPROFILE%\AppData\Local\Temp\OnboardLogs"\RTDC4017\2017-02-18</v>
      </c>
      <c r="S31" s="92" t="str">
        <f>VLOOKUP(C31,'Train Runs'!$A$13:$AE$9953,22,0)</f>
        <v>https://d0f6bd738d7f1b3e5a7ca70fe4ff75f0.us-east-1.aws.found.io/app/kibana#/discover/Steve-Slow-Train-Analysis-(2080s-and-2083s)?_g=(refreshInterval:(display:Off,pause:!f,section:0,value:0),time:(from:'2017-02-17T05:31:59-0700',mode:absolute,to:'2017-02-17T08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1" s="94" t="str">
        <f t="shared" si="1"/>
        <v>"C:\Program Files (x86)\AstroGrep\AstroGrep.exe" /spath="%USERPROFILE%\AppData\Local\Temp\OnboardLogs" /stypes="*4017*201702171*" /stext=" 14:.+((SYSTEM_STATE.+slice.+state.+changed )|(ment ac)|(multiple cpu faults)|(system.+state.+changed )|(\[timeout)|(PRM\|1\|D)|(kpr)|(kdp)|(\|lc)|(penalty))" /e /r /s</v>
      </c>
      <c r="U31" s="9" t="str">
        <f t="shared" si="2"/>
        <v>4017</v>
      </c>
      <c r="V31" s="32">
        <f t="shared" si="3"/>
        <v>42783.597627314812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{"issue":{"subject":"","project_id":79,"tracker_id":40,"status_id":1,"priority_id":2,"assigned_to_id":23,"start_date":"2017-02-17","description":"","custom_fields":[{"id":1,"name":"Subdivision","value":"EC"},{"id":4,"name":"Milepost","value":"0.0001"},{"id":17,"name":"Train ID","value":"118-17"},{"id":16,"name":"Locomotive ID","value":"4017"},{"id":130,"name":"Impact","value":""},{"id":150,"name":"Time of Event (Mountain Time)","value":"07:20:35"},{"id":151,"name":"Denver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"%USERPROFILE%\AppData\Local\Temp\OnboardLogs"\RTDC4017\*4017*201702171*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"%USERPROFILE%\AppData\Local\Temp\OnboardLogs"\RTDC4017\*4017*201702171* &gt;&gt; 2017-02-17-SliceDisagreementCheck.txt</v>
      </c>
      <c r="AE31" s="157" t="str">
        <f t="shared" si="9"/>
        <v>start /low /b %USERPROFILE%\Documents\GitHub\eaglep3\Utilities\DownloadLogsFromS3.py --loco 4017 --day 2017-02-17</v>
      </c>
      <c r="AF31" s="1"/>
    </row>
    <row r="32" spans="1:32" x14ac:dyDescent="0.25">
      <c r="A32" s="32">
        <v>42783.751898148148</v>
      </c>
      <c r="B32" s="30" t="s">
        <v>210</v>
      </c>
      <c r="C32" s="30" t="s">
        <v>458</v>
      </c>
      <c r="D32" s="30" t="s">
        <v>49</v>
      </c>
      <c r="E32" s="30" t="s">
        <v>188</v>
      </c>
      <c r="F32" s="43">
        <v>0</v>
      </c>
      <c r="G32" s="43">
        <v>98</v>
      </c>
      <c r="H32" s="43">
        <v>1236</v>
      </c>
      <c r="I32" s="43">
        <v>1119</v>
      </c>
      <c r="J32" s="30" t="s">
        <v>189</v>
      </c>
      <c r="K32" s="43">
        <v>826</v>
      </c>
      <c r="L32" s="143" t="s">
        <v>51</v>
      </c>
      <c r="M32" s="144">
        <f t="shared" si="0"/>
        <v>154.70400000000001</v>
      </c>
      <c r="N32" s="145" t="str">
        <f>VLOOKUP(C32,'Trips&amp;Operators'!$C$1:$G$99999,5,FALSE)</f>
        <v>ROMERO CHAD</v>
      </c>
      <c r="O32" s="194" t="s">
        <v>185</v>
      </c>
      <c r="P32" s="146"/>
      <c r="Q32" s="30"/>
      <c r="R32" s="89" t="str">
        <f>VLOOKUP(C32,'Train Runs'!$A$13:$AE$9953,31,0)</f>
        <v>aws s3 cp s3://rtdc.mdm.uploadarchive.raw/RTDC4030/ "%USERPROFILE%\AppData\Local\Temp\OnboardLogs"\RTDC4030\2017-02-17 --exclude "*" --recursive --include "*20170217*" &amp; "%USERPROFILE%\Documents\GitHub\mrs-test-scripts\Headless Mode &amp; Sideloading\WalkAndUnGZ.bat" "%USERPROFILE%\AppData\Local\Temp\OnboardLogs"\RTDC4030\2017-02-17 &amp; aws s3 cp s3://rtdc.mdm.uploadarchive.raw/RTDC4030/ "%USERPROFILE%\AppData\Local\Temp\OnboardLogs"\RTDC4030\2017-02-18 --exclude "*" --recursive --include "*20170218*" &amp; "%USERPROFILE%\Documents\GitHub\mrs-test-scripts\Headless Mode &amp; Sideloading\WalkAndUnGZ.bat" "%USERPROFILE%\AppData\Local\Temp\OnboardLogs"\RTDC4030\2017-02-18</v>
      </c>
      <c r="S32" s="92" t="str">
        <f>VLOOKUP(C32,'Train Runs'!$A$13:$AE$9953,22,0)</f>
        <v>https://d0f6bd738d7f1b3e5a7ca70fe4ff75f0.us-east-1.aws.found.io/app/kibana#/discover/Steve-Slow-Train-Analysis-(2080s-and-2083s)?_g=(refreshInterval:(display:Off,pause:!f,section:0,value:0),time:(from:'2017-02-17T16:08:16-0700',mode:absolute,to:'2017-02-17T19:02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2" s="94" t="str">
        <f t="shared" si="1"/>
        <v>"C:\Program Files (x86)\AstroGrep\AstroGrep.exe" /spath="%USERPROFILE%\AppData\Local\Temp\OnboardLogs" /stypes="*4030*201702180*" /stext=" 01:.+((SYSTEM_STATE.+slice.+state.+changed )|(ment ac)|(multiple cpu faults)|(system.+state.+changed )|(\[timeout)|(PRM\|1\|D)|(kpr)|(kdp)|(\|lc)|(penalty))" /e /r /s</v>
      </c>
      <c r="U32" s="9" t="str">
        <f t="shared" si="2"/>
        <v>4030</v>
      </c>
      <c r="V32" s="32">
        <f t="shared" si="3"/>
        <v>42784.043564814812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{"issue":{"subject":"","project_id":79,"tracker_id":40,"status_id":1,"priority_id":2,"assigned_to_id":23,"start_date":"2017-02-17","description":"","custom_fields":[{"id":1,"name":"Subdivision","value":"EC"},{"id":4,"name":"Milepost","value":"0.0826"},{"id":17,"name":"Train ID","value":"204-17"},{"id":16,"name":"Locomotive ID","value":"4030"},{"id":130,"name":"Impact","value":""},{"id":150,"name":"Time of Event (Mountain Time)","value":"18:02:44"},{"id":151,"name":"Denver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"%USERPROFILE%\AppData\Local\Temp\OnboardLogs"\RTDC4030\*4030*201702180*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"%USERPROFILE%\AppData\Local\Temp\OnboardLogs"\RTDC4030\*4030*201702180* &gt;&gt; 2017-02-17-SliceDisagreementCheck.txt</v>
      </c>
      <c r="AE32" s="157" t="str">
        <f t="shared" si="9"/>
        <v>start /low /b %USERPROFILE%\Documents\GitHub\eaglep3\Utilities\DownloadLogsFromS3.py --loco 4030 --day 2017-02-18</v>
      </c>
      <c r="AF32" s="1"/>
    </row>
    <row r="33" spans="1:32" x14ac:dyDescent="0.25">
      <c r="A33" s="32">
        <v>42783.79478009259</v>
      </c>
      <c r="B33" s="30" t="s">
        <v>223</v>
      </c>
      <c r="C33" s="30" t="s">
        <v>463</v>
      </c>
      <c r="D33" s="30" t="s">
        <v>49</v>
      </c>
      <c r="E33" s="30" t="s">
        <v>188</v>
      </c>
      <c r="F33" s="43">
        <v>0</v>
      </c>
      <c r="G33" s="43">
        <v>62</v>
      </c>
      <c r="H33" s="43">
        <v>1080</v>
      </c>
      <c r="I33" s="43">
        <v>1015</v>
      </c>
      <c r="J33" s="30" t="s">
        <v>189</v>
      </c>
      <c r="K33" s="43">
        <v>826</v>
      </c>
      <c r="L33" s="143" t="s">
        <v>51</v>
      </c>
      <c r="M33" s="144">
        <f t="shared" si="0"/>
        <v>99.792000000000002</v>
      </c>
      <c r="N33" s="145" t="str">
        <f>VLOOKUP(C33,'Trips&amp;Operators'!$C$1:$G$99999,5,FALSE)</f>
        <v>KILLION DAVID</v>
      </c>
      <c r="O33" s="194" t="s">
        <v>185</v>
      </c>
      <c r="P33" s="146"/>
      <c r="Q33" s="30"/>
      <c r="R33" s="89" t="str">
        <f>VLOOKUP(C33,'Train Runs'!$A$13:$AE$9953,31,0)</f>
        <v>aws s3 cp s3://rtdc.mdm.uploadarchive.raw/RTDC4028/ "%USERPROFILE%\AppData\Local\Temp\OnboardLogs"\RTDC4028\2017-02-17 --exclude "*" --recursive --include "*20170217*" &amp; "%USERPROFILE%\Documents\GitHub\mrs-test-scripts\Headless Mode &amp; Sideloading\WalkAndUnGZ.bat" "%USERPROFILE%\AppData\Local\Temp\OnboardLogs"\RTDC4028\2017-02-17 &amp; aws s3 cp s3://rtdc.mdm.uploadarchive.raw/RTDC4028/ "%USERPROFILE%\AppData\Local\Temp\OnboardLogs"\RTDC4028\2017-02-18 --exclude "*" --recursive --include "*20170218*" &amp; "%USERPROFILE%\Documents\GitHub\mrs-test-scripts\Headless Mode &amp; Sideloading\WalkAndUnGZ.bat" "%USERPROFILE%\AppData\Local\Temp\OnboardLogs"\RTDC4028\2017-02-18</v>
      </c>
      <c r="S33" s="92" t="str">
        <f>VLOOKUP(C33,'Train Runs'!$A$13:$AE$9953,22,0)</f>
        <v>https://d0f6bd738d7f1b3e5a7ca70fe4ff75f0.us-east-1.aws.found.io/app/kibana#/discover/Steve-Slow-Train-Analysis-(2080s-and-2083s)?_g=(refreshInterval:(display:Off,pause:!f,section:0,value:0),time:(from:'2017-02-17T17:17:03-0700',mode:absolute,to:'2017-02-17T20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3" s="94" t="str">
        <f t="shared" si="1"/>
        <v>"C:\Program Files (x86)\AstroGrep\AstroGrep.exe" /spath="%USERPROFILE%\AppData\Local\Temp\OnboardLogs" /stypes="*4028*201702180*" /stext=" 02:.+((SYSTEM_STATE.+slice.+state.+changed )|(ment ac)|(multiple cpu faults)|(system.+state.+changed )|(\[timeout)|(PRM\|1\|D)|(kpr)|(kdp)|(\|lc)|(penalty))" /e /r /s</v>
      </c>
      <c r="U33" s="9" t="str">
        <f t="shared" si="2"/>
        <v>4028</v>
      </c>
      <c r="V33" s="32">
        <f t="shared" si="3"/>
        <v>42784.086446759255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{"issue":{"subject":"","project_id":79,"tracker_id":40,"status_id":1,"priority_id":2,"assigned_to_id":23,"start_date":"2017-02-17","description":"","custom_fields":[{"id":1,"name":"Subdivision","value":"EC"},{"id":4,"name":"Milepost","value":"0.0826"},{"id":17,"name":"Train ID","value":"212-17"},{"id":16,"name":"Locomotive ID","value":"4028"},{"id":130,"name":"Impact","value":""},{"id":150,"name":"Time of Event (Mountain Time)","value":"19:04:29"},{"id":151,"name":"Denver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"%USERPROFILE%\AppData\Local\Temp\OnboardLogs"\RTDC4028\*4028*201702180*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"%USERPROFILE%\AppData\Local\Temp\OnboardLogs"\RTDC4028\*4028*201702180* &gt;&gt; 2017-02-17-SliceDisagreementCheck.txt</v>
      </c>
      <c r="AE33" s="157" t="str">
        <f t="shared" si="9"/>
        <v>start /low /b %USERPROFILE%\Documents\GitHub\eaglep3\Utilities\DownloadLogsFromS3.py --loco 4028 --day 2017-02-18</v>
      </c>
      <c r="AF33" s="1"/>
    </row>
    <row r="34" spans="1:32" x14ac:dyDescent="0.25">
      <c r="A34" s="32">
        <v>42783.285949074074</v>
      </c>
      <c r="B34" s="30" t="s">
        <v>238</v>
      </c>
      <c r="C34" s="30" t="s">
        <v>440</v>
      </c>
      <c r="D34" s="30" t="s">
        <v>49</v>
      </c>
      <c r="E34" s="30" t="s">
        <v>188</v>
      </c>
      <c r="F34" s="43">
        <v>0</v>
      </c>
      <c r="G34" s="43">
        <v>70</v>
      </c>
      <c r="H34" s="43">
        <v>233186</v>
      </c>
      <c r="I34" s="43">
        <v>233282</v>
      </c>
      <c r="J34" s="30" t="s">
        <v>189</v>
      </c>
      <c r="K34" s="43">
        <v>233491</v>
      </c>
      <c r="L34" s="143" t="s">
        <v>50</v>
      </c>
      <c r="M34" s="144">
        <f t="shared" si="0"/>
        <v>110.352</v>
      </c>
      <c r="N34" s="145" t="str">
        <f>VLOOKUP(C34,'Trips&amp;Operators'!$C$1:$G$99999,5,FALSE)</f>
        <v>STARKS ANGELINA</v>
      </c>
      <c r="O34" s="194" t="s">
        <v>185</v>
      </c>
      <c r="P34" s="146"/>
      <c r="Q34" s="30"/>
      <c r="R34" s="89" t="str">
        <f>VLOOKUP(C34,'Train Runs'!$A$13:$AE$9953,31,0)</f>
        <v>aws s3 cp s3://rtdc.mdm.uploadarchive.raw/RTDC4025/ "%USERPROFILE%\AppData\Local\Temp\OnboardLogs"\RTDC4025\2017-02-17 --exclude "*" --recursive --include "*20170217*" &amp; "%USERPROFILE%\Documents\GitHub\mrs-test-scripts\Headless Mode &amp; Sideloading\WalkAndUnGZ.bat" "%USERPROFILE%\AppData\Local\Temp\OnboardLogs"\RTDC4025\2017-02-17 &amp; aws s3 cp s3://rtdc.mdm.uploadarchive.raw/RTDC4025/ "%USERPROFILE%\AppData\Local\Temp\OnboardLogs"\RTDC4025\2017-02-18 --exclude "*" --recursive --include "*20170218*" &amp; "%USERPROFILE%\Documents\GitHub\mrs-test-scripts\Headless Mode &amp; Sideloading\WalkAndUnGZ.bat" "%USERPROFILE%\AppData\Local\Temp\OnboardLogs"\RTDC4025\2017-02-18</v>
      </c>
      <c r="S34" s="92" t="str">
        <f>VLOOKUP(C34,'Train Runs'!$A$13:$AE$9953,22,0)</f>
        <v>https://d0f6bd738d7f1b3e5a7ca70fe4ff75f0.us-east-1.aws.found.io/app/kibana#/discover/Steve-Slow-Train-Analysis-(2080s-and-2083s)?_g=(refreshInterval:(display:Off,pause:!f,section:0,value:0),time:(from:'2017-02-17T05:11:29-0700',mode:absolute,to:'2017-02-17T07:51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4" s="94" t="str">
        <f t="shared" si="1"/>
        <v>"C:\Program Files (x86)\AstroGrep\AstroGrep.exe" /spath="%USERPROFILE%\AppData\Local\Temp\OnboardLogs" /stypes="*4025*201702171*" /stext=" 13:.+((SYSTEM_STATE.+slice.+state.+changed )|(ment ac)|(multiple cpu faults)|(system.+state.+changed )|(\[timeout)|(PRM\|1\|D)|(kpr)|(kdp)|(\|lc)|(penalty))" /e /r /s</v>
      </c>
      <c r="U34" s="9" t="str">
        <f t="shared" si="2"/>
        <v>4025</v>
      </c>
      <c r="V34" s="32">
        <f t="shared" si="3"/>
        <v>42783.577615740738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{"issue":{"subject":"","project_id":79,"tracker_id":40,"status_id":1,"priority_id":2,"assigned_to_id":23,"start_date":"2017-02-17","description":"","custom_fields":[{"id":1,"name":"Subdivision","value":"EC"},{"id":4,"name":"Milepost","value":"23.3491"},{"id":17,"name":"Train ID","value":"121-17"},{"id":16,"name":"Locomotive ID","value":"4025"},{"id":130,"name":"Impact","value":""},{"id":150,"name":"Time of Event (Mountain Time)","value":"06:51:46"},{"id":151,"name":"Denver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"%USERPROFILE%\AppData\Local\Temp\OnboardLogs"\RTDC4025\*4025*201702171*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"%USERPROFILE%\AppData\Local\Temp\OnboardLogs"\RTDC4025\*4025*201702171* &gt;&gt; 2017-02-17-SliceDisagreementCheck.txt</v>
      </c>
      <c r="AE34" s="157" t="str">
        <f t="shared" si="9"/>
        <v>start /low /b %USERPROFILE%\Documents\GitHub\eaglep3\Utilities\DownloadLogsFromS3.py --loco 4025 --day 2017-02-17</v>
      </c>
      <c r="AF34" s="1"/>
    </row>
    <row r="35" spans="1:32" x14ac:dyDescent="0.25">
      <c r="A35" s="32">
        <v>42783.350231481483</v>
      </c>
      <c r="B35" s="30" t="s">
        <v>235</v>
      </c>
      <c r="C35" s="30" t="s">
        <v>447</v>
      </c>
      <c r="D35" s="30" t="s">
        <v>49</v>
      </c>
      <c r="E35" s="30" t="s">
        <v>198</v>
      </c>
      <c r="F35" s="43">
        <v>0</v>
      </c>
      <c r="G35" s="43">
        <v>351</v>
      </c>
      <c r="H35" s="43">
        <v>10424</v>
      </c>
      <c r="I35" s="43">
        <v>11168</v>
      </c>
      <c r="J35" s="30" t="s">
        <v>199</v>
      </c>
      <c r="K35" s="43">
        <v>10714</v>
      </c>
      <c r="L35" s="143" t="s">
        <v>50</v>
      </c>
      <c r="M35" s="144">
        <f t="shared" si="0"/>
        <v>-239.71199999999999</v>
      </c>
      <c r="N35" s="145" t="str">
        <f>VLOOKUP(C35,'Trips&amp;Operators'!$C$1:$G$99999,5,FALSE)</f>
        <v>SHOOK JOHN</v>
      </c>
      <c r="O35" s="194" t="s">
        <v>185</v>
      </c>
      <c r="P35" s="146" t="s">
        <v>281</v>
      </c>
      <c r="Q35" s="30"/>
      <c r="R35" s="89" t="str">
        <f>VLOOKUP(C35,'Train Runs'!$A$13:$AE$9953,31,0)</f>
        <v>aws s3 cp s3://rtdc.mdm.uploadarchive.raw/RTDC4007/ "%USERPROFILE%\AppData\Local\Temp\OnboardLogs"\RTDC4007\2017-02-17 --exclude "*" --recursive --include "*20170217*" &amp; "%USERPROFILE%\Documents\GitHub\mrs-test-scripts\Headless Mode &amp; Sideloading\WalkAndUnGZ.bat" "%USERPROFILE%\AppData\Local\Temp\OnboardLogs"\RTDC4007\2017-02-17 &amp; aws s3 cp s3://rtdc.mdm.uploadarchive.raw/RTDC4007/ "%USERPROFILE%\AppData\Local\Temp\OnboardLogs"\RTDC4007\2017-02-18 --exclude "*" --recursive --include "*20170218*" &amp; "%USERPROFILE%\Documents\GitHub\mrs-test-scripts\Headless Mode &amp; Sideloading\WalkAndUnGZ.bat" "%USERPROFILE%\AppData\Local\Temp\OnboardLogs"\RTDC4007\2017-02-18</v>
      </c>
      <c r="S35" s="92" t="str">
        <f>VLOOKUP(C35,'Train Runs'!$A$13:$AE$9953,22,0)</f>
        <v>https://d0f6bd738d7f1b3e5a7ca70fe4ff75f0.us-east-1.aws.found.io/app/kibana#/discover/Steve-Slow-Train-Analysis-(2080s-and-2083s)?_g=(refreshInterval:(display:Off,pause:!f,section:0,value:0),time:(from:'2017-02-17T06:57:40-0700',mode:absolute,to:'2017-02-17T09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5" s="94" t="str">
        <f t="shared" si="1"/>
        <v>"C:\Program Files (x86)\AstroGrep\AstroGrep.exe" /spath="%USERPROFILE%\AppData\Local\Temp\OnboardLogs" /stypes="*4007*201702171*" /stext=" 15:.+((SYSTEM_STATE.+slice.+state.+changed )|(ment ac)|(multiple cpu faults)|(system.+state.+changed )|(\[timeout)|(PRM\|1\|D)|(kpr)|(kdp)|(\|lc)|(penalty))" /e /r /s</v>
      </c>
      <c r="U35" s="9" t="str">
        <f t="shared" si="2"/>
        <v>4007</v>
      </c>
      <c r="V35" s="32">
        <f t="shared" si="3"/>
        <v>42783.641898148147</v>
      </c>
      <c r="W35" s="46" t="str">
        <f t="shared" si="4"/>
        <v>NW</v>
      </c>
      <c r="X35" s="46" t="str">
        <f t="shared" si="5"/>
        <v>KEEP</v>
      </c>
      <c r="Y35" s="108" t="str">
        <f t="shared" si="6"/>
        <v>echo {"issue":{"subject":"Early arrival","project_id":79,"tracker_id":40,"status_id":1,"priority_id":2,"assigned_to_id":23,"start_date":"2017-02-17","description":"","custom_fields":[{"id":1,"name":"Subdivision","value":"NW"},{"id":4,"name":"Milepost","value":"1.0714"},{"id":17,"name":"Train ID","value":"811-17"},{"id":16,"name":"Locomotive ID","value":"4007"},{"id":130,"name":"Impact","value":""},{"id":150,"name":"Time of Event (Mountain Time)","value":"08:24:20"},{"id":151,"name":"Denver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"%USERPROFILE%\AppData\Local\Temp\OnboardLogs"\RTDC4007\*4007*201702171*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"%USERPROFILE%\AppData\Local\Temp\OnboardLogs"\RTDC4007\*4007*201702171* &gt;&gt; 2017-02-17-SliceDisagreementCheck.txt</v>
      </c>
      <c r="AE35" s="157" t="str">
        <f t="shared" si="9"/>
        <v>start /low /b %USERPROFILE%\Documents\GitHub\eaglep3\Utilities\DownloadLogsFromS3.py --loco 4007 --day 2017-02-17</v>
      </c>
      <c r="AF35" s="1"/>
    </row>
    <row r="36" spans="1:32" x14ac:dyDescent="0.25">
      <c r="A36" s="32">
        <v>42783.266944444447</v>
      </c>
      <c r="B36" s="30" t="s">
        <v>384</v>
      </c>
      <c r="C36" s="30" t="s">
        <v>439</v>
      </c>
      <c r="D36" s="30" t="s">
        <v>98</v>
      </c>
      <c r="E36" s="30" t="s">
        <v>186</v>
      </c>
      <c r="F36" s="43">
        <v>0</v>
      </c>
      <c r="G36" s="43">
        <v>140</v>
      </c>
      <c r="H36" s="43">
        <v>4770</v>
      </c>
      <c r="I36" s="43">
        <v>4552</v>
      </c>
      <c r="J36" s="30" t="s">
        <v>187</v>
      </c>
      <c r="K36" s="43">
        <v>4790</v>
      </c>
      <c r="L36" s="143" t="s">
        <v>51</v>
      </c>
      <c r="M36" s="144">
        <f t="shared" si="0"/>
        <v>-125.664</v>
      </c>
      <c r="N36" s="145" t="str">
        <f>VLOOKUP(C36,'Trips&amp;Operators'!$C$1:$G$99999,5,FALSE)</f>
        <v>GEBRETEKLE DAGNEW</v>
      </c>
      <c r="O36" s="194" t="s">
        <v>469</v>
      </c>
      <c r="P36" s="146" t="s">
        <v>863</v>
      </c>
      <c r="Q36" s="30"/>
      <c r="R36" s="89" t="str">
        <f>VLOOKUP(C36,'Train Runs'!$A$13:$AE$9953,31,0)</f>
        <v>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 &amp; aws s3 cp s3://rtdc.mdm.uploadarchive.raw/RTDC4013/ "%USERPROFILE%\AppData\Local\Temp\OnboardLogs"\RTDC4013\2017-02-18 --exclude "*" --recursive --include "*20170218*" &amp; "%USERPROFILE%\Documents\GitHub\mrs-test-scripts\Headless Mode &amp; Sideloading\WalkAndUnGZ.bat" "%USERPROFILE%\AppData\Local\Temp\OnboardLogs"\RTDC4013\2017-02-18</v>
      </c>
      <c r="S36" s="92" t="str">
        <f>VLOOKUP(C36,'Train Runs'!$A$13:$AE$9953,22,0)</f>
        <v>https://d0f6bd738d7f1b3e5a7ca70fe4ff75f0.us-east-1.aws.found.io/app/kibana#/discover/Steve-Slow-Train-Analysis-(2080s-and-2083s)?_g=(refreshInterval:(display:Off,pause:!f,section:0,value:0),time:(from:'2017-02-17T05:06:57-0700',mode:absolute,to:'2017-02-17T07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6" s="94" t="str">
        <f t="shared" si="1"/>
        <v>"C:\Program Files (x86)\AstroGrep\AstroGrep.exe" /spath="%USERPROFILE%\AppData\Local\Temp\OnboardLogs" /stypes="*4013*201702171*" /stext=" 13:.+((SYSTEM_STATE.+slice.+state.+changed )|(ment ac)|(multiple cpu faults)|(system.+state.+changed )|(\[timeout)|(PRM\|1\|D)|(kpr)|(kdp)|(\|lc)|(penalty))" /e /r /s</v>
      </c>
      <c r="U36" s="9" t="str">
        <f t="shared" si="2"/>
        <v>4013</v>
      </c>
      <c r="V36" s="32">
        <f t="shared" si="3"/>
        <v>42783.558611111112</v>
      </c>
      <c r="W36" s="46" t="str">
        <f t="shared" si="4"/>
        <v>NW</v>
      </c>
      <c r="X36" s="46" t="str">
        <f t="shared" si="5"/>
        <v>KEEP</v>
      </c>
      <c r="Y36" s="108" t="str">
        <f t="shared" si="6"/>
        <v>echo {"issue":{"subject":"Poor GPS under Delgany St Bridge","project_id":79,"tracker_id":40,"status_id":1,"priority_id":2,"assigned_to_id":23,"start_date":"2017-02-17","description":"At 06:24:13, DUS 28S dropped from PROCEED CAB to STOP while the train was still approaching the signal.","custom_fields":[{"id":1,"name":"Subdivision","value":"NW"},{"id":4,"name":"Milepost","value":"0.479"},{"id":17,"name":"Train ID","value":"802-17"},{"id":16,"name":"Locomotive ID","value":"4013"},{"id":130,"name":"Impact","value":"Enforcement"},{"id":150,"name":"Time of Event (Mountain Time)","value":"06:24:24"},{"id":151,"name":"Denver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36" s="48" t="s">
        <v>862</v>
      </c>
      <c r="AA36" s="48" t="s">
        <v>124</v>
      </c>
      <c r="AB36" s="48" t="s">
        <v>129</v>
      </c>
      <c r="AC36" s="127" t="str">
        <f t="shared" si="7"/>
        <v>grep -hSE -A400 "Enforcement Action" "%USERPROFILE%\AppData\Local\Temp\OnboardLogs"\RTDC4013\*4013*201702171*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"%USERPROFILE%\AppData\Local\Temp\OnboardLogs"\RTDC4013\*4013*201702171* &gt;&gt; 2017-02-17-SliceDisagreementCheck.txt</v>
      </c>
      <c r="AE36" s="157" t="str">
        <f t="shared" si="9"/>
        <v>start /low /b %USERPROFILE%\Documents\GitHub\eaglep3\Utilities\DownloadLogsFromS3.py --loco 4013 --day 2017-02-17</v>
      </c>
      <c r="AF36" s="1"/>
    </row>
    <row r="37" spans="1:32" x14ac:dyDescent="0.25">
      <c r="A37" s="32">
        <v>42783.225300925929</v>
      </c>
      <c r="B37" s="30" t="s">
        <v>384</v>
      </c>
      <c r="C37" s="30" t="s">
        <v>437</v>
      </c>
      <c r="D37" s="30" t="s">
        <v>49</v>
      </c>
      <c r="E37" s="30" t="s">
        <v>188</v>
      </c>
      <c r="F37" s="43">
        <v>0</v>
      </c>
      <c r="G37" s="43">
        <v>57</v>
      </c>
      <c r="H37" s="43">
        <v>754</v>
      </c>
      <c r="I37" s="43">
        <v>710</v>
      </c>
      <c r="J37" s="30" t="s">
        <v>189</v>
      </c>
      <c r="K37" s="43">
        <v>575</v>
      </c>
      <c r="L37" s="143" t="s">
        <v>51</v>
      </c>
      <c r="M37" s="144">
        <f t="shared" si="0"/>
        <v>71.28</v>
      </c>
      <c r="N37" s="145" t="str">
        <f>VLOOKUP(C37,'Trips&amp;Operators'!$C$1:$G$99999,5,FALSE)</f>
        <v>GEBRETEKLE DAGNEW</v>
      </c>
      <c r="O37" s="194" t="s">
        <v>185</v>
      </c>
      <c r="P37" s="146"/>
      <c r="Q37" s="30"/>
      <c r="R37" s="89" t="str">
        <f>VLOOKUP(C37,'Train Runs'!$A$13:$AE$9953,31,0)</f>
        <v>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 &amp; aws s3 cp s3://rtdc.mdm.uploadarchive.raw/RTDC4013/ "%USERPROFILE%\AppData\Local\Temp\OnboardLogs"\RTDC4013\2017-02-18 --exclude "*" --recursive --include "*20170218*" &amp; "%USERPROFILE%\Documents\GitHub\mrs-test-scripts\Headless Mode &amp; Sideloading\WalkAndUnGZ.bat" "%USERPROFILE%\AppData\Local\Temp\OnboardLogs"\RTDC4013\2017-02-18</v>
      </c>
      <c r="S37" s="92" t="str">
        <f>VLOOKUP(C37,'Train Runs'!$A$13:$AE$9953,22,0)</f>
        <v>https://d0f6bd738d7f1b3e5a7ca70fe4ff75f0.us-east-1.aws.found.io/app/kibana#/discover/Steve-Slow-Train-Analysis-(2080s-and-2083s)?_g=(refreshInterval:(display:Off,pause:!f,section:0,value:0),time:(from:'2017-02-17T04:01:05-0700',mode:absolute,to:'2017-02-17T06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7" s="94" t="str">
        <f t="shared" si="1"/>
        <v>"C:\Program Files (x86)\AstroGrep\AstroGrep.exe" /spath="%USERPROFILE%\AppData\Local\Temp\OnboardLogs" /stypes="*4013*201702171*" /stext=" 12:.+((SYSTEM_STATE.+slice.+state.+changed )|(ment ac)|(multiple cpu faults)|(system.+state.+changed )|(\[timeout)|(PRM\|1\|D)|(kpr)|(kdp)|(\|lc)|(penalty))" /e /r /s</v>
      </c>
      <c r="U37" s="9" t="str">
        <f t="shared" si="2"/>
        <v>4013</v>
      </c>
      <c r="V37" s="32">
        <f t="shared" si="3"/>
        <v>42783.516967592594</v>
      </c>
      <c r="W37" s="46" t="str">
        <f t="shared" si="4"/>
        <v>NW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{"issue":{"subject":"","project_id":79,"tracker_id":40,"status_id":1,"priority_id":2,"assigned_to_id":23,"start_date":"2017-02-17","description":"","custom_fields":[{"id":1,"name":"Subdivision","value":"NW"},{"id":4,"name":"Milepost","value":"0.0575"},{"id":17,"name":"Train ID","value":"800-17"},{"id":16,"name":"Locomotive ID","value":"4013"},{"id":130,"name":"Impact","value":""},{"id":150,"name":"Time of Event (Mountain Time)","value":"05:24:26"},{"id":151,"name":"Denver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"%USERPROFILE%\AppData\Local\Temp\OnboardLogs"\RTDC4013\*4013*201702171*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"%USERPROFILE%\AppData\Local\Temp\OnboardLogs"\RTDC4013\*4013*201702171* &gt;&gt; 2017-02-17-SliceDisagreementCheck.txt</v>
      </c>
      <c r="AE37" s="157" t="str">
        <f t="shared" si="9"/>
        <v>start /low /b %USERPROFILE%\Documents\GitHub\eaglep3\Utilities\DownloadLogsFromS3.py --loco 4013 --day 2017-02-17</v>
      </c>
      <c r="AF37" s="1"/>
    </row>
    <row r="38" spans="1:32" x14ac:dyDescent="0.25">
      <c r="A38" s="32">
        <v>42783.753275462965</v>
      </c>
      <c r="B38" s="30" t="s">
        <v>380</v>
      </c>
      <c r="C38" s="30" t="s">
        <v>459</v>
      </c>
      <c r="D38" s="30" t="s">
        <v>49</v>
      </c>
      <c r="E38" s="30" t="s">
        <v>188</v>
      </c>
      <c r="F38" s="43">
        <v>0</v>
      </c>
      <c r="G38" s="43">
        <v>89</v>
      </c>
      <c r="H38" s="43">
        <v>58764</v>
      </c>
      <c r="I38" s="43">
        <v>58858</v>
      </c>
      <c r="J38" s="30" t="s">
        <v>189</v>
      </c>
      <c r="K38" s="43">
        <v>59048</v>
      </c>
      <c r="L38" s="143" t="s">
        <v>50</v>
      </c>
      <c r="M38" s="144">
        <f t="shared" si="0"/>
        <v>100.32</v>
      </c>
      <c r="N38" s="145" t="str">
        <f>VLOOKUP(C38,'Trips&amp;Operators'!$C$1:$G$99999,5,FALSE)</f>
        <v>SMITH MICHAEL</v>
      </c>
      <c r="O38" s="194" t="s">
        <v>185</v>
      </c>
      <c r="P38" s="146"/>
      <c r="Q38" s="30"/>
      <c r="R38" s="89" t="str">
        <f>VLOOKUP(C38,'Train Runs'!$A$13:$AE$9953,31,0)</f>
        <v>aws s3 cp s3://rtdc.mdm.uploadarchive.raw/RTDC4014/ "%USERPROFILE%\AppData\Local\Temp\OnboardLogs"\RTDC4014\2017-02-17 --exclude "*" --recursive --include "*20170217*" &amp; "%USERPROFILE%\Documents\GitHub\mrs-test-scripts\Headless Mode &amp; Sideloading\WalkAndUnGZ.bat" "%USERPROFILE%\AppData\Local\Temp\OnboardLogs"\RTDC4014\2017-02-17 &amp; aws s3 cp s3://rtdc.mdm.uploadarchive.raw/RTDC4014/ "%USERPROFILE%\AppData\Local\Temp\OnboardLogs"\RTDC4014\2017-02-18 --exclude "*" --recursive --include "*20170218*" &amp; "%USERPROFILE%\Documents\GitHub\mrs-test-scripts\Headless Mode &amp; Sideloading\WalkAndUnGZ.bat" "%USERPROFILE%\AppData\Local\Temp\OnboardLogs"\RTDC4014\2017-02-18</v>
      </c>
      <c r="S38" s="92" t="str">
        <f>VLOOKUP(C38,'Train Runs'!$A$13:$AE$9953,22,0)</f>
        <v>https://d0f6bd738d7f1b3e5a7ca70fe4ff75f0.us-east-1.aws.found.io/app/kibana#/discover/Steve-Slow-Train-Analysis-(2080s-and-2083s)?_g=(refreshInterval:(display:Off,pause:!f,section:0,value:0),time:(from:'2017-02-17T16:37:55-0700',mode:absolute,to:'2017-02-17T19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8" s="94" t="str">
        <f t="shared" si="1"/>
        <v>"C:\Program Files (x86)\AstroGrep\AstroGrep.exe" /spath="%USERPROFILE%\AppData\Local\Temp\OnboardLogs" /stypes="*4014*201702180*" /stext=" 01:.+((SYSTEM_STATE.+slice.+state.+changed )|(ment ac)|(multiple cpu faults)|(system.+state.+changed )|(\[timeout)|(PRM\|1\|D)|(kpr)|(kdp)|(\|lc)|(penalty))" /e /r /s</v>
      </c>
      <c r="U38" s="9" t="str">
        <f t="shared" si="2"/>
        <v>4014</v>
      </c>
      <c r="V38" s="32">
        <f t="shared" si="3"/>
        <v>42784.044942129629</v>
      </c>
      <c r="W38" s="46" t="str">
        <f t="shared" si="4"/>
        <v>NW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{"issue":{"subject":"","project_id":79,"tracker_id":40,"status_id":1,"priority_id":2,"assigned_to_id":23,"start_date":"2017-02-17","description":"","custom_fields":[{"id":1,"name":"Subdivision","value":"NW"},{"id":4,"name":"Milepost","value":"5.9048"},{"id":17,"name":"Train ID","value":"835-17"},{"id":16,"name":"Locomotive ID","value":"4014"},{"id":130,"name":"Impact","value":""},{"id":150,"name":"Time of Event (Mountain Time)","value":"18:04:43"},{"id":151,"name":"Denver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"%USERPROFILE%\AppData\Local\Temp\OnboardLogs"\RTDC4014\*4014*201702180*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"%USERPROFILE%\AppData\Local\Temp\OnboardLogs"\RTDC4014\*4014*201702180* &gt;&gt; 2017-02-17-SliceDisagreementCheck.txt</v>
      </c>
      <c r="AE38" s="157" t="str">
        <f t="shared" si="9"/>
        <v>start /low /b %USERPROFILE%\Documents\GitHub\eaglep3\Utilities\DownloadLogsFromS3.py --loco 4014 --day 2017-02-18</v>
      </c>
      <c r="AF38" s="1"/>
    </row>
    <row r="39" spans="1:32" x14ac:dyDescent="0.25">
      <c r="A39" s="32">
        <v>42783.800821759258</v>
      </c>
      <c r="B39" s="30" t="s">
        <v>224</v>
      </c>
      <c r="C39" s="30" t="s">
        <v>464</v>
      </c>
      <c r="D39" s="30" t="s">
        <v>49</v>
      </c>
      <c r="E39" s="30" t="s">
        <v>198</v>
      </c>
      <c r="F39" s="43">
        <v>360</v>
      </c>
      <c r="G39" s="43">
        <v>423</v>
      </c>
      <c r="H39" s="43">
        <v>8111</v>
      </c>
      <c r="I39" s="43">
        <v>9556</v>
      </c>
      <c r="J39" s="30" t="s">
        <v>199</v>
      </c>
      <c r="K39" s="43">
        <v>10716</v>
      </c>
      <c r="L39" s="143" t="s">
        <v>50</v>
      </c>
      <c r="M39" s="144">
        <f t="shared" si="0"/>
        <v>612.48</v>
      </c>
      <c r="N39" s="145" t="str">
        <f>VLOOKUP(C39,'Trips&amp;Operators'!$C$1:$G$99999,5,FALSE)</f>
        <v>KILLION DAVID</v>
      </c>
      <c r="O39" s="194" t="s">
        <v>185</v>
      </c>
      <c r="P39" s="146"/>
      <c r="Q39" s="30"/>
      <c r="R39" s="89" t="str">
        <f>VLOOKUP(C39,'Train Runs'!$A$13:$AE$9953,31,0)</f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S39" s="92" t="str">
        <f>VLOOKUP(C39,'Train Runs'!$A$13:$AE$9953,22,0)</f>
        <v>https://d0f6bd738d7f1b3e5a7ca70fe4ff75f0.us-east-1.aws.found.io/app/kibana#/discover/Steve-Slow-Train-Analysis-(2080s-and-2083s)?_g=(refreshInterval:(display:Off,pause:!f,section:0,value:0),time:(from:'2017-02-17T18:07:48-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9" s="94" t="str">
        <f t="shared" si="1"/>
        <v>"C:\Program Files (x86)\AstroGrep\AstroGrep.exe" /spath="%USERPROFILE%\AppData\Local\Temp\OnboardLogs" /stypes="*4027*201702180*" /stext=" 02:.+((SYSTEM_STATE.+slice.+state.+changed )|(ment ac)|(multiple cpu faults)|(system.+state.+changed )|(\[timeout)|(PRM\|1\|D)|(kpr)|(kdp)|(\|lc)|(penalty))" /e /r /s</v>
      </c>
      <c r="U39" s="9" t="str">
        <f t="shared" si="2"/>
        <v>4027</v>
      </c>
      <c r="V39" s="32">
        <f t="shared" si="3"/>
        <v>42784.092488425922</v>
      </c>
      <c r="W39" s="46" t="str">
        <f t="shared" si="4"/>
        <v>Other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{"issue":{"subject":"","project_id":79,"tracker_id":40,"status_id":1,"priority_id":2,"assigned_to_id":23,"start_date":"2017-02-17","description":"","custom_fields":[{"id":1,"name":"Subdivision","value":"Other"},{"id":4,"name":"Milepost","value":"1.0716"},{"id":17,"name":"Train ID","value":"305-17"},{"id":16,"name":"Locomotive ID","value":"4027"},{"id":130,"name":"Impact","value":""},{"id":150,"name":"Time of Event (Mountain Time)","value":"19:13:11"},{"id":151,"name":"Denver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7"/>
        <v>grep -hSE -A400 "Enforcement Action" "%USERPROFILE%\AppData\Local\Temp\OnboardLogs"\RTDC4027\*4027*201702180*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"%USERPROFILE%\AppData\Local\Temp\OnboardLogs"\RTDC4027\*4027*201702180* &gt;&gt; 2017-02-17-SliceDisagreementCheck.txt</v>
      </c>
      <c r="AE39" s="157" t="str">
        <f t="shared" si="9"/>
        <v>start /low /b %USERPROFILE%\Documents\GitHub\eaglep3\Utilities\DownloadLogsFromS3.py --loco 4027 --day 2017-02-18</v>
      </c>
      <c r="AF39" s="1"/>
    </row>
    <row r="40" spans="1:32" x14ac:dyDescent="0.25">
      <c r="A40" s="32">
        <v>42783.647141203706</v>
      </c>
      <c r="B40" s="30" t="s">
        <v>384</v>
      </c>
      <c r="C40" s="30" t="s">
        <v>455</v>
      </c>
      <c r="D40" s="30" t="s">
        <v>49</v>
      </c>
      <c r="E40" s="30" t="s">
        <v>445</v>
      </c>
      <c r="F40" s="43">
        <v>450</v>
      </c>
      <c r="G40" s="43">
        <v>514</v>
      </c>
      <c r="H40" s="43">
        <v>16170</v>
      </c>
      <c r="I40" s="43">
        <v>14460</v>
      </c>
      <c r="J40" s="30" t="s">
        <v>446</v>
      </c>
      <c r="K40" s="43">
        <v>14402</v>
      </c>
      <c r="L40" s="143" t="s">
        <v>51</v>
      </c>
      <c r="M40" s="144">
        <f t="shared" si="0"/>
        <v>30.623999999999999</v>
      </c>
      <c r="N40" s="145" t="str">
        <f>VLOOKUP(C40,'Trips&amp;Operators'!$C$1:$G$99999,5,FALSE)</f>
        <v>SMITH MICHAEL</v>
      </c>
      <c r="O40" s="194" t="s">
        <v>185</v>
      </c>
      <c r="P40" s="146"/>
      <c r="Q40" s="30"/>
      <c r="R40" s="89" t="str">
        <f>VLOOKUP(C40,'Train Runs'!$A$13:$AE$9953,31,0)</f>
        <v>aws s3 cp s3://rtdc.mdm.uploadarchive.raw/RTDC4013/ "%USERPROFILE%\AppData\Local\Temp\OnboardLogs"\RTDC4013\2017-02-17 --exclude "*" --recursive --include "*20170217*" &amp; "%USERPROFILE%\Documents\GitHub\mrs-test-scripts\Headless Mode &amp; Sideloading\WalkAndUnGZ.bat" "%USERPROFILE%\AppData\Local\Temp\OnboardLogs"\RTDC4013\2017-02-17 &amp; aws s3 cp s3://rtdc.mdm.uploadarchive.raw/RTDC4013/ "%USERPROFILE%\AppData\Local\Temp\OnboardLogs"\RTDC4013\2017-02-18 --exclude "*" --recursive --include "*20170218*" &amp; "%USERPROFILE%\Documents\GitHub\mrs-test-scripts\Headless Mode &amp; Sideloading\WalkAndUnGZ.bat" "%USERPROFILE%\AppData\Local\Temp\OnboardLogs"\RTDC4013\2017-02-18</v>
      </c>
      <c r="S40" s="92" t="str">
        <f>VLOOKUP(C40,'Train Runs'!$A$13:$AE$9953,22,0)</f>
        <v>https://d0f6bd738d7f1b3e5a7ca70fe4ff75f0.us-east-1.aws.found.io/app/kibana#/discover/Steve-Slow-Train-Analysis-(2080s-and-2083s)?_g=(refreshInterval:(display:Off,pause:!f,section:0,value:0),time:(from:'2017-02-17T14:25:06-0700',mode:absolute,to:'2017-02-17T16:38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0" s="94" t="str">
        <f t="shared" si="1"/>
        <v>"C:\Program Files (x86)\AstroGrep\AstroGrep.exe" /spath="%USERPROFILE%\AppData\Local\Temp\OnboardLogs" /stypes="*4013*201702172*" /stext=" 22:.+((SYSTEM_STATE.+slice.+state.+changed )|(ment ac)|(multiple cpu faults)|(system.+state.+changed )|(\[timeout)|(PRM\|1\|D)|(kpr)|(kdp)|(\|lc)|(penalty))" /e /r /s</v>
      </c>
      <c r="U40" s="9" t="str">
        <f t="shared" si="2"/>
        <v>4013</v>
      </c>
      <c r="V40" s="32">
        <f t="shared" si="3"/>
        <v>42783.938807870371</v>
      </c>
      <c r="W40" s="46" t="str">
        <f t="shared" si="4"/>
        <v>Other</v>
      </c>
      <c r="X40" s="46" t="str">
        <f t="shared" si="5"/>
        <v>KEEP</v>
      </c>
      <c r="Y40" s="108" t="str">
        <f t="shared" si="6"/>
        <v>echo {"issue":{"subject":"","project_id":79,"tracker_id":40,"status_id":1,"priority_id":2,"assigned_to_id":23,"start_date":"2017-02-17","description":"","custom_fields":[{"id":1,"name":"Subdivision","value":"Other"},{"id":4,"name":"Milepost","value":"1.4402"},{"id":17,"name":"Train ID","value":"904-17"},{"id":16,"name":"Locomotive ID","value":"4013"},{"id":130,"name":"Impact","value":""},{"id":150,"name":"Time of Event (Mountain Time)","value":"15:31:53"},{"id":151,"name":"Denver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7"/>
        <v>grep -hSE -A400 "Enforcement Action" "%USERPROFILE%\AppData\Local\Temp\OnboardLogs"\RTDC4013\*4013*201702172*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"%USERPROFILE%\AppData\Local\Temp\OnboardLogs"\RTDC4013\*4013*201702172* &gt;&gt; 2017-02-17-SliceDisagreementCheck.txt</v>
      </c>
      <c r="AE40" s="157" t="str">
        <f t="shared" si="9"/>
        <v>start /low /b %USERPROFILE%\Documents\GitHub\eaglep3\Utilities\DownloadLogsFromS3.py --loco 4013 --day 2017-02-17</v>
      </c>
      <c r="AF40" s="1"/>
    </row>
    <row r="41" spans="1:32" x14ac:dyDescent="0.25">
      <c r="A41" s="32">
        <v>42783.77134259259</v>
      </c>
      <c r="B41" s="30" t="s">
        <v>229</v>
      </c>
      <c r="C41" s="30" t="s">
        <v>461</v>
      </c>
      <c r="D41" s="30" t="s">
        <v>98</v>
      </c>
      <c r="E41" s="30" t="s">
        <v>186</v>
      </c>
      <c r="F41" s="43">
        <v>0</v>
      </c>
      <c r="G41" s="43">
        <v>84</v>
      </c>
      <c r="H41" s="43">
        <v>1838</v>
      </c>
      <c r="I41" s="43">
        <v>1878</v>
      </c>
      <c r="J41" s="30" t="s">
        <v>187</v>
      </c>
      <c r="K41" s="43">
        <v>1725</v>
      </c>
      <c r="L41" s="143" t="s">
        <v>50</v>
      </c>
      <c r="M41" s="144">
        <f t="shared" si="0"/>
        <v>-80.784000000000006</v>
      </c>
      <c r="N41" s="145" t="str">
        <f>VLOOKUP(C41,'Trips&amp;Operators'!$C$1:$G$99999,5,FALSE)</f>
        <v>ROMERO CHAD</v>
      </c>
      <c r="O41" s="194" t="s">
        <v>185</v>
      </c>
      <c r="P41" s="146"/>
      <c r="Q41" s="30"/>
      <c r="R41" s="89" t="str">
        <f>VLOOKUP(C41,'Train Runs'!$A$13:$AE$9953,31,0)</f>
        <v>aws s3 cp s3://rtdc.mdm.uploadarchive.raw/RTDC4029/ "%USERPROFILE%\AppData\Local\Temp\OnboardLogs"\RTDC4029\2017-02-17 --exclude "*" --recursive --include "*20170217*" &amp; "%USERPROFILE%\Documents\GitHub\mrs-test-scripts\Headless Mode &amp; Sideloading\WalkAndUnGZ.bat" "%USERPROFILE%\AppData\Local\Temp\OnboardLogs"\RTDC4029\2017-02-17 &amp; aws s3 cp s3://rtdc.mdm.uploadarchive.raw/RTDC4029/ "%USERPROFILE%\AppData\Local\Temp\OnboardLogs"\RTDC4029\2017-02-18 --exclude "*" --recursive --include "*20170218*" &amp; "%USERPROFILE%\Documents\GitHub\mrs-test-scripts\Headless Mode &amp; Sideloading\WalkAndUnGZ.bat" "%USERPROFILE%\AppData\Local\Temp\OnboardLogs"\RTDC4029\2017-02-18</v>
      </c>
      <c r="S41" s="92" t="str">
        <f>VLOOKUP(C41,'Train Runs'!$A$13:$AE$9953,22,0)</f>
        <v>https://d0f6bd738d7f1b3e5a7ca70fe4ff75f0.us-east-1.aws.found.io/app/kibana#/discover/Steve-Slow-Train-Analysis-(2080s-and-2083s)?_g=(refreshInterval:(display:Off,pause:!f,section:0,value:0),time:(from:'2017-02-17T17:07:27-0700',mode:absolute,to:'2017-02-17T19:30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1" s="94" t="str">
        <f t="shared" si="1"/>
        <v>"C:\Program Files (x86)\AstroGrep\AstroGrep.exe" /spath="%USERPROFILE%\AppData\Local\Temp\OnboardLogs" /stypes="*4029*201702180*" /stext=" 01:.+((SYSTEM_STATE.+slice.+state.+changed )|(ment ac)|(multiple cpu faults)|(system.+state.+changed )|(\[timeout)|(PRM\|1\|D)|(kpr)|(kdp)|(\|lc)|(penalty))" /e /r /s</v>
      </c>
      <c r="U41" s="9" t="str">
        <f t="shared" si="2"/>
        <v>4029</v>
      </c>
      <c r="V41" s="32">
        <f t="shared" si="3"/>
        <v>42784.063009259255</v>
      </c>
      <c r="W41" s="46" t="str">
        <f t="shared" si="4"/>
        <v>Other</v>
      </c>
      <c r="X41" s="46" t="str">
        <f t="shared" si="5"/>
        <v>KEEP</v>
      </c>
      <c r="Y41" s="108" t="str">
        <f t="shared" si="6"/>
        <v>echo {"issue":{"subject":"","project_id":79,"tracker_id":40,"status_id":1,"priority_id":2,"assigned_to_id":23,"start_date":"2017-02-17","description":"","custom_fields":[{"id":1,"name":"Subdivision","value":"Other"},{"id":4,"name":"Milepost","value":"0.1725"},{"id":17,"name":"Train ID","value":"77-17"},{"id":16,"name":"Locomotive ID","value":"4029"},{"id":130,"name":"Impact","value":""},{"id":150,"name":"Time of Event (Mountain Time)","value":"18:30:44"},{"id":151,"name":"Denver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7"/>
        <v>grep -hSE -A400 "Enforcement Action" "%USERPROFILE%\AppData\Local\Temp\OnboardLogs"\RTDC4029\*4029*201702180*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"%USERPROFILE%\AppData\Local\Temp\OnboardLogs"\RTDC4029\*4029*201702180* &gt;&gt; 2017-02-17-SliceDisagreementCheck.txt</v>
      </c>
      <c r="AE41" s="157" t="str">
        <f t="shared" si="9"/>
        <v>start /low /b %USERPROFILE%\Documents\GitHub\eaglep3\Utilities\DownloadLogsFromS3.py --loco 4029 --day 2017-02-18</v>
      </c>
      <c r="AF41" s="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</sheetData>
  <autoFilter ref="A6:AC47">
    <sortState ref="A7:AC48">
      <sortCondition ref="W7:W42"/>
      <sortCondition ref="E7:E42"/>
      <sortCondition ref="K7:K42"/>
      <sortCondition ref="F7:F42"/>
    </sortState>
  </autoFilter>
  <sortState ref="A7:AE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56:O1048576 O7:O4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1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9"/>
  <sheetViews>
    <sheetView workbookViewId="0">
      <selection activeCell="A3" sqref="A3"/>
    </sheetView>
  </sheetViews>
  <sheetFormatPr defaultRowHeight="15" x14ac:dyDescent="0.25"/>
  <cols>
    <col min="1" max="1" width="9.140625" style="167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7"/>
      <c r="B1" s="196" t="str">
        <f>"Trips that did not appear in PTC Data "&amp;TEXT(Variables!$A$2,"YYYY-mm-dd")</f>
        <v>Trips that did not appear in PTC Data 2017-02-17</v>
      </c>
      <c r="C1" s="196"/>
      <c r="D1" s="196"/>
      <c r="E1" s="196"/>
      <c r="F1" s="196"/>
    </row>
    <row r="2" spans="1:10" s="23" customFormat="1" ht="45" x14ac:dyDescent="0.25">
      <c r="A2" s="190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s="20" customFormat="1" x14ac:dyDescent="0.25">
      <c r="A3" s="186"/>
      <c r="B3" s="43" t="str">
        <f>A3&amp;"-"&amp;IF(DAY(Variables!$A$2)&lt;10,0,"")&amp;DAY(Variables!$A$2)</f>
        <v>-17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" s="30" t="e">
        <f>VLOOKUP(B3,'Train Runs'!$A$13:$A$99950,1,FALSE)</f>
        <v>#N/A</v>
      </c>
    </row>
    <row r="4" spans="1:10" x14ac:dyDescent="0.25">
      <c r="A4" s="186"/>
      <c r="B4" s="43" t="str">
        <f>A4&amp;"-"&amp;IF(DAY(Variables!$A$2)&lt;10,0,"")&amp;DAY(Variables!$A$2)</f>
        <v>-17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" s="30" t="e">
        <f>VLOOKUP(B4,'Train Runs'!$A$13:$A$99950,1,FALSE)</f>
        <v>#N/A</v>
      </c>
    </row>
    <row r="5" spans="1:10" x14ac:dyDescent="0.25">
      <c r="A5" s="186"/>
      <c r="B5" s="43" t="str">
        <f>A5&amp;"-"&amp;IF(DAY(Variables!$A$2)&lt;10,0,"")&amp;DAY(Variables!$A$2)</f>
        <v>-17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" s="30" t="e">
        <f>VLOOKUP(B5,'Train Runs'!$A$13:$A$99950,1,FALSE)</f>
        <v>#N/A</v>
      </c>
    </row>
    <row r="6" spans="1:10" x14ac:dyDescent="0.25">
      <c r="A6" s="186"/>
      <c r="B6" s="43" t="str">
        <f>A6&amp;"-"&amp;IF(DAY(Variables!$A$2)&lt;10,0,"")&amp;DAY(Variables!$A$2)</f>
        <v>-17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" s="30" t="e">
        <f>VLOOKUP(B6,'Train Runs'!$A$13:$A$99950,1,FALSE)</f>
        <v>#N/A</v>
      </c>
    </row>
    <row r="7" spans="1:10" x14ac:dyDescent="0.25">
      <c r="A7" s="186"/>
      <c r="B7" s="43" t="str">
        <f>A7&amp;"-"&amp;IF(DAY(Variables!$A$2)&lt;10,0,"")&amp;DAY(Variables!$A$2)</f>
        <v>-17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" s="30" t="e">
        <f>VLOOKUP(B7,'Train Runs'!$A$13:$A$99950,1,FALSE)</f>
        <v>#N/A</v>
      </c>
    </row>
    <row r="8" spans="1:10" x14ac:dyDescent="0.25">
      <c r="A8" s="186"/>
      <c r="B8" s="43" t="str">
        <f>A8&amp;"-"&amp;IF(DAY(Variables!$A$2)&lt;10,0,"")&amp;DAY(Variables!$A$2)</f>
        <v>-17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" s="30" t="e">
        <f>VLOOKUP(B8,'Train Runs'!$A$13:$A$99950,1,FALSE)</f>
        <v>#N/A</v>
      </c>
    </row>
    <row r="9" spans="1:10" x14ac:dyDescent="0.25">
      <c r="A9" s="186"/>
      <c r="B9" s="43" t="str">
        <f>A9&amp;"-"&amp;IF(DAY(Variables!$A$2)&lt;10,0,"")&amp;DAY(Variables!$A$2)</f>
        <v>-17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" s="30" t="e">
        <f>VLOOKUP(B9,'Train Runs'!$A$13:$A$99950,1,FALSE)</f>
        <v>#N/A</v>
      </c>
    </row>
    <row r="10" spans="1:10" x14ac:dyDescent="0.25">
      <c r="A10" s="186"/>
      <c r="B10" s="43" t="str">
        <f>A10&amp;"-"&amp;IF(DAY(Variables!$A$2)&lt;10,0,"")&amp;DAY(Variables!$A$2)</f>
        <v>-17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" s="30" t="e">
        <f>VLOOKUP(B10,'Train Runs'!$A$13:$A$99950,1,FALSE)</f>
        <v>#N/A</v>
      </c>
    </row>
    <row r="11" spans="1:10" x14ac:dyDescent="0.25">
      <c r="A11" s="186"/>
      <c r="B11" s="43" t="str">
        <f>A11&amp;"-"&amp;IF(DAY(Variables!$A$2)&lt;10,0,"")&amp;DAY(Variables!$A$2)</f>
        <v>-17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" s="30" t="e">
        <f>VLOOKUP(B11,'Train Runs'!$A$13:$A$99950,1,FALSE)</f>
        <v>#N/A</v>
      </c>
    </row>
    <row r="12" spans="1:10" x14ac:dyDescent="0.25">
      <c r="A12" s="186"/>
      <c r="B12" s="43" t="str">
        <f>A12&amp;"-"&amp;IF(DAY(Variables!$A$2)&lt;10,0,"")&amp;DAY(Variables!$A$2)</f>
        <v>-17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" s="30" t="e">
        <f>VLOOKUP(B12,'Train Runs'!$A$13:$A$99950,1,FALSE)</f>
        <v>#N/A</v>
      </c>
    </row>
    <row r="13" spans="1:10" x14ac:dyDescent="0.25">
      <c r="A13" s="186"/>
      <c r="B13" s="43" t="str">
        <f>A13&amp;"-"&amp;IF(DAY(Variables!$A$2)&lt;10,0,"")&amp;DAY(Variables!$A$2)</f>
        <v>-17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" s="30" t="e">
        <f>VLOOKUP(B13,'Train Runs'!$A$13:$A$99950,1,FALSE)</f>
        <v>#N/A</v>
      </c>
    </row>
    <row r="14" spans="1:10" x14ac:dyDescent="0.25">
      <c r="A14" s="186"/>
      <c r="B14" s="43" t="str">
        <f>A14&amp;"-"&amp;IF(DAY(Variables!$A$2)&lt;10,0,"")&amp;DAY(Variables!$A$2)</f>
        <v>-17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4" s="30" t="e">
        <f>VLOOKUP(B14,'Train Runs'!$A$13:$A$99950,1,FALSE)</f>
        <v>#N/A</v>
      </c>
    </row>
    <row r="15" spans="1:10" x14ac:dyDescent="0.25">
      <c r="A15" s="186"/>
      <c r="B15" s="43" t="str">
        <f>A15&amp;"-"&amp;IF(DAY(Variables!$A$2)&lt;10,0,"")&amp;DAY(Variables!$A$2)</f>
        <v>-17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5" s="30" t="e">
        <f>VLOOKUP(B15,'Train Runs'!$A$13:$A$99950,1,FALSE)</f>
        <v>#N/A</v>
      </c>
    </row>
    <row r="16" spans="1:10" x14ac:dyDescent="0.25">
      <c r="A16" s="186"/>
      <c r="B16" s="43" t="str">
        <f>A16&amp;"-"&amp;IF(DAY(Variables!$A$2)&lt;10,0,"")&amp;DAY(Variables!$A$2)</f>
        <v>-17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6" s="30" t="e">
        <f>VLOOKUP(B16,'Train Runs'!$A$13:$A$99950,1,FALSE)</f>
        <v>#N/A</v>
      </c>
    </row>
    <row r="17" spans="1:10" x14ac:dyDescent="0.25">
      <c r="A17" s="186"/>
      <c r="B17" s="43" t="str">
        <f>A17&amp;"-"&amp;IF(DAY(Variables!$A$2)&lt;10,0,"")&amp;DAY(Variables!$A$2)</f>
        <v>-17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7" s="30" t="e">
        <f>VLOOKUP(B17,'Train Runs'!$A$13:$A$99950,1,FALSE)</f>
        <v>#N/A</v>
      </c>
    </row>
    <row r="18" spans="1:10" x14ac:dyDescent="0.25">
      <c r="A18" s="186"/>
      <c r="B18" s="43" t="str">
        <f>A18&amp;"-"&amp;IF(DAY(Variables!$A$2)&lt;10,0,"")&amp;DAY(Variables!$A$2)</f>
        <v>-17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8" s="30" t="e">
        <f>VLOOKUP(B18,'Train Runs'!$A$13:$A$99950,1,FALSE)</f>
        <v>#N/A</v>
      </c>
    </row>
    <row r="19" spans="1:10" x14ac:dyDescent="0.25">
      <c r="A19" s="186"/>
      <c r="B19" s="43" t="str">
        <f>A19&amp;"-"&amp;IF(DAY(Variables!$A$2)&lt;10,0,"")&amp;DAY(Variables!$A$2)</f>
        <v>-17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9" s="30" t="e">
        <f>VLOOKUP(B19,'Train Runs'!$A$13:$A$99950,1,FALSE)</f>
        <v>#N/A</v>
      </c>
    </row>
    <row r="20" spans="1:10" x14ac:dyDescent="0.25">
      <c r="A20" s="186"/>
      <c r="B20" s="43" t="str">
        <f>A20&amp;"-"&amp;IF(DAY(Variables!$A$2)&lt;10,0,"")&amp;DAY(Variables!$A$2)</f>
        <v>-17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0" s="30" t="e">
        <f>VLOOKUP(B20,'Train Runs'!$A$13:$A$99950,1,FALSE)</f>
        <v>#N/A</v>
      </c>
    </row>
    <row r="21" spans="1:10" x14ac:dyDescent="0.25">
      <c r="A21" s="186"/>
      <c r="B21" s="43" t="str">
        <f>A21&amp;"-"&amp;IF(DAY(Variables!$A$2)&lt;10,0,"")&amp;DAY(Variables!$A$2)</f>
        <v>-17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1" s="30" t="e">
        <f>VLOOKUP(B21,'Train Runs'!$A$13:$A$99950,1,FALSE)</f>
        <v>#N/A</v>
      </c>
    </row>
    <row r="22" spans="1:10" x14ac:dyDescent="0.25">
      <c r="A22" s="186"/>
      <c r="B22" s="43" t="str">
        <f>A22&amp;"-"&amp;IF(DAY(Variables!$A$2)&lt;10,0,"")&amp;DAY(Variables!$A$2)</f>
        <v>-17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2" s="30" t="e">
        <f>VLOOKUP(B22,'Train Runs'!$A$13:$A$99950,1,FALSE)</f>
        <v>#N/A</v>
      </c>
    </row>
    <row r="23" spans="1:10" x14ac:dyDescent="0.25">
      <c r="A23" s="186"/>
      <c r="B23" s="43" t="str">
        <f>A23&amp;"-"&amp;IF(DAY(Variables!$A$2)&lt;10,0,"")&amp;DAY(Variables!$A$2)</f>
        <v>-17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3" s="30" t="e">
        <f>VLOOKUP(B23,'Train Runs'!$A$13:$A$99950,1,FALSE)</f>
        <v>#N/A</v>
      </c>
    </row>
    <row r="24" spans="1:10" x14ac:dyDescent="0.25">
      <c r="A24" s="186"/>
      <c r="B24" s="43" t="str">
        <f>A24&amp;"-"&amp;IF(DAY(Variables!$A$2)&lt;10,0,"")&amp;DAY(Variables!$A$2)</f>
        <v>-17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4" s="30" t="e">
        <f>VLOOKUP(B24,'Train Runs'!$A$13:$A$99950,1,FALSE)</f>
        <v>#N/A</v>
      </c>
    </row>
    <row r="25" spans="1:10" x14ac:dyDescent="0.25">
      <c r="A25" s="186"/>
      <c r="B25" s="43" t="str">
        <f>A25&amp;"-"&amp;IF(DAY(Variables!$A$2)&lt;10,0,"")&amp;DAY(Variables!$A$2)</f>
        <v>-17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5" s="30" t="e">
        <f>VLOOKUP(B25,'Train Runs'!$A$13:$A$99950,1,FALSE)</f>
        <v>#N/A</v>
      </c>
    </row>
    <row r="26" spans="1:10" x14ac:dyDescent="0.25">
      <c r="A26" s="186"/>
      <c r="B26" s="43" t="str">
        <f>A26&amp;"-"&amp;IF(DAY(Variables!$A$2)&lt;10,0,"")&amp;DAY(Variables!$A$2)</f>
        <v>-17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6" s="30" t="e">
        <f>VLOOKUP(B26,'Train Runs'!$A$13:$A$99950,1,FALSE)</f>
        <v>#N/A</v>
      </c>
    </row>
    <row r="27" spans="1:10" x14ac:dyDescent="0.25">
      <c r="A27" s="186"/>
      <c r="B27" s="43" t="str">
        <f>A27&amp;"-"&amp;IF(DAY(Variables!$A$2)&lt;10,0,"")&amp;DAY(Variables!$A$2)</f>
        <v>-17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7" s="30" t="e">
        <f>VLOOKUP(B27,'Train Runs'!$A$13:$A$99950,1,FALSE)</f>
        <v>#N/A</v>
      </c>
    </row>
    <row r="28" spans="1:10" x14ac:dyDescent="0.25">
      <c r="A28" s="186"/>
      <c r="B28" s="43" t="str">
        <f>A28&amp;"-"&amp;IF(DAY(Variables!$A$2)&lt;10,0,"")&amp;DAY(Variables!$A$2)</f>
        <v>-17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8" s="30" t="e">
        <f>VLOOKUP(B28,'Train Runs'!$A$13:$A$99950,1,FALSE)</f>
        <v>#N/A</v>
      </c>
    </row>
    <row r="29" spans="1:10" x14ac:dyDescent="0.25">
      <c r="A29" s="186"/>
      <c r="B29" s="43" t="str">
        <f>A29&amp;"-"&amp;IF(DAY(Variables!$A$2)&lt;10,0,"")&amp;DAY(Variables!$A$2)</f>
        <v>-17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29" s="30" t="e">
        <f>VLOOKUP(B29,'Train Runs'!$A$13:$A$99950,1,FALSE)</f>
        <v>#N/A</v>
      </c>
    </row>
    <row r="30" spans="1:10" x14ac:dyDescent="0.25">
      <c r="A30" s="186"/>
      <c r="B30" s="43" t="str">
        <f>A30&amp;"-"&amp;IF(DAY(Variables!$A$2)&lt;10,0,"")&amp;DAY(Variables!$A$2)</f>
        <v>-17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0" s="30" t="e">
        <f>VLOOKUP(B30,'Train Runs'!$A$13:$A$99950,1,FALSE)</f>
        <v>#N/A</v>
      </c>
    </row>
    <row r="31" spans="1:10" x14ac:dyDescent="0.25">
      <c r="A31" s="186"/>
      <c r="B31" s="43" t="str">
        <f>A31&amp;"-"&amp;IF(DAY(Variables!$A$2)&lt;10,0,"")&amp;DAY(Variables!$A$2)</f>
        <v>-17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1" s="30" t="e">
        <f>VLOOKUP(B31,'Train Runs'!$A$13:$A$99950,1,FALSE)</f>
        <v>#N/A</v>
      </c>
    </row>
    <row r="32" spans="1:10" x14ac:dyDescent="0.25">
      <c r="A32" s="186"/>
      <c r="B32" s="43" t="str">
        <f>A32&amp;"-"&amp;IF(DAY(Variables!$A$2)&lt;10,0,"")&amp;DAY(Variables!$A$2)</f>
        <v>-17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2" s="30" t="e">
        <f>VLOOKUP(B32,'Train Runs'!$A$13:$A$99950,1,FALSE)</f>
        <v>#N/A</v>
      </c>
    </row>
    <row r="33" spans="1:10" x14ac:dyDescent="0.25">
      <c r="A33" s="186"/>
      <c r="B33" s="43" t="str">
        <f>A33&amp;"-"&amp;IF(DAY(Variables!$A$2)&lt;10,0,"")&amp;DAY(Variables!$A$2)</f>
        <v>-17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3" s="30" t="e">
        <f>VLOOKUP(B33,'Train Runs'!$A$13:$A$99950,1,FALSE)</f>
        <v>#N/A</v>
      </c>
    </row>
    <row r="34" spans="1:10" x14ac:dyDescent="0.25">
      <c r="A34" s="186"/>
      <c r="B34" s="43" t="str">
        <f>A34&amp;"-"&amp;IF(DAY(Variables!$A$2)&lt;10,0,"")&amp;DAY(Variables!$A$2)</f>
        <v>-17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ref="I34:I6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4" s="30" t="e">
        <f>VLOOKUP(B34,'Train Runs'!$A$13:$A$99950,1,FALSE)</f>
        <v>#N/A</v>
      </c>
    </row>
    <row r="35" spans="1:10" x14ac:dyDescent="0.25">
      <c r="A35" s="186"/>
      <c r="B35" s="43" t="str">
        <f>A35&amp;"-"&amp;IF(DAY(Variables!$A$2)&lt;10,0,"")&amp;DAY(Variables!$A$2)</f>
        <v>-17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5" s="30" t="e">
        <f>VLOOKUP(B35,'Train Runs'!$A$13:$A$99950,1,FALSE)</f>
        <v>#N/A</v>
      </c>
    </row>
    <row r="36" spans="1:10" x14ac:dyDescent="0.25">
      <c r="A36" s="186"/>
      <c r="B36" s="43" t="str">
        <f>A36&amp;"-"&amp;IF(DAY(Variables!$A$2)&lt;10,0,"")&amp;DAY(Variables!$A$2)</f>
        <v>-17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6" s="30" t="e">
        <f>VLOOKUP(B36,'Train Runs'!$A$13:$A$99950,1,FALSE)</f>
        <v>#N/A</v>
      </c>
    </row>
    <row r="37" spans="1:10" x14ac:dyDescent="0.25">
      <c r="A37" s="186"/>
      <c r="B37" s="43" t="str">
        <f>A37&amp;"-"&amp;IF(DAY(Variables!$A$2)&lt;10,0,"")&amp;DAY(Variables!$A$2)</f>
        <v>-17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7" s="30" t="e">
        <f>VLOOKUP(B37,'Train Runs'!$A$13:$A$99950,1,FALSE)</f>
        <v>#N/A</v>
      </c>
    </row>
    <row r="38" spans="1:10" x14ac:dyDescent="0.25">
      <c r="A38" s="186"/>
      <c r="B38" s="43" t="str">
        <f>A38&amp;"-"&amp;IF(DAY(Variables!$A$2)&lt;10,0,"")&amp;DAY(Variables!$A$2)</f>
        <v>-17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8" s="30" t="e">
        <f>VLOOKUP(B38,'Train Runs'!$A$13:$A$99950,1,FALSE)</f>
        <v>#N/A</v>
      </c>
    </row>
    <row r="39" spans="1:10" x14ac:dyDescent="0.25">
      <c r="A39" s="186"/>
      <c r="B39" s="43" t="str">
        <f>A39&amp;"-"&amp;IF(DAY(Variables!$A$2)&lt;10,0,"")&amp;DAY(Variables!$A$2)</f>
        <v>-17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9" s="30" t="e">
        <f>VLOOKUP(B39,'Train Runs'!$A$13:$A$99950,1,FALSE)</f>
        <v>#N/A</v>
      </c>
    </row>
    <row r="40" spans="1:10" x14ac:dyDescent="0.25">
      <c r="A40" s="186"/>
      <c r="B40" s="43" t="str">
        <f>A40&amp;"-"&amp;IF(DAY(Variables!$A$2)&lt;10,0,"")&amp;DAY(Variables!$A$2)</f>
        <v>-17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0" s="30" t="e">
        <f>VLOOKUP(B40,'Train Runs'!$A$13:$A$99950,1,FALSE)</f>
        <v>#N/A</v>
      </c>
    </row>
    <row r="41" spans="1:10" x14ac:dyDescent="0.25">
      <c r="A41" s="186"/>
      <c r="B41" s="43" t="str">
        <f>A41&amp;"-"&amp;IF(DAY(Variables!$A$2)&lt;10,0,"")&amp;DAY(Variables!$A$2)</f>
        <v>-17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1" s="30" t="e">
        <f>VLOOKUP(B41,'Train Runs'!$A$13:$A$99950,1,FALSE)</f>
        <v>#N/A</v>
      </c>
    </row>
    <row r="42" spans="1:10" x14ac:dyDescent="0.25">
      <c r="A42" s="186"/>
      <c r="B42" s="43" t="str">
        <f>A42&amp;"-"&amp;IF(DAY(Variables!$A$2)&lt;10,0,"")&amp;DAY(Variables!$A$2)</f>
        <v>-17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2" s="30" t="e">
        <f>VLOOKUP(B42,'Train Runs'!$A$13:$A$99950,1,FALSE)</f>
        <v>#N/A</v>
      </c>
    </row>
    <row r="43" spans="1:10" x14ac:dyDescent="0.25">
      <c r="A43" s="186"/>
      <c r="B43" s="43" t="str">
        <f>A43&amp;"-"&amp;IF(DAY(Variables!$A$2)&lt;10,0,"")&amp;DAY(Variables!$A$2)</f>
        <v>-17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3" s="30" t="e">
        <f>VLOOKUP(B43,'Train Runs'!$A$13:$A$99950,1,FALSE)</f>
        <v>#N/A</v>
      </c>
    </row>
    <row r="44" spans="1:10" x14ac:dyDescent="0.25">
      <c r="A44" s="186"/>
      <c r="B44" s="43" t="str">
        <f>A44&amp;"-"&amp;IF(DAY(Variables!$A$2)&lt;10,0,"")&amp;DAY(Variables!$A$2)</f>
        <v>-17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4" s="30" t="e">
        <f>VLOOKUP(B44,'Train Runs'!$A$13:$A$99950,1,FALSE)</f>
        <v>#N/A</v>
      </c>
    </row>
    <row r="45" spans="1:10" x14ac:dyDescent="0.25">
      <c r="A45" s="186"/>
      <c r="B45" s="43" t="str">
        <f>A45&amp;"-"&amp;IF(DAY(Variables!$A$2)&lt;10,0,"")&amp;DAY(Variables!$A$2)</f>
        <v>-17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5" s="30" t="e">
        <f>VLOOKUP(B45,'Train Runs'!$A$13:$A$99950,1,FALSE)</f>
        <v>#N/A</v>
      </c>
    </row>
    <row r="46" spans="1:10" x14ac:dyDescent="0.25">
      <c r="A46" s="186"/>
      <c r="B46" s="43" t="str">
        <f>A46&amp;"-"&amp;IF(DAY(Variables!$A$2)&lt;10,0,"")&amp;DAY(Variables!$A$2)</f>
        <v>-17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6" s="30" t="e">
        <f>VLOOKUP(B46,'Train Runs'!$A$13:$A$99950,1,FALSE)</f>
        <v>#N/A</v>
      </c>
    </row>
    <row r="47" spans="1:10" x14ac:dyDescent="0.25">
      <c r="A47" s="186"/>
      <c r="B47" s="43" t="str">
        <f>A47&amp;"-"&amp;IF(DAY(Variables!$A$2)&lt;10,0,"")&amp;DAY(Variables!$A$2)</f>
        <v>-17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7" s="30" t="e">
        <f>VLOOKUP(B47,'Train Runs'!$A$13:$A$99950,1,FALSE)</f>
        <v>#N/A</v>
      </c>
    </row>
    <row r="48" spans="1:10" x14ac:dyDescent="0.25">
      <c r="A48" s="186"/>
      <c r="B48" s="43" t="str">
        <f>A48&amp;"-"&amp;IF(DAY(Variables!$A$2)&lt;10,0,"")&amp;DAY(Variables!$A$2)</f>
        <v>-17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8" s="30" t="e">
        <f>VLOOKUP(B48,'Train Runs'!$A$13:$A$99950,1,FALSE)</f>
        <v>#N/A</v>
      </c>
    </row>
    <row r="49" spans="1:10" x14ac:dyDescent="0.25">
      <c r="A49" s="186"/>
      <c r="B49" s="43" t="str">
        <f>A49&amp;"-"&amp;IF(DAY(Variables!$A$2)&lt;10,0,"")&amp;DAY(Variables!$A$2)</f>
        <v>-17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9" s="30" t="e">
        <f>VLOOKUP(B49,'Train Runs'!$A$13:$A$99950,1,FALSE)</f>
        <v>#N/A</v>
      </c>
    </row>
    <row r="50" spans="1:10" x14ac:dyDescent="0.25">
      <c r="A50" s="186"/>
      <c r="B50" s="43" t="str">
        <f>A50&amp;"-"&amp;IF(DAY(Variables!$A$2)&lt;10,0,"")&amp;DAY(Variables!$A$2)</f>
        <v>-17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0" s="30" t="e">
        <f>VLOOKUP(B50,'Train Runs'!$A$13:$A$99950,1,FALSE)</f>
        <v>#N/A</v>
      </c>
    </row>
    <row r="51" spans="1:10" x14ac:dyDescent="0.25">
      <c r="A51" s="186"/>
      <c r="B51" s="43" t="str">
        <f>A51&amp;"-"&amp;IF(DAY(Variables!$A$2)&lt;10,0,"")&amp;DAY(Variables!$A$2)</f>
        <v>-17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1" s="30" t="e">
        <f>VLOOKUP(B51,'Train Runs'!$A$13:$A$99950,1,FALSE)</f>
        <v>#N/A</v>
      </c>
    </row>
    <row r="52" spans="1:10" x14ac:dyDescent="0.25">
      <c r="A52" s="186"/>
      <c r="B52" s="43" t="str">
        <f>A52&amp;"-"&amp;IF(DAY(Variables!$A$2)&lt;10,0,"")&amp;DAY(Variables!$A$2)</f>
        <v>-17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2" s="30" t="e">
        <f>VLOOKUP(B52,'Train Runs'!$A$13:$A$99950,1,FALSE)</f>
        <v>#N/A</v>
      </c>
    </row>
    <row r="53" spans="1:10" x14ac:dyDescent="0.25">
      <c r="A53" s="186"/>
      <c r="B53" s="43" t="str">
        <f>A53&amp;"-"&amp;IF(DAY(Variables!$A$2)&lt;10,0,"")&amp;DAY(Variables!$A$2)</f>
        <v>-17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3" s="30" t="e">
        <f>VLOOKUP(B53,'Train Runs'!$A$13:$A$99950,1,FALSE)</f>
        <v>#N/A</v>
      </c>
    </row>
    <row r="54" spans="1:10" x14ac:dyDescent="0.25">
      <c r="A54" s="186"/>
      <c r="B54" s="43" t="str">
        <f>A54&amp;"-"&amp;IF(DAY(Variables!$A$2)&lt;10,0,"")&amp;DAY(Variables!$A$2)</f>
        <v>-17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4" s="30" t="e">
        <f>VLOOKUP(B54,'Train Runs'!$A$13:$A$99950,1,FALSE)</f>
        <v>#N/A</v>
      </c>
    </row>
    <row r="55" spans="1:10" x14ac:dyDescent="0.25">
      <c r="A55" s="186"/>
      <c r="B55" s="43" t="str">
        <f>A55&amp;"-"&amp;IF(DAY(Variables!$A$2)&lt;10,0,"")&amp;DAY(Variables!$A$2)</f>
        <v>-17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5" s="30" t="e">
        <f>VLOOKUP(B55,'Train Runs'!$A$13:$A$99950,1,FALSE)</f>
        <v>#N/A</v>
      </c>
    </row>
    <row r="56" spans="1:10" x14ac:dyDescent="0.25">
      <c r="A56" s="186"/>
      <c r="B56" s="43" t="str">
        <f>A56&amp;"-"&amp;IF(DAY(Variables!$A$2)&lt;10,0,"")&amp;DAY(Variables!$A$2)</f>
        <v>-17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6" s="30" t="e">
        <f>VLOOKUP(B56,'Train Runs'!$A$13:$A$99950,1,FALSE)</f>
        <v>#N/A</v>
      </c>
    </row>
    <row r="57" spans="1:10" x14ac:dyDescent="0.25">
      <c r="A57" s="186"/>
      <c r="B57" s="43" t="str">
        <f>A57&amp;"-"&amp;IF(DAY(Variables!$A$2)&lt;10,0,"")&amp;DAY(Variables!$A$2)</f>
        <v>-17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7" s="30" t="e">
        <f>VLOOKUP(B57,'Train Runs'!$A$13:$A$99950,1,FALSE)</f>
        <v>#N/A</v>
      </c>
    </row>
    <row r="58" spans="1:10" x14ac:dyDescent="0.25">
      <c r="A58" s="186"/>
      <c r="B58" s="43" t="str">
        <f>A58&amp;"-"&amp;IF(DAY(Variables!$A$2)&lt;10,0,"")&amp;DAY(Variables!$A$2)</f>
        <v>-17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8" s="30" t="e">
        <f>VLOOKUP(B58,'Train Runs'!$A$13:$A$99950,1,FALSE)</f>
        <v>#N/A</v>
      </c>
    </row>
    <row r="59" spans="1:10" x14ac:dyDescent="0.25">
      <c r="A59" s="186"/>
      <c r="B59" s="43" t="str">
        <f>A59&amp;"-"&amp;IF(DAY(Variables!$A$2)&lt;10,0,"")&amp;DAY(Variables!$A$2)</f>
        <v>-17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9" s="30" t="e">
        <f>VLOOKUP(B59,'Train Runs'!$A$13:$A$99950,1,FALSE)</f>
        <v>#N/A</v>
      </c>
    </row>
    <row r="60" spans="1:10" x14ac:dyDescent="0.25">
      <c r="A60" s="186"/>
      <c r="B60" s="43" t="str">
        <f>A60&amp;"-"&amp;IF(DAY(Variables!$A$2)&lt;10,0,"")&amp;DAY(Variables!$A$2)</f>
        <v>-17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0" s="30" t="e">
        <f>VLOOKUP(B60,'Train Runs'!$A$13:$A$99950,1,FALSE)</f>
        <v>#N/A</v>
      </c>
    </row>
    <row r="61" spans="1:10" x14ac:dyDescent="0.25">
      <c r="A61" s="186"/>
      <c r="B61" s="43" t="str">
        <f>A61&amp;"-"&amp;IF(DAY(Variables!$A$2)&lt;10,0,"")&amp;DAY(Variables!$A$2)</f>
        <v>-17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1" s="30" t="e">
        <f>VLOOKUP(B61,'Train Runs'!$A$13:$A$99950,1,FALSE)</f>
        <v>#N/A</v>
      </c>
    </row>
    <row r="62" spans="1:10" x14ac:dyDescent="0.25">
      <c r="A62" s="186"/>
      <c r="B62" s="43" t="str">
        <f>A62&amp;"-"&amp;IF(DAY(Variables!$A$2)&lt;10,0,"")&amp;DAY(Variables!$A$2)</f>
        <v>-17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2" s="30" t="e">
        <f>VLOOKUP(B62,'Train Runs'!$A$13:$A$99950,1,FALSE)</f>
        <v>#N/A</v>
      </c>
    </row>
    <row r="63" spans="1:10" x14ac:dyDescent="0.25">
      <c r="A63" s="186"/>
      <c r="B63" s="43" t="str">
        <f>A63&amp;"-"&amp;IF(DAY(Variables!$A$2)&lt;10,0,"")&amp;DAY(Variables!$A$2)</f>
        <v>-17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3" s="30" t="e">
        <f>VLOOKUP(B63,'Train Runs'!$A$13:$A$99950,1,FALSE)</f>
        <v>#N/A</v>
      </c>
    </row>
    <row r="64" spans="1:10" x14ac:dyDescent="0.25">
      <c r="A64" s="186"/>
      <c r="B64" s="43" t="str">
        <f>A64&amp;"-"&amp;IF(DAY(Variables!$A$2)&lt;10,0,"")&amp;DAY(Variables!$A$2)</f>
        <v>-17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4" s="30" t="e">
        <f>VLOOKUP(B64,'Train Runs'!$A$13:$A$99950,1,FALSE)</f>
        <v>#N/A</v>
      </c>
    </row>
    <row r="65" spans="1:10" x14ac:dyDescent="0.25">
      <c r="A65" s="186"/>
      <c r="B65" s="43" t="str">
        <f>A65&amp;"-"&amp;IF(DAY(Variables!$A$2)&lt;10,0,"")&amp;DAY(Variables!$A$2)</f>
        <v>-17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5" s="30" t="e">
        <f>VLOOKUP(B65,'Train Runs'!$A$13:$A$99950,1,FALSE)</f>
        <v>#N/A</v>
      </c>
    </row>
    <row r="66" spans="1:10" x14ac:dyDescent="0.25">
      <c r="A66" s="186"/>
      <c r="B66" s="43" t="str">
        <f>A66&amp;"-"&amp;IF(DAY(Variables!$A$2)&lt;10,0,"")&amp;DAY(Variables!$A$2)</f>
        <v>-17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ref="I66:I97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6" s="30" t="e">
        <f>VLOOKUP(B66,'Train Runs'!$A$13:$A$99950,1,FALSE)</f>
        <v>#N/A</v>
      </c>
    </row>
    <row r="67" spans="1:10" x14ac:dyDescent="0.25">
      <c r="A67" s="186"/>
      <c r="B67" s="43" t="str">
        <f>A67&amp;"-"&amp;IF(DAY(Variables!$A$2)&lt;10,0,"")&amp;DAY(Variables!$A$2)</f>
        <v>-17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7" s="30" t="e">
        <f>VLOOKUP(B67,'Train Runs'!$A$13:$A$99950,1,FALSE)</f>
        <v>#N/A</v>
      </c>
    </row>
    <row r="68" spans="1:10" x14ac:dyDescent="0.25">
      <c r="A68" s="186"/>
      <c r="B68" s="43" t="str">
        <f>A68&amp;"-"&amp;IF(DAY(Variables!$A$2)&lt;10,0,"")&amp;DAY(Variables!$A$2)</f>
        <v>-17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8" s="30" t="e">
        <f>VLOOKUP(B68,'Train Runs'!$A$13:$A$99950,1,FALSE)</f>
        <v>#N/A</v>
      </c>
    </row>
    <row r="69" spans="1:10" x14ac:dyDescent="0.25">
      <c r="A69" s="186"/>
      <c r="B69" s="43" t="str">
        <f>A69&amp;"-"&amp;IF(DAY(Variables!$A$2)&lt;10,0,"")&amp;DAY(Variables!$A$2)</f>
        <v>-17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9" s="30" t="e">
        <f>VLOOKUP(B69,'Train Runs'!$A$13:$A$99950,1,FALSE)</f>
        <v>#N/A</v>
      </c>
    </row>
    <row r="70" spans="1:10" x14ac:dyDescent="0.25">
      <c r="A70" s="186"/>
      <c r="B70" s="43" t="str">
        <f>A70&amp;"-"&amp;IF(DAY(Variables!$A$2)&lt;10,0,"")&amp;DAY(Variables!$A$2)</f>
        <v>-17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0" s="30" t="e">
        <f>VLOOKUP(B70,'Train Runs'!$A$13:$A$99950,1,FALSE)</f>
        <v>#N/A</v>
      </c>
    </row>
    <row r="71" spans="1:10" x14ac:dyDescent="0.25">
      <c r="A71" s="186"/>
      <c r="B71" s="43" t="str">
        <f>A71&amp;"-"&amp;IF(DAY(Variables!$A$2)&lt;10,0,"")&amp;DAY(Variables!$A$2)</f>
        <v>-17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1" s="30" t="e">
        <f>VLOOKUP(B71,'Train Runs'!$A$13:$A$99950,1,FALSE)</f>
        <v>#N/A</v>
      </c>
    </row>
    <row r="72" spans="1:10" x14ac:dyDescent="0.25">
      <c r="A72" s="186"/>
      <c r="B72" s="43" t="str">
        <f>A72&amp;"-"&amp;IF(DAY(Variables!$A$2)&lt;10,0,"")&amp;DAY(Variables!$A$2)</f>
        <v>-17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2" s="30" t="e">
        <f>VLOOKUP(B72,'Train Runs'!$A$13:$A$99950,1,FALSE)</f>
        <v>#N/A</v>
      </c>
    </row>
    <row r="73" spans="1:10" x14ac:dyDescent="0.25">
      <c r="A73" s="186"/>
      <c r="B73" s="43" t="str">
        <f>A73&amp;"-"&amp;IF(DAY(Variables!$A$2)&lt;10,0,"")&amp;DAY(Variables!$A$2)</f>
        <v>-17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3" s="30" t="e">
        <f>VLOOKUP(B73,'Train Runs'!$A$13:$A$99950,1,FALSE)</f>
        <v>#N/A</v>
      </c>
    </row>
    <row r="74" spans="1:10" x14ac:dyDescent="0.25">
      <c r="A74" s="186"/>
      <c r="B74" s="43" t="str">
        <f>A74&amp;"-"&amp;IF(DAY(Variables!$A$2)&lt;10,0,"")&amp;DAY(Variables!$A$2)</f>
        <v>-17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4" s="30" t="e">
        <f>VLOOKUP(B74,'Train Runs'!$A$13:$A$99950,1,FALSE)</f>
        <v>#N/A</v>
      </c>
    </row>
    <row r="75" spans="1:10" x14ac:dyDescent="0.25">
      <c r="A75" s="186"/>
      <c r="B75" s="43" t="str">
        <f>A75&amp;"-"&amp;IF(DAY(Variables!$A$2)&lt;10,0,"")&amp;DAY(Variables!$A$2)</f>
        <v>-17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5" s="30" t="e">
        <f>VLOOKUP(B75,'Train Runs'!$A$13:$A$99950,1,FALSE)</f>
        <v>#N/A</v>
      </c>
    </row>
    <row r="76" spans="1:10" x14ac:dyDescent="0.25">
      <c r="A76" s="186"/>
      <c r="B76" s="43" t="str">
        <f>A76&amp;"-"&amp;IF(DAY(Variables!$A$2)&lt;10,0,"")&amp;DAY(Variables!$A$2)</f>
        <v>-17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6" s="30" t="e">
        <f>VLOOKUP(B76,'Train Runs'!$A$13:$A$99950,1,FALSE)</f>
        <v>#N/A</v>
      </c>
    </row>
    <row r="77" spans="1:10" x14ac:dyDescent="0.25">
      <c r="A77" s="186"/>
      <c r="B77" s="43" t="str">
        <f>A77&amp;"-"&amp;IF(DAY(Variables!$A$2)&lt;10,0,"")&amp;DAY(Variables!$A$2)</f>
        <v>-17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7" s="30" t="e">
        <f>VLOOKUP(B77,'Train Runs'!$A$13:$A$99950,1,FALSE)</f>
        <v>#N/A</v>
      </c>
    </row>
    <row r="78" spans="1:10" x14ac:dyDescent="0.25">
      <c r="A78" s="186"/>
      <c r="B78" s="43" t="str">
        <f>A78&amp;"-"&amp;IF(DAY(Variables!$A$2)&lt;10,0,"")&amp;DAY(Variables!$A$2)</f>
        <v>-17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8" s="30" t="e">
        <f>VLOOKUP(B78,'Train Runs'!$A$13:$A$99950,1,FALSE)</f>
        <v>#N/A</v>
      </c>
    </row>
    <row r="79" spans="1:10" x14ac:dyDescent="0.25">
      <c r="A79" s="186"/>
      <c r="B79" s="43" t="str">
        <f>A79&amp;"-"&amp;IF(DAY(Variables!$A$2)&lt;10,0,"")&amp;DAY(Variables!$A$2)</f>
        <v>-17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9" s="30" t="e">
        <f>VLOOKUP(B79,'Train Runs'!$A$13:$A$99950,1,FALSE)</f>
        <v>#N/A</v>
      </c>
    </row>
    <row r="80" spans="1:10" x14ac:dyDescent="0.25">
      <c r="A80" s="186"/>
      <c r="B80" s="43" t="str">
        <f>A80&amp;"-"&amp;IF(DAY(Variables!$A$2)&lt;10,0,"")&amp;DAY(Variables!$A$2)</f>
        <v>-17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0" s="30" t="e">
        <f>VLOOKUP(B80,'Train Runs'!$A$13:$A$99950,1,FALSE)</f>
        <v>#N/A</v>
      </c>
    </row>
    <row r="81" spans="1:10" x14ac:dyDescent="0.25">
      <c r="A81" s="186"/>
      <c r="B81" s="43" t="str">
        <f>A81&amp;"-"&amp;IF(DAY(Variables!$A$2)&lt;10,0,"")&amp;DAY(Variables!$A$2)</f>
        <v>-17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1" s="30" t="e">
        <f>VLOOKUP(B81,'Train Runs'!$A$13:$A$99950,1,FALSE)</f>
        <v>#N/A</v>
      </c>
    </row>
    <row r="82" spans="1:10" x14ac:dyDescent="0.25">
      <c r="A82" s="186"/>
      <c r="B82" s="43" t="str">
        <f>A82&amp;"-"&amp;IF(DAY(Variables!$A$2)&lt;10,0,"")&amp;DAY(Variables!$A$2)</f>
        <v>-17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2" s="30" t="e">
        <f>VLOOKUP(B82,'Train Runs'!$A$13:$A$99950,1,FALSE)</f>
        <v>#N/A</v>
      </c>
    </row>
    <row r="83" spans="1:10" x14ac:dyDescent="0.25">
      <c r="A83" s="186"/>
      <c r="B83" s="43" t="str">
        <f>A83&amp;"-"&amp;IF(DAY(Variables!$A$2)&lt;10,0,"")&amp;DAY(Variables!$A$2)</f>
        <v>-17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3" s="30" t="e">
        <f>VLOOKUP(B83,'Train Runs'!$A$13:$A$99950,1,FALSE)</f>
        <v>#N/A</v>
      </c>
    </row>
    <row r="84" spans="1:10" x14ac:dyDescent="0.25">
      <c r="A84" s="186"/>
      <c r="B84" s="43" t="str">
        <f>A84&amp;"-"&amp;IF(DAY(Variables!$A$2)&lt;10,0,"")&amp;DAY(Variables!$A$2)</f>
        <v>-17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4" s="30" t="e">
        <f>VLOOKUP(B84,'Train Runs'!$A$13:$A$99950,1,FALSE)</f>
        <v>#N/A</v>
      </c>
    </row>
    <row r="85" spans="1:10" x14ac:dyDescent="0.25">
      <c r="A85" s="186"/>
      <c r="B85" s="43" t="str">
        <f>A85&amp;"-"&amp;IF(DAY(Variables!$A$2)&lt;10,0,"")&amp;DAY(Variables!$A$2)</f>
        <v>-17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5" s="30" t="e">
        <f>VLOOKUP(B85,'Train Runs'!$A$13:$A$99950,1,FALSE)</f>
        <v>#N/A</v>
      </c>
    </row>
    <row r="86" spans="1:10" x14ac:dyDescent="0.25">
      <c r="A86" s="186"/>
      <c r="B86" s="43" t="str">
        <f>A86&amp;"-"&amp;IF(DAY(Variables!$A$2)&lt;10,0,"")&amp;DAY(Variables!$A$2)</f>
        <v>-17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6" s="30" t="e">
        <f>VLOOKUP(B86,'Train Runs'!$A$13:$A$99950,1,FALSE)</f>
        <v>#N/A</v>
      </c>
    </row>
    <row r="87" spans="1:10" x14ac:dyDescent="0.25">
      <c r="A87" s="186"/>
      <c r="B87" s="43" t="str">
        <f>A87&amp;"-"&amp;IF(DAY(Variables!$A$2)&lt;10,0,"")&amp;DAY(Variables!$A$2)</f>
        <v>-17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7" s="30" t="e">
        <f>VLOOKUP(B87,'Train Runs'!$A$13:$A$99950,1,FALSE)</f>
        <v>#N/A</v>
      </c>
    </row>
    <row r="88" spans="1:10" x14ac:dyDescent="0.25">
      <c r="A88" s="186"/>
      <c r="B88" s="43" t="str">
        <f>A88&amp;"-"&amp;IF(DAY(Variables!$A$2)&lt;10,0,"")&amp;DAY(Variables!$A$2)</f>
        <v>-17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8" s="30" t="e">
        <f>VLOOKUP(B88,'Train Runs'!$A$13:$A$99950,1,FALSE)</f>
        <v>#N/A</v>
      </c>
    </row>
    <row r="89" spans="1:10" x14ac:dyDescent="0.25">
      <c r="A89" s="186"/>
      <c r="B89" s="43" t="str">
        <f>A89&amp;"-"&amp;IF(DAY(Variables!$A$2)&lt;10,0,"")&amp;DAY(Variables!$A$2)</f>
        <v>-17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9" s="30" t="e">
        <f>VLOOKUP(B89,'Train Runs'!$A$13:$A$99950,1,FALSE)</f>
        <v>#N/A</v>
      </c>
    </row>
    <row r="90" spans="1:10" x14ac:dyDescent="0.25">
      <c r="A90" s="186"/>
      <c r="B90" s="43" t="str">
        <f>A90&amp;"-"&amp;IF(DAY(Variables!$A$2)&lt;10,0,"")&amp;DAY(Variables!$A$2)</f>
        <v>-17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0" s="30" t="e">
        <f>VLOOKUP(B90,'Train Runs'!$A$13:$A$99950,1,FALSE)</f>
        <v>#N/A</v>
      </c>
    </row>
    <row r="91" spans="1:10" x14ac:dyDescent="0.25">
      <c r="A91" s="186"/>
      <c r="B91" s="43" t="str">
        <f>A91&amp;"-"&amp;IF(DAY(Variables!$A$2)&lt;10,0,"")&amp;DAY(Variables!$A$2)</f>
        <v>-17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1" s="30" t="e">
        <f>VLOOKUP(B91,'Train Runs'!$A$13:$A$99950,1,FALSE)</f>
        <v>#N/A</v>
      </c>
    </row>
    <row r="92" spans="1:10" x14ac:dyDescent="0.25">
      <c r="A92" s="186"/>
      <c r="B92" s="43" t="str">
        <f>A92&amp;"-"&amp;IF(DAY(Variables!$A$2)&lt;10,0,"")&amp;DAY(Variables!$A$2)</f>
        <v>-17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2" s="30" t="e">
        <f>VLOOKUP(B92,'Train Runs'!$A$13:$A$99950,1,FALSE)</f>
        <v>#N/A</v>
      </c>
    </row>
    <row r="93" spans="1:10" x14ac:dyDescent="0.25">
      <c r="A93" s="186"/>
      <c r="B93" s="43" t="str">
        <f>A93&amp;"-"&amp;IF(DAY(Variables!$A$2)&lt;10,0,"")&amp;DAY(Variables!$A$2)</f>
        <v>-17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3" s="30" t="e">
        <f>VLOOKUP(B93,'Train Runs'!$A$13:$A$99950,1,FALSE)</f>
        <v>#N/A</v>
      </c>
    </row>
    <row r="94" spans="1:10" x14ac:dyDescent="0.25">
      <c r="A94" s="186"/>
      <c r="B94" s="43" t="str">
        <f>A94&amp;"-"&amp;IF(DAY(Variables!$A$2)&lt;10,0,"")&amp;DAY(Variables!$A$2)</f>
        <v>-17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4" s="30" t="e">
        <f>VLOOKUP(B94,'Train Runs'!$A$13:$A$99950,1,FALSE)</f>
        <v>#N/A</v>
      </c>
    </row>
    <row r="95" spans="1:10" x14ac:dyDescent="0.25">
      <c r="A95" s="186"/>
      <c r="B95" s="43" t="str">
        <f>A95&amp;"-"&amp;IF(DAY(Variables!$A$2)&lt;10,0,"")&amp;DAY(Variables!$A$2)</f>
        <v>-17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5" s="30" t="e">
        <f>VLOOKUP(B95,'Train Runs'!$A$13:$A$99950,1,FALSE)</f>
        <v>#N/A</v>
      </c>
    </row>
    <row r="96" spans="1:10" x14ac:dyDescent="0.25">
      <c r="A96" s="186"/>
      <c r="B96" s="43" t="str">
        <f>A96&amp;"-"&amp;IF(DAY(Variables!$A$2)&lt;10,0,"")&amp;DAY(Variables!$A$2)</f>
        <v>-17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6" s="30" t="e">
        <f>VLOOKUP(B96,'Train Runs'!$A$13:$A$99950,1,FALSE)</f>
        <v>#N/A</v>
      </c>
    </row>
    <row r="97" spans="1:10" x14ac:dyDescent="0.25">
      <c r="A97" s="186"/>
      <c r="B97" s="43" t="str">
        <f>A97&amp;"-"&amp;IF(DAY(Variables!$A$2)&lt;10,0,"")&amp;DAY(Variables!$A$2)</f>
        <v>-17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7" s="30" t="e">
        <f>VLOOKUP(B97,'Train Runs'!$A$13:$A$99950,1,FALSE)</f>
        <v>#N/A</v>
      </c>
    </row>
    <row r="98" spans="1:10" x14ac:dyDescent="0.25">
      <c r="A98" s="186"/>
      <c r="B98" s="43" t="str">
        <f>A98&amp;"-"&amp;IF(DAY(Variables!$A$2)&lt;10,0,"")&amp;DAY(Variables!$A$2)</f>
        <v>-17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ref="I98:I119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8" s="30" t="e">
        <f>VLOOKUP(B98,'Train Runs'!$A$13:$A$99950,1,FALSE)</f>
        <v>#N/A</v>
      </c>
    </row>
    <row r="99" spans="1:10" x14ac:dyDescent="0.25">
      <c r="A99" s="186"/>
      <c r="B99" s="43" t="str">
        <f>A99&amp;"-"&amp;IF(DAY(Variables!$A$2)&lt;10,0,"")&amp;DAY(Variables!$A$2)</f>
        <v>-17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9" s="30" t="e">
        <f>VLOOKUP(B99,'Train Runs'!$A$13:$A$99950,1,FALSE)</f>
        <v>#N/A</v>
      </c>
    </row>
    <row r="100" spans="1:10" x14ac:dyDescent="0.25">
      <c r="A100" s="186"/>
      <c r="B100" s="43" t="str">
        <f>A100&amp;"-"&amp;IF(DAY(Variables!$A$2)&lt;10,0,"")&amp;DAY(Variables!$A$2)</f>
        <v>-17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0" s="30" t="e">
        <f>VLOOKUP(B100,'Train Runs'!$A$13:$A$99950,1,FALSE)</f>
        <v>#N/A</v>
      </c>
    </row>
    <row r="101" spans="1:10" x14ac:dyDescent="0.25">
      <c r="A101" s="186"/>
      <c r="B101" s="43" t="str">
        <f>A101&amp;"-"&amp;IF(DAY(Variables!$A$2)&lt;10,0,"")&amp;DAY(Variables!$A$2)</f>
        <v>-17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1" s="30" t="e">
        <f>VLOOKUP(B101,'Train Runs'!$A$13:$A$99950,1,FALSE)</f>
        <v>#N/A</v>
      </c>
    </row>
    <row r="102" spans="1:10" x14ac:dyDescent="0.25">
      <c r="A102" s="186"/>
      <c r="B102" s="43" t="str">
        <f>A102&amp;"-"&amp;IF(DAY(Variables!$A$2)&lt;10,0,"")&amp;DAY(Variables!$A$2)</f>
        <v>-17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2" s="30" t="e">
        <f>VLOOKUP(B102,'Train Runs'!$A$13:$A$99950,1,FALSE)</f>
        <v>#N/A</v>
      </c>
    </row>
    <row r="103" spans="1:10" x14ac:dyDescent="0.25">
      <c r="A103" s="186"/>
      <c r="B103" s="43" t="str">
        <f>A103&amp;"-"&amp;IF(DAY(Variables!$A$2)&lt;10,0,"")&amp;DAY(Variables!$A$2)</f>
        <v>-17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3" s="30" t="e">
        <f>VLOOKUP(B103,'Train Runs'!$A$13:$A$99950,1,FALSE)</f>
        <v>#N/A</v>
      </c>
    </row>
    <row r="104" spans="1:10" x14ac:dyDescent="0.25">
      <c r="A104" s="186"/>
      <c r="B104" s="43" t="str">
        <f>A104&amp;"-"&amp;IF(DAY(Variables!$A$2)&lt;10,0,"")&amp;DAY(Variables!$A$2)</f>
        <v>-17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4" s="30" t="e">
        <f>VLOOKUP(B104,'Train Runs'!$A$13:$A$99950,1,FALSE)</f>
        <v>#N/A</v>
      </c>
    </row>
    <row r="105" spans="1:10" x14ac:dyDescent="0.25">
      <c r="A105" s="186"/>
      <c r="B105" s="43" t="str">
        <f>A105&amp;"-"&amp;IF(DAY(Variables!$A$2)&lt;10,0,"")&amp;DAY(Variables!$A$2)</f>
        <v>-17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5" s="30" t="e">
        <f>VLOOKUP(B105,'Train Runs'!$A$13:$A$99950,1,FALSE)</f>
        <v>#N/A</v>
      </c>
    </row>
    <row r="106" spans="1:10" x14ac:dyDescent="0.25">
      <c r="A106" s="186"/>
      <c r="B106" s="43" t="str">
        <f>A106&amp;"-"&amp;IF(DAY(Variables!$A$2)&lt;10,0,"")&amp;DAY(Variables!$A$2)</f>
        <v>-17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6" s="30" t="e">
        <f>VLOOKUP(B106,'Train Runs'!$A$13:$A$99950,1,FALSE)</f>
        <v>#N/A</v>
      </c>
    </row>
    <row r="107" spans="1:10" x14ac:dyDescent="0.25">
      <c r="A107" s="186"/>
      <c r="B107" s="43" t="str">
        <f>A107&amp;"-"&amp;IF(DAY(Variables!$A$2)&lt;10,0,"")&amp;DAY(Variables!$A$2)</f>
        <v>-17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7" s="30" t="e">
        <f>VLOOKUP(B107,'Train Runs'!$A$13:$A$99950,1,FALSE)</f>
        <v>#N/A</v>
      </c>
    </row>
    <row r="108" spans="1:10" x14ac:dyDescent="0.25">
      <c r="A108" s="186"/>
      <c r="B108" s="43" t="str">
        <f>A108&amp;"-"&amp;IF(DAY(Variables!$A$2)&lt;10,0,"")&amp;DAY(Variables!$A$2)</f>
        <v>-17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8" s="30" t="e">
        <f>VLOOKUP(B108,'Train Runs'!$A$13:$A$99950,1,FALSE)</f>
        <v>#N/A</v>
      </c>
    </row>
    <row r="109" spans="1:10" x14ac:dyDescent="0.25">
      <c r="A109" s="186"/>
      <c r="B109" s="43" t="str">
        <f>A109&amp;"-"&amp;IF(DAY(Variables!$A$2)&lt;10,0,"")&amp;DAY(Variables!$A$2)</f>
        <v>-17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9" s="30" t="e">
        <f>VLOOKUP(B109,'Train Runs'!$A$13:$A$99950,1,FALSE)</f>
        <v>#N/A</v>
      </c>
    </row>
    <row r="110" spans="1:10" x14ac:dyDescent="0.25">
      <c r="A110" s="186"/>
      <c r="B110" s="43" t="str">
        <f>A110&amp;"-"&amp;IF(DAY(Variables!$A$2)&lt;10,0,"")&amp;DAY(Variables!$A$2)</f>
        <v>-17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0" s="30" t="e">
        <f>VLOOKUP(B110,'Train Runs'!$A$13:$A$99950,1,FALSE)</f>
        <v>#N/A</v>
      </c>
    </row>
    <row r="111" spans="1:10" x14ac:dyDescent="0.25">
      <c r="A111" s="186"/>
      <c r="B111" s="43" t="str">
        <f>A111&amp;"-"&amp;IF(DAY(Variables!$A$2)&lt;10,0,"")&amp;DAY(Variables!$A$2)</f>
        <v>-17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1" s="30" t="e">
        <f>VLOOKUP(B111,'Train Runs'!$A$13:$A$99950,1,FALSE)</f>
        <v>#N/A</v>
      </c>
    </row>
    <row r="112" spans="1:10" x14ac:dyDescent="0.25">
      <c r="A112" s="186"/>
      <c r="B112" s="43" t="str">
        <f>A112&amp;"-"&amp;IF(DAY(Variables!$A$2)&lt;10,0,"")&amp;DAY(Variables!$A$2)</f>
        <v>-17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2" s="30" t="e">
        <f>VLOOKUP(B112,'Train Runs'!$A$13:$A$99950,1,FALSE)</f>
        <v>#N/A</v>
      </c>
    </row>
    <row r="113" spans="1:10" x14ac:dyDescent="0.25">
      <c r="A113" s="186"/>
      <c r="B113" s="43" t="str">
        <f>A113&amp;"-"&amp;IF(DAY(Variables!$A$2)&lt;10,0,"")&amp;DAY(Variables!$A$2)</f>
        <v>-17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3" s="30" t="e">
        <f>VLOOKUP(B113,'Train Runs'!$A$13:$A$99950,1,FALSE)</f>
        <v>#N/A</v>
      </c>
    </row>
    <row r="114" spans="1:10" x14ac:dyDescent="0.25">
      <c r="A114" s="186"/>
      <c r="B114" s="43" t="str">
        <f>A114&amp;"-"&amp;IF(DAY(Variables!$A$2)&lt;10,0,"")&amp;DAY(Variables!$A$2)</f>
        <v>-17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4" s="30" t="e">
        <f>VLOOKUP(B114,'Train Runs'!$A$13:$A$99950,1,FALSE)</f>
        <v>#N/A</v>
      </c>
    </row>
    <row r="115" spans="1:10" x14ac:dyDescent="0.25">
      <c r="A115" s="186"/>
      <c r="B115" s="43" t="str">
        <f>A115&amp;"-"&amp;IF(DAY(Variables!$A$2)&lt;10,0,"")&amp;DAY(Variables!$A$2)</f>
        <v>-17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5" s="30" t="e">
        <f>VLOOKUP(B115,'Train Runs'!$A$13:$A$99950,1,FALSE)</f>
        <v>#N/A</v>
      </c>
    </row>
    <row r="116" spans="1:10" x14ac:dyDescent="0.25">
      <c r="A116" s="186"/>
      <c r="B116" s="43" t="str">
        <f>A116&amp;"-"&amp;IF(DAY(Variables!$A$2)&lt;10,0,"")&amp;DAY(Variables!$A$2)</f>
        <v>-17</v>
      </c>
      <c r="C116" s="147"/>
      <c r="D116" s="165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6" s="30" t="e">
        <f>VLOOKUP(B116,'Train Runs'!$A$13:$A$99950,1,FALSE)</f>
        <v>#N/A</v>
      </c>
    </row>
    <row r="117" spans="1:10" x14ac:dyDescent="0.25">
      <c r="A117" s="186"/>
      <c r="B117" s="43" t="str">
        <f>A117&amp;"-"&amp;IF(DAY(Variables!$A$2)&lt;10,0,"")&amp;DAY(Variables!$A$2)</f>
        <v>-17</v>
      </c>
      <c r="C117" s="147"/>
      <c r="D117" s="165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7" s="30" t="e">
        <f>VLOOKUP(B117,'Train Runs'!$A$13:$A$99950,1,FALSE)</f>
        <v>#N/A</v>
      </c>
    </row>
    <row r="118" spans="1:10" x14ac:dyDescent="0.25">
      <c r="A118" s="186"/>
      <c r="B118" s="43" t="str">
        <f>A118&amp;"-"&amp;IF(DAY(Variables!$A$2)&lt;10,0,"")&amp;DAY(Variables!$A$2)</f>
        <v>-17</v>
      </c>
      <c r="C118" s="147"/>
      <c r="D118" s="165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8" s="30" t="e">
        <f>VLOOKUP(B118,'Train Runs'!$A$13:$A$99950,1,FALSE)</f>
        <v>#N/A</v>
      </c>
    </row>
    <row r="119" spans="1:10" x14ac:dyDescent="0.25">
      <c r="A119" s="186"/>
      <c r="B119" s="43" t="str">
        <f>A119&amp;"-"&amp;IF(DAY(Variables!$A$2)&lt;10,0,"")&amp;DAY(Variables!$A$2)</f>
        <v>-17</v>
      </c>
      <c r="C119" s="147"/>
      <c r="D119" s="165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9" s="30" t="e">
        <f>VLOOKUP(B119,'Train Runs'!$A$13:$A$99950,1,FALSE)</f>
        <v>#N/A</v>
      </c>
    </row>
  </sheetData>
  <autoFilter ref="A2:J119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3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202</v>
      </c>
      <c r="G1" s="8" t="s">
        <v>201</v>
      </c>
    </row>
    <row r="2" spans="1:7" x14ac:dyDescent="0.25">
      <c r="A2" s="8">
        <v>42783.036631944444</v>
      </c>
      <c r="B2" s="20" t="s">
        <v>258</v>
      </c>
      <c r="C2" s="20" t="s">
        <v>392</v>
      </c>
      <c r="D2" s="150">
        <v>2270000</v>
      </c>
      <c r="E2" s="20" t="s">
        <v>236</v>
      </c>
      <c r="F2" s="20" t="s">
        <v>237</v>
      </c>
      <c r="G2" s="8" t="str">
        <f>E2&amp;" "&amp;F2</f>
        <v>BROWN JACOB</v>
      </c>
    </row>
    <row r="3" spans="1:7" x14ac:dyDescent="0.25">
      <c r="A3" s="8">
        <v>42783.046157407407</v>
      </c>
      <c r="B3" s="20" t="s">
        <v>290</v>
      </c>
      <c r="C3" s="20" t="s">
        <v>393</v>
      </c>
      <c r="D3" s="150">
        <v>2220000</v>
      </c>
      <c r="E3" s="20" t="s">
        <v>218</v>
      </c>
      <c r="F3" s="20" t="s">
        <v>219</v>
      </c>
      <c r="G3" s="8" t="str">
        <f t="shared" ref="G3:G66" si="0">E3&amp;" "&amp;F3</f>
        <v>HILLS DUSTIN</v>
      </c>
    </row>
    <row r="4" spans="1:7" x14ac:dyDescent="0.25">
      <c r="A4" s="8">
        <v>42783.050011574072</v>
      </c>
      <c r="B4" s="20" t="s">
        <v>266</v>
      </c>
      <c r="C4" s="20" t="s">
        <v>394</v>
      </c>
      <c r="D4" s="150">
        <v>2540000</v>
      </c>
      <c r="E4" s="20" t="s">
        <v>225</v>
      </c>
      <c r="F4" s="20" t="s">
        <v>226</v>
      </c>
      <c r="G4" s="8" t="str">
        <f t="shared" si="0"/>
        <v>MCREYNOLDS KYLE</v>
      </c>
    </row>
    <row r="5" spans="1:7" x14ac:dyDescent="0.25">
      <c r="A5" s="8">
        <v>42783.071111111109</v>
      </c>
      <c r="B5" s="20" t="s">
        <v>257</v>
      </c>
      <c r="C5" s="20" t="s">
        <v>395</v>
      </c>
      <c r="D5" s="150">
        <v>2270000</v>
      </c>
      <c r="E5" s="20" t="s">
        <v>236</v>
      </c>
      <c r="F5" s="20" t="s">
        <v>237</v>
      </c>
      <c r="G5" s="8" t="str">
        <f t="shared" si="0"/>
        <v>BROWN JACOB</v>
      </c>
    </row>
    <row r="6" spans="1:7" x14ac:dyDescent="0.25">
      <c r="A6" s="8">
        <v>42783.084085648145</v>
      </c>
      <c r="B6" s="20" t="s">
        <v>277</v>
      </c>
      <c r="C6" s="20" t="s">
        <v>396</v>
      </c>
      <c r="D6" s="150">
        <v>2670000</v>
      </c>
      <c r="E6" s="20" t="s">
        <v>247</v>
      </c>
      <c r="F6" s="20" t="s">
        <v>248</v>
      </c>
      <c r="G6" s="8" t="str">
        <f t="shared" si="0"/>
        <v>COMELLA JUSTIN</v>
      </c>
    </row>
    <row r="7" spans="1:7" x14ac:dyDescent="0.25">
      <c r="A7" s="8">
        <v>42783.08935185185</v>
      </c>
      <c r="B7" s="20" t="s">
        <v>192</v>
      </c>
      <c r="C7" s="20" t="s">
        <v>397</v>
      </c>
      <c r="D7" s="150">
        <v>2220000</v>
      </c>
      <c r="E7" s="20" t="s">
        <v>218</v>
      </c>
      <c r="F7" s="20" t="s">
        <v>219</v>
      </c>
      <c r="G7" s="8" t="str">
        <f t="shared" si="0"/>
        <v>HILLS DUSTIN</v>
      </c>
    </row>
    <row r="8" spans="1:7" x14ac:dyDescent="0.25">
      <c r="A8" s="8">
        <v>42783.123749999999</v>
      </c>
      <c r="B8" s="20" t="s">
        <v>223</v>
      </c>
      <c r="C8" s="20" t="s">
        <v>470</v>
      </c>
      <c r="D8" s="150">
        <v>2550000</v>
      </c>
      <c r="E8" s="20" t="s">
        <v>328</v>
      </c>
      <c r="F8" s="20" t="s">
        <v>329</v>
      </c>
      <c r="G8" s="8" t="str">
        <f t="shared" si="0"/>
        <v>BADERTSCHER DIANE</v>
      </c>
    </row>
    <row r="9" spans="1:7" ht="15.75" thickBot="1" x14ac:dyDescent="0.3">
      <c r="A9" s="24">
        <v>42783.126018518517</v>
      </c>
      <c r="B9" s="20" t="s">
        <v>223</v>
      </c>
      <c r="C9" s="20" t="s">
        <v>470</v>
      </c>
      <c r="D9" s="150">
        <v>2550000</v>
      </c>
      <c r="E9" s="20" t="s">
        <v>328</v>
      </c>
      <c r="F9" s="20" t="s">
        <v>329</v>
      </c>
      <c r="G9" s="8" t="str">
        <f t="shared" si="0"/>
        <v>BADERTSCHER DIANE</v>
      </c>
    </row>
    <row r="10" spans="1:7" x14ac:dyDescent="0.25">
      <c r="A10" s="8">
        <v>42783.140381944446</v>
      </c>
      <c r="B10" s="20" t="s">
        <v>278</v>
      </c>
      <c r="C10" s="20" t="s">
        <v>471</v>
      </c>
      <c r="D10" s="150">
        <v>2550000</v>
      </c>
      <c r="E10" s="20" t="s">
        <v>328</v>
      </c>
      <c r="F10" s="20" t="s">
        <v>329</v>
      </c>
      <c r="G10" s="8" t="str">
        <f t="shared" si="0"/>
        <v>BADERTSCHER DIANE</v>
      </c>
    </row>
    <row r="11" spans="1:7" x14ac:dyDescent="0.25">
      <c r="A11" s="8">
        <v>42783.144259259258</v>
      </c>
      <c r="B11" s="20" t="s">
        <v>289</v>
      </c>
      <c r="C11" s="20" t="s">
        <v>472</v>
      </c>
      <c r="D11" s="150">
        <v>1260000</v>
      </c>
      <c r="E11" s="20" t="s">
        <v>473</v>
      </c>
      <c r="F11" s="20" t="s">
        <v>474</v>
      </c>
      <c r="G11" s="8" t="str">
        <f t="shared" si="0"/>
        <v>ACKERMAN JARED</v>
      </c>
    </row>
    <row r="12" spans="1:7" x14ac:dyDescent="0.25">
      <c r="A12" s="8">
        <v>42783.153356481482</v>
      </c>
      <c r="B12" s="20" t="s">
        <v>220</v>
      </c>
      <c r="C12" s="20" t="s">
        <v>475</v>
      </c>
      <c r="D12" s="150">
        <v>1260000</v>
      </c>
      <c r="E12" s="20" t="s">
        <v>473</v>
      </c>
      <c r="F12" s="20" t="s">
        <v>474</v>
      </c>
      <c r="G12" s="8" t="str">
        <f t="shared" si="0"/>
        <v>ACKERMAN JARED</v>
      </c>
    </row>
    <row r="13" spans="1:7" x14ac:dyDescent="0.25">
      <c r="A13" s="8">
        <v>42783.16034722222</v>
      </c>
      <c r="B13" s="20" t="s">
        <v>274</v>
      </c>
      <c r="C13" s="20" t="s">
        <v>476</v>
      </c>
      <c r="D13" s="150">
        <v>2140000</v>
      </c>
      <c r="E13" s="20" t="s">
        <v>381</v>
      </c>
      <c r="F13" s="20" t="s">
        <v>382</v>
      </c>
      <c r="G13" s="8" t="str">
        <f t="shared" si="0"/>
        <v>ROBINSON KADDIBA</v>
      </c>
    </row>
    <row r="14" spans="1:7" x14ac:dyDescent="0.25">
      <c r="A14" s="8">
        <v>42783.170335648145</v>
      </c>
      <c r="B14" s="20" t="s">
        <v>216</v>
      </c>
      <c r="C14" s="20" t="s">
        <v>477</v>
      </c>
      <c r="D14" s="150">
        <v>1110000</v>
      </c>
      <c r="E14" s="20" t="s">
        <v>305</v>
      </c>
      <c r="F14" s="20" t="s">
        <v>306</v>
      </c>
      <c r="G14" s="8" t="str">
        <f t="shared" si="0"/>
        <v>STARKS ANGELINA</v>
      </c>
    </row>
    <row r="15" spans="1:7" x14ac:dyDescent="0.25">
      <c r="A15" s="8">
        <v>42783.171666666669</v>
      </c>
      <c r="B15" s="20" t="s">
        <v>223</v>
      </c>
      <c r="C15" s="20" t="s">
        <v>478</v>
      </c>
      <c r="D15" s="150">
        <v>2550000</v>
      </c>
      <c r="E15" s="20" t="s">
        <v>328</v>
      </c>
      <c r="F15" s="20" t="s">
        <v>329</v>
      </c>
      <c r="G15" s="8" t="str">
        <f t="shared" si="0"/>
        <v>BADERTSCHER DIANE</v>
      </c>
    </row>
    <row r="16" spans="1:7" x14ac:dyDescent="0.25">
      <c r="A16" s="8">
        <v>42783.171747685185</v>
      </c>
      <c r="B16" s="20" t="s">
        <v>229</v>
      </c>
      <c r="C16" s="20" t="s">
        <v>479</v>
      </c>
      <c r="D16" s="150">
        <v>2140000</v>
      </c>
      <c r="E16" s="20" t="s">
        <v>381</v>
      </c>
      <c r="F16" s="20" t="s">
        <v>382</v>
      </c>
      <c r="G16" s="8" t="str">
        <f t="shared" si="0"/>
        <v>ROBINSON KADDIBA</v>
      </c>
    </row>
    <row r="17" spans="1:7" x14ac:dyDescent="0.25">
      <c r="A17" s="8">
        <v>42783.172280092593</v>
      </c>
      <c r="B17" s="20" t="s">
        <v>216</v>
      </c>
      <c r="C17" s="20" t="s">
        <v>477</v>
      </c>
      <c r="D17" s="150">
        <v>1110000</v>
      </c>
      <c r="E17" s="20" t="s">
        <v>305</v>
      </c>
      <c r="F17" s="20" t="s">
        <v>306</v>
      </c>
      <c r="G17" s="8" t="str">
        <f t="shared" si="0"/>
        <v>STARKS ANGELINA</v>
      </c>
    </row>
    <row r="18" spans="1:7" x14ac:dyDescent="0.25">
      <c r="A18" s="8">
        <v>42783.172384259262</v>
      </c>
      <c r="B18" s="20" t="s">
        <v>229</v>
      </c>
      <c r="C18" s="20" t="s">
        <v>479</v>
      </c>
      <c r="D18" s="150">
        <v>2140000</v>
      </c>
      <c r="E18" s="20" t="s">
        <v>381</v>
      </c>
      <c r="F18" s="20" t="s">
        <v>382</v>
      </c>
      <c r="G18" s="8" t="str">
        <f t="shared" si="0"/>
        <v>ROBINSON KADDIBA</v>
      </c>
    </row>
    <row r="19" spans="1:7" x14ac:dyDescent="0.25">
      <c r="A19" s="8">
        <v>42783.173738425925</v>
      </c>
      <c r="B19" s="20" t="s">
        <v>229</v>
      </c>
      <c r="C19" s="20" t="s">
        <v>479</v>
      </c>
      <c r="D19" s="150">
        <v>2140000</v>
      </c>
      <c r="E19" s="20" t="s">
        <v>381</v>
      </c>
      <c r="F19" s="20" t="s">
        <v>382</v>
      </c>
      <c r="G19" s="8" t="str">
        <f t="shared" si="0"/>
        <v>ROBINSON KADDIBA</v>
      </c>
    </row>
    <row r="20" spans="1:7" x14ac:dyDescent="0.25">
      <c r="A20" s="8">
        <v>42783.174409722225</v>
      </c>
      <c r="B20" s="20" t="s">
        <v>229</v>
      </c>
      <c r="C20" s="20" t="s">
        <v>479</v>
      </c>
      <c r="D20" s="150">
        <v>2140000</v>
      </c>
      <c r="E20" s="20" t="s">
        <v>381</v>
      </c>
      <c r="F20" s="20" t="s">
        <v>382</v>
      </c>
      <c r="G20" s="8" t="str">
        <f t="shared" si="0"/>
        <v>ROBINSON KADDIBA</v>
      </c>
    </row>
    <row r="21" spans="1:7" x14ac:dyDescent="0.25">
      <c r="A21" s="8">
        <v>42783.185266203705</v>
      </c>
      <c r="B21" s="20" t="s">
        <v>238</v>
      </c>
      <c r="C21" s="20" t="s">
        <v>480</v>
      </c>
      <c r="D21" s="150">
        <v>1110000</v>
      </c>
      <c r="E21" s="20" t="s">
        <v>305</v>
      </c>
      <c r="F21" s="20" t="s">
        <v>306</v>
      </c>
      <c r="G21" s="8" t="str">
        <f t="shared" si="0"/>
        <v>STARKS ANGELINA</v>
      </c>
    </row>
    <row r="22" spans="1:7" x14ac:dyDescent="0.25">
      <c r="A22" s="26">
        <v>42783.187372685185</v>
      </c>
      <c r="B22" s="20" t="s">
        <v>228</v>
      </c>
      <c r="C22" s="20" t="s">
        <v>481</v>
      </c>
      <c r="D22" s="150">
        <v>890000</v>
      </c>
      <c r="E22" s="20" t="s">
        <v>332</v>
      </c>
      <c r="F22" s="20" t="s">
        <v>333</v>
      </c>
      <c r="G22" s="8" t="str">
        <f t="shared" si="0"/>
        <v>LOZA FIDEL</v>
      </c>
    </row>
    <row r="23" spans="1:7" x14ac:dyDescent="0.25">
      <c r="A23" s="8">
        <v>42783.188819444447</v>
      </c>
      <c r="B23" s="20" t="s">
        <v>289</v>
      </c>
      <c r="C23" s="20" t="s">
        <v>436</v>
      </c>
      <c r="D23" s="150">
        <v>1260000</v>
      </c>
      <c r="E23" s="20" t="s">
        <v>473</v>
      </c>
      <c r="F23" s="20" t="s">
        <v>474</v>
      </c>
      <c r="G23" s="8" t="str">
        <f t="shared" si="0"/>
        <v>ACKERMAN JARED</v>
      </c>
    </row>
    <row r="24" spans="1:7" x14ac:dyDescent="0.25">
      <c r="A24" s="8">
        <v>42783.196562500001</v>
      </c>
      <c r="B24" s="20" t="s">
        <v>266</v>
      </c>
      <c r="C24" s="20" t="s">
        <v>482</v>
      </c>
      <c r="D24" s="150">
        <v>890000</v>
      </c>
      <c r="E24" s="20" t="s">
        <v>332</v>
      </c>
      <c r="F24" s="20" t="s">
        <v>333</v>
      </c>
      <c r="G24" s="8" t="str">
        <f t="shared" si="0"/>
        <v>LOZA FIDEL</v>
      </c>
    </row>
    <row r="25" spans="1:7" x14ac:dyDescent="0.25">
      <c r="A25" s="8">
        <v>42783.20045138889</v>
      </c>
      <c r="B25" s="20" t="s">
        <v>380</v>
      </c>
      <c r="C25" s="20" t="s">
        <v>483</v>
      </c>
      <c r="D25" s="150">
        <v>1100000</v>
      </c>
      <c r="E25" s="20" t="s">
        <v>330</v>
      </c>
      <c r="F25" s="20" t="s">
        <v>331</v>
      </c>
      <c r="G25" s="8" t="str">
        <f t="shared" si="0"/>
        <v>GEBRETEKLE DAGNEW</v>
      </c>
    </row>
    <row r="26" spans="1:7" x14ac:dyDescent="0.25">
      <c r="A26" s="8">
        <v>42783.207662037035</v>
      </c>
      <c r="B26" s="20" t="s">
        <v>274</v>
      </c>
      <c r="C26" s="20" t="s">
        <v>438</v>
      </c>
      <c r="D26" s="150">
        <v>2140000</v>
      </c>
      <c r="E26" s="20" t="s">
        <v>381</v>
      </c>
      <c r="F26" s="20" t="s">
        <v>382</v>
      </c>
      <c r="G26" s="8" t="str">
        <f t="shared" si="0"/>
        <v>ROBINSON KADDIBA</v>
      </c>
    </row>
    <row r="27" spans="1:7" x14ac:dyDescent="0.25">
      <c r="A27" s="8">
        <v>42783.207881944443</v>
      </c>
      <c r="B27" s="20" t="s">
        <v>278</v>
      </c>
      <c r="C27" s="20" t="s">
        <v>484</v>
      </c>
      <c r="D27" s="150">
        <v>940000</v>
      </c>
      <c r="E27" s="20" t="s">
        <v>307</v>
      </c>
      <c r="F27" s="20" t="s">
        <v>308</v>
      </c>
      <c r="G27" s="8" t="str">
        <f t="shared" si="0"/>
        <v>BONDS REYNALDO</v>
      </c>
    </row>
    <row r="28" spans="1:7" x14ac:dyDescent="0.25">
      <c r="A28" s="8">
        <v>42783.209687499999</v>
      </c>
      <c r="B28" s="20" t="s">
        <v>384</v>
      </c>
      <c r="C28" s="20" t="s">
        <v>437</v>
      </c>
      <c r="D28" s="150">
        <v>1100000</v>
      </c>
      <c r="E28" s="20" t="s">
        <v>330</v>
      </c>
      <c r="F28" s="20" t="s">
        <v>331</v>
      </c>
      <c r="G28" s="8" t="str">
        <f t="shared" si="0"/>
        <v>GEBRETEKLE DAGNEW</v>
      </c>
    </row>
    <row r="29" spans="1:7" x14ac:dyDescent="0.25">
      <c r="A29" s="8">
        <v>42783.220601851855</v>
      </c>
      <c r="B29" s="20" t="s">
        <v>224</v>
      </c>
      <c r="C29" s="20" t="s">
        <v>485</v>
      </c>
      <c r="D29" s="150">
        <v>2550000</v>
      </c>
      <c r="E29" s="20" t="s">
        <v>328</v>
      </c>
      <c r="F29" s="20" t="s">
        <v>329</v>
      </c>
      <c r="G29" s="8" t="str">
        <f t="shared" si="0"/>
        <v>BADERTSCHER DIANE</v>
      </c>
    </row>
    <row r="30" spans="1:7" x14ac:dyDescent="0.25">
      <c r="A30" s="8">
        <v>42783.224664351852</v>
      </c>
      <c r="B30" s="20" t="s">
        <v>216</v>
      </c>
      <c r="C30" s="20" t="s">
        <v>486</v>
      </c>
      <c r="D30" s="150">
        <v>1110000</v>
      </c>
      <c r="E30" s="20" t="s">
        <v>305</v>
      </c>
      <c r="F30" s="20" t="s">
        <v>306</v>
      </c>
      <c r="G30" s="8" t="str">
        <f t="shared" si="0"/>
        <v>STARKS ANGELINA</v>
      </c>
    </row>
    <row r="31" spans="1:7" x14ac:dyDescent="0.25">
      <c r="A31" s="8">
        <v>42783.225555555553</v>
      </c>
      <c r="B31" s="20" t="s">
        <v>220</v>
      </c>
      <c r="C31" s="20" t="s">
        <v>487</v>
      </c>
      <c r="D31" s="150">
        <v>900000</v>
      </c>
      <c r="E31" s="20" t="s">
        <v>309</v>
      </c>
      <c r="F31" s="20" t="s">
        <v>310</v>
      </c>
      <c r="G31" s="8" t="str">
        <f t="shared" si="0"/>
        <v>ROCHA YAOTL</v>
      </c>
    </row>
    <row r="32" spans="1:7" x14ac:dyDescent="0.25">
      <c r="A32" s="8">
        <v>42783.22865740741</v>
      </c>
      <c r="B32" s="20" t="s">
        <v>380</v>
      </c>
      <c r="C32" s="20" t="s">
        <v>488</v>
      </c>
      <c r="D32" s="150">
        <v>1100000</v>
      </c>
      <c r="E32" s="20" t="s">
        <v>330</v>
      </c>
      <c r="F32" s="20" t="s">
        <v>331</v>
      </c>
      <c r="G32" s="8" t="str">
        <f t="shared" si="0"/>
        <v>GEBRETEKLE DAGNEW</v>
      </c>
    </row>
    <row r="33" spans="1:7" x14ac:dyDescent="0.25">
      <c r="A33" s="8">
        <v>42783.231782407405</v>
      </c>
      <c r="B33" s="20" t="s">
        <v>288</v>
      </c>
      <c r="C33" s="20" t="s">
        <v>489</v>
      </c>
      <c r="D33" s="150">
        <v>1260000</v>
      </c>
      <c r="E33" s="20" t="s">
        <v>473</v>
      </c>
      <c r="F33" s="20" t="s">
        <v>474</v>
      </c>
      <c r="G33" s="8" t="str">
        <f t="shared" si="0"/>
        <v>ACKERMAN JARED</v>
      </c>
    </row>
    <row r="34" spans="1:7" x14ac:dyDescent="0.25">
      <c r="A34" s="8">
        <v>42783.234560185185</v>
      </c>
      <c r="B34" s="20" t="s">
        <v>228</v>
      </c>
      <c r="C34" s="20" t="s">
        <v>490</v>
      </c>
      <c r="D34" s="150">
        <v>890000</v>
      </c>
      <c r="E34" s="20" t="s">
        <v>332</v>
      </c>
      <c r="F34" s="20" t="s">
        <v>333</v>
      </c>
      <c r="G34" s="8" t="str">
        <f t="shared" si="0"/>
        <v>LOZA FIDEL</v>
      </c>
    </row>
    <row r="35" spans="1:7" x14ac:dyDescent="0.25">
      <c r="A35" s="8">
        <v>42783.241469907407</v>
      </c>
      <c r="B35" s="20" t="s">
        <v>252</v>
      </c>
      <c r="C35" s="20" t="s">
        <v>491</v>
      </c>
      <c r="D35" s="150">
        <v>1360000</v>
      </c>
      <c r="E35" s="20" t="s">
        <v>387</v>
      </c>
      <c r="F35" s="20" t="s">
        <v>388</v>
      </c>
      <c r="G35" s="8" t="str">
        <f t="shared" si="0"/>
        <v>SANTIZO D. EDY</v>
      </c>
    </row>
    <row r="36" spans="1:7" x14ac:dyDescent="0.25">
      <c r="A36" s="8">
        <v>42783.246041666665</v>
      </c>
      <c r="B36" s="20" t="s">
        <v>287</v>
      </c>
      <c r="C36" s="20" t="s">
        <v>492</v>
      </c>
      <c r="D36" s="150">
        <v>2020000</v>
      </c>
      <c r="E36" s="20" t="s">
        <v>383</v>
      </c>
      <c r="F36" s="20" t="s">
        <v>291</v>
      </c>
      <c r="G36" s="8" t="str">
        <f t="shared" si="0"/>
        <v>SHOOK JOHN</v>
      </c>
    </row>
    <row r="37" spans="1:7" x14ac:dyDescent="0.25">
      <c r="A37" s="8">
        <v>42783.248912037037</v>
      </c>
      <c r="B37" s="20" t="s">
        <v>229</v>
      </c>
      <c r="C37" s="20" t="s">
        <v>493</v>
      </c>
      <c r="D37" s="150">
        <v>2140000</v>
      </c>
      <c r="E37" s="20" t="s">
        <v>381</v>
      </c>
      <c r="F37" s="20" t="s">
        <v>382</v>
      </c>
      <c r="G37" s="8" t="str">
        <f t="shared" si="0"/>
        <v>ROBINSON KADDIBA</v>
      </c>
    </row>
    <row r="38" spans="1:7" x14ac:dyDescent="0.25">
      <c r="A38" s="8">
        <v>42783.249594907407</v>
      </c>
      <c r="B38" s="20" t="s">
        <v>223</v>
      </c>
      <c r="C38" s="20" t="s">
        <v>441</v>
      </c>
      <c r="D38" s="150">
        <v>2550000</v>
      </c>
      <c r="E38" s="20" t="s">
        <v>328</v>
      </c>
      <c r="F38" s="20" t="s">
        <v>329</v>
      </c>
      <c r="G38" s="8" t="str">
        <f t="shared" si="0"/>
        <v>BADERTSCHER DIANE</v>
      </c>
    </row>
    <row r="39" spans="1:7" x14ac:dyDescent="0.25">
      <c r="A39" s="8">
        <v>42783.255300925928</v>
      </c>
      <c r="B39" s="20" t="s">
        <v>384</v>
      </c>
      <c r="C39" s="20" t="s">
        <v>439</v>
      </c>
      <c r="D39" s="150">
        <v>1100000</v>
      </c>
      <c r="E39" s="20" t="s">
        <v>330</v>
      </c>
      <c r="F39" s="20" t="s">
        <v>331</v>
      </c>
      <c r="G39" s="8" t="str">
        <f t="shared" si="0"/>
        <v>GEBRETEKLE DAGNEW</v>
      </c>
    </row>
    <row r="40" spans="1:7" x14ac:dyDescent="0.25">
      <c r="A40" s="8">
        <v>42783.256597222222</v>
      </c>
      <c r="B40" s="25" t="s">
        <v>252</v>
      </c>
      <c r="C40" s="20" t="s">
        <v>491</v>
      </c>
      <c r="D40" s="150">
        <v>1360000</v>
      </c>
      <c r="E40" s="20" t="s">
        <v>387</v>
      </c>
      <c r="F40" s="20" t="s">
        <v>388</v>
      </c>
      <c r="G40" s="8" t="str">
        <f t="shared" si="0"/>
        <v>SANTIZO D. EDY</v>
      </c>
    </row>
    <row r="41" spans="1:7" x14ac:dyDescent="0.25">
      <c r="A41" s="8">
        <v>42783.257141203707</v>
      </c>
      <c r="B41" s="20" t="s">
        <v>235</v>
      </c>
      <c r="C41" s="20" t="s">
        <v>494</v>
      </c>
      <c r="D41" s="150">
        <v>2020000</v>
      </c>
      <c r="E41" s="20" t="s">
        <v>383</v>
      </c>
      <c r="F41" s="20" t="s">
        <v>291</v>
      </c>
      <c r="G41" s="8" t="str">
        <f t="shared" si="0"/>
        <v>SHOOK JOHN</v>
      </c>
    </row>
    <row r="42" spans="1:7" x14ac:dyDescent="0.25">
      <c r="A42" s="8">
        <v>42783.258483796293</v>
      </c>
      <c r="B42" s="20" t="s">
        <v>238</v>
      </c>
      <c r="C42" s="20" t="s">
        <v>440</v>
      </c>
      <c r="D42" s="150">
        <v>1110000</v>
      </c>
      <c r="E42" s="20" t="s">
        <v>305</v>
      </c>
      <c r="F42" s="20" t="s">
        <v>306</v>
      </c>
      <c r="G42" s="8" t="str">
        <f t="shared" si="0"/>
        <v>STARKS ANGELINA</v>
      </c>
    </row>
    <row r="43" spans="1:7" x14ac:dyDescent="0.25">
      <c r="A43" s="8">
        <v>42783.268113425926</v>
      </c>
      <c r="B43" s="20" t="s">
        <v>221</v>
      </c>
      <c r="C43" s="20" t="s">
        <v>495</v>
      </c>
      <c r="D43" s="150">
        <v>900000</v>
      </c>
      <c r="E43" s="20" t="s">
        <v>309</v>
      </c>
      <c r="F43" s="20" t="s">
        <v>310</v>
      </c>
      <c r="G43" s="8" t="str">
        <f t="shared" si="0"/>
        <v>ROCHA YAOTL</v>
      </c>
    </row>
    <row r="44" spans="1:7" x14ac:dyDescent="0.25">
      <c r="A44" s="8">
        <v>42783.269201388888</v>
      </c>
      <c r="B44" s="20" t="s">
        <v>266</v>
      </c>
      <c r="C44" s="20" t="s">
        <v>496</v>
      </c>
      <c r="D44" s="150">
        <v>890000</v>
      </c>
      <c r="E44" s="20" t="s">
        <v>332</v>
      </c>
      <c r="F44" s="20" t="s">
        <v>333</v>
      </c>
      <c r="G44" s="8" t="str">
        <f t="shared" si="0"/>
        <v>LOZA FIDEL</v>
      </c>
    </row>
    <row r="45" spans="1:7" x14ac:dyDescent="0.25">
      <c r="A45" s="8">
        <v>42783.270925925928</v>
      </c>
      <c r="B45" s="20" t="s">
        <v>380</v>
      </c>
      <c r="C45" s="20" t="s">
        <v>497</v>
      </c>
      <c r="D45" s="150">
        <v>1100000</v>
      </c>
      <c r="E45" s="20" t="s">
        <v>330</v>
      </c>
      <c r="F45" s="20" t="s">
        <v>331</v>
      </c>
      <c r="G45" s="8" t="str">
        <f t="shared" si="0"/>
        <v>GEBRETEKLE DAGNEW</v>
      </c>
    </row>
    <row r="46" spans="1:7" x14ac:dyDescent="0.25">
      <c r="A46" s="8">
        <v>42783.272986111115</v>
      </c>
      <c r="B46" s="20" t="s">
        <v>289</v>
      </c>
      <c r="C46" s="20" t="s">
        <v>442</v>
      </c>
      <c r="D46" s="150">
        <v>1260000</v>
      </c>
      <c r="E46" s="20" t="s">
        <v>473</v>
      </c>
      <c r="F46" s="20" t="s">
        <v>474</v>
      </c>
      <c r="G46" s="8" t="str">
        <f t="shared" si="0"/>
        <v>ACKERMAN JARED</v>
      </c>
    </row>
    <row r="47" spans="1:7" x14ac:dyDescent="0.25">
      <c r="A47" s="8">
        <v>42783.275520833333</v>
      </c>
      <c r="B47" s="20" t="s">
        <v>278</v>
      </c>
      <c r="C47" s="20" t="s">
        <v>498</v>
      </c>
      <c r="D47" s="150">
        <v>940000</v>
      </c>
      <c r="E47" s="20" t="s">
        <v>307</v>
      </c>
      <c r="F47" s="20" t="s">
        <v>308</v>
      </c>
      <c r="G47" s="8" t="str">
        <f t="shared" si="0"/>
        <v>BONDS REYNALDO</v>
      </c>
    </row>
    <row r="48" spans="1:7" x14ac:dyDescent="0.25">
      <c r="A48" s="8">
        <v>42783.276932870373</v>
      </c>
      <c r="B48" s="20" t="s">
        <v>287</v>
      </c>
      <c r="C48" s="20" t="s">
        <v>499</v>
      </c>
      <c r="D48" s="150">
        <v>2020000</v>
      </c>
      <c r="E48" s="20" t="s">
        <v>383</v>
      </c>
      <c r="F48" s="20" t="s">
        <v>291</v>
      </c>
      <c r="G48" s="8" t="str">
        <f t="shared" si="0"/>
        <v>SHOOK JOHN</v>
      </c>
    </row>
    <row r="49" spans="1:7" x14ac:dyDescent="0.25">
      <c r="A49" s="8">
        <v>42783.284918981481</v>
      </c>
      <c r="B49" s="20" t="s">
        <v>210</v>
      </c>
      <c r="C49" s="20" t="s">
        <v>443</v>
      </c>
      <c r="D49" s="150">
        <v>2140000</v>
      </c>
      <c r="E49" s="20" t="s">
        <v>381</v>
      </c>
      <c r="F49" s="20" t="s">
        <v>382</v>
      </c>
      <c r="G49" s="8" t="str">
        <f t="shared" si="0"/>
        <v>ROBINSON KADDIBA</v>
      </c>
    </row>
    <row r="50" spans="1:7" x14ac:dyDescent="0.25">
      <c r="A50" s="8">
        <v>42783.288622685184</v>
      </c>
      <c r="B50" s="20" t="s">
        <v>224</v>
      </c>
      <c r="C50" s="20" t="s">
        <v>500</v>
      </c>
      <c r="D50" s="150">
        <v>2550000</v>
      </c>
      <c r="E50" s="20" t="s">
        <v>328</v>
      </c>
      <c r="F50" s="20" t="s">
        <v>329</v>
      </c>
      <c r="G50" s="8" t="str">
        <f t="shared" si="0"/>
        <v>BADERTSCHER DIANE</v>
      </c>
    </row>
    <row r="51" spans="1:7" x14ac:dyDescent="0.25">
      <c r="A51" s="8">
        <v>42783.290625000001</v>
      </c>
      <c r="B51" s="20" t="s">
        <v>235</v>
      </c>
      <c r="C51" s="20" t="s">
        <v>501</v>
      </c>
      <c r="D51" s="150">
        <v>2020000</v>
      </c>
      <c r="E51" s="20" t="s">
        <v>383</v>
      </c>
      <c r="F51" s="20" t="s">
        <v>291</v>
      </c>
      <c r="G51" s="8" t="str">
        <f t="shared" si="0"/>
        <v>SHOOK JOHN</v>
      </c>
    </row>
    <row r="52" spans="1:7" x14ac:dyDescent="0.25">
      <c r="A52" s="8">
        <v>42783.296238425923</v>
      </c>
      <c r="B52" s="20" t="s">
        <v>384</v>
      </c>
      <c r="C52" s="20" t="s">
        <v>502</v>
      </c>
      <c r="D52" s="150">
        <v>1100000</v>
      </c>
      <c r="E52" s="20" t="s">
        <v>330</v>
      </c>
      <c r="F52" s="20" t="s">
        <v>331</v>
      </c>
      <c r="G52" s="8" t="str">
        <f t="shared" si="0"/>
        <v>GEBRETEKLE DAGNEW</v>
      </c>
    </row>
    <row r="53" spans="1:7" x14ac:dyDescent="0.25">
      <c r="A53" s="8">
        <v>42783.296493055554</v>
      </c>
      <c r="B53" s="20" t="s">
        <v>216</v>
      </c>
      <c r="C53" s="20" t="s">
        <v>503</v>
      </c>
      <c r="D53" s="150">
        <v>1110000</v>
      </c>
      <c r="E53" s="20" t="s">
        <v>305</v>
      </c>
      <c r="F53" s="20" t="s">
        <v>306</v>
      </c>
      <c r="G53" s="8" t="str">
        <f t="shared" si="0"/>
        <v>STARKS ANGELINA</v>
      </c>
    </row>
    <row r="54" spans="1:7" x14ac:dyDescent="0.25">
      <c r="A54" s="8">
        <v>42783.299490740741</v>
      </c>
      <c r="B54" s="20" t="s">
        <v>220</v>
      </c>
      <c r="C54" s="20" t="s">
        <v>504</v>
      </c>
      <c r="D54" s="150">
        <v>1230000</v>
      </c>
      <c r="E54" s="20" t="s">
        <v>505</v>
      </c>
      <c r="F54" s="20" t="s">
        <v>506</v>
      </c>
      <c r="G54" s="8" t="str">
        <f t="shared" si="0"/>
        <v>YANAI IAN</v>
      </c>
    </row>
    <row r="55" spans="1:7" x14ac:dyDescent="0.25">
      <c r="A55" s="8">
        <v>42783.305983796294</v>
      </c>
      <c r="B55" s="20" t="s">
        <v>228</v>
      </c>
      <c r="C55" s="20" t="s">
        <v>507</v>
      </c>
      <c r="D55" s="150">
        <v>890000</v>
      </c>
      <c r="E55" s="20" t="s">
        <v>332</v>
      </c>
      <c r="F55" s="20" t="s">
        <v>333</v>
      </c>
      <c r="G55" s="8" t="str">
        <f t="shared" si="0"/>
        <v>LOZA FIDEL</v>
      </c>
    </row>
    <row r="56" spans="1:7" x14ac:dyDescent="0.25">
      <c r="A56" s="8">
        <v>42783.30804398148</v>
      </c>
      <c r="B56" s="20" t="s">
        <v>288</v>
      </c>
      <c r="C56" s="20" t="s">
        <v>508</v>
      </c>
      <c r="D56" s="150">
        <v>1260000</v>
      </c>
      <c r="E56" s="20" t="s">
        <v>473</v>
      </c>
      <c r="F56" s="20" t="s">
        <v>474</v>
      </c>
      <c r="G56" s="8" t="str">
        <f t="shared" si="0"/>
        <v>ACKERMAN JARED</v>
      </c>
    </row>
    <row r="57" spans="1:7" x14ac:dyDescent="0.25">
      <c r="A57" s="8">
        <v>42783.311296296299</v>
      </c>
      <c r="B57" s="20" t="s">
        <v>380</v>
      </c>
      <c r="C57" s="20" t="s">
        <v>509</v>
      </c>
      <c r="D57" s="150">
        <v>1100000</v>
      </c>
      <c r="E57" s="20" t="s">
        <v>330</v>
      </c>
      <c r="F57" s="20" t="s">
        <v>331</v>
      </c>
      <c r="G57" s="8" t="str">
        <f t="shared" si="0"/>
        <v>GEBRETEKLE DAGNEW</v>
      </c>
    </row>
    <row r="58" spans="1:7" x14ac:dyDescent="0.25">
      <c r="A58" s="8">
        <v>42783.312696759262</v>
      </c>
      <c r="B58" s="20" t="s">
        <v>252</v>
      </c>
      <c r="C58" s="20" t="s">
        <v>510</v>
      </c>
      <c r="D58" s="150">
        <v>940000</v>
      </c>
      <c r="E58" s="20" t="s">
        <v>307</v>
      </c>
      <c r="F58" s="20" t="s">
        <v>308</v>
      </c>
      <c r="G58" s="8" t="str">
        <f t="shared" si="0"/>
        <v>BONDS REYNALDO</v>
      </c>
    </row>
    <row r="59" spans="1:7" x14ac:dyDescent="0.25">
      <c r="A59" s="8">
        <v>42783.318148148152</v>
      </c>
      <c r="B59" s="20" t="s">
        <v>287</v>
      </c>
      <c r="C59" s="20" t="s">
        <v>511</v>
      </c>
      <c r="D59" s="150">
        <v>2020000</v>
      </c>
      <c r="E59" s="20" t="s">
        <v>383</v>
      </c>
      <c r="F59" s="20" t="s">
        <v>291</v>
      </c>
      <c r="G59" s="8" t="str">
        <f t="shared" si="0"/>
        <v>SHOOK JOHN</v>
      </c>
    </row>
    <row r="60" spans="1:7" x14ac:dyDescent="0.25">
      <c r="A60" s="8">
        <v>42783.31931712963</v>
      </c>
      <c r="B60" s="20" t="s">
        <v>229</v>
      </c>
      <c r="C60" s="20" t="s">
        <v>512</v>
      </c>
      <c r="D60" s="150">
        <v>2140000</v>
      </c>
      <c r="E60" s="20" t="s">
        <v>381</v>
      </c>
      <c r="F60" s="20" t="s">
        <v>382</v>
      </c>
      <c r="G60" s="8" t="str">
        <f t="shared" si="0"/>
        <v>ROBINSON KADDIBA</v>
      </c>
    </row>
    <row r="61" spans="1:7" x14ac:dyDescent="0.25">
      <c r="A61" s="8">
        <v>42783.319687499999</v>
      </c>
      <c r="B61" s="20" t="s">
        <v>223</v>
      </c>
      <c r="C61" s="20" t="s">
        <v>513</v>
      </c>
      <c r="D61" s="150">
        <v>2550000</v>
      </c>
      <c r="E61" s="20" t="s">
        <v>328</v>
      </c>
      <c r="F61" s="20" t="s">
        <v>329</v>
      </c>
      <c r="G61" s="8" t="str">
        <f t="shared" si="0"/>
        <v>BADERTSCHER DIANE</v>
      </c>
    </row>
    <row r="62" spans="1:7" x14ac:dyDescent="0.25">
      <c r="A62" s="8">
        <v>42783.33079861111</v>
      </c>
      <c r="B62" s="20" t="s">
        <v>238</v>
      </c>
      <c r="C62" s="20" t="s">
        <v>444</v>
      </c>
      <c r="D62" s="150">
        <v>1110000</v>
      </c>
      <c r="E62" s="20" t="s">
        <v>305</v>
      </c>
      <c r="F62" s="20" t="s">
        <v>306</v>
      </c>
      <c r="G62" s="8" t="str">
        <f t="shared" si="0"/>
        <v>STARKS ANGELINA</v>
      </c>
    </row>
    <row r="63" spans="1:7" x14ac:dyDescent="0.25">
      <c r="A63" s="8">
        <v>42783.33222222222</v>
      </c>
      <c r="B63" s="20" t="s">
        <v>235</v>
      </c>
      <c r="C63" s="20" t="s">
        <v>447</v>
      </c>
      <c r="D63" s="150">
        <v>2020000</v>
      </c>
      <c r="E63" s="20" t="s">
        <v>383</v>
      </c>
      <c r="F63" s="20" t="s">
        <v>291</v>
      </c>
      <c r="G63" s="8" t="str">
        <f t="shared" si="0"/>
        <v>SHOOK JOHN</v>
      </c>
    </row>
    <row r="64" spans="1:7" x14ac:dyDescent="0.25">
      <c r="A64" s="26">
        <v>42783.337465277778</v>
      </c>
      <c r="B64" s="20" t="s">
        <v>221</v>
      </c>
      <c r="C64" s="20" t="s">
        <v>514</v>
      </c>
      <c r="D64" s="150">
        <v>1230000</v>
      </c>
      <c r="E64" s="20" t="s">
        <v>505</v>
      </c>
      <c r="F64" s="20" t="s">
        <v>506</v>
      </c>
      <c r="G64" s="8" t="str">
        <f t="shared" si="0"/>
        <v>YANAI IAN</v>
      </c>
    </row>
    <row r="65" spans="1:7" x14ac:dyDescent="0.25">
      <c r="A65" s="8">
        <v>42783.337858796294</v>
      </c>
      <c r="B65" s="20" t="s">
        <v>384</v>
      </c>
      <c r="C65" s="20" t="s">
        <v>515</v>
      </c>
      <c r="D65" s="150">
        <v>1100000</v>
      </c>
      <c r="E65" s="20" t="s">
        <v>330</v>
      </c>
      <c r="F65" s="20" t="s">
        <v>331</v>
      </c>
      <c r="G65" s="8" t="str">
        <f t="shared" si="0"/>
        <v>GEBRETEKLE DAGNEW</v>
      </c>
    </row>
    <row r="66" spans="1:7" x14ac:dyDescent="0.25">
      <c r="A66" s="8">
        <v>42783.341493055559</v>
      </c>
      <c r="B66" s="20" t="s">
        <v>266</v>
      </c>
      <c r="C66" s="20" t="s">
        <v>516</v>
      </c>
      <c r="D66" s="150">
        <v>890000</v>
      </c>
      <c r="E66" s="20" t="s">
        <v>332</v>
      </c>
      <c r="F66" s="20" t="s">
        <v>333</v>
      </c>
      <c r="G66" s="8" t="str">
        <f t="shared" si="0"/>
        <v>LOZA FIDEL</v>
      </c>
    </row>
    <row r="67" spans="1:7" x14ac:dyDescent="0.25">
      <c r="A67" s="8">
        <v>42783.347175925926</v>
      </c>
      <c r="B67" s="20" t="s">
        <v>289</v>
      </c>
      <c r="C67" s="20" t="s">
        <v>517</v>
      </c>
      <c r="D67" s="150">
        <v>1260000</v>
      </c>
      <c r="E67" s="20" t="s">
        <v>473</v>
      </c>
      <c r="F67" s="20" t="s">
        <v>474</v>
      </c>
      <c r="G67" s="8" t="str">
        <f t="shared" ref="G67:G130" si="1">E67&amp;" "&amp;F67</f>
        <v>ACKERMAN JARED</v>
      </c>
    </row>
    <row r="68" spans="1:7" x14ac:dyDescent="0.25">
      <c r="A68" s="8">
        <v>42783.35050925926</v>
      </c>
      <c r="B68" s="20" t="s">
        <v>278</v>
      </c>
      <c r="C68" s="20" t="s">
        <v>448</v>
      </c>
      <c r="D68" s="150">
        <v>1760000</v>
      </c>
      <c r="E68" s="20" t="s">
        <v>340</v>
      </c>
      <c r="F68" s="20" t="s">
        <v>341</v>
      </c>
      <c r="G68" s="8" t="str">
        <f t="shared" si="1"/>
        <v>STRICKLAND EVAN</v>
      </c>
    </row>
    <row r="69" spans="1:7" x14ac:dyDescent="0.25">
      <c r="A69" s="8">
        <v>42783.352662037039</v>
      </c>
      <c r="B69" s="20" t="s">
        <v>380</v>
      </c>
      <c r="C69" s="20" t="s">
        <v>518</v>
      </c>
      <c r="D69" s="150">
        <v>1100000</v>
      </c>
      <c r="E69" s="20" t="s">
        <v>330</v>
      </c>
      <c r="F69" s="20" t="s">
        <v>331</v>
      </c>
      <c r="G69" s="8" t="str">
        <f t="shared" si="1"/>
        <v>GEBRETEKLE DAGNEW</v>
      </c>
    </row>
    <row r="70" spans="1:7" x14ac:dyDescent="0.25">
      <c r="A70" s="8">
        <v>42783.357685185183</v>
      </c>
      <c r="B70" s="20" t="s">
        <v>210</v>
      </c>
      <c r="C70" s="20" t="s">
        <v>519</v>
      </c>
      <c r="D70" s="150">
        <v>2140000</v>
      </c>
      <c r="E70" s="20" t="s">
        <v>381</v>
      </c>
      <c r="F70" s="20" t="s">
        <v>382</v>
      </c>
      <c r="G70" s="8" t="str">
        <f t="shared" si="1"/>
        <v>ROBINSON KADDIBA</v>
      </c>
    </row>
    <row r="71" spans="1:7" x14ac:dyDescent="0.25">
      <c r="A71" s="8">
        <v>42783.360266203701</v>
      </c>
      <c r="B71" s="20" t="s">
        <v>287</v>
      </c>
      <c r="C71" s="20" t="s">
        <v>520</v>
      </c>
      <c r="D71" s="150">
        <v>2020000</v>
      </c>
      <c r="E71" s="20" t="s">
        <v>383</v>
      </c>
      <c r="F71" s="20" t="s">
        <v>291</v>
      </c>
      <c r="G71" s="8" t="str">
        <f t="shared" si="1"/>
        <v>SHOOK JOHN</v>
      </c>
    </row>
    <row r="72" spans="1:7" x14ac:dyDescent="0.25">
      <c r="A72" s="8">
        <v>42783.361388888887</v>
      </c>
      <c r="B72" s="20" t="s">
        <v>224</v>
      </c>
      <c r="C72" s="20" t="s">
        <v>521</v>
      </c>
      <c r="D72" s="150">
        <v>2550000</v>
      </c>
      <c r="E72" s="20" t="s">
        <v>328</v>
      </c>
      <c r="F72" s="20" t="s">
        <v>329</v>
      </c>
      <c r="G72" s="8" t="str">
        <f t="shared" si="1"/>
        <v>BADERTSCHER DIANE</v>
      </c>
    </row>
    <row r="73" spans="1:7" x14ac:dyDescent="0.25">
      <c r="A73" s="8">
        <v>42783.371145833335</v>
      </c>
      <c r="B73" s="20" t="s">
        <v>216</v>
      </c>
      <c r="C73" s="20" t="s">
        <v>449</v>
      </c>
      <c r="D73" s="150">
        <v>1110000</v>
      </c>
      <c r="E73" s="20" t="s">
        <v>305</v>
      </c>
      <c r="F73" s="20" t="s">
        <v>306</v>
      </c>
      <c r="G73" s="8" t="str">
        <f t="shared" si="1"/>
        <v>STARKS ANGELINA</v>
      </c>
    </row>
    <row r="74" spans="1:7" x14ac:dyDescent="0.25">
      <c r="A74" s="8">
        <v>42783.372071759259</v>
      </c>
      <c r="B74" s="20" t="s">
        <v>220</v>
      </c>
      <c r="C74" s="20" t="s">
        <v>522</v>
      </c>
      <c r="D74" s="150">
        <v>900000</v>
      </c>
      <c r="E74" s="20" t="s">
        <v>309</v>
      </c>
      <c r="F74" s="20" t="s">
        <v>310</v>
      </c>
      <c r="G74" s="8" t="str">
        <f t="shared" si="1"/>
        <v>ROCHA YAOTL</v>
      </c>
    </row>
    <row r="75" spans="1:7" x14ac:dyDescent="0.25">
      <c r="A75" s="8">
        <v>42783.374131944445</v>
      </c>
      <c r="B75" s="20" t="s">
        <v>235</v>
      </c>
      <c r="C75" s="20" t="s">
        <v>523</v>
      </c>
      <c r="D75" s="150">
        <v>2020000</v>
      </c>
      <c r="E75" s="20" t="s">
        <v>383</v>
      </c>
      <c r="F75" s="20" t="s">
        <v>291</v>
      </c>
      <c r="G75" s="8" t="str">
        <f t="shared" si="1"/>
        <v>SHOOK JOHN</v>
      </c>
    </row>
    <row r="76" spans="1:7" x14ac:dyDescent="0.25">
      <c r="A76" s="8">
        <v>42783.379606481481</v>
      </c>
      <c r="B76" s="20" t="s">
        <v>228</v>
      </c>
      <c r="C76" s="20" t="s">
        <v>524</v>
      </c>
      <c r="D76" s="150">
        <v>890000</v>
      </c>
      <c r="E76" s="20" t="s">
        <v>332</v>
      </c>
      <c r="F76" s="20" t="s">
        <v>333</v>
      </c>
      <c r="G76" s="8" t="str">
        <f t="shared" si="1"/>
        <v>LOZA FIDEL</v>
      </c>
    </row>
    <row r="77" spans="1:7" x14ac:dyDescent="0.25">
      <c r="A77" s="8">
        <v>42783.38386574074</v>
      </c>
      <c r="B77" s="20" t="s">
        <v>288</v>
      </c>
      <c r="C77" s="20" t="s">
        <v>525</v>
      </c>
      <c r="D77" s="150">
        <v>1260000</v>
      </c>
      <c r="E77" s="20" t="s">
        <v>473</v>
      </c>
      <c r="F77" s="20" t="s">
        <v>474</v>
      </c>
      <c r="G77" s="8" t="str">
        <f t="shared" si="1"/>
        <v>ACKERMAN JARED</v>
      </c>
    </row>
    <row r="78" spans="1:7" x14ac:dyDescent="0.25">
      <c r="A78" s="8">
        <v>42783.385324074072</v>
      </c>
      <c r="B78" s="20" t="s">
        <v>252</v>
      </c>
      <c r="C78" s="20" t="s">
        <v>526</v>
      </c>
      <c r="D78" s="150">
        <v>1760000</v>
      </c>
      <c r="E78" s="20" t="s">
        <v>340</v>
      </c>
      <c r="F78" s="20" t="s">
        <v>341</v>
      </c>
      <c r="G78" s="8" t="str">
        <f t="shared" si="1"/>
        <v>STRICKLAND EVAN</v>
      </c>
    </row>
    <row r="79" spans="1:7" x14ac:dyDescent="0.25">
      <c r="A79" s="8">
        <v>42783.393738425926</v>
      </c>
      <c r="B79" s="20" t="s">
        <v>229</v>
      </c>
      <c r="C79" s="20" t="s">
        <v>527</v>
      </c>
      <c r="D79" s="150">
        <v>1360000</v>
      </c>
      <c r="E79" s="20" t="s">
        <v>387</v>
      </c>
      <c r="F79" s="20" t="s">
        <v>388</v>
      </c>
      <c r="G79" s="8" t="str">
        <f t="shared" si="1"/>
        <v>SANTIZO D. EDY</v>
      </c>
    </row>
    <row r="80" spans="1:7" x14ac:dyDescent="0.25">
      <c r="A80" s="8">
        <v>42783.397164351853</v>
      </c>
      <c r="B80" s="20" t="s">
        <v>223</v>
      </c>
      <c r="C80" s="20" t="s">
        <v>528</v>
      </c>
      <c r="D80" s="150">
        <v>2550000</v>
      </c>
      <c r="E80" s="20" t="s">
        <v>328</v>
      </c>
      <c r="F80" s="20" t="s">
        <v>329</v>
      </c>
      <c r="G80" s="8" t="str">
        <f t="shared" si="1"/>
        <v>BADERTSCHER DIANE</v>
      </c>
    </row>
    <row r="81" spans="1:7" x14ac:dyDescent="0.25">
      <c r="A81" s="8">
        <v>42783.401597222219</v>
      </c>
      <c r="B81" s="20" t="s">
        <v>287</v>
      </c>
      <c r="C81" s="20" t="s">
        <v>529</v>
      </c>
      <c r="D81" s="150">
        <v>2020000</v>
      </c>
      <c r="E81" s="20" t="s">
        <v>383</v>
      </c>
      <c r="F81" s="20" t="s">
        <v>291</v>
      </c>
      <c r="G81" s="8" t="str">
        <f t="shared" si="1"/>
        <v>SHOOK JOHN</v>
      </c>
    </row>
    <row r="82" spans="1:7" x14ac:dyDescent="0.25">
      <c r="A82" s="8">
        <v>42783.404351851852</v>
      </c>
      <c r="B82" s="20" t="s">
        <v>238</v>
      </c>
      <c r="C82" s="20" t="s">
        <v>530</v>
      </c>
      <c r="D82" s="150">
        <v>1110000</v>
      </c>
      <c r="E82" s="20" t="s">
        <v>305</v>
      </c>
      <c r="F82" s="20" t="s">
        <v>306</v>
      </c>
      <c r="G82" s="8" t="str">
        <f t="shared" si="1"/>
        <v>STARKS ANGELINA</v>
      </c>
    </row>
    <row r="83" spans="1:7" x14ac:dyDescent="0.25">
      <c r="A83" s="8">
        <v>42783.413460648146</v>
      </c>
      <c r="B83" s="20" t="s">
        <v>221</v>
      </c>
      <c r="C83" s="20" t="s">
        <v>450</v>
      </c>
      <c r="D83" s="150">
        <v>900000</v>
      </c>
      <c r="E83" s="20" t="s">
        <v>309</v>
      </c>
      <c r="F83" s="20" t="s">
        <v>310</v>
      </c>
      <c r="G83" s="8" t="str">
        <f t="shared" si="1"/>
        <v>ROCHA YAOTL</v>
      </c>
    </row>
    <row r="84" spans="1:7" x14ac:dyDescent="0.25">
      <c r="A84" s="8">
        <v>42783.414548611108</v>
      </c>
      <c r="B84" s="20" t="s">
        <v>266</v>
      </c>
      <c r="C84" s="20" t="s">
        <v>531</v>
      </c>
      <c r="D84" s="150">
        <v>890000</v>
      </c>
      <c r="E84" s="20" t="s">
        <v>332</v>
      </c>
      <c r="F84" s="20" t="s">
        <v>333</v>
      </c>
      <c r="G84" s="8" t="str">
        <f t="shared" si="1"/>
        <v>LOZA FIDEL</v>
      </c>
    </row>
    <row r="85" spans="1:7" x14ac:dyDescent="0.25">
      <c r="A85" s="8">
        <v>42783.418217592596</v>
      </c>
      <c r="B85" s="20" t="s">
        <v>235</v>
      </c>
      <c r="C85" s="20" t="s">
        <v>532</v>
      </c>
      <c r="D85" s="150">
        <v>2020000</v>
      </c>
      <c r="E85" s="20" t="s">
        <v>383</v>
      </c>
      <c r="F85" s="20" t="s">
        <v>291</v>
      </c>
      <c r="G85" s="8" t="str">
        <f t="shared" si="1"/>
        <v>SHOOK JOHN</v>
      </c>
    </row>
    <row r="86" spans="1:7" x14ac:dyDescent="0.25">
      <c r="A86" s="8">
        <v>42783.420023148145</v>
      </c>
      <c r="B86" s="20" t="s">
        <v>289</v>
      </c>
      <c r="C86" s="20" t="s">
        <v>533</v>
      </c>
      <c r="D86" s="150">
        <v>1260000</v>
      </c>
      <c r="E86" s="20" t="s">
        <v>473</v>
      </c>
      <c r="F86" s="20" t="s">
        <v>474</v>
      </c>
      <c r="G86" s="8" t="str">
        <f t="shared" si="1"/>
        <v>ACKERMAN JARED</v>
      </c>
    </row>
    <row r="87" spans="1:7" x14ac:dyDescent="0.25">
      <c r="A87" s="8">
        <v>42783.423877314817</v>
      </c>
      <c r="B87" s="20" t="s">
        <v>221</v>
      </c>
      <c r="C87" s="20" t="s">
        <v>450</v>
      </c>
      <c r="D87" s="150">
        <v>900000</v>
      </c>
      <c r="E87" s="20" t="s">
        <v>309</v>
      </c>
      <c r="F87" s="20" t="s">
        <v>310</v>
      </c>
      <c r="G87" s="8" t="str">
        <f t="shared" si="1"/>
        <v>ROCHA YAOTL</v>
      </c>
    </row>
    <row r="88" spans="1:7" x14ac:dyDescent="0.25">
      <c r="A88" s="8">
        <v>42783.424016203702</v>
      </c>
      <c r="B88" s="20" t="s">
        <v>278</v>
      </c>
      <c r="C88" s="20" t="s">
        <v>534</v>
      </c>
      <c r="D88" s="150">
        <v>940000</v>
      </c>
      <c r="E88" s="20" t="s">
        <v>307</v>
      </c>
      <c r="F88" s="20" t="s">
        <v>308</v>
      </c>
      <c r="G88" s="8" t="str">
        <f t="shared" si="1"/>
        <v>BONDS REYNALDO</v>
      </c>
    </row>
    <row r="89" spans="1:7" x14ac:dyDescent="0.25">
      <c r="A89" s="8">
        <v>42783.428263888891</v>
      </c>
      <c r="B89" s="20" t="s">
        <v>210</v>
      </c>
      <c r="C89" s="20" t="s">
        <v>535</v>
      </c>
      <c r="D89" s="150">
        <v>1360000</v>
      </c>
      <c r="E89" s="20" t="s">
        <v>387</v>
      </c>
      <c r="F89" s="20" t="s">
        <v>388</v>
      </c>
      <c r="G89" s="8" t="str">
        <f t="shared" si="1"/>
        <v>SANTIZO D. EDY</v>
      </c>
    </row>
    <row r="90" spans="1:7" x14ac:dyDescent="0.25">
      <c r="A90" s="8">
        <v>42783.435902777775</v>
      </c>
      <c r="B90" s="20" t="s">
        <v>224</v>
      </c>
      <c r="C90" s="20" t="s">
        <v>536</v>
      </c>
      <c r="D90" s="150">
        <v>1100000</v>
      </c>
      <c r="E90" s="20" t="s">
        <v>330</v>
      </c>
      <c r="F90" s="20" t="s">
        <v>331</v>
      </c>
      <c r="G90" s="8" t="str">
        <f t="shared" si="1"/>
        <v>GEBRETEKLE DAGNEW</v>
      </c>
    </row>
    <row r="91" spans="1:7" x14ac:dyDescent="0.25">
      <c r="A91" s="8">
        <v>42783.442280092589</v>
      </c>
      <c r="B91" s="20" t="s">
        <v>216</v>
      </c>
      <c r="C91" s="20" t="s">
        <v>537</v>
      </c>
      <c r="D91" s="150">
        <v>1110000</v>
      </c>
      <c r="E91" s="20" t="s">
        <v>305</v>
      </c>
      <c r="F91" s="20" t="s">
        <v>306</v>
      </c>
      <c r="G91" s="8" t="str">
        <f t="shared" si="1"/>
        <v>STARKS ANGELINA</v>
      </c>
    </row>
    <row r="92" spans="1:7" x14ac:dyDescent="0.25">
      <c r="A92" s="8">
        <v>42783.443171296298</v>
      </c>
      <c r="B92" s="20" t="s">
        <v>220</v>
      </c>
      <c r="C92" s="20" t="s">
        <v>538</v>
      </c>
      <c r="D92" s="150">
        <v>1780000</v>
      </c>
      <c r="E92" s="20" t="s">
        <v>539</v>
      </c>
      <c r="F92" s="20" t="s">
        <v>540</v>
      </c>
      <c r="G92" s="8" t="str">
        <f t="shared" si="1"/>
        <v>DE LA ROSA ALEX</v>
      </c>
    </row>
    <row r="93" spans="1:7" x14ac:dyDescent="0.25">
      <c r="A93" s="8">
        <v>42783.443240740744</v>
      </c>
      <c r="B93" s="20" t="s">
        <v>287</v>
      </c>
      <c r="C93" s="20" t="s">
        <v>541</v>
      </c>
      <c r="D93" s="150">
        <v>2020000</v>
      </c>
      <c r="E93" s="20" t="s">
        <v>383</v>
      </c>
      <c r="F93" s="20" t="s">
        <v>291</v>
      </c>
      <c r="G93" s="8" t="str">
        <f t="shared" si="1"/>
        <v>SHOOK JOHN</v>
      </c>
    </row>
    <row r="94" spans="1:7" x14ac:dyDescent="0.25">
      <c r="A94" s="8">
        <v>42783.451585648145</v>
      </c>
      <c r="B94" s="20" t="s">
        <v>228</v>
      </c>
      <c r="C94" s="20" t="s">
        <v>542</v>
      </c>
      <c r="D94" s="150">
        <v>890000</v>
      </c>
      <c r="E94" s="20" t="s">
        <v>332</v>
      </c>
      <c r="F94" s="20" t="s">
        <v>333</v>
      </c>
      <c r="G94" s="8" t="str">
        <f t="shared" si="1"/>
        <v>LOZA FIDEL</v>
      </c>
    </row>
    <row r="95" spans="1:7" x14ac:dyDescent="0.25">
      <c r="A95" s="8">
        <v>42783.454212962963</v>
      </c>
      <c r="B95" s="20" t="s">
        <v>288</v>
      </c>
      <c r="C95" s="20" t="s">
        <v>543</v>
      </c>
      <c r="D95" s="150">
        <v>880000</v>
      </c>
      <c r="E95" s="20" t="s">
        <v>544</v>
      </c>
      <c r="F95" s="20" t="s">
        <v>203</v>
      </c>
      <c r="G95" s="8" t="str">
        <f t="shared" si="1"/>
        <v>STEWART MICHAEL</v>
      </c>
    </row>
    <row r="96" spans="1:7" x14ac:dyDescent="0.25">
      <c r="A96" s="8">
        <v>42783.457557870373</v>
      </c>
      <c r="B96" s="20" t="s">
        <v>235</v>
      </c>
      <c r="C96" s="20" t="s">
        <v>545</v>
      </c>
      <c r="D96" s="150">
        <v>2020000</v>
      </c>
      <c r="E96" s="20" t="s">
        <v>383</v>
      </c>
      <c r="F96" s="20" t="s">
        <v>291</v>
      </c>
      <c r="G96" s="8" t="str">
        <f t="shared" si="1"/>
        <v>SHOOK JOHN</v>
      </c>
    </row>
    <row r="97" spans="1:7" x14ac:dyDescent="0.25">
      <c r="A97" s="8">
        <v>42783.460856481484</v>
      </c>
      <c r="B97" s="20" t="s">
        <v>252</v>
      </c>
      <c r="C97" s="20" t="s">
        <v>546</v>
      </c>
      <c r="D97" s="150">
        <v>940000</v>
      </c>
      <c r="E97" s="20" t="s">
        <v>307</v>
      </c>
      <c r="F97" s="20" t="s">
        <v>308</v>
      </c>
      <c r="G97" s="8" t="str">
        <f t="shared" si="1"/>
        <v>BONDS REYNALDO</v>
      </c>
    </row>
    <row r="98" spans="1:7" x14ac:dyDescent="0.25">
      <c r="A98" s="8">
        <v>42783.465057870373</v>
      </c>
      <c r="B98" s="20" t="s">
        <v>229</v>
      </c>
      <c r="C98" s="20" t="s">
        <v>547</v>
      </c>
      <c r="D98" s="150">
        <v>2470000</v>
      </c>
      <c r="E98" s="20" t="s">
        <v>548</v>
      </c>
      <c r="F98" s="20" t="s">
        <v>549</v>
      </c>
      <c r="G98" s="8" t="str">
        <f t="shared" si="1"/>
        <v>ROMERO CHAD</v>
      </c>
    </row>
    <row r="99" spans="1:7" x14ac:dyDescent="0.25">
      <c r="A99" s="8">
        <v>42783.473703703705</v>
      </c>
      <c r="B99" s="20" t="s">
        <v>223</v>
      </c>
      <c r="C99" s="20" t="s">
        <v>550</v>
      </c>
      <c r="D99" s="150">
        <v>1100000</v>
      </c>
      <c r="E99" s="20" t="s">
        <v>330</v>
      </c>
      <c r="F99" s="20" t="s">
        <v>331</v>
      </c>
      <c r="G99" s="8" t="str">
        <f t="shared" si="1"/>
        <v>GEBRETEKLE DAGNEW</v>
      </c>
    </row>
    <row r="100" spans="1:7" x14ac:dyDescent="0.25">
      <c r="A100" s="8">
        <v>42783.476215277777</v>
      </c>
      <c r="B100" s="20" t="s">
        <v>238</v>
      </c>
      <c r="C100" s="20" t="s">
        <v>551</v>
      </c>
      <c r="D100" s="150">
        <v>930000</v>
      </c>
      <c r="E100" s="20" t="s">
        <v>311</v>
      </c>
      <c r="F100" s="20" t="s">
        <v>312</v>
      </c>
      <c r="G100" s="8" t="str">
        <f t="shared" si="1"/>
        <v>CLARK KATHLEEN</v>
      </c>
    </row>
    <row r="101" spans="1:7" x14ac:dyDescent="0.25">
      <c r="A101" s="8">
        <v>42783.482592592591</v>
      </c>
      <c r="B101" s="20" t="s">
        <v>221</v>
      </c>
      <c r="C101" s="20" t="s">
        <v>552</v>
      </c>
      <c r="D101" s="150">
        <v>1780000</v>
      </c>
      <c r="E101" s="20" t="s">
        <v>539</v>
      </c>
      <c r="F101" s="20" t="s">
        <v>540</v>
      </c>
      <c r="G101" s="8" t="str">
        <f t="shared" si="1"/>
        <v>DE LA ROSA ALEX</v>
      </c>
    </row>
    <row r="102" spans="1:7" x14ac:dyDescent="0.25">
      <c r="A102" s="8">
        <v>42783.484907407408</v>
      </c>
      <c r="B102" s="20" t="s">
        <v>287</v>
      </c>
      <c r="C102" s="20" t="s">
        <v>553</v>
      </c>
      <c r="D102" s="150">
        <v>2020000</v>
      </c>
      <c r="E102" s="20" t="s">
        <v>383</v>
      </c>
      <c r="F102" s="20" t="s">
        <v>291</v>
      </c>
      <c r="G102" s="8" t="str">
        <f t="shared" si="1"/>
        <v>SHOOK JOHN</v>
      </c>
    </row>
    <row r="103" spans="1:7" x14ac:dyDescent="0.25">
      <c r="A103" s="8">
        <v>42783.486898148149</v>
      </c>
      <c r="B103" s="20" t="s">
        <v>266</v>
      </c>
      <c r="C103" s="20" t="s">
        <v>554</v>
      </c>
      <c r="D103" s="150">
        <v>1770000</v>
      </c>
      <c r="E103" s="20" t="s">
        <v>338</v>
      </c>
      <c r="F103" s="20" t="s">
        <v>339</v>
      </c>
      <c r="G103" s="8" t="str">
        <f t="shared" si="1"/>
        <v>BRUDER RICHARD</v>
      </c>
    </row>
    <row r="104" spans="1:7" x14ac:dyDescent="0.25">
      <c r="A104" s="8">
        <v>42783.495104166665</v>
      </c>
      <c r="B104" s="20" t="s">
        <v>289</v>
      </c>
      <c r="C104" s="20" t="s">
        <v>555</v>
      </c>
      <c r="D104" s="150">
        <v>880000</v>
      </c>
      <c r="E104" s="20" t="s">
        <v>544</v>
      </c>
      <c r="F104" s="20" t="s">
        <v>203</v>
      </c>
      <c r="G104" s="8" t="str">
        <f t="shared" si="1"/>
        <v>STEWART MICHAEL</v>
      </c>
    </row>
    <row r="105" spans="1:7" x14ac:dyDescent="0.25">
      <c r="A105" s="8">
        <v>42783.497384259259</v>
      </c>
      <c r="B105" s="20" t="s">
        <v>278</v>
      </c>
      <c r="C105" s="20" t="s">
        <v>556</v>
      </c>
      <c r="D105" s="150">
        <v>1540000</v>
      </c>
      <c r="E105" s="20" t="s">
        <v>334</v>
      </c>
      <c r="F105" s="20" t="s">
        <v>335</v>
      </c>
      <c r="G105" s="8" t="str">
        <f t="shared" si="1"/>
        <v>HELVIE ADAM</v>
      </c>
    </row>
    <row r="106" spans="1:7" x14ac:dyDescent="0.25">
      <c r="A106" s="8">
        <v>42783.498599537037</v>
      </c>
      <c r="B106" s="20" t="s">
        <v>235</v>
      </c>
      <c r="C106" s="20" t="s">
        <v>557</v>
      </c>
      <c r="D106" s="150">
        <v>2020000</v>
      </c>
      <c r="E106" s="20" t="s">
        <v>383</v>
      </c>
      <c r="F106" s="20" t="s">
        <v>291</v>
      </c>
      <c r="G106" s="8" t="str">
        <f t="shared" si="1"/>
        <v>SHOOK JOHN</v>
      </c>
    </row>
    <row r="107" spans="1:7" x14ac:dyDescent="0.25">
      <c r="A107" s="8">
        <v>42783.503101851849</v>
      </c>
      <c r="B107" s="20" t="s">
        <v>210</v>
      </c>
      <c r="C107" s="20" t="s">
        <v>452</v>
      </c>
      <c r="D107" s="150">
        <v>2470000</v>
      </c>
      <c r="E107" s="20" t="s">
        <v>548</v>
      </c>
      <c r="F107" s="20" t="s">
        <v>549</v>
      </c>
      <c r="G107" s="8" t="str">
        <f t="shared" si="1"/>
        <v>ROMERO CHAD</v>
      </c>
    </row>
    <row r="108" spans="1:7" x14ac:dyDescent="0.25">
      <c r="A108" s="8">
        <v>42783.505682870367</v>
      </c>
      <c r="B108" s="20" t="s">
        <v>224</v>
      </c>
      <c r="C108" s="20" t="s">
        <v>451</v>
      </c>
      <c r="D108" s="150">
        <v>2030000</v>
      </c>
      <c r="E108" s="20" t="s">
        <v>385</v>
      </c>
      <c r="F108" s="20" t="s">
        <v>292</v>
      </c>
      <c r="G108" s="8" t="str">
        <f t="shared" si="1"/>
        <v>KILLION DAVID</v>
      </c>
    </row>
    <row r="109" spans="1:7" x14ac:dyDescent="0.25">
      <c r="A109" s="8">
        <v>42783.514236111114</v>
      </c>
      <c r="B109" s="20" t="s">
        <v>216</v>
      </c>
      <c r="C109" s="20" t="s">
        <v>558</v>
      </c>
      <c r="D109" s="150">
        <v>930000</v>
      </c>
      <c r="E109" s="20" t="s">
        <v>311</v>
      </c>
      <c r="F109" s="20" t="s">
        <v>312</v>
      </c>
      <c r="G109" s="8" t="str">
        <f t="shared" si="1"/>
        <v>CLARK KATHLEEN</v>
      </c>
    </row>
    <row r="110" spans="1:7" x14ac:dyDescent="0.25">
      <c r="A110" s="8">
        <v>42783.516643518517</v>
      </c>
      <c r="B110" s="20" t="s">
        <v>220</v>
      </c>
      <c r="C110" s="20" t="s">
        <v>559</v>
      </c>
      <c r="D110" s="150">
        <v>1190000</v>
      </c>
      <c r="E110" s="20" t="s">
        <v>336</v>
      </c>
      <c r="F110" s="20" t="s">
        <v>337</v>
      </c>
      <c r="G110" s="8" t="str">
        <f t="shared" si="1"/>
        <v>BRANNON JEFFREY</v>
      </c>
    </row>
    <row r="111" spans="1:7" x14ac:dyDescent="0.25">
      <c r="A111" s="8">
        <v>42783.524456018517</v>
      </c>
      <c r="B111" s="20" t="s">
        <v>228</v>
      </c>
      <c r="C111" s="20" t="s">
        <v>560</v>
      </c>
      <c r="D111" s="150">
        <v>1770000</v>
      </c>
      <c r="E111" s="20" t="s">
        <v>338</v>
      </c>
      <c r="F111" s="20" t="s">
        <v>339</v>
      </c>
      <c r="G111" s="8" t="str">
        <f t="shared" si="1"/>
        <v>BRUDER RICHARD</v>
      </c>
    </row>
    <row r="112" spans="1:7" x14ac:dyDescent="0.25">
      <c r="A112" s="8">
        <v>42783.527349537035</v>
      </c>
      <c r="B112" s="20" t="s">
        <v>287</v>
      </c>
      <c r="C112" s="20" t="s">
        <v>561</v>
      </c>
      <c r="D112" s="150">
        <v>2020000</v>
      </c>
      <c r="E112" s="20" t="s">
        <v>383</v>
      </c>
      <c r="F112" s="20" t="s">
        <v>291</v>
      </c>
      <c r="G112" s="8" t="str">
        <f t="shared" si="1"/>
        <v>SHOOK JOHN</v>
      </c>
    </row>
    <row r="113" spans="1:7" x14ac:dyDescent="0.25">
      <c r="A113" s="8">
        <v>42783.528414351851</v>
      </c>
      <c r="B113" s="20" t="s">
        <v>288</v>
      </c>
      <c r="C113" s="20" t="s">
        <v>562</v>
      </c>
      <c r="D113" s="150">
        <v>880000</v>
      </c>
      <c r="E113" s="20" t="s">
        <v>544</v>
      </c>
      <c r="F113" s="20" t="s">
        <v>203</v>
      </c>
      <c r="G113" s="8" t="str">
        <f t="shared" si="1"/>
        <v>STEWART MICHAEL</v>
      </c>
    </row>
    <row r="114" spans="1:7" x14ac:dyDescent="0.25">
      <c r="A114" s="8">
        <v>42783.535902777781</v>
      </c>
      <c r="B114" s="20" t="s">
        <v>229</v>
      </c>
      <c r="C114" s="20" t="s">
        <v>563</v>
      </c>
      <c r="D114" s="150">
        <v>2370000</v>
      </c>
      <c r="E114" s="20" t="s">
        <v>564</v>
      </c>
      <c r="F114" s="20" t="s">
        <v>565</v>
      </c>
      <c r="G114" s="8" t="str">
        <f t="shared" si="1"/>
        <v>DELGADO DIANAH</v>
      </c>
    </row>
    <row r="115" spans="1:7" x14ac:dyDescent="0.25">
      <c r="A115" s="8">
        <v>42783.536238425928</v>
      </c>
      <c r="B115" s="20" t="s">
        <v>252</v>
      </c>
      <c r="C115" s="20" t="s">
        <v>566</v>
      </c>
      <c r="D115" s="150">
        <v>1540000</v>
      </c>
      <c r="E115" s="20" t="s">
        <v>334</v>
      </c>
      <c r="F115" s="20" t="s">
        <v>335</v>
      </c>
      <c r="G115" s="8" t="str">
        <f t="shared" si="1"/>
        <v>HELVIE ADAM</v>
      </c>
    </row>
    <row r="116" spans="1:7" x14ac:dyDescent="0.25">
      <c r="A116" s="8">
        <v>42783.54582175926</v>
      </c>
      <c r="B116" s="20" t="s">
        <v>223</v>
      </c>
      <c r="C116" s="20" t="s">
        <v>567</v>
      </c>
      <c r="D116" s="150">
        <v>2030000</v>
      </c>
      <c r="E116" s="20" t="s">
        <v>385</v>
      </c>
      <c r="F116" s="20" t="s">
        <v>292</v>
      </c>
      <c r="G116" s="8" t="str">
        <f t="shared" si="1"/>
        <v>KILLION DAVID</v>
      </c>
    </row>
    <row r="117" spans="1:7" x14ac:dyDescent="0.25">
      <c r="A117" s="8">
        <v>42783.546863425923</v>
      </c>
      <c r="B117" s="20" t="s">
        <v>235</v>
      </c>
      <c r="C117" s="20" t="s">
        <v>568</v>
      </c>
      <c r="D117" s="150">
        <v>1180000</v>
      </c>
      <c r="E117" s="20" t="s">
        <v>313</v>
      </c>
      <c r="F117" s="20" t="s">
        <v>314</v>
      </c>
      <c r="G117" s="8" t="str">
        <f t="shared" si="1"/>
        <v>LEVERE CRAIG</v>
      </c>
    </row>
    <row r="118" spans="1:7" x14ac:dyDescent="0.25">
      <c r="A118" s="8">
        <v>42783.547986111109</v>
      </c>
      <c r="B118" s="20" t="s">
        <v>238</v>
      </c>
      <c r="C118" s="20" t="s">
        <v>569</v>
      </c>
      <c r="D118" s="150">
        <v>930000</v>
      </c>
      <c r="E118" s="20" t="s">
        <v>311</v>
      </c>
      <c r="F118" s="20" t="s">
        <v>312</v>
      </c>
      <c r="G118" s="8" t="str">
        <f t="shared" si="1"/>
        <v>CLARK KATHLEEN</v>
      </c>
    </row>
    <row r="119" spans="1:7" x14ac:dyDescent="0.25">
      <c r="A119" s="8">
        <v>42783.555659722224</v>
      </c>
      <c r="B119" s="20" t="s">
        <v>221</v>
      </c>
      <c r="C119" s="20" t="s">
        <v>570</v>
      </c>
      <c r="D119" s="150">
        <v>1190000</v>
      </c>
      <c r="E119" s="20" t="s">
        <v>336</v>
      </c>
      <c r="F119" s="20" t="s">
        <v>337</v>
      </c>
      <c r="G119" s="8" t="str">
        <f t="shared" si="1"/>
        <v>BRANNON JEFFREY</v>
      </c>
    </row>
    <row r="120" spans="1:7" x14ac:dyDescent="0.25">
      <c r="A120" s="8">
        <v>42783.55777777778</v>
      </c>
      <c r="B120" s="20" t="s">
        <v>266</v>
      </c>
      <c r="C120" s="20" t="s">
        <v>571</v>
      </c>
      <c r="D120" s="150">
        <v>1770000</v>
      </c>
      <c r="E120" s="20" t="s">
        <v>338</v>
      </c>
      <c r="F120" s="20" t="s">
        <v>339</v>
      </c>
      <c r="G120" s="8" t="str">
        <f t="shared" si="1"/>
        <v>BRUDER RICHARD</v>
      </c>
    </row>
    <row r="121" spans="1:7" x14ac:dyDescent="0.25">
      <c r="A121" s="8">
        <v>42783.566550925927</v>
      </c>
      <c r="B121" s="20" t="s">
        <v>289</v>
      </c>
      <c r="C121" s="20" t="s">
        <v>572</v>
      </c>
      <c r="D121" s="150">
        <v>880000</v>
      </c>
      <c r="E121" s="20" t="s">
        <v>544</v>
      </c>
      <c r="F121" s="20" t="s">
        <v>203</v>
      </c>
      <c r="G121" s="8" t="str">
        <f t="shared" si="1"/>
        <v>STEWART MICHAEL</v>
      </c>
    </row>
    <row r="122" spans="1:7" x14ac:dyDescent="0.25">
      <c r="A122" s="8">
        <v>42783.567685185182</v>
      </c>
      <c r="B122" s="25" t="s">
        <v>278</v>
      </c>
      <c r="C122" s="20" t="s">
        <v>453</v>
      </c>
      <c r="D122" s="150">
        <v>2420000</v>
      </c>
      <c r="E122" s="20" t="s">
        <v>573</v>
      </c>
      <c r="F122" s="20" t="s">
        <v>574</v>
      </c>
      <c r="G122" s="8" t="str">
        <f t="shared" si="1"/>
        <v>HOLCOMB KAMDEN</v>
      </c>
    </row>
    <row r="123" spans="1:7" x14ac:dyDescent="0.25">
      <c r="A123" s="8">
        <v>42783.568206018521</v>
      </c>
      <c r="B123" s="20" t="s">
        <v>287</v>
      </c>
      <c r="C123" s="20" t="s">
        <v>575</v>
      </c>
      <c r="D123" s="150">
        <v>1180000</v>
      </c>
      <c r="E123" s="20" t="s">
        <v>313</v>
      </c>
      <c r="F123" s="20" t="s">
        <v>314</v>
      </c>
      <c r="G123" s="8" t="str">
        <f t="shared" si="1"/>
        <v>LEVERE CRAIG</v>
      </c>
    </row>
    <row r="124" spans="1:7" x14ac:dyDescent="0.25">
      <c r="A124" s="8">
        <v>42783.571087962962</v>
      </c>
      <c r="B124" s="20" t="s">
        <v>210</v>
      </c>
      <c r="C124" s="20" t="s">
        <v>576</v>
      </c>
      <c r="D124" s="150">
        <v>2370000</v>
      </c>
      <c r="E124" s="20" t="s">
        <v>564</v>
      </c>
      <c r="F124" s="20" t="s">
        <v>565</v>
      </c>
      <c r="G124" s="8" t="str">
        <f t="shared" si="1"/>
        <v>DELGADO DIANAH</v>
      </c>
    </row>
    <row r="125" spans="1:7" x14ac:dyDescent="0.25">
      <c r="A125" s="8">
        <v>42783.579328703701</v>
      </c>
      <c r="B125" s="20" t="s">
        <v>224</v>
      </c>
      <c r="C125" s="20" t="s">
        <v>577</v>
      </c>
      <c r="D125" s="150">
        <v>2030000</v>
      </c>
      <c r="E125" s="20" t="s">
        <v>385</v>
      </c>
      <c r="F125" s="20" t="s">
        <v>292</v>
      </c>
      <c r="G125" s="8" t="str">
        <f t="shared" si="1"/>
        <v>KILLION DAVID</v>
      </c>
    </row>
    <row r="126" spans="1:7" x14ac:dyDescent="0.25">
      <c r="A126" s="8">
        <v>42783.586585648147</v>
      </c>
      <c r="B126" s="20" t="s">
        <v>216</v>
      </c>
      <c r="C126" s="20" t="s">
        <v>578</v>
      </c>
      <c r="D126" s="150">
        <v>930000</v>
      </c>
      <c r="E126" s="20" t="s">
        <v>311</v>
      </c>
      <c r="F126" s="20" t="s">
        <v>312</v>
      </c>
      <c r="G126" s="8" t="str">
        <f t="shared" si="1"/>
        <v>CLARK KATHLEEN</v>
      </c>
    </row>
    <row r="127" spans="1:7" x14ac:dyDescent="0.25">
      <c r="A127" s="8">
        <v>42783.587916666664</v>
      </c>
      <c r="B127" s="20" t="s">
        <v>220</v>
      </c>
      <c r="C127" s="20" t="s">
        <v>579</v>
      </c>
      <c r="D127" s="150">
        <v>1190000</v>
      </c>
      <c r="E127" s="20" t="s">
        <v>336</v>
      </c>
      <c r="F127" s="20" t="s">
        <v>337</v>
      </c>
      <c r="G127" s="8" t="str">
        <f t="shared" si="1"/>
        <v>BRANNON JEFFREY</v>
      </c>
    </row>
    <row r="128" spans="1:7" x14ac:dyDescent="0.25">
      <c r="A128" s="8">
        <v>42783.588993055557</v>
      </c>
      <c r="B128" s="20" t="s">
        <v>235</v>
      </c>
      <c r="C128" s="20" t="s">
        <v>580</v>
      </c>
      <c r="D128" s="150">
        <v>1180000</v>
      </c>
      <c r="E128" s="20" t="s">
        <v>313</v>
      </c>
      <c r="F128" s="20" t="s">
        <v>314</v>
      </c>
      <c r="G128" s="8" t="str">
        <f t="shared" si="1"/>
        <v>LEVERE CRAIG</v>
      </c>
    </row>
    <row r="129" spans="1:7" x14ac:dyDescent="0.25">
      <c r="A129" s="8">
        <v>42783.597199074073</v>
      </c>
      <c r="B129" s="20" t="s">
        <v>228</v>
      </c>
      <c r="C129" s="20" t="s">
        <v>581</v>
      </c>
      <c r="D129" s="150">
        <v>1770000</v>
      </c>
      <c r="E129" s="20" t="s">
        <v>338</v>
      </c>
      <c r="F129" s="20" t="s">
        <v>339</v>
      </c>
      <c r="G129" s="8" t="str">
        <f t="shared" si="1"/>
        <v>BRUDER RICHARD</v>
      </c>
    </row>
    <row r="130" spans="1:7" x14ac:dyDescent="0.25">
      <c r="A130" s="8">
        <v>42783.600555555553</v>
      </c>
      <c r="B130" s="20" t="s">
        <v>288</v>
      </c>
      <c r="C130" s="20" t="s">
        <v>582</v>
      </c>
      <c r="D130" s="150">
        <v>880000</v>
      </c>
      <c r="E130" s="20" t="s">
        <v>544</v>
      </c>
      <c r="F130" s="20" t="s">
        <v>203</v>
      </c>
      <c r="G130" s="8" t="str">
        <f t="shared" si="1"/>
        <v>STEWART MICHAEL</v>
      </c>
    </row>
    <row r="131" spans="1:7" x14ac:dyDescent="0.25">
      <c r="A131" s="8">
        <v>42783.609236111108</v>
      </c>
      <c r="B131" s="20" t="s">
        <v>287</v>
      </c>
      <c r="C131" s="20" t="s">
        <v>583</v>
      </c>
      <c r="D131" s="150">
        <v>1180000</v>
      </c>
      <c r="E131" s="20" t="s">
        <v>313</v>
      </c>
      <c r="F131" s="20" t="s">
        <v>314</v>
      </c>
      <c r="G131" s="8" t="str">
        <f t="shared" ref="G131:G194" si="2">E131&amp;" "&amp;F131</f>
        <v>LEVERE CRAIG</v>
      </c>
    </row>
    <row r="132" spans="1:7" x14ac:dyDescent="0.25">
      <c r="A132" s="8">
        <v>42783.609236111108</v>
      </c>
      <c r="B132" s="20" t="s">
        <v>252</v>
      </c>
      <c r="C132" s="20" t="s">
        <v>454</v>
      </c>
      <c r="D132" s="150">
        <v>2420000</v>
      </c>
      <c r="E132" s="20" t="s">
        <v>573</v>
      </c>
      <c r="F132" s="20" t="s">
        <v>574</v>
      </c>
      <c r="G132" s="8" t="str">
        <f t="shared" si="2"/>
        <v>HOLCOMB KAMDEN</v>
      </c>
    </row>
    <row r="133" spans="1:7" x14ac:dyDescent="0.25">
      <c r="A133" s="8">
        <v>42783.612361111111</v>
      </c>
      <c r="B133" s="20" t="s">
        <v>229</v>
      </c>
      <c r="C133" s="20" t="s">
        <v>584</v>
      </c>
      <c r="D133" s="150">
        <v>2470000</v>
      </c>
      <c r="E133" s="20" t="s">
        <v>548</v>
      </c>
      <c r="F133" s="20" t="s">
        <v>549</v>
      </c>
      <c r="G133" s="8" t="str">
        <f t="shared" si="2"/>
        <v>ROMERO CHAD</v>
      </c>
    </row>
    <row r="134" spans="1:7" x14ac:dyDescent="0.25">
      <c r="A134" s="8">
        <v>42783.618842592594</v>
      </c>
      <c r="B134" s="20" t="s">
        <v>223</v>
      </c>
      <c r="C134" s="20" t="s">
        <v>585</v>
      </c>
      <c r="D134" s="150">
        <v>2030000</v>
      </c>
      <c r="E134" s="20" t="s">
        <v>385</v>
      </c>
      <c r="F134" s="20" t="s">
        <v>292</v>
      </c>
      <c r="G134" s="8" t="str">
        <f t="shared" si="2"/>
        <v>KILLION DAVID</v>
      </c>
    </row>
    <row r="135" spans="1:7" x14ac:dyDescent="0.25">
      <c r="A135" s="8">
        <v>42783.621203703704</v>
      </c>
      <c r="B135" s="20" t="s">
        <v>238</v>
      </c>
      <c r="C135" s="20" t="s">
        <v>586</v>
      </c>
      <c r="D135" s="150">
        <v>930000</v>
      </c>
      <c r="E135" s="20" t="s">
        <v>311</v>
      </c>
      <c r="F135" s="20" t="s">
        <v>312</v>
      </c>
      <c r="G135" s="8" t="str">
        <f t="shared" si="2"/>
        <v>CLARK KATHLEEN</v>
      </c>
    </row>
    <row r="136" spans="1:7" x14ac:dyDescent="0.25">
      <c r="A136" s="8">
        <v>42783.627418981479</v>
      </c>
      <c r="B136" s="20" t="s">
        <v>221</v>
      </c>
      <c r="C136" s="20" t="s">
        <v>587</v>
      </c>
      <c r="D136" s="150">
        <v>530000</v>
      </c>
      <c r="E136" s="20" t="s">
        <v>588</v>
      </c>
      <c r="F136" s="20" t="s">
        <v>589</v>
      </c>
      <c r="G136" s="8" t="str">
        <f t="shared" si="2"/>
        <v>POLLOCK JASON</v>
      </c>
    </row>
    <row r="137" spans="1:7" x14ac:dyDescent="0.25">
      <c r="A137" s="8">
        <v>42783.63108796296</v>
      </c>
      <c r="B137" s="20" t="s">
        <v>266</v>
      </c>
      <c r="C137" s="20" t="s">
        <v>590</v>
      </c>
      <c r="D137" s="150">
        <v>1770000</v>
      </c>
      <c r="E137" s="20" t="s">
        <v>338</v>
      </c>
      <c r="F137" s="20" t="s">
        <v>339</v>
      </c>
      <c r="G137" s="8" t="str">
        <f t="shared" si="2"/>
        <v>BRUDER RICHARD</v>
      </c>
    </row>
    <row r="138" spans="1:7" x14ac:dyDescent="0.25">
      <c r="A138" s="8">
        <v>42783.633391203701</v>
      </c>
      <c r="B138" s="20" t="s">
        <v>235</v>
      </c>
      <c r="C138" s="20" t="s">
        <v>591</v>
      </c>
      <c r="D138" s="150">
        <v>1180000</v>
      </c>
      <c r="E138" s="20" t="s">
        <v>313</v>
      </c>
      <c r="F138" s="20" t="s">
        <v>314</v>
      </c>
      <c r="G138" s="8" t="str">
        <f t="shared" si="2"/>
        <v>LEVERE CRAIG</v>
      </c>
    </row>
    <row r="139" spans="1:7" x14ac:dyDescent="0.25">
      <c r="A139" s="8">
        <v>42783.638194444444</v>
      </c>
      <c r="B139" s="20" t="s">
        <v>289</v>
      </c>
      <c r="C139" s="20" t="s">
        <v>592</v>
      </c>
      <c r="D139" s="150">
        <v>880000</v>
      </c>
      <c r="E139" s="20" t="s">
        <v>544</v>
      </c>
      <c r="F139" s="20" t="s">
        <v>203</v>
      </c>
      <c r="G139" s="8" t="str">
        <f t="shared" si="2"/>
        <v>STEWART MICHAEL</v>
      </c>
    </row>
    <row r="140" spans="1:7" x14ac:dyDescent="0.25">
      <c r="A140" s="8">
        <v>42783.642083333332</v>
      </c>
      <c r="B140" s="20" t="s">
        <v>278</v>
      </c>
      <c r="C140" s="20" t="s">
        <v>593</v>
      </c>
      <c r="D140" s="150">
        <v>1540000</v>
      </c>
      <c r="E140" s="20" t="s">
        <v>334</v>
      </c>
      <c r="F140" s="20" t="s">
        <v>335</v>
      </c>
      <c r="G140" s="8" t="str">
        <f t="shared" si="2"/>
        <v>HELVIE ADAM</v>
      </c>
    </row>
    <row r="141" spans="1:7" x14ac:dyDescent="0.25">
      <c r="A141" s="8">
        <v>42783.643009259256</v>
      </c>
      <c r="B141" s="20" t="s">
        <v>384</v>
      </c>
      <c r="C141" s="20" t="s">
        <v>455</v>
      </c>
      <c r="D141" s="150">
        <v>2230000</v>
      </c>
      <c r="E141" s="20" t="s">
        <v>386</v>
      </c>
      <c r="F141" s="20" t="s">
        <v>203</v>
      </c>
      <c r="G141" s="8" t="str">
        <f t="shared" si="2"/>
        <v>SMITH MICHAEL</v>
      </c>
    </row>
    <row r="142" spans="1:7" x14ac:dyDescent="0.25">
      <c r="A142" s="8">
        <v>42783.649467592593</v>
      </c>
      <c r="B142" s="20" t="s">
        <v>210</v>
      </c>
      <c r="C142" s="20" t="s">
        <v>456</v>
      </c>
      <c r="D142" s="150">
        <v>2470000</v>
      </c>
      <c r="E142" s="20" t="s">
        <v>548</v>
      </c>
      <c r="F142" s="20" t="s">
        <v>549</v>
      </c>
      <c r="G142" s="8" t="str">
        <f t="shared" si="2"/>
        <v>ROMERO CHAD</v>
      </c>
    </row>
    <row r="143" spans="1:7" x14ac:dyDescent="0.25">
      <c r="A143" s="8">
        <v>42783.650949074072</v>
      </c>
      <c r="B143" s="20" t="s">
        <v>287</v>
      </c>
      <c r="C143" s="20" t="s">
        <v>594</v>
      </c>
      <c r="D143" s="150">
        <v>1180000</v>
      </c>
      <c r="E143" s="20" t="s">
        <v>313</v>
      </c>
      <c r="F143" s="20" t="s">
        <v>314</v>
      </c>
      <c r="G143" s="8" t="str">
        <f t="shared" si="2"/>
        <v>LEVERE CRAIG</v>
      </c>
    </row>
    <row r="144" spans="1:7" x14ac:dyDescent="0.25">
      <c r="A144" s="8">
        <v>42783.652939814812</v>
      </c>
      <c r="B144" s="20" t="s">
        <v>224</v>
      </c>
      <c r="C144" s="20" t="s">
        <v>595</v>
      </c>
      <c r="D144" s="150">
        <v>2030000</v>
      </c>
      <c r="E144" s="20" t="s">
        <v>385</v>
      </c>
      <c r="F144" s="20" t="s">
        <v>292</v>
      </c>
      <c r="G144" s="8" t="str">
        <f t="shared" si="2"/>
        <v>KILLION DAVID</v>
      </c>
    </row>
    <row r="145" spans="1:7" x14ac:dyDescent="0.25">
      <c r="A145" s="8">
        <v>42783.654317129629</v>
      </c>
      <c r="B145" s="20" t="s">
        <v>380</v>
      </c>
      <c r="C145" s="20" t="s">
        <v>596</v>
      </c>
      <c r="D145" s="150">
        <v>2230000</v>
      </c>
      <c r="E145" s="20" t="s">
        <v>386</v>
      </c>
      <c r="F145" s="20" t="s">
        <v>203</v>
      </c>
      <c r="G145" s="8" t="str">
        <f t="shared" si="2"/>
        <v>SMITH MICHAEL</v>
      </c>
    </row>
    <row r="146" spans="1:7" x14ac:dyDescent="0.25">
      <c r="A146" s="8">
        <v>42783.659849537034</v>
      </c>
      <c r="B146" s="20" t="s">
        <v>216</v>
      </c>
      <c r="C146" s="20" t="s">
        <v>597</v>
      </c>
      <c r="D146" s="150">
        <v>930000</v>
      </c>
      <c r="E146" s="20" t="s">
        <v>311</v>
      </c>
      <c r="F146" s="20" t="s">
        <v>312</v>
      </c>
      <c r="G146" s="8" t="str">
        <f t="shared" si="2"/>
        <v>CLARK KATHLEEN</v>
      </c>
    </row>
    <row r="147" spans="1:7" x14ac:dyDescent="0.25">
      <c r="A147" s="8">
        <v>42783.661273148151</v>
      </c>
      <c r="B147" s="20" t="s">
        <v>220</v>
      </c>
      <c r="C147" s="20" t="s">
        <v>457</v>
      </c>
      <c r="D147" s="150">
        <v>1190000</v>
      </c>
      <c r="E147" s="20" t="s">
        <v>336</v>
      </c>
      <c r="F147" s="20" t="s">
        <v>337</v>
      </c>
      <c r="G147" s="8" t="str">
        <f t="shared" si="2"/>
        <v>BRANNON JEFFREY</v>
      </c>
    </row>
    <row r="148" spans="1:7" x14ac:dyDescent="0.25">
      <c r="A148" s="8">
        <v>42783.670162037037</v>
      </c>
      <c r="B148" s="20" t="s">
        <v>228</v>
      </c>
      <c r="C148" s="20" t="s">
        <v>598</v>
      </c>
      <c r="D148" s="150">
        <v>1770000</v>
      </c>
      <c r="E148" s="20" t="s">
        <v>338</v>
      </c>
      <c r="F148" s="20" t="s">
        <v>339</v>
      </c>
      <c r="G148" s="8" t="str">
        <f t="shared" si="2"/>
        <v>BRUDER RICHARD</v>
      </c>
    </row>
    <row r="149" spans="1:7" x14ac:dyDescent="0.25">
      <c r="A149" s="8">
        <v>42783.671770833331</v>
      </c>
      <c r="B149" s="20" t="s">
        <v>384</v>
      </c>
      <c r="C149" s="20" t="s">
        <v>599</v>
      </c>
      <c r="D149" s="150">
        <v>2230000</v>
      </c>
      <c r="E149" s="20" t="s">
        <v>386</v>
      </c>
      <c r="F149" s="20" t="s">
        <v>203</v>
      </c>
      <c r="G149" s="8" t="str">
        <f t="shared" si="2"/>
        <v>SMITH MICHAEL</v>
      </c>
    </row>
    <row r="150" spans="1:7" x14ac:dyDescent="0.25">
      <c r="A150" s="8">
        <v>42783.673113425924</v>
      </c>
      <c r="B150" s="20" t="s">
        <v>288</v>
      </c>
      <c r="C150" s="20" t="s">
        <v>600</v>
      </c>
      <c r="D150" s="150">
        <v>880000</v>
      </c>
      <c r="E150" s="20" t="s">
        <v>544</v>
      </c>
      <c r="F150" s="20" t="s">
        <v>203</v>
      </c>
      <c r="G150" s="8" t="str">
        <f t="shared" si="2"/>
        <v>STEWART MICHAEL</v>
      </c>
    </row>
    <row r="151" spans="1:7" x14ac:dyDescent="0.25">
      <c r="A151" s="8">
        <v>42783.677615740744</v>
      </c>
      <c r="B151" s="20" t="s">
        <v>235</v>
      </c>
      <c r="C151" s="20" t="s">
        <v>601</v>
      </c>
      <c r="D151" s="150">
        <v>2370000</v>
      </c>
      <c r="E151" s="20" t="s">
        <v>564</v>
      </c>
      <c r="F151" s="20" t="s">
        <v>565</v>
      </c>
      <c r="G151" s="8" t="str">
        <f t="shared" si="2"/>
        <v>DELGADO DIANAH</v>
      </c>
    </row>
    <row r="152" spans="1:7" x14ac:dyDescent="0.25">
      <c r="A152" s="8">
        <v>42783.683229166665</v>
      </c>
      <c r="B152" s="20" t="s">
        <v>252</v>
      </c>
      <c r="C152" s="20" t="s">
        <v>602</v>
      </c>
      <c r="D152" s="150">
        <v>1540000</v>
      </c>
      <c r="E152" s="20" t="s">
        <v>334</v>
      </c>
      <c r="F152" s="20" t="s">
        <v>335</v>
      </c>
      <c r="G152" s="8" t="str">
        <f t="shared" si="2"/>
        <v>HELVIE ADAM</v>
      </c>
    </row>
    <row r="153" spans="1:7" x14ac:dyDescent="0.25">
      <c r="A153" s="8">
        <v>42783.683645833335</v>
      </c>
      <c r="B153" s="20" t="s">
        <v>229</v>
      </c>
      <c r="C153" s="20" t="s">
        <v>603</v>
      </c>
      <c r="D153" s="150">
        <v>2470000</v>
      </c>
      <c r="E153" s="20" t="s">
        <v>548</v>
      </c>
      <c r="F153" s="20" t="s">
        <v>549</v>
      </c>
      <c r="G153" s="8" t="str">
        <f t="shared" si="2"/>
        <v>ROMERO CHAD</v>
      </c>
    </row>
    <row r="154" spans="1:7" x14ac:dyDescent="0.25">
      <c r="A154" s="8">
        <v>42783.690370370372</v>
      </c>
      <c r="B154" s="20" t="s">
        <v>223</v>
      </c>
      <c r="C154" s="20" t="s">
        <v>604</v>
      </c>
      <c r="D154" s="150">
        <v>2030000</v>
      </c>
      <c r="E154" s="20" t="s">
        <v>385</v>
      </c>
      <c r="F154" s="20" t="s">
        <v>292</v>
      </c>
      <c r="G154" s="8" t="str">
        <f t="shared" si="2"/>
        <v>KILLION DAVID</v>
      </c>
    </row>
    <row r="155" spans="1:7" x14ac:dyDescent="0.25">
      <c r="A155" s="8">
        <v>42783.692696759259</v>
      </c>
      <c r="B155" s="20" t="s">
        <v>287</v>
      </c>
      <c r="C155" s="20" t="s">
        <v>605</v>
      </c>
      <c r="D155" s="150">
        <v>2370000</v>
      </c>
      <c r="E155" s="20" t="s">
        <v>564</v>
      </c>
      <c r="F155" s="20" t="s">
        <v>565</v>
      </c>
      <c r="G155" s="8" t="str">
        <f t="shared" si="2"/>
        <v>DELGADO DIANAH</v>
      </c>
    </row>
    <row r="156" spans="1:7" x14ac:dyDescent="0.25">
      <c r="A156" s="8">
        <v>42783.694363425922</v>
      </c>
      <c r="B156" s="20" t="s">
        <v>238</v>
      </c>
      <c r="C156" s="20" t="s">
        <v>606</v>
      </c>
      <c r="D156" s="150">
        <v>930000</v>
      </c>
      <c r="E156" s="20" t="s">
        <v>311</v>
      </c>
      <c r="F156" s="20" t="s">
        <v>312</v>
      </c>
      <c r="G156" s="8" t="str">
        <f t="shared" si="2"/>
        <v>CLARK KATHLEEN</v>
      </c>
    </row>
    <row r="157" spans="1:7" x14ac:dyDescent="0.25">
      <c r="A157" s="8">
        <v>42783.695115740738</v>
      </c>
      <c r="B157" s="20" t="s">
        <v>380</v>
      </c>
      <c r="C157" s="20" t="s">
        <v>607</v>
      </c>
      <c r="D157" s="150">
        <v>2230000</v>
      </c>
      <c r="E157" s="20" t="s">
        <v>386</v>
      </c>
      <c r="F157" s="20" t="s">
        <v>203</v>
      </c>
      <c r="G157" s="8" t="str">
        <f t="shared" si="2"/>
        <v>SMITH MICHAEL</v>
      </c>
    </row>
    <row r="158" spans="1:7" x14ac:dyDescent="0.25">
      <c r="A158" s="8">
        <v>42783.697280092594</v>
      </c>
      <c r="B158" s="20" t="s">
        <v>221</v>
      </c>
      <c r="C158" s="20" t="s">
        <v>608</v>
      </c>
      <c r="D158" s="150">
        <v>1190000</v>
      </c>
      <c r="E158" s="20" t="s">
        <v>336</v>
      </c>
      <c r="F158" s="20" t="s">
        <v>337</v>
      </c>
      <c r="G158" s="8" t="str">
        <f t="shared" si="2"/>
        <v>BRANNON JEFFREY</v>
      </c>
    </row>
    <row r="159" spans="1:7" x14ac:dyDescent="0.25">
      <c r="A159" s="8">
        <v>42783.704050925924</v>
      </c>
      <c r="B159" s="20" t="s">
        <v>266</v>
      </c>
      <c r="C159" s="20" t="s">
        <v>609</v>
      </c>
      <c r="D159" s="150">
        <v>1770000</v>
      </c>
      <c r="E159" s="20" t="s">
        <v>338</v>
      </c>
      <c r="F159" s="20" t="s">
        <v>339</v>
      </c>
      <c r="G159" s="8" t="str">
        <f t="shared" si="2"/>
        <v>BRUDER RICHARD</v>
      </c>
    </row>
    <row r="160" spans="1:7" x14ac:dyDescent="0.25">
      <c r="A160" s="8">
        <v>42783.711863425924</v>
      </c>
      <c r="B160" s="20" t="s">
        <v>289</v>
      </c>
      <c r="C160" s="20" t="s">
        <v>600</v>
      </c>
      <c r="D160" s="150">
        <v>880000</v>
      </c>
      <c r="E160" s="20" t="s">
        <v>544</v>
      </c>
      <c r="F160" s="20" t="s">
        <v>203</v>
      </c>
      <c r="G160" s="8" t="str">
        <f t="shared" si="2"/>
        <v>STEWART MICHAEL</v>
      </c>
    </row>
    <row r="161" spans="1:7" x14ac:dyDescent="0.25">
      <c r="A161" s="8">
        <v>42783.71266203704</v>
      </c>
      <c r="B161" s="20" t="s">
        <v>289</v>
      </c>
      <c r="C161" s="20" t="s">
        <v>610</v>
      </c>
      <c r="D161" s="150">
        <v>880000</v>
      </c>
      <c r="E161" s="20" t="s">
        <v>544</v>
      </c>
      <c r="F161" s="20" t="s">
        <v>203</v>
      </c>
      <c r="G161" s="8" t="str">
        <f t="shared" si="2"/>
        <v>STEWART MICHAEL</v>
      </c>
    </row>
    <row r="162" spans="1:7" x14ac:dyDescent="0.25">
      <c r="A162" s="8">
        <v>42783.713379629633</v>
      </c>
      <c r="B162" s="20" t="s">
        <v>384</v>
      </c>
      <c r="C162" s="20" t="s">
        <v>611</v>
      </c>
      <c r="D162" s="150">
        <v>2230000</v>
      </c>
      <c r="E162" s="20" t="s">
        <v>386</v>
      </c>
      <c r="F162" s="20" t="s">
        <v>203</v>
      </c>
      <c r="G162" s="8" t="str">
        <f t="shared" si="2"/>
        <v>SMITH MICHAEL</v>
      </c>
    </row>
    <row r="163" spans="1:7" x14ac:dyDescent="0.25">
      <c r="A163" s="8">
        <v>42783.71398148148</v>
      </c>
      <c r="B163" s="20" t="s">
        <v>235</v>
      </c>
      <c r="C163" s="20" t="s">
        <v>612</v>
      </c>
      <c r="D163" s="150">
        <v>1180000</v>
      </c>
      <c r="E163" s="20" t="s">
        <v>313</v>
      </c>
      <c r="F163" s="20" t="s">
        <v>314</v>
      </c>
      <c r="G163" s="8" t="str">
        <f t="shared" si="2"/>
        <v>LEVERE CRAIG</v>
      </c>
    </row>
    <row r="164" spans="1:7" x14ac:dyDescent="0.25">
      <c r="A164" s="8">
        <v>42783.714467592596</v>
      </c>
      <c r="B164" s="20" t="s">
        <v>210</v>
      </c>
      <c r="C164" s="20" t="s">
        <v>458</v>
      </c>
      <c r="D164" s="150">
        <v>2470000</v>
      </c>
      <c r="E164" s="20" t="s">
        <v>548</v>
      </c>
      <c r="F164" s="20" t="s">
        <v>549</v>
      </c>
      <c r="G164" s="8" t="str">
        <f t="shared" si="2"/>
        <v>ROMERO CHAD</v>
      </c>
    </row>
    <row r="165" spans="1:7" x14ac:dyDescent="0.25">
      <c r="A165" s="8">
        <v>42783.715590277781</v>
      </c>
      <c r="B165" s="20" t="s">
        <v>278</v>
      </c>
      <c r="C165" s="20" t="s">
        <v>613</v>
      </c>
      <c r="D165" s="150">
        <v>1540000</v>
      </c>
      <c r="E165" s="20" t="s">
        <v>334</v>
      </c>
      <c r="F165" s="20" t="s">
        <v>335</v>
      </c>
      <c r="G165" s="8" t="str">
        <f t="shared" si="2"/>
        <v>HELVIE ADAM</v>
      </c>
    </row>
    <row r="166" spans="1:7" x14ac:dyDescent="0.25">
      <c r="A166" s="8">
        <v>42783.728946759256</v>
      </c>
      <c r="B166" s="20" t="s">
        <v>224</v>
      </c>
      <c r="C166" s="20" t="s">
        <v>614</v>
      </c>
      <c r="D166" s="150">
        <v>2030000</v>
      </c>
      <c r="E166" s="20" t="s">
        <v>385</v>
      </c>
      <c r="F166" s="20" t="s">
        <v>292</v>
      </c>
      <c r="G166" s="8" t="str">
        <f t="shared" si="2"/>
        <v>KILLION DAVID</v>
      </c>
    </row>
    <row r="167" spans="1:7" x14ac:dyDescent="0.25">
      <c r="A167" s="8">
        <v>42783.730914351851</v>
      </c>
      <c r="B167" s="20" t="s">
        <v>216</v>
      </c>
      <c r="C167" s="20" t="s">
        <v>615</v>
      </c>
      <c r="D167" s="150">
        <v>930000</v>
      </c>
      <c r="E167" s="20" t="s">
        <v>311</v>
      </c>
      <c r="F167" s="20" t="s">
        <v>312</v>
      </c>
      <c r="G167" s="8" t="str">
        <f t="shared" si="2"/>
        <v>CLARK KATHLEEN</v>
      </c>
    </row>
    <row r="168" spans="1:7" x14ac:dyDescent="0.25">
      <c r="A168" s="8">
        <v>42783.734386574077</v>
      </c>
      <c r="B168" s="20" t="s">
        <v>287</v>
      </c>
      <c r="C168" s="20" t="s">
        <v>616</v>
      </c>
      <c r="D168" s="150">
        <v>1180000</v>
      </c>
      <c r="E168" s="20" t="s">
        <v>313</v>
      </c>
      <c r="F168" s="20" t="s">
        <v>314</v>
      </c>
      <c r="G168" s="8" t="str">
        <f t="shared" si="2"/>
        <v>LEVERE CRAIG</v>
      </c>
    </row>
    <row r="169" spans="1:7" x14ac:dyDescent="0.25">
      <c r="A169" s="8">
        <v>42783.735162037039</v>
      </c>
      <c r="B169" s="20" t="s">
        <v>380</v>
      </c>
      <c r="C169" s="20" t="s">
        <v>459</v>
      </c>
      <c r="D169" s="150">
        <v>2230000</v>
      </c>
      <c r="E169" s="20" t="s">
        <v>386</v>
      </c>
      <c r="F169" s="20" t="s">
        <v>203</v>
      </c>
      <c r="G169" s="8" t="str">
        <f t="shared" si="2"/>
        <v>SMITH MICHAEL</v>
      </c>
    </row>
    <row r="170" spans="1:7" x14ac:dyDescent="0.25">
      <c r="A170" s="8">
        <v>42783.736400462964</v>
      </c>
      <c r="B170" s="20" t="s">
        <v>273</v>
      </c>
      <c r="C170" s="20" t="s">
        <v>617</v>
      </c>
      <c r="D170" s="150">
        <v>2370000</v>
      </c>
      <c r="E170" s="20" t="s">
        <v>564</v>
      </c>
      <c r="F170" s="20" t="s">
        <v>565</v>
      </c>
      <c r="G170" s="8" t="str">
        <f t="shared" si="2"/>
        <v>DELGADO DIANAH</v>
      </c>
    </row>
    <row r="171" spans="1:7" x14ac:dyDescent="0.25">
      <c r="A171" s="8">
        <v>42783.736909722225</v>
      </c>
      <c r="B171" s="20" t="s">
        <v>220</v>
      </c>
      <c r="C171" s="20" t="s">
        <v>618</v>
      </c>
      <c r="D171" s="150">
        <v>1740000</v>
      </c>
      <c r="E171" s="20" t="s">
        <v>232</v>
      </c>
      <c r="F171" s="20" t="s">
        <v>233</v>
      </c>
      <c r="G171" s="8" t="str">
        <f t="shared" si="2"/>
        <v>STORY SAMANTHA</v>
      </c>
    </row>
    <row r="172" spans="1:7" x14ac:dyDescent="0.25">
      <c r="A172" s="8">
        <v>42783.742627314816</v>
      </c>
      <c r="B172" s="20" t="s">
        <v>228</v>
      </c>
      <c r="C172" s="20" t="s">
        <v>619</v>
      </c>
      <c r="D172" s="150">
        <v>1770000</v>
      </c>
      <c r="E172" s="20" t="s">
        <v>338</v>
      </c>
      <c r="F172" s="20" t="s">
        <v>339</v>
      </c>
      <c r="G172" s="8" t="str">
        <f t="shared" si="2"/>
        <v>BRUDER RICHARD</v>
      </c>
    </row>
    <row r="173" spans="1:7" x14ac:dyDescent="0.25">
      <c r="A173" s="8">
        <v>42783.746840277781</v>
      </c>
      <c r="B173" s="20" t="s">
        <v>288</v>
      </c>
      <c r="C173" s="20" t="s">
        <v>620</v>
      </c>
      <c r="D173" s="150">
        <v>1190000</v>
      </c>
      <c r="E173" s="20" t="s">
        <v>336</v>
      </c>
      <c r="F173" s="20" t="s">
        <v>337</v>
      </c>
      <c r="G173" s="8" t="str">
        <f t="shared" si="2"/>
        <v>BRANNON JEFFREY</v>
      </c>
    </row>
    <row r="174" spans="1:7" x14ac:dyDescent="0.25">
      <c r="A174" s="8">
        <v>42783.753032407411</v>
      </c>
      <c r="B174" s="20" t="s">
        <v>252</v>
      </c>
      <c r="C174" s="20" t="s">
        <v>621</v>
      </c>
      <c r="D174" s="150">
        <v>1540000</v>
      </c>
      <c r="E174" s="20" t="s">
        <v>334</v>
      </c>
      <c r="F174" s="20" t="s">
        <v>335</v>
      </c>
      <c r="G174" s="8" t="str">
        <f t="shared" si="2"/>
        <v>HELVIE ADAM</v>
      </c>
    </row>
    <row r="175" spans="1:7" x14ac:dyDescent="0.25">
      <c r="A175" s="8">
        <v>42783.753738425927</v>
      </c>
      <c r="B175" s="20" t="s">
        <v>277</v>
      </c>
      <c r="C175" s="20" t="s">
        <v>460</v>
      </c>
      <c r="D175" s="150">
        <v>2620000</v>
      </c>
      <c r="E175" s="20" t="s">
        <v>622</v>
      </c>
      <c r="F175" s="20" t="s">
        <v>623</v>
      </c>
      <c r="G175" s="8" t="str">
        <f t="shared" si="2"/>
        <v>PERKINS DARREN</v>
      </c>
    </row>
    <row r="176" spans="1:7" x14ac:dyDescent="0.25">
      <c r="A176" s="8">
        <v>42783.755543981482</v>
      </c>
      <c r="B176" s="20" t="s">
        <v>384</v>
      </c>
      <c r="C176" s="20" t="s">
        <v>624</v>
      </c>
      <c r="D176" s="150">
        <v>2230000</v>
      </c>
      <c r="E176" s="20" t="s">
        <v>386</v>
      </c>
      <c r="F176" s="20" t="s">
        <v>203</v>
      </c>
      <c r="G176" s="8" t="str">
        <f t="shared" si="2"/>
        <v>SMITH MICHAEL</v>
      </c>
    </row>
    <row r="177" spans="1:7" x14ac:dyDescent="0.25">
      <c r="A177" s="8">
        <v>42783.756041666667</v>
      </c>
      <c r="B177" s="20" t="s">
        <v>229</v>
      </c>
      <c r="C177" s="20" t="s">
        <v>461</v>
      </c>
      <c r="D177" s="150">
        <v>2470000</v>
      </c>
      <c r="E177" s="20" t="s">
        <v>548</v>
      </c>
      <c r="F177" s="20" t="s">
        <v>549</v>
      </c>
      <c r="G177" s="8" t="str">
        <f t="shared" si="2"/>
        <v>ROMERO CHAD</v>
      </c>
    </row>
    <row r="178" spans="1:7" x14ac:dyDescent="0.25">
      <c r="A178" s="8">
        <v>42783.760462962964</v>
      </c>
      <c r="B178" s="20" t="s">
        <v>235</v>
      </c>
      <c r="C178" s="20" t="s">
        <v>625</v>
      </c>
      <c r="D178" s="150">
        <v>1180000</v>
      </c>
      <c r="E178" s="20" t="s">
        <v>313</v>
      </c>
      <c r="F178" s="20" t="s">
        <v>314</v>
      </c>
      <c r="G178" s="8" t="str">
        <f t="shared" si="2"/>
        <v>LEVERE CRAIG</v>
      </c>
    </row>
    <row r="179" spans="1:7" x14ac:dyDescent="0.25">
      <c r="A179" s="8">
        <v>42783.762337962966</v>
      </c>
      <c r="B179" s="20" t="s">
        <v>223</v>
      </c>
      <c r="C179" s="20" t="s">
        <v>463</v>
      </c>
      <c r="D179" s="150">
        <v>2030000</v>
      </c>
      <c r="E179" s="20" t="s">
        <v>385</v>
      </c>
      <c r="F179" s="20" t="s">
        <v>292</v>
      </c>
      <c r="G179" s="8" t="str">
        <f t="shared" si="2"/>
        <v>KILLION DAVID</v>
      </c>
    </row>
    <row r="180" spans="1:7" x14ac:dyDescent="0.25">
      <c r="A180" s="8">
        <v>42783.764756944445</v>
      </c>
      <c r="B180" s="20" t="s">
        <v>290</v>
      </c>
      <c r="C180" s="20" t="s">
        <v>626</v>
      </c>
      <c r="D180" s="150">
        <v>2680000</v>
      </c>
      <c r="E180" s="20" t="s">
        <v>627</v>
      </c>
      <c r="F180" s="20" t="s">
        <v>628</v>
      </c>
      <c r="G180" s="8" t="str">
        <f t="shared" si="2"/>
        <v>DUNCAN SHEILA</v>
      </c>
    </row>
    <row r="181" spans="1:7" x14ac:dyDescent="0.25">
      <c r="A181" s="8">
        <v>42783.768865740742</v>
      </c>
      <c r="B181" s="20" t="s">
        <v>238</v>
      </c>
      <c r="C181" s="20" t="s">
        <v>629</v>
      </c>
      <c r="D181" s="150">
        <v>2220000</v>
      </c>
      <c r="E181" s="20" t="s">
        <v>218</v>
      </c>
      <c r="F181" s="20" t="s">
        <v>219</v>
      </c>
      <c r="G181" s="8" t="str">
        <f t="shared" si="2"/>
        <v>HILLS DUSTIN</v>
      </c>
    </row>
    <row r="182" spans="1:7" x14ac:dyDescent="0.25">
      <c r="A182" s="8">
        <v>42783.77416666667</v>
      </c>
      <c r="B182" s="20" t="s">
        <v>380</v>
      </c>
      <c r="C182" s="20" t="s">
        <v>630</v>
      </c>
      <c r="D182" s="150">
        <v>2230000</v>
      </c>
      <c r="E182" s="20" t="s">
        <v>386</v>
      </c>
      <c r="F182" s="20" t="s">
        <v>203</v>
      </c>
      <c r="G182" s="8" t="str">
        <f t="shared" si="2"/>
        <v>SMITH MICHAEL</v>
      </c>
    </row>
    <row r="183" spans="1:7" x14ac:dyDescent="0.25">
      <c r="A183" s="8">
        <v>42783.775543981479</v>
      </c>
      <c r="B183" s="20" t="s">
        <v>221</v>
      </c>
      <c r="C183" s="20" t="s">
        <v>631</v>
      </c>
      <c r="D183" s="150">
        <v>1740000</v>
      </c>
      <c r="E183" s="20" t="s">
        <v>232</v>
      </c>
      <c r="F183" s="20" t="s">
        <v>233</v>
      </c>
      <c r="G183" s="8" t="str">
        <f t="shared" si="2"/>
        <v>STORY SAMANTHA</v>
      </c>
    </row>
    <row r="184" spans="1:7" x14ac:dyDescent="0.25">
      <c r="A184" s="8">
        <v>42783.776597222219</v>
      </c>
      <c r="B184" s="20" t="s">
        <v>287</v>
      </c>
      <c r="C184" s="20" t="s">
        <v>632</v>
      </c>
      <c r="D184" s="150">
        <v>1180000</v>
      </c>
      <c r="E184" s="20" t="s">
        <v>313</v>
      </c>
      <c r="F184" s="20" t="s">
        <v>314</v>
      </c>
      <c r="G184" s="8" t="str">
        <f t="shared" si="2"/>
        <v>LEVERE CRAIG</v>
      </c>
    </row>
    <row r="185" spans="1:7" x14ac:dyDescent="0.25">
      <c r="A185" s="8">
        <v>42783.77685185185</v>
      </c>
      <c r="B185" s="20" t="s">
        <v>266</v>
      </c>
      <c r="C185" s="20" t="s">
        <v>633</v>
      </c>
      <c r="D185" s="150">
        <v>1770000</v>
      </c>
      <c r="E185" s="20" t="s">
        <v>338</v>
      </c>
      <c r="F185" s="20" t="s">
        <v>339</v>
      </c>
      <c r="G185" s="8" t="str">
        <f t="shared" si="2"/>
        <v>BRUDER RICHARD</v>
      </c>
    </row>
    <row r="186" spans="1:7" x14ac:dyDescent="0.25">
      <c r="A186" s="8">
        <v>42783.780671296299</v>
      </c>
      <c r="B186" s="20" t="s">
        <v>289</v>
      </c>
      <c r="C186" s="20" t="s">
        <v>462</v>
      </c>
      <c r="D186" s="150">
        <v>1190000</v>
      </c>
      <c r="E186" s="20" t="s">
        <v>336</v>
      </c>
      <c r="F186" s="20" t="s">
        <v>337</v>
      </c>
      <c r="G186" s="8" t="str">
        <f t="shared" si="2"/>
        <v>BRANNON JEFFREY</v>
      </c>
    </row>
    <row r="187" spans="1:7" x14ac:dyDescent="0.25">
      <c r="A187" s="8">
        <v>42783.787488425929</v>
      </c>
      <c r="B187" s="20" t="s">
        <v>278</v>
      </c>
      <c r="C187" s="20" t="s">
        <v>634</v>
      </c>
      <c r="D187" s="150">
        <v>2270000</v>
      </c>
      <c r="E187" s="20" t="s">
        <v>236</v>
      </c>
      <c r="F187" s="20" t="s">
        <v>237</v>
      </c>
      <c r="G187" s="8" t="str">
        <f t="shared" si="2"/>
        <v>BROWN JACOB</v>
      </c>
    </row>
    <row r="188" spans="1:7" x14ac:dyDescent="0.25">
      <c r="A188" s="8">
        <v>42783.796307870369</v>
      </c>
      <c r="B188" s="20" t="s">
        <v>271</v>
      </c>
      <c r="C188" s="20" t="s">
        <v>635</v>
      </c>
      <c r="D188" s="150">
        <v>2620000</v>
      </c>
      <c r="E188" s="20" t="s">
        <v>622</v>
      </c>
      <c r="F188" s="20" t="s">
        <v>623</v>
      </c>
      <c r="G188" s="8" t="str">
        <f t="shared" si="2"/>
        <v>PERKINS DARREN</v>
      </c>
    </row>
    <row r="189" spans="1:7" x14ac:dyDescent="0.25">
      <c r="A189" s="8">
        <v>42783.797280092593</v>
      </c>
      <c r="B189" s="20" t="s">
        <v>384</v>
      </c>
      <c r="C189" s="20" t="s">
        <v>636</v>
      </c>
      <c r="D189" s="150">
        <v>2230000</v>
      </c>
      <c r="E189" s="20" t="s">
        <v>386</v>
      </c>
      <c r="F189" s="20" t="s">
        <v>203</v>
      </c>
      <c r="G189" s="8" t="str">
        <f t="shared" si="2"/>
        <v>SMITH MICHAEL</v>
      </c>
    </row>
    <row r="190" spans="1:7" x14ac:dyDescent="0.25">
      <c r="A190" s="8">
        <v>42783.797638888886</v>
      </c>
      <c r="B190" s="20" t="s">
        <v>224</v>
      </c>
      <c r="C190" s="20" t="s">
        <v>464</v>
      </c>
      <c r="D190" s="150">
        <v>2030000</v>
      </c>
      <c r="E190" s="20" t="s">
        <v>385</v>
      </c>
      <c r="F190" s="20" t="s">
        <v>292</v>
      </c>
      <c r="G190" s="8" t="str">
        <f t="shared" si="2"/>
        <v>KILLION DAVID</v>
      </c>
    </row>
    <row r="191" spans="1:7" x14ac:dyDescent="0.25">
      <c r="A191" s="8">
        <v>42783.798576388886</v>
      </c>
      <c r="B191" s="20" t="s">
        <v>216</v>
      </c>
      <c r="C191" s="20" t="s">
        <v>637</v>
      </c>
      <c r="D191" s="150">
        <v>2220000</v>
      </c>
      <c r="E191" s="20" t="s">
        <v>218</v>
      </c>
      <c r="F191" s="20" t="s">
        <v>219</v>
      </c>
      <c r="G191" s="8" t="str">
        <f t="shared" si="2"/>
        <v>HILLS DUSTIN</v>
      </c>
    </row>
    <row r="192" spans="1:7" x14ac:dyDescent="0.25">
      <c r="A192" s="8">
        <v>42783.801238425927</v>
      </c>
      <c r="B192" s="20" t="s">
        <v>235</v>
      </c>
      <c r="C192" s="20" t="s">
        <v>638</v>
      </c>
      <c r="D192" s="150">
        <v>1180000</v>
      </c>
      <c r="E192" s="20" t="s">
        <v>313</v>
      </c>
      <c r="F192" s="20" t="s">
        <v>314</v>
      </c>
      <c r="G192" s="8" t="str">
        <f t="shared" si="2"/>
        <v>LEVERE CRAIG</v>
      </c>
    </row>
    <row r="193" spans="1:7" x14ac:dyDescent="0.25">
      <c r="A193" s="8">
        <v>42783.808113425926</v>
      </c>
      <c r="B193" s="20" t="s">
        <v>220</v>
      </c>
      <c r="C193" s="20" t="s">
        <v>639</v>
      </c>
      <c r="D193" s="150">
        <v>1740000</v>
      </c>
      <c r="E193" s="20" t="s">
        <v>232</v>
      </c>
      <c r="F193" s="20" t="s">
        <v>233</v>
      </c>
      <c r="G193" s="8" t="str">
        <f t="shared" si="2"/>
        <v>STORY SAMANTHA</v>
      </c>
    </row>
    <row r="194" spans="1:7" x14ac:dyDescent="0.25">
      <c r="A194" s="8">
        <v>42783.81753472222</v>
      </c>
      <c r="B194" s="20" t="s">
        <v>288</v>
      </c>
      <c r="C194" s="20" t="s">
        <v>640</v>
      </c>
      <c r="D194" s="150">
        <v>1190000</v>
      </c>
      <c r="E194" s="20" t="s">
        <v>336</v>
      </c>
      <c r="F194" s="20" t="s">
        <v>337</v>
      </c>
      <c r="G194" s="8" t="str">
        <f t="shared" si="2"/>
        <v>BRANNON JEFFREY</v>
      </c>
    </row>
    <row r="195" spans="1:7" x14ac:dyDescent="0.25">
      <c r="A195" s="8">
        <v>42783.817777777775</v>
      </c>
      <c r="B195" s="20" t="s">
        <v>287</v>
      </c>
      <c r="C195" s="20" t="s">
        <v>641</v>
      </c>
      <c r="D195" s="150">
        <v>1180000</v>
      </c>
      <c r="E195" s="20" t="s">
        <v>313</v>
      </c>
      <c r="F195" s="20" t="s">
        <v>314</v>
      </c>
      <c r="G195" s="8" t="str">
        <f t="shared" ref="G195:G258" si="3">E195&amp;" "&amp;F195</f>
        <v>LEVERE CRAIG</v>
      </c>
    </row>
    <row r="196" spans="1:7" x14ac:dyDescent="0.25">
      <c r="A196" s="8">
        <v>42783.829062500001</v>
      </c>
      <c r="B196" s="20" t="s">
        <v>252</v>
      </c>
      <c r="C196" s="20" t="s">
        <v>642</v>
      </c>
      <c r="D196" s="150">
        <v>2270000</v>
      </c>
      <c r="E196" s="20" t="s">
        <v>236</v>
      </c>
      <c r="F196" s="20" t="s">
        <v>237</v>
      </c>
      <c r="G196" s="8" t="str">
        <f t="shared" si="3"/>
        <v>BROWN JACOB</v>
      </c>
    </row>
    <row r="197" spans="1:7" x14ac:dyDescent="0.25">
      <c r="A197" s="8">
        <v>42783.832048611112</v>
      </c>
      <c r="B197" s="20" t="s">
        <v>277</v>
      </c>
      <c r="C197" s="20" t="s">
        <v>643</v>
      </c>
      <c r="D197" s="150">
        <v>2610000</v>
      </c>
      <c r="E197" s="20" t="s">
        <v>644</v>
      </c>
      <c r="F197" s="20" t="s">
        <v>645</v>
      </c>
      <c r="G197" s="8" t="str">
        <f t="shared" si="3"/>
        <v>MAGEE KENYA</v>
      </c>
    </row>
    <row r="198" spans="1:7" x14ac:dyDescent="0.25">
      <c r="A198" s="8">
        <v>42783.83803240741</v>
      </c>
      <c r="B198" s="20" t="s">
        <v>235</v>
      </c>
      <c r="C198" s="20" t="s">
        <v>646</v>
      </c>
      <c r="D198" s="150">
        <v>1180000</v>
      </c>
      <c r="E198" s="20" t="s">
        <v>313</v>
      </c>
      <c r="F198" s="20" t="s">
        <v>314</v>
      </c>
      <c r="G198" s="8" t="str">
        <f t="shared" si="3"/>
        <v>LEVERE CRAIG</v>
      </c>
    </row>
    <row r="199" spans="1:7" x14ac:dyDescent="0.25">
      <c r="A199" s="8">
        <v>42783.84138888889</v>
      </c>
      <c r="B199" s="20" t="s">
        <v>238</v>
      </c>
      <c r="C199" s="20" t="s">
        <v>647</v>
      </c>
      <c r="D199" s="150">
        <v>2600000</v>
      </c>
      <c r="E199" s="20" t="s">
        <v>648</v>
      </c>
      <c r="F199" s="20" t="s">
        <v>292</v>
      </c>
      <c r="G199" s="8" t="str">
        <f t="shared" si="3"/>
        <v>DAVIDSON DAVID</v>
      </c>
    </row>
    <row r="200" spans="1:7" x14ac:dyDescent="0.25">
      <c r="A200" s="8">
        <v>42783.849328703705</v>
      </c>
      <c r="B200" s="20" t="s">
        <v>221</v>
      </c>
      <c r="C200" s="20" t="s">
        <v>649</v>
      </c>
      <c r="D200" s="150">
        <v>1740000</v>
      </c>
      <c r="E200" s="20" t="s">
        <v>232</v>
      </c>
      <c r="F200" s="20" t="s">
        <v>233</v>
      </c>
      <c r="G200" s="8" t="str">
        <f t="shared" si="3"/>
        <v>STORY SAMANTHA</v>
      </c>
    </row>
    <row r="201" spans="1:7" x14ac:dyDescent="0.25">
      <c r="A201" s="8">
        <v>42783.859247685185</v>
      </c>
      <c r="B201" s="20" t="s">
        <v>287</v>
      </c>
      <c r="C201" s="20" t="s">
        <v>650</v>
      </c>
      <c r="D201" s="150">
        <v>1180000</v>
      </c>
      <c r="E201" s="20" t="s">
        <v>313</v>
      </c>
      <c r="F201" s="20" t="s">
        <v>314</v>
      </c>
      <c r="G201" s="8" t="str">
        <f t="shared" si="3"/>
        <v>LEVERE CRAIG</v>
      </c>
    </row>
    <row r="202" spans="1:7" x14ac:dyDescent="0.25">
      <c r="A202" s="26">
        <v>42783.870532407411</v>
      </c>
      <c r="B202" s="20" t="s">
        <v>271</v>
      </c>
      <c r="C202" s="20" t="s">
        <v>651</v>
      </c>
      <c r="D202" s="150">
        <v>2610000</v>
      </c>
      <c r="E202" s="20" t="s">
        <v>644</v>
      </c>
      <c r="F202" s="20" t="s">
        <v>645</v>
      </c>
      <c r="G202" s="8" t="str">
        <f t="shared" si="3"/>
        <v>MAGEE KENYA</v>
      </c>
    </row>
    <row r="203" spans="1:7" x14ac:dyDescent="0.25">
      <c r="A203" s="8">
        <v>42783.870717592596</v>
      </c>
      <c r="B203" s="20" t="s">
        <v>278</v>
      </c>
      <c r="C203" s="20" t="s">
        <v>465</v>
      </c>
      <c r="D203" s="150">
        <v>2270000</v>
      </c>
      <c r="E203" s="20" t="s">
        <v>236</v>
      </c>
      <c r="F203" s="20" t="s">
        <v>237</v>
      </c>
      <c r="G203" s="8" t="str">
        <f t="shared" si="3"/>
        <v>BROWN JACOB</v>
      </c>
    </row>
    <row r="204" spans="1:7" x14ac:dyDescent="0.25">
      <c r="A204" s="8">
        <v>42783.877581018518</v>
      </c>
      <c r="B204" s="20" t="s">
        <v>235</v>
      </c>
      <c r="C204" s="20" t="s">
        <v>652</v>
      </c>
      <c r="D204" s="150">
        <v>2230000</v>
      </c>
      <c r="E204" s="20" t="s">
        <v>386</v>
      </c>
      <c r="F204" s="20" t="s">
        <v>203</v>
      </c>
      <c r="G204" s="8" t="str">
        <f t="shared" si="3"/>
        <v>SMITH MICHAEL</v>
      </c>
    </row>
    <row r="205" spans="1:7" x14ac:dyDescent="0.25">
      <c r="A205" s="8">
        <v>42783.883449074077</v>
      </c>
      <c r="B205" s="20" t="s">
        <v>220</v>
      </c>
      <c r="C205" s="20" t="s">
        <v>653</v>
      </c>
      <c r="D205" s="150">
        <v>1740000</v>
      </c>
      <c r="E205" s="20" t="s">
        <v>232</v>
      </c>
      <c r="F205" s="20" t="s">
        <v>233</v>
      </c>
      <c r="G205" s="8" t="str">
        <f t="shared" si="3"/>
        <v>STORY SAMANTHA</v>
      </c>
    </row>
    <row r="206" spans="1:7" x14ac:dyDescent="0.25">
      <c r="A206" s="8">
        <v>42783.885891203703</v>
      </c>
      <c r="B206" s="20" t="s">
        <v>216</v>
      </c>
      <c r="C206" s="20" t="s">
        <v>654</v>
      </c>
      <c r="D206" s="150">
        <v>2600000</v>
      </c>
      <c r="E206" s="20" t="s">
        <v>648</v>
      </c>
      <c r="F206" s="20" t="s">
        <v>292</v>
      </c>
      <c r="G206" s="8" t="str">
        <f t="shared" si="3"/>
        <v>DAVIDSON DAVID</v>
      </c>
    </row>
    <row r="207" spans="1:7" x14ac:dyDescent="0.25">
      <c r="A207" s="8">
        <v>42783.901805555557</v>
      </c>
      <c r="B207" s="20" t="s">
        <v>287</v>
      </c>
      <c r="C207" s="20" t="s">
        <v>655</v>
      </c>
      <c r="D207" s="150">
        <v>2230000</v>
      </c>
      <c r="E207" s="20" t="s">
        <v>386</v>
      </c>
      <c r="F207" s="20" t="s">
        <v>203</v>
      </c>
      <c r="G207" s="8" t="str">
        <f t="shared" si="3"/>
        <v>SMITH MICHAEL</v>
      </c>
    </row>
    <row r="208" spans="1:7" x14ac:dyDescent="0.25">
      <c r="A208" s="8">
        <v>42783.910428240742</v>
      </c>
      <c r="B208" s="20" t="s">
        <v>277</v>
      </c>
      <c r="C208" s="20" t="s">
        <v>656</v>
      </c>
      <c r="D208" s="150">
        <v>2610000</v>
      </c>
      <c r="E208" s="20" t="s">
        <v>644</v>
      </c>
      <c r="F208" s="20" t="s">
        <v>645</v>
      </c>
      <c r="G208" s="8" t="str">
        <f t="shared" si="3"/>
        <v>MAGEE KENYA</v>
      </c>
    </row>
    <row r="209" spans="1:7" x14ac:dyDescent="0.25">
      <c r="A209" s="8">
        <v>42783.913784722223</v>
      </c>
      <c r="B209" s="20" t="s">
        <v>252</v>
      </c>
      <c r="C209" s="20" t="s">
        <v>657</v>
      </c>
      <c r="D209" s="150">
        <v>2270000</v>
      </c>
      <c r="E209" s="20" t="s">
        <v>236</v>
      </c>
      <c r="F209" s="20" t="s">
        <v>237</v>
      </c>
      <c r="G209" s="8" t="str">
        <f t="shared" si="3"/>
        <v>BROWN JACOB</v>
      </c>
    </row>
    <row r="210" spans="1:7" x14ac:dyDescent="0.25">
      <c r="A210" s="8">
        <v>42783.918680555558</v>
      </c>
      <c r="B210" s="20" t="s">
        <v>235</v>
      </c>
      <c r="C210" s="20" t="s">
        <v>658</v>
      </c>
      <c r="D210" s="150">
        <v>2230000</v>
      </c>
      <c r="E210" s="20" t="s">
        <v>386</v>
      </c>
      <c r="F210" s="20" t="s">
        <v>203</v>
      </c>
      <c r="G210" s="8" t="str">
        <f t="shared" si="3"/>
        <v>SMITH MICHAEL</v>
      </c>
    </row>
    <row r="211" spans="1:7" x14ac:dyDescent="0.25">
      <c r="A211" s="8">
        <v>42783.925787037035</v>
      </c>
      <c r="B211" s="20" t="s">
        <v>238</v>
      </c>
      <c r="C211" s="20" t="s">
        <v>659</v>
      </c>
      <c r="D211" s="150">
        <v>2220000</v>
      </c>
      <c r="E211" s="20" t="s">
        <v>218</v>
      </c>
      <c r="F211" s="20" t="s">
        <v>219</v>
      </c>
      <c r="G211" s="8" t="str">
        <f t="shared" si="3"/>
        <v>HILLS DUSTIN</v>
      </c>
    </row>
    <row r="212" spans="1:7" x14ac:dyDescent="0.25">
      <c r="A212" s="8">
        <v>42783.928576388891</v>
      </c>
      <c r="B212" s="20" t="s">
        <v>221</v>
      </c>
      <c r="C212" s="20" t="s">
        <v>660</v>
      </c>
      <c r="D212" s="150">
        <v>1740000</v>
      </c>
      <c r="E212" s="20" t="s">
        <v>232</v>
      </c>
      <c r="F212" s="20" t="s">
        <v>233</v>
      </c>
      <c r="G212" s="8" t="str">
        <f t="shared" si="3"/>
        <v>STORY SAMANTHA</v>
      </c>
    </row>
    <row r="213" spans="1:7" x14ac:dyDescent="0.25">
      <c r="A213" s="8">
        <v>42783.942800925928</v>
      </c>
      <c r="B213" s="20" t="s">
        <v>287</v>
      </c>
      <c r="C213" s="20" t="s">
        <v>661</v>
      </c>
      <c r="D213" s="150">
        <v>2230000</v>
      </c>
      <c r="E213" s="20" t="s">
        <v>386</v>
      </c>
      <c r="F213" s="20" t="s">
        <v>203</v>
      </c>
      <c r="G213" s="8" t="str">
        <f t="shared" si="3"/>
        <v>SMITH MICHAEL</v>
      </c>
    </row>
    <row r="214" spans="1:7" x14ac:dyDescent="0.25">
      <c r="A214" s="8">
        <v>42783.944780092592</v>
      </c>
      <c r="B214" s="20" t="s">
        <v>287</v>
      </c>
      <c r="C214" s="20" t="s">
        <v>661</v>
      </c>
      <c r="D214" s="150">
        <v>2230000</v>
      </c>
      <c r="E214" s="20" t="s">
        <v>386</v>
      </c>
      <c r="F214" s="20" t="s">
        <v>203</v>
      </c>
      <c r="G214" s="8" t="str">
        <f t="shared" si="3"/>
        <v>SMITH MICHAEL</v>
      </c>
    </row>
    <row r="215" spans="1:7" x14ac:dyDescent="0.25">
      <c r="A215" s="8">
        <v>42783.954687500001</v>
      </c>
      <c r="B215" s="20" t="s">
        <v>271</v>
      </c>
      <c r="C215" s="20" t="s">
        <v>662</v>
      </c>
      <c r="D215" s="150">
        <v>2610000</v>
      </c>
      <c r="E215" s="20" t="s">
        <v>644</v>
      </c>
      <c r="F215" s="20" t="s">
        <v>645</v>
      </c>
      <c r="G215" s="8" t="str">
        <f t="shared" si="3"/>
        <v>MAGEE KENYA</v>
      </c>
    </row>
    <row r="216" spans="1:7" x14ac:dyDescent="0.25">
      <c r="A216" s="8">
        <v>42783.95857638889</v>
      </c>
      <c r="B216" s="20" t="s">
        <v>278</v>
      </c>
      <c r="C216" s="20" t="s">
        <v>466</v>
      </c>
      <c r="D216" s="150">
        <v>2270000</v>
      </c>
      <c r="E216" s="20" t="s">
        <v>236</v>
      </c>
      <c r="F216" s="20" t="s">
        <v>237</v>
      </c>
      <c r="G216" s="8" t="str">
        <f t="shared" si="3"/>
        <v>BROWN JACOB</v>
      </c>
    </row>
    <row r="217" spans="1:7" x14ac:dyDescent="0.25">
      <c r="A217" s="8">
        <v>42783.971932870372</v>
      </c>
      <c r="B217" s="20" t="s">
        <v>220</v>
      </c>
      <c r="C217" s="20" t="s">
        <v>663</v>
      </c>
      <c r="D217" s="150">
        <v>1740000</v>
      </c>
      <c r="E217" s="20" t="s">
        <v>232</v>
      </c>
      <c r="F217" s="20" t="s">
        <v>233</v>
      </c>
      <c r="G217" s="8" t="str">
        <f t="shared" si="3"/>
        <v>STORY SAMANTHA</v>
      </c>
    </row>
    <row r="218" spans="1:7" x14ac:dyDescent="0.25">
      <c r="A218" s="8">
        <v>42783.974872685183</v>
      </c>
      <c r="B218" s="20" t="s">
        <v>216</v>
      </c>
      <c r="C218" s="20" t="s">
        <v>664</v>
      </c>
      <c r="D218" s="150">
        <v>2220000</v>
      </c>
      <c r="E218" s="20" t="s">
        <v>218</v>
      </c>
      <c r="F218" s="20" t="s">
        <v>219</v>
      </c>
      <c r="G218" s="8" t="str">
        <f t="shared" si="3"/>
        <v>HILLS DUSTIN</v>
      </c>
    </row>
    <row r="219" spans="1:7" x14ac:dyDescent="0.25">
      <c r="A219" s="8">
        <v>42783.978263888886</v>
      </c>
      <c r="B219" s="20" t="s">
        <v>665</v>
      </c>
      <c r="C219" s="20" t="s">
        <v>666</v>
      </c>
      <c r="D219" s="150">
        <v>2630000</v>
      </c>
      <c r="E219" s="20" t="s">
        <v>667</v>
      </c>
      <c r="F219" s="20" t="s">
        <v>668</v>
      </c>
      <c r="G219" s="8" t="str">
        <f t="shared" si="3"/>
        <v>SAFIEF AEIMEN</v>
      </c>
    </row>
    <row r="220" spans="1:7" x14ac:dyDescent="0.25">
      <c r="A220" s="8">
        <v>42783.98846064815</v>
      </c>
      <c r="B220" s="20" t="s">
        <v>220</v>
      </c>
      <c r="C220" s="20" t="s">
        <v>663</v>
      </c>
      <c r="D220" s="150">
        <v>1740000</v>
      </c>
      <c r="E220" s="20" t="s">
        <v>232</v>
      </c>
      <c r="F220" s="20" t="s">
        <v>233</v>
      </c>
      <c r="G220" s="8" t="str">
        <f t="shared" si="3"/>
        <v>STORY SAMANTHA</v>
      </c>
    </row>
    <row r="221" spans="1:7" x14ac:dyDescent="0.25">
      <c r="A221" s="8">
        <v>42783.994108796294</v>
      </c>
      <c r="B221" s="20" t="s">
        <v>252</v>
      </c>
      <c r="C221" s="20" t="s">
        <v>669</v>
      </c>
      <c r="D221" s="150">
        <v>2270000</v>
      </c>
      <c r="E221" s="20" t="s">
        <v>236</v>
      </c>
      <c r="F221" s="20" t="s">
        <v>237</v>
      </c>
      <c r="G221" s="8" t="str">
        <f t="shared" si="3"/>
        <v>BROWN JACOB</v>
      </c>
    </row>
    <row r="222" spans="1:7" x14ac:dyDescent="0.25">
      <c r="A222" s="8">
        <v>42783.997037037036</v>
      </c>
      <c r="B222" s="20" t="s">
        <v>277</v>
      </c>
      <c r="C222" s="20" t="s">
        <v>670</v>
      </c>
      <c r="D222" s="150">
        <v>2610000</v>
      </c>
      <c r="E222" s="20" t="s">
        <v>644</v>
      </c>
      <c r="F222" s="20" t="s">
        <v>645</v>
      </c>
      <c r="G222" s="8" t="str">
        <f t="shared" si="3"/>
        <v>MAGEE KENYA</v>
      </c>
    </row>
    <row r="223" spans="1:7" x14ac:dyDescent="0.25">
      <c r="A223" s="8">
        <v>42784.01734953704</v>
      </c>
      <c r="B223" s="20" t="s">
        <v>221</v>
      </c>
      <c r="C223" s="20" t="s">
        <v>467</v>
      </c>
      <c r="D223" s="150">
        <v>1740000</v>
      </c>
      <c r="E223" s="20" t="s">
        <v>232</v>
      </c>
      <c r="F223" s="20" t="s">
        <v>233</v>
      </c>
      <c r="G223" s="8" t="str">
        <f t="shared" si="3"/>
        <v>STORY SAMANTHA</v>
      </c>
    </row>
    <row r="224" spans="1:7" x14ac:dyDescent="0.25">
      <c r="A224" s="8">
        <v>42784.02065972222</v>
      </c>
      <c r="B224" t="s">
        <v>192</v>
      </c>
      <c r="C224" t="s">
        <v>671</v>
      </c>
      <c r="D224" s="150">
        <v>2680000</v>
      </c>
      <c r="E224" t="s">
        <v>627</v>
      </c>
      <c r="F224" s="20" t="s">
        <v>628</v>
      </c>
      <c r="G224" s="8" t="str">
        <f t="shared" si="3"/>
        <v>DUNCAN SHEILA</v>
      </c>
    </row>
    <row r="225" spans="1:7" x14ac:dyDescent="0.25">
      <c r="A225" s="8">
        <v>42784.035983796297</v>
      </c>
      <c r="B225" t="s">
        <v>278</v>
      </c>
      <c r="C225" t="s">
        <v>672</v>
      </c>
      <c r="D225" s="150">
        <v>2270000</v>
      </c>
      <c r="E225" t="s">
        <v>236</v>
      </c>
      <c r="F225" s="20" t="s">
        <v>237</v>
      </c>
      <c r="G225" s="8" t="str">
        <f t="shared" si="3"/>
        <v>BROWN JACOB</v>
      </c>
    </row>
    <row r="226" spans="1:7" x14ac:dyDescent="0.25">
      <c r="A226" s="8">
        <v>42784.036030092589</v>
      </c>
      <c r="B226" t="s">
        <v>271</v>
      </c>
      <c r="C226" t="s">
        <v>468</v>
      </c>
      <c r="D226" s="150">
        <v>2610000</v>
      </c>
      <c r="E226" t="s">
        <v>644</v>
      </c>
      <c r="F226" s="20" t="s">
        <v>645</v>
      </c>
      <c r="G226" s="8" t="str">
        <f t="shared" si="3"/>
        <v>MAGEE KENYA</v>
      </c>
    </row>
    <row r="227" spans="1:7" x14ac:dyDescent="0.25">
      <c r="A227" s="8">
        <v>42784.036273148151</v>
      </c>
      <c r="B227" t="s">
        <v>221</v>
      </c>
      <c r="C227" t="s">
        <v>467</v>
      </c>
      <c r="D227" s="150">
        <v>1740000</v>
      </c>
      <c r="E227" t="s">
        <v>232</v>
      </c>
      <c r="F227" s="20" t="s">
        <v>233</v>
      </c>
      <c r="G227" s="8" t="str">
        <f t="shared" si="3"/>
        <v>STORY SAMANTHA</v>
      </c>
    </row>
    <row r="228" spans="1:7" x14ac:dyDescent="0.25">
      <c r="A228" s="8">
        <v>42784.050671296296</v>
      </c>
      <c r="B228" t="s">
        <v>220</v>
      </c>
      <c r="C228" t="s">
        <v>673</v>
      </c>
      <c r="D228" s="150">
        <v>1740000</v>
      </c>
      <c r="E228" t="s">
        <v>232</v>
      </c>
      <c r="F228" s="20" t="s">
        <v>233</v>
      </c>
      <c r="G228" s="8" t="str">
        <f t="shared" si="3"/>
        <v>STORY SAMANTHA</v>
      </c>
    </row>
    <row r="229" spans="1:7" x14ac:dyDescent="0.25">
      <c r="A229" s="8">
        <v>42784.058564814812</v>
      </c>
      <c r="B229" t="s">
        <v>290</v>
      </c>
      <c r="C229" t="s">
        <v>674</v>
      </c>
      <c r="D229" s="150">
        <v>2680000</v>
      </c>
      <c r="E229" t="s">
        <v>627</v>
      </c>
      <c r="F229" s="20" t="s">
        <v>628</v>
      </c>
      <c r="G229" s="8" t="str">
        <f t="shared" si="3"/>
        <v>DUNCAN SHEILA</v>
      </c>
    </row>
    <row r="230" spans="1:7" x14ac:dyDescent="0.25">
      <c r="A230" s="8">
        <v>42784.059548611112</v>
      </c>
      <c r="B230" t="s">
        <v>290</v>
      </c>
      <c r="C230" t="s">
        <v>674</v>
      </c>
      <c r="D230" s="150">
        <v>2680000</v>
      </c>
      <c r="E230" t="s">
        <v>627</v>
      </c>
      <c r="F230" s="20" t="s">
        <v>628</v>
      </c>
      <c r="G230" s="8" t="str">
        <f t="shared" si="3"/>
        <v>DUNCAN SHEILA</v>
      </c>
    </row>
    <row r="231" spans="1:7" x14ac:dyDescent="0.25">
      <c r="A231" s="8">
        <v>42784.061099537037</v>
      </c>
      <c r="B231" t="s">
        <v>290</v>
      </c>
      <c r="C231" t="s">
        <v>674</v>
      </c>
      <c r="D231" s="150">
        <v>2680000</v>
      </c>
      <c r="E231" t="s">
        <v>627</v>
      </c>
      <c r="F231" s="20" t="s">
        <v>628</v>
      </c>
      <c r="G231" s="8" t="str">
        <f t="shared" si="3"/>
        <v>DUNCAN SHEILA</v>
      </c>
    </row>
    <row r="232" spans="1:7" x14ac:dyDescent="0.25">
      <c r="A232" s="8">
        <v>42784.068252314813</v>
      </c>
      <c r="B232" t="s">
        <v>277</v>
      </c>
      <c r="C232" t="s">
        <v>675</v>
      </c>
      <c r="D232" s="150">
        <v>2610000</v>
      </c>
      <c r="E232" t="s">
        <v>644</v>
      </c>
      <c r="F232" s="20" t="s">
        <v>645</v>
      </c>
      <c r="G232" s="8" t="str">
        <f t="shared" si="3"/>
        <v>MAGEE KENYA</v>
      </c>
    </row>
    <row r="233" spans="1:7" x14ac:dyDescent="0.25">
      <c r="A233" s="8">
        <v>42784.077974537038</v>
      </c>
      <c r="B233" t="s">
        <v>252</v>
      </c>
      <c r="C233" t="s">
        <v>676</v>
      </c>
      <c r="D233" s="150">
        <v>2270000</v>
      </c>
      <c r="E233" t="s">
        <v>236</v>
      </c>
      <c r="F233" s="20" t="s">
        <v>237</v>
      </c>
      <c r="G233" s="8" t="str">
        <f t="shared" si="3"/>
        <v>BROWN JACOB</v>
      </c>
    </row>
    <row r="234" spans="1:7" x14ac:dyDescent="0.25">
      <c r="A234" s="8">
        <v>42784.079618055555</v>
      </c>
      <c r="B234" t="s">
        <v>238</v>
      </c>
      <c r="C234" t="s">
        <v>677</v>
      </c>
      <c r="D234" s="150">
        <v>2220000</v>
      </c>
      <c r="E234" t="s">
        <v>218</v>
      </c>
      <c r="F234" s="20" t="s">
        <v>219</v>
      </c>
      <c r="G234" s="8" t="str">
        <f t="shared" si="3"/>
        <v>HILLS DUSTIN</v>
      </c>
    </row>
    <row r="235" spans="1:7" x14ac:dyDescent="0.25">
      <c r="A235" s="8">
        <v>42784.081759259258</v>
      </c>
      <c r="B235" t="s">
        <v>678</v>
      </c>
      <c r="C235" t="s">
        <v>679</v>
      </c>
      <c r="D235" s="150">
        <v>2630000</v>
      </c>
      <c r="E235" t="s">
        <v>667</v>
      </c>
      <c r="F235" s="20" t="s">
        <v>668</v>
      </c>
      <c r="G235" s="8" t="str">
        <f t="shared" si="3"/>
        <v>SAFIEF AEIMEN</v>
      </c>
    </row>
    <row r="236" spans="1:7" x14ac:dyDescent="0.25">
      <c r="A236" s="8">
        <v>42784.109907407408</v>
      </c>
      <c r="B236" t="s">
        <v>278</v>
      </c>
      <c r="C236" t="s">
        <v>680</v>
      </c>
      <c r="D236" s="150">
        <v>2270000</v>
      </c>
      <c r="E236" t="s">
        <v>236</v>
      </c>
      <c r="F236" s="20" t="s">
        <v>237</v>
      </c>
      <c r="G236" s="8" t="str">
        <f t="shared" si="3"/>
        <v>BROWN JACOB</v>
      </c>
    </row>
    <row r="237" spans="1:7" x14ac:dyDescent="0.25">
      <c r="A237" s="8">
        <v>42783.006655092591</v>
      </c>
      <c r="B237" t="s">
        <v>192</v>
      </c>
      <c r="C237" t="s">
        <v>389</v>
      </c>
      <c r="D237" s="150">
        <v>2220000</v>
      </c>
      <c r="E237" t="s">
        <v>218</v>
      </c>
      <c r="F237" s="20" t="s">
        <v>219</v>
      </c>
      <c r="G237" s="8" t="str">
        <f t="shared" si="3"/>
        <v>HILLS DUSTIN</v>
      </c>
    </row>
    <row r="238" spans="1:7" x14ac:dyDescent="0.25">
      <c r="A238" s="8">
        <v>42783.010775462964</v>
      </c>
      <c r="B238" t="s">
        <v>228</v>
      </c>
      <c r="C238" t="s">
        <v>390</v>
      </c>
      <c r="D238" s="150">
        <v>2540000</v>
      </c>
      <c r="E238" t="s">
        <v>225</v>
      </c>
      <c r="F238" s="20" t="s">
        <v>226</v>
      </c>
      <c r="G238" s="8" t="str">
        <f t="shared" si="3"/>
        <v>MCREYNOLDS KYLE</v>
      </c>
    </row>
    <row r="239" spans="1:7" x14ac:dyDescent="0.25">
      <c r="A239" s="8">
        <v>42783.028078703705</v>
      </c>
      <c r="B239" t="s">
        <v>238</v>
      </c>
      <c r="C239" t="s">
        <v>391</v>
      </c>
      <c r="D239" s="150">
        <v>1800000</v>
      </c>
      <c r="E239" t="s">
        <v>259</v>
      </c>
      <c r="F239" s="20" t="s">
        <v>260</v>
      </c>
      <c r="G239" s="8" t="str">
        <f t="shared" si="3"/>
        <v>CHANDLER KELVIN</v>
      </c>
    </row>
    <row r="240" spans="1:7" x14ac:dyDescent="0.25">
      <c r="A240" s="8">
        <v>42783.036631944444</v>
      </c>
      <c r="B240" t="s">
        <v>258</v>
      </c>
      <c r="C240" t="s">
        <v>392</v>
      </c>
      <c r="D240" s="150">
        <v>2270000</v>
      </c>
      <c r="E240" t="s">
        <v>236</v>
      </c>
      <c r="F240" s="20" t="s">
        <v>237</v>
      </c>
      <c r="G240" s="8" t="str">
        <f t="shared" si="3"/>
        <v>BROWN JACOB</v>
      </c>
    </row>
    <row r="241" spans="1:7" x14ac:dyDescent="0.25">
      <c r="A241" s="8">
        <v>42783.046157407407</v>
      </c>
      <c r="B241" t="s">
        <v>290</v>
      </c>
      <c r="C241" t="s">
        <v>393</v>
      </c>
      <c r="D241" s="150">
        <v>2220000</v>
      </c>
      <c r="E241" t="s">
        <v>218</v>
      </c>
      <c r="F241" s="20" t="s">
        <v>219</v>
      </c>
      <c r="G241" s="8" t="str">
        <f t="shared" si="3"/>
        <v>HILLS DUSTIN</v>
      </c>
    </row>
    <row r="242" spans="1:7" x14ac:dyDescent="0.25">
      <c r="A242" s="8">
        <v>42783.050011574072</v>
      </c>
      <c r="B242" t="s">
        <v>266</v>
      </c>
      <c r="C242" t="s">
        <v>394</v>
      </c>
      <c r="D242" s="150">
        <v>2540000</v>
      </c>
      <c r="E242" t="s">
        <v>225</v>
      </c>
      <c r="F242" s="20" t="s">
        <v>226</v>
      </c>
      <c r="G242" s="8" t="str">
        <f t="shared" si="3"/>
        <v>MCREYNOLDS KYLE</v>
      </c>
    </row>
    <row r="243" spans="1:7" x14ac:dyDescent="0.25">
      <c r="A243" s="8">
        <v>42783.071111111109</v>
      </c>
      <c r="B243" t="s">
        <v>257</v>
      </c>
      <c r="C243" t="s">
        <v>395</v>
      </c>
      <c r="D243" s="150">
        <v>2270000</v>
      </c>
      <c r="E243" t="s">
        <v>236</v>
      </c>
      <c r="F243" s="20" t="s">
        <v>237</v>
      </c>
      <c r="G243" s="8" t="str">
        <f t="shared" si="3"/>
        <v>BROWN JACOB</v>
      </c>
    </row>
    <row r="244" spans="1:7" x14ac:dyDescent="0.25">
      <c r="A244" s="8">
        <v>42783.084085648145</v>
      </c>
      <c r="B244" t="s">
        <v>277</v>
      </c>
      <c r="C244" t="s">
        <v>396</v>
      </c>
      <c r="D244" s="150">
        <v>2670000</v>
      </c>
      <c r="E244" t="s">
        <v>247</v>
      </c>
      <c r="F244" s="20" t="s">
        <v>248</v>
      </c>
      <c r="G244" s="8" t="str">
        <f t="shared" si="3"/>
        <v>COMELLA JUSTIN</v>
      </c>
    </row>
    <row r="245" spans="1:7" x14ac:dyDescent="0.25">
      <c r="A245" s="8">
        <v>42783.08935185185</v>
      </c>
      <c r="B245" t="s">
        <v>192</v>
      </c>
      <c r="C245" t="s">
        <v>397</v>
      </c>
      <c r="D245" s="150">
        <v>2220000</v>
      </c>
      <c r="E245" t="s">
        <v>218</v>
      </c>
      <c r="F245" s="20" t="s">
        <v>219</v>
      </c>
      <c r="G245" s="8" t="str">
        <f t="shared" si="3"/>
        <v>HILLS DUSTIN</v>
      </c>
    </row>
    <row r="246" spans="1:7" x14ac:dyDescent="0.25">
      <c r="A246" s="8">
        <v>42781.902129629627</v>
      </c>
      <c r="B246" t="s">
        <v>289</v>
      </c>
      <c r="C246" t="s">
        <v>342</v>
      </c>
      <c r="D246" s="150">
        <v>2220000</v>
      </c>
      <c r="E246" t="s">
        <v>218</v>
      </c>
      <c r="F246" s="20" t="s">
        <v>219</v>
      </c>
      <c r="G246" s="8" t="str">
        <f t="shared" si="3"/>
        <v>HILLS DUSTIN</v>
      </c>
    </row>
    <row r="247" spans="1:7" x14ac:dyDescent="0.25">
      <c r="A247" s="8">
        <v>42781.904374999998</v>
      </c>
      <c r="B247" t="s">
        <v>290</v>
      </c>
      <c r="C247" t="s">
        <v>343</v>
      </c>
      <c r="D247" s="150">
        <v>1800000</v>
      </c>
      <c r="E247" t="s">
        <v>259</v>
      </c>
      <c r="F247" s="20" t="s">
        <v>260</v>
      </c>
      <c r="G247" s="8" t="str">
        <f t="shared" si="3"/>
        <v>CHANDLER KELVIN</v>
      </c>
    </row>
    <row r="248" spans="1:7" x14ac:dyDescent="0.25">
      <c r="A248" s="8">
        <v>42781.912268518521</v>
      </c>
      <c r="B248" t="s">
        <v>277</v>
      </c>
      <c r="C248" t="s">
        <v>344</v>
      </c>
      <c r="D248" s="150">
        <v>2270000</v>
      </c>
      <c r="E248" t="s">
        <v>236</v>
      </c>
      <c r="F248" s="20" t="s">
        <v>237</v>
      </c>
      <c r="G248" s="8" t="str">
        <f t="shared" si="3"/>
        <v>BROWN JACOB</v>
      </c>
    </row>
    <row r="249" spans="1:7" x14ac:dyDescent="0.25">
      <c r="A249" s="8">
        <v>42781.927060185182</v>
      </c>
      <c r="B249" t="s">
        <v>278</v>
      </c>
      <c r="C249" t="s">
        <v>345</v>
      </c>
      <c r="D249" s="150">
        <v>2540000</v>
      </c>
      <c r="E249" t="s">
        <v>225</v>
      </c>
      <c r="F249" s="20" t="s">
        <v>226</v>
      </c>
      <c r="G249" s="8" t="str">
        <f t="shared" si="3"/>
        <v>MCREYNOLDS KYLE</v>
      </c>
    </row>
    <row r="250" spans="1:7" x14ac:dyDescent="0.25">
      <c r="A250" s="8">
        <v>42781.927256944444</v>
      </c>
      <c r="B250" t="s">
        <v>192</v>
      </c>
      <c r="C250" t="s">
        <v>346</v>
      </c>
      <c r="D250" s="150">
        <v>1800000</v>
      </c>
      <c r="E250" t="s">
        <v>259</v>
      </c>
      <c r="F250" s="20" t="s">
        <v>260</v>
      </c>
      <c r="G250" s="8" t="str">
        <f t="shared" si="3"/>
        <v>CHANDLER KELVIN</v>
      </c>
    </row>
    <row r="251" spans="1:7" x14ac:dyDescent="0.25">
      <c r="A251" s="8">
        <v>42781.930393518516</v>
      </c>
      <c r="B251" t="s">
        <v>245</v>
      </c>
      <c r="C251" t="s">
        <v>347</v>
      </c>
      <c r="D251" s="150">
        <v>1740000</v>
      </c>
      <c r="E251" t="s">
        <v>232</v>
      </c>
      <c r="F251" s="20" t="s">
        <v>233</v>
      </c>
      <c r="G251" s="8" t="str">
        <f t="shared" si="3"/>
        <v>STORY SAMANTHA</v>
      </c>
    </row>
    <row r="252" spans="1:7" x14ac:dyDescent="0.25">
      <c r="A252" s="8">
        <v>42781.94394675926</v>
      </c>
      <c r="B252" t="s">
        <v>290</v>
      </c>
      <c r="C252" t="s">
        <v>348</v>
      </c>
      <c r="D252" s="150">
        <v>1800000</v>
      </c>
      <c r="E252" t="s">
        <v>259</v>
      </c>
      <c r="F252" s="20" t="s">
        <v>260</v>
      </c>
      <c r="G252" s="8" t="str">
        <f t="shared" si="3"/>
        <v>CHANDLER KELVIN</v>
      </c>
    </row>
    <row r="253" spans="1:7" x14ac:dyDescent="0.25">
      <c r="A253" s="8">
        <v>42781.948125000003</v>
      </c>
      <c r="B253" t="s">
        <v>271</v>
      </c>
      <c r="C253" t="s">
        <v>349</v>
      </c>
      <c r="D253" s="150">
        <v>2270000</v>
      </c>
      <c r="E253" t="s">
        <v>236</v>
      </c>
      <c r="F253" s="20" t="s">
        <v>237</v>
      </c>
      <c r="G253" s="8" t="str">
        <f t="shared" si="3"/>
        <v>BROWN JACOB</v>
      </c>
    </row>
    <row r="254" spans="1:7" x14ac:dyDescent="0.25">
      <c r="A254" s="8">
        <v>42781.950277777774</v>
      </c>
      <c r="B254" t="s">
        <v>288</v>
      </c>
      <c r="C254" t="s">
        <v>350</v>
      </c>
      <c r="D254" s="150">
        <v>970000</v>
      </c>
      <c r="E254" t="s">
        <v>351</v>
      </c>
      <c r="F254" s="20" t="s">
        <v>352</v>
      </c>
      <c r="G254" s="8" t="str">
        <f t="shared" si="3"/>
        <v>JACKSON WILLIAM</v>
      </c>
    </row>
    <row r="255" spans="1:7" x14ac:dyDescent="0.25">
      <c r="A255" s="8">
        <v>42781.971203703702</v>
      </c>
      <c r="B255" t="s">
        <v>249</v>
      </c>
      <c r="C255" t="s">
        <v>353</v>
      </c>
      <c r="D255" s="150">
        <v>1740000</v>
      </c>
      <c r="E255" t="s">
        <v>232</v>
      </c>
      <c r="F255" s="20" t="s">
        <v>233</v>
      </c>
      <c r="G255" s="8" t="str">
        <f t="shared" si="3"/>
        <v>STORY SAMANTHA</v>
      </c>
    </row>
    <row r="256" spans="1:7" x14ac:dyDescent="0.25">
      <c r="A256" s="8">
        <v>42781.974733796298</v>
      </c>
      <c r="B256" t="s">
        <v>252</v>
      </c>
      <c r="C256" t="s">
        <v>326</v>
      </c>
      <c r="D256" s="150">
        <v>2540000</v>
      </c>
      <c r="E256" t="s">
        <v>225</v>
      </c>
      <c r="F256" s="20" t="s">
        <v>226</v>
      </c>
      <c r="G256" s="8" t="str">
        <f t="shared" si="3"/>
        <v>MCREYNOLDS KYLE</v>
      </c>
    </row>
    <row r="257" spans="1:7" x14ac:dyDescent="0.25">
      <c r="A257" s="8">
        <v>42781.995208333334</v>
      </c>
      <c r="B257" t="s">
        <v>277</v>
      </c>
      <c r="C257" t="s">
        <v>354</v>
      </c>
      <c r="D257" s="150">
        <v>2270000</v>
      </c>
      <c r="E257" t="s">
        <v>236</v>
      </c>
      <c r="F257" s="20" t="s">
        <v>237</v>
      </c>
      <c r="G257" s="8" t="str">
        <f t="shared" si="3"/>
        <v>BROWN JACOB</v>
      </c>
    </row>
    <row r="258" spans="1:7" x14ac:dyDescent="0.25">
      <c r="A258" s="8">
        <v>42781.995740740742</v>
      </c>
      <c r="B258" t="s">
        <v>289</v>
      </c>
      <c r="C258" t="s">
        <v>355</v>
      </c>
      <c r="D258" s="150">
        <v>970000</v>
      </c>
      <c r="E258" t="s">
        <v>351</v>
      </c>
      <c r="F258" s="20" t="s">
        <v>352</v>
      </c>
      <c r="G258" s="8" t="str">
        <f t="shared" si="3"/>
        <v>JACKSON WILLIAM</v>
      </c>
    </row>
    <row r="259" spans="1:7" x14ac:dyDescent="0.25">
      <c r="A259" s="8">
        <v>42782.01158564815</v>
      </c>
      <c r="B259" t="s">
        <v>245</v>
      </c>
      <c r="C259" t="s">
        <v>327</v>
      </c>
      <c r="D259" s="150">
        <v>1740000</v>
      </c>
      <c r="E259" t="s">
        <v>232</v>
      </c>
      <c r="F259" s="20" t="s">
        <v>233</v>
      </c>
      <c r="G259" s="8" t="str">
        <f t="shared" ref="G259:G322" si="4">E259&amp;" "&amp;F259</f>
        <v>STORY SAMANTHA</v>
      </c>
    </row>
    <row r="260" spans="1:7" x14ac:dyDescent="0.25">
      <c r="A260" s="8">
        <v>42782.018333333333</v>
      </c>
      <c r="B260" t="s">
        <v>278</v>
      </c>
      <c r="C260" t="s">
        <v>356</v>
      </c>
      <c r="D260" s="150">
        <v>2540000</v>
      </c>
      <c r="E260" t="s">
        <v>225</v>
      </c>
      <c r="F260" s="20" t="s">
        <v>226</v>
      </c>
      <c r="G260" s="8" t="str">
        <f t="shared" si="4"/>
        <v>MCREYNOLDS KYLE</v>
      </c>
    </row>
    <row r="261" spans="1:7" x14ac:dyDescent="0.25">
      <c r="A261" s="8">
        <v>42782.034189814818</v>
      </c>
      <c r="B261" t="s">
        <v>271</v>
      </c>
      <c r="C261" t="s">
        <v>357</v>
      </c>
      <c r="D261" s="150">
        <v>2270000</v>
      </c>
      <c r="E261" t="s">
        <v>236</v>
      </c>
      <c r="F261" s="20" t="s">
        <v>237</v>
      </c>
      <c r="G261" s="8" t="str">
        <f t="shared" si="4"/>
        <v>BROWN JACOB</v>
      </c>
    </row>
    <row r="262" spans="1:7" x14ac:dyDescent="0.25">
      <c r="A262" s="8">
        <v>42782.034398148149</v>
      </c>
      <c r="B262" t="s">
        <v>288</v>
      </c>
      <c r="C262" t="s">
        <v>358</v>
      </c>
      <c r="D262" s="150">
        <v>970000</v>
      </c>
      <c r="E262" t="s">
        <v>351</v>
      </c>
      <c r="F262" s="20" t="s">
        <v>352</v>
      </c>
      <c r="G262" s="8" t="str">
        <f t="shared" si="4"/>
        <v>JACKSON WILLIAM</v>
      </c>
    </row>
    <row r="263" spans="1:7" x14ac:dyDescent="0.25">
      <c r="A263" s="8">
        <v>42782.051817129628</v>
      </c>
      <c r="B263" t="s">
        <v>249</v>
      </c>
      <c r="C263" t="s">
        <v>359</v>
      </c>
      <c r="D263" s="150">
        <v>1740000</v>
      </c>
      <c r="E263" t="s">
        <v>232</v>
      </c>
      <c r="F263" s="20" t="s">
        <v>233</v>
      </c>
      <c r="G263" s="8" t="str">
        <f t="shared" si="4"/>
        <v>STORY SAMANTHA</v>
      </c>
    </row>
    <row r="264" spans="1:7" x14ac:dyDescent="0.25">
      <c r="A264" s="8">
        <v>42782.05678240741</v>
      </c>
      <c r="B264" t="s">
        <v>252</v>
      </c>
      <c r="C264" t="s">
        <v>360</v>
      </c>
      <c r="D264" s="150">
        <v>2540000</v>
      </c>
      <c r="E264" t="s">
        <v>225</v>
      </c>
      <c r="F264" s="20" t="s">
        <v>226</v>
      </c>
      <c r="G264" s="8" t="str">
        <f t="shared" si="4"/>
        <v>MCREYNOLDS KYLE</v>
      </c>
    </row>
    <row r="265" spans="1:7" x14ac:dyDescent="0.25">
      <c r="A265" s="8">
        <v>42782.074502314812</v>
      </c>
      <c r="B265" t="s">
        <v>277</v>
      </c>
      <c r="C265" t="s">
        <v>361</v>
      </c>
      <c r="D265" s="150">
        <v>2270000</v>
      </c>
      <c r="E265" t="s">
        <v>236</v>
      </c>
      <c r="F265" s="20" t="s">
        <v>237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221</v>
      </c>
      <c r="C266" t="s">
        <v>242</v>
      </c>
      <c r="D266" s="150">
        <v>2540000</v>
      </c>
      <c r="E266" t="s">
        <v>225</v>
      </c>
      <c r="F266" s="20" t="s">
        <v>226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238</v>
      </c>
      <c r="C267" t="s">
        <v>244</v>
      </c>
      <c r="D267" s="150">
        <v>2450000</v>
      </c>
      <c r="E267" t="s">
        <v>240</v>
      </c>
      <c r="F267" s="20" t="s">
        <v>241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235</v>
      </c>
      <c r="C268" t="s">
        <v>250</v>
      </c>
      <c r="D268" s="150">
        <v>2270000</v>
      </c>
      <c r="E268" t="s">
        <v>236</v>
      </c>
      <c r="F268" s="20" t="s">
        <v>237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220</v>
      </c>
      <c r="C269" t="s">
        <v>243</v>
      </c>
      <c r="D269" s="150">
        <v>2540000</v>
      </c>
      <c r="E269" t="s">
        <v>225</v>
      </c>
      <c r="F269" s="20" t="s">
        <v>226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224</v>
      </c>
      <c r="C270" t="s">
        <v>251</v>
      </c>
      <c r="D270" s="150">
        <v>1810000</v>
      </c>
      <c r="E270" t="s">
        <v>206</v>
      </c>
      <c r="F270" s="20" t="s">
        <v>200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249</v>
      </c>
      <c r="C271" t="s">
        <v>246</v>
      </c>
      <c r="D271" s="150">
        <v>2670000</v>
      </c>
      <c r="E271" t="s">
        <v>247</v>
      </c>
      <c r="F271" s="20" t="s">
        <v>248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216</v>
      </c>
      <c r="C272" t="s">
        <v>239</v>
      </c>
      <c r="D272" s="150">
        <v>2450000</v>
      </c>
      <c r="E272" t="s">
        <v>240</v>
      </c>
      <c r="F272" s="20" t="s">
        <v>241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221</v>
      </c>
      <c r="C273" t="s">
        <v>242</v>
      </c>
      <c r="D273" s="150">
        <v>2540000</v>
      </c>
      <c r="E273" t="s">
        <v>225</v>
      </c>
      <c r="F273" s="20" t="s">
        <v>226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6" t="s">
        <v>162</v>
      </c>
      <c r="B1" s="166" t="s">
        <v>165</v>
      </c>
      <c r="C1" s="166" t="s">
        <v>158</v>
      </c>
      <c r="D1" s="148" t="s">
        <v>170</v>
      </c>
      <c r="E1" s="166" t="s">
        <v>159</v>
      </c>
      <c r="F1" s="166" t="s">
        <v>157</v>
      </c>
      <c r="G1" s="166" t="s">
        <v>155</v>
      </c>
      <c r="H1" s="166" t="s">
        <v>168</v>
      </c>
      <c r="I1" s="166" t="s">
        <v>169</v>
      </c>
      <c r="J1" s="166" t="s">
        <v>163</v>
      </c>
      <c r="K1" s="166" t="s">
        <v>161</v>
      </c>
      <c r="L1" s="166" t="s">
        <v>156</v>
      </c>
      <c r="M1" s="166" t="s">
        <v>166</v>
      </c>
      <c r="N1" s="166" t="s">
        <v>160</v>
      </c>
      <c r="O1" s="166" t="s">
        <v>167</v>
      </c>
      <c r="P1" s="166" t="s">
        <v>164</v>
      </c>
      <c r="Q1"/>
      <c r="R1"/>
    </row>
    <row r="2" spans="1:18" x14ac:dyDescent="0.25">
      <c r="A2" s="167">
        <v>42.48</v>
      </c>
      <c r="B2" s="167">
        <v>0.27</v>
      </c>
      <c r="C2" s="167">
        <v>8.85</v>
      </c>
      <c r="D2" s="8">
        <v>42783</v>
      </c>
      <c r="E2" s="167">
        <v>0.25</v>
      </c>
      <c r="F2" s="167" t="s">
        <v>253</v>
      </c>
      <c r="G2" s="167">
        <v>296.14</v>
      </c>
      <c r="H2" s="167">
        <v>0</v>
      </c>
      <c r="I2" s="167">
        <v>0</v>
      </c>
      <c r="J2" s="167">
        <v>1005.38</v>
      </c>
      <c r="K2" s="167" t="s">
        <v>255</v>
      </c>
      <c r="L2" s="167">
        <v>42.48</v>
      </c>
      <c r="M2" s="167">
        <v>1487314800</v>
      </c>
      <c r="N2" s="167">
        <v>6.54</v>
      </c>
      <c r="O2" s="167">
        <v>257</v>
      </c>
      <c r="P2" s="167">
        <v>2.9</v>
      </c>
      <c r="Q2"/>
      <c r="R2"/>
    </row>
    <row r="3" spans="1:18" x14ac:dyDescent="0.25">
      <c r="A3" s="167">
        <v>40.08</v>
      </c>
      <c r="B3" s="167">
        <v>0.28999999999999998</v>
      </c>
      <c r="C3" s="167">
        <v>9.32</v>
      </c>
      <c r="D3" s="8">
        <v>42783.041666666664</v>
      </c>
      <c r="E3" s="167">
        <v>0.26</v>
      </c>
      <c r="F3" s="167" t="s">
        <v>253</v>
      </c>
      <c r="G3" s="167">
        <v>296.69</v>
      </c>
      <c r="H3" s="167">
        <v>0</v>
      </c>
      <c r="I3" s="167">
        <v>0</v>
      </c>
      <c r="J3" s="167">
        <v>1005.93</v>
      </c>
      <c r="K3" s="167" t="s">
        <v>255</v>
      </c>
      <c r="L3" s="167">
        <v>41.69</v>
      </c>
      <c r="M3" s="167">
        <v>1487318400</v>
      </c>
      <c r="N3" s="167">
        <v>6.69</v>
      </c>
      <c r="O3" s="167">
        <v>252</v>
      </c>
      <c r="P3" s="167">
        <v>3.19</v>
      </c>
      <c r="Q3"/>
      <c r="R3"/>
    </row>
    <row r="4" spans="1:18" x14ac:dyDescent="0.25">
      <c r="A4" s="167">
        <v>39.71</v>
      </c>
      <c r="B4" s="167">
        <v>0.28999999999999998</v>
      </c>
      <c r="C4" s="167">
        <v>10.79</v>
      </c>
      <c r="D4" s="8">
        <v>42783.083333333336</v>
      </c>
      <c r="E4" s="167">
        <v>0.3</v>
      </c>
      <c r="F4" s="167" t="s">
        <v>253</v>
      </c>
      <c r="G4" s="167">
        <v>297.24</v>
      </c>
      <c r="H4" s="167">
        <v>0</v>
      </c>
      <c r="I4" s="167">
        <v>0</v>
      </c>
      <c r="J4" s="167">
        <v>1006.53</v>
      </c>
      <c r="K4" s="167" t="s">
        <v>255</v>
      </c>
      <c r="L4" s="167">
        <v>39.71</v>
      </c>
      <c r="M4" s="167">
        <v>1487322000</v>
      </c>
      <c r="N4" s="167">
        <v>6.05</v>
      </c>
      <c r="O4" s="167">
        <v>225</v>
      </c>
      <c r="P4" s="167">
        <v>2.89</v>
      </c>
      <c r="Q4"/>
      <c r="R4"/>
    </row>
    <row r="5" spans="1:18" x14ac:dyDescent="0.25">
      <c r="A5" s="167">
        <v>34.64</v>
      </c>
      <c r="B5" s="167">
        <v>0.28999999999999998</v>
      </c>
      <c r="C5" s="167">
        <v>9.18</v>
      </c>
      <c r="D5" s="8">
        <v>42783.125</v>
      </c>
      <c r="E5" s="167">
        <v>0.3</v>
      </c>
      <c r="F5" s="167" t="s">
        <v>253</v>
      </c>
      <c r="G5" s="167">
        <v>296.37</v>
      </c>
      <c r="H5" s="167">
        <v>0</v>
      </c>
      <c r="I5" s="167">
        <v>0</v>
      </c>
      <c r="J5" s="167">
        <v>1006.69</v>
      </c>
      <c r="K5" s="167" t="s">
        <v>255</v>
      </c>
      <c r="L5" s="167">
        <v>37.58</v>
      </c>
      <c r="M5" s="167">
        <v>1487325600</v>
      </c>
      <c r="N5" s="167">
        <v>5.79</v>
      </c>
      <c r="O5" s="167">
        <v>213</v>
      </c>
      <c r="P5" s="167">
        <v>3.89</v>
      </c>
      <c r="Q5"/>
      <c r="R5"/>
    </row>
    <row r="6" spans="1:18" x14ac:dyDescent="0.25">
      <c r="A6" s="167">
        <v>34.42</v>
      </c>
      <c r="B6" s="167">
        <v>0.3</v>
      </c>
      <c r="C6" s="167">
        <v>10.09</v>
      </c>
      <c r="D6" s="8">
        <v>42783.166666666664</v>
      </c>
      <c r="E6" s="167">
        <v>0.32</v>
      </c>
      <c r="F6" s="167" t="s">
        <v>253</v>
      </c>
      <c r="G6" s="167">
        <v>294.89</v>
      </c>
      <c r="H6" s="167">
        <v>0</v>
      </c>
      <c r="I6" s="167">
        <v>0</v>
      </c>
      <c r="J6" s="167">
        <v>1006.26</v>
      </c>
      <c r="K6" s="167" t="s">
        <v>255</v>
      </c>
      <c r="L6" s="167">
        <v>36.96</v>
      </c>
      <c r="M6" s="167">
        <v>1487329200</v>
      </c>
      <c r="N6" s="167">
        <v>6.06</v>
      </c>
      <c r="O6" s="167">
        <v>229</v>
      </c>
      <c r="P6" s="167">
        <v>3.42</v>
      </c>
      <c r="Q6"/>
      <c r="R6"/>
    </row>
    <row r="7" spans="1:18" x14ac:dyDescent="0.25">
      <c r="A7" s="167">
        <v>35.83</v>
      </c>
      <c r="B7" s="167">
        <v>0.34</v>
      </c>
      <c r="C7" s="167">
        <v>9.82</v>
      </c>
      <c r="D7" s="8">
        <v>42783.208333333336</v>
      </c>
      <c r="E7" s="167">
        <v>0.33</v>
      </c>
      <c r="F7" s="167" t="s">
        <v>253</v>
      </c>
      <c r="G7" s="167">
        <v>293.37</v>
      </c>
      <c r="H7" s="167">
        <v>0</v>
      </c>
      <c r="I7" s="167">
        <v>0</v>
      </c>
      <c r="J7" s="167">
        <v>1006.04</v>
      </c>
      <c r="K7" s="167" t="s">
        <v>255</v>
      </c>
      <c r="L7" s="167">
        <v>35.83</v>
      </c>
      <c r="M7" s="167">
        <v>1487332800</v>
      </c>
      <c r="N7" s="167">
        <v>7.1</v>
      </c>
      <c r="O7" s="167">
        <v>237</v>
      </c>
      <c r="P7" s="167">
        <v>1.49</v>
      </c>
      <c r="Q7"/>
      <c r="R7"/>
    </row>
    <row r="8" spans="1:18" x14ac:dyDescent="0.25">
      <c r="A8" s="167">
        <v>34.76</v>
      </c>
      <c r="B8" s="167">
        <v>0.45</v>
      </c>
      <c r="C8" s="167">
        <v>11.48</v>
      </c>
      <c r="D8" s="8">
        <v>42783.25</v>
      </c>
      <c r="E8" s="167">
        <v>0.37</v>
      </c>
      <c r="F8" s="167" t="s">
        <v>253</v>
      </c>
      <c r="G8" s="167">
        <v>291.83</v>
      </c>
      <c r="H8" s="167">
        <v>0</v>
      </c>
      <c r="I8" s="167">
        <v>0</v>
      </c>
      <c r="J8" s="167">
        <v>1006.43</v>
      </c>
      <c r="K8" s="167" t="s">
        <v>255</v>
      </c>
      <c r="L8" s="167">
        <v>34.76</v>
      </c>
      <c r="M8" s="167">
        <v>1487336400</v>
      </c>
      <c r="N8" s="167">
        <v>7.14</v>
      </c>
      <c r="O8" s="167">
        <v>220</v>
      </c>
      <c r="P8" s="167">
        <v>1.99</v>
      </c>
      <c r="Q8"/>
      <c r="R8"/>
    </row>
    <row r="9" spans="1:18" x14ac:dyDescent="0.25">
      <c r="A9" s="167">
        <v>33.21</v>
      </c>
      <c r="B9" s="167">
        <v>0.64</v>
      </c>
      <c r="C9" s="167">
        <v>12.98</v>
      </c>
      <c r="D9" s="8">
        <v>42783.291666666664</v>
      </c>
      <c r="E9" s="167">
        <v>0.39</v>
      </c>
      <c r="F9" s="167" t="s">
        <v>254</v>
      </c>
      <c r="G9" s="167">
        <v>290.24</v>
      </c>
      <c r="H9" s="167">
        <v>0</v>
      </c>
      <c r="I9" s="167">
        <v>0</v>
      </c>
      <c r="J9" s="167">
        <v>1007.04</v>
      </c>
      <c r="K9" s="167" t="s">
        <v>681</v>
      </c>
      <c r="L9" s="167">
        <v>35.65</v>
      </c>
      <c r="M9" s="167">
        <v>1487340000</v>
      </c>
      <c r="N9" s="167">
        <v>6.29</v>
      </c>
      <c r="O9" s="167">
        <v>218</v>
      </c>
      <c r="P9" s="167">
        <v>3.19</v>
      </c>
      <c r="Q9"/>
      <c r="R9"/>
    </row>
    <row r="10" spans="1:18" x14ac:dyDescent="0.25">
      <c r="A10" s="167">
        <v>37.96</v>
      </c>
      <c r="B10" s="167">
        <v>0.74</v>
      </c>
      <c r="C10" s="167">
        <v>15.09</v>
      </c>
      <c r="D10" s="8">
        <v>42783.333333333336</v>
      </c>
      <c r="E10" s="167">
        <v>0.39</v>
      </c>
      <c r="F10" s="167" t="s">
        <v>254</v>
      </c>
      <c r="G10" s="167">
        <v>289.13</v>
      </c>
      <c r="H10" s="167">
        <v>0</v>
      </c>
      <c r="I10" s="167">
        <v>0</v>
      </c>
      <c r="J10" s="167">
        <v>1007.21</v>
      </c>
      <c r="K10" s="167" t="s">
        <v>681</v>
      </c>
      <c r="L10" s="167">
        <v>37.96</v>
      </c>
      <c r="M10" s="167">
        <v>1487343600</v>
      </c>
      <c r="N10" s="167">
        <v>10</v>
      </c>
      <c r="O10" s="167">
        <v>231</v>
      </c>
      <c r="P10" s="167">
        <v>2.0099999999999998</v>
      </c>
      <c r="Q10"/>
      <c r="R10"/>
    </row>
    <row r="11" spans="1:18" x14ac:dyDescent="0.25">
      <c r="A11" s="167">
        <v>41.32</v>
      </c>
      <c r="B11" s="167">
        <v>0.71</v>
      </c>
      <c r="C11" s="167">
        <v>15.76</v>
      </c>
      <c r="D11" s="8">
        <v>42783.375</v>
      </c>
      <c r="E11" s="167">
        <v>0.35</v>
      </c>
      <c r="F11" s="167" t="s">
        <v>254</v>
      </c>
      <c r="G11" s="167">
        <v>288.77999999999997</v>
      </c>
      <c r="H11" s="167">
        <v>0</v>
      </c>
      <c r="I11" s="167">
        <v>0</v>
      </c>
      <c r="J11" s="167">
        <v>1006.45</v>
      </c>
      <c r="K11" s="167" t="s">
        <v>681</v>
      </c>
      <c r="L11" s="167">
        <v>41.32</v>
      </c>
      <c r="M11" s="167">
        <v>1487347200</v>
      </c>
      <c r="N11" s="167">
        <v>5.76</v>
      </c>
      <c r="O11" s="167">
        <v>245</v>
      </c>
      <c r="P11" s="167">
        <v>2.12</v>
      </c>
      <c r="Q11"/>
      <c r="R11"/>
    </row>
    <row r="12" spans="1:18" x14ac:dyDescent="0.25">
      <c r="A12" s="167">
        <v>48.43</v>
      </c>
      <c r="B12" s="167">
        <v>0.7</v>
      </c>
      <c r="C12" s="167">
        <v>17.73</v>
      </c>
      <c r="D12" s="8">
        <v>42783.416666666664</v>
      </c>
      <c r="E12" s="167">
        <v>0.28999999999999998</v>
      </c>
      <c r="F12" s="167" t="s">
        <v>254</v>
      </c>
      <c r="G12" s="167">
        <v>288.92</v>
      </c>
      <c r="H12" s="167">
        <v>0</v>
      </c>
      <c r="I12" s="167">
        <v>0</v>
      </c>
      <c r="J12" s="167">
        <v>1005.33</v>
      </c>
      <c r="K12" s="167" t="s">
        <v>681</v>
      </c>
      <c r="L12" s="167">
        <v>48.43</v>
      </c>
      <c r="M12" s="167">
        <v>1487350800</v>
      </c>
      <c r="N12" s="167">
        <v>5.24</v>
      </c>
      <c r="O12" s="167">
        <v>218</v>
      </c>
      <c r="P12" s="167">
        <v>2.09</v>
      </c>
      <c r="Q12"/>
      <c r="R12"/>
    </row>
    <row r="13" spans="1:18" x14ac:dyDescent="0.25">
      <c r="A13" s="167">
        <v>53.23</v>
      </c>
      <c r="B13" s="167">
        <v>0.7</v>
      </c>
      <c r="C13" s="167">
        <v>17.84</v>
      </c>
      <c r="D13" s="8">
        <v>42783.458333333336</v>
      </c>
      <c r="E13" s="167">
        <v>0.24</v>
      </c>
      <c r="F13" s="167" t="s">
        <v>254</v>
      </c>
      <c r="G13" s="167">
        <v>289.20999999999998</v>
      </c>
      <c r="H13" s="167">
        <v>0</v>
      </c>
      <c r="I13" s="167">
        <v>0</v>
      </c>
      <c r="J13" s="167">
        <v>1004.5</v>
      </c>
      <c r="K13" s="167" t="s">
        <v>681</v>
      </c>
      <c r="L13" s="167">
        <v>53.23</v>
      </c>
      <c r="M13" s="167">
        <v>1487354400</v>
      </c>
      <c r="N13" s="167">
        <v>5.24</v>
      </c>
      <c r="O13" s="167">
        <v>227</v>
      </c>
      <c r="P13" s="167">
        <v>2.48</v>
      </c>
      <c r="Q13"/>
      <c r="R13"/>
    </row>
    <row r="14" spans="1:18" x14ac:dyDescent="0.25">
      <c r="A14" s="167">
        <v>58.52</v>
      </c>
      <c r="B14" s="167">
        <v>0.64</v>
      </c>
      <c r="C14" s="167">
        <v>14.25</v>
      </c>
      <c r="D14" s="8">
        <v>42783.5</v>
      </c>
      <c r="E14" s="167">
        <v>0.17</v>
      </c>
      <c r="F14" s="167" t="s">
        <v>254</v>
      </c>
      <c r="G14" s="167">
        <v>289.41000000000003</v>
      </c>
      <c r="H14" s="167">
        <v>0</v>
      </c>
      <c r="I14" s="167">
        <v>0</v>
      </c>
      <c r="J14" s="167">
        <v>1004.05</v>
      </c>
      <c r="K14" s="167" t="s">
        <v>681</v>
      </c>
      <c r="L14" s="167">
        <v>58.52</v>
      </c>
      <c r="M14" s="167">
        <v>1487358000</v>
      </c>
      <c r="N14" s="167">
        <v>5.24</v>
      </c>
      <c r="O14" s="167">
        <v>176</v>
      </c>
      <c r="P14" s="167">
        <v>2.56</v>
      </c>
      <c r="Q14"/>
      <c r="R14"/>
    </row>
    <row r="15" spans="1:18" x14ac:dyDescent="0.25">
      <c r="A15" s="167">
        <v>63.55</v>
      </c>
      <c r="B15" s="167">
        <v>0.55000000000000004</v>
      </c>
      <c r="C15" s="167">
        <v>14.69</v>
      </c>
      <c r="D15" s="8">
        <v>42783.541666666664</v>
      </c>
      <c r="E15" s="167">
        <v>0.15</v>
      </c>
      <c r="F15" s="167" t="s">
        <v>254</v>
      </c>
      <c r="G15" s="167">
        <v>289.76</v>
      </c>
      <c r="H15" s="167">
        <v>0</v>
      </c>
      <c r="I15" s="167">
        <v>0</v>
      </c>
      <c r="J15" s="167">
        <v>1003.62</v>
      </c>
      <c r="K15" s="167" t="s">
        <v>255</v>
      </c>
      <c r="L15" s="167">
        <v>63.55</v>
      </c>
      <c r="M15" s="167">
        <v>1487361600</v>
      </c>
      <c r="N15" s="167">
        <v>5.23</v>
      </c>
      <c r="O15" s="167">
        <v>157</v>
      </c>
      <c r="P15" s="167">
        <v>4.0599999999999996</v>
      </c>
      <c r="Q15"/>
      <c r="R15"/>
    </row>
    <row r="16" spans="1:18" x14ac:dyDescent="0.25">
      <c r="A16" s="167">
        <v>64.790000000000006</v>
      </c>
      <c r="B16" s="167">
        <v>0.54</v>
      </c>
      <c r="C16" s="167">
        <v>14.03</v>
      </c>
      <c r="D16" s="8">
        <v>42783.583333333336</v>
      </c>
      <c r="E16" s="167">
        <v>0.14000000000000001</v>
      </c>
      <c r="F16" s="167" t="s">
        <v>254</v>
      </c>
      <c r="G16" s="167">
        <v>290.64999999999998</v>
      </c>
      <c r="H16" s="167">
        <v>0</v>
      </c>
      <c r="I16" s="167">
        <v>0</v>
      </c>
      <c r="J16" s="167">
        <v>1003.34</v>
      </c>
      <c r="K16" s="167" t="s">
        <v>255</v>
      </c>
      <c r="L16" s="167">
        <v>64.790000000000006</v>
      </c>
      <c r="M16" s="167">
        <v>1487365200</v>
      </c>
      <c r="N16" s="167">
        <v>10</v>
      </c>
      <c r="O16" s="167">
        <v>137</v>
      </c>
      <c r="P16" s="167">
        <v>5.43</v>
      </c>
      <c r="Q16"/>
      <c r="R16"/>
    </row>
    <row r="17" spans="1:18" x14ac:dyDescent="0.25">
      <c r="A17" s="167">
        <v>64.19</v>
      </c>
      <c r="B17" s="167">
        <v>0.52</v>
      </c>
      <c r="C17" s="167">
        <v>12.53</v>
      </c>
      <c r="D17" s="8">
        <v>42783.625</v>
      </c>
      <c r="E17" s="167">
        <v>0.13</v>
      </c>
      <c r="F17" s="167" t="s">
        <v>254</v>
      </c>
      <c r="G17" s="167">
        <v>292.8</v>
      </c>
      <c r="H17" s="167">
        <v>0</v>
      </c>
      <c r="I17" s="167">
        <v>0</v>
      </c>
      <c r="J17" s="167">
        <v>1003.11</v>
      </c>
      <c r="K17" s="167" t="s">
        <v>255</v>
      </c>
      <c r="L17" s="167">
        <v>64.19</v>
      </c>
      <c r="M17" s="167">
        <v>1487368800</v>
      </c>
      <c r="N17" s="167">
        <v>5.39</v>
      </c>
      <c r="O17" s="167">
        <v>117</v>
      </c>
      <c r="P17" s="167">
        <v>7.18</v>
      </c>
      <c r="Q17"/>
      <c r="R17"/>
    </row>
    <row r="18" spans="1:18" x14ac:dyDescent="0.25">
      <c r="A18" s="167">
        <v>61.94</v>
      </c>
      <c r="B18" s="167">
        <v>0.51</v>
      </c>
      <c r="C18" s="167">
        <v>11.16</v>
      </c>
      <c r="D18" s="8">
        <v>42783.666666666664</v>
      </c>
      <c r="E18" s="167">
        <v>0.13</v>
      </c>
      <c r="F18" s="167" t="s">
        <v>254</v>
      </c>
      <c r="G18" s="167">
        <v>295.48</v>
      </c>
      <c r="H18" s="167">
        <v>0</v>
      </c>
      <c r="I18" s="167">
        <v>0</v>
      </c>
      <c r="J18" s="167">
        <v>1002.95</v>
      </c>
      <c r="K18" s="167" t="s">
        <v>255</v>
      </c>
      <c r="L18" s="167">
        <v>61.94</v>
      </c>
      <c r="M18" s="167">
        <v>1487372400</v>
      </c>
      <c r="N18" s="167">
        <v>5.51</v>
      </c>
      <c r="O18" s="167">
        <v>107</v>
      </c>
      <c r="P18" s="167">
        <v>8.16</v>
      </c>
      <c r="Q18"/>
      <c r="R18"/>
    </row>
    <row r="19" spans="1:18" x14ac:dyDescent="0.25">
      <c r="A19" s="167">
        <v>58.78</v>
      </c>
      <c r="B19" s="167">
        <v>0.25</v>
      </c>
      <c r="C19" s="167">
        <v>12.94</v>
      </c>
      <c r="D19" s="8">
        <v>42783.708333333336</v>
      </c>
      <c r="E19" s="167">
        <v>0.16</v>
      </c>
      <c r="F19" s="167" t="s">
        <v>254</v>
      </c>
      <c r="G19" s="167">
        <v>296.86</v>
      </c>
      <c r="H19" s="167">
        <v>0</v>
      </c>
      <c r="I19" s="167">
        <v>0</v>
      </c>
      <c r="J19" s="167">
        <v>1003.11</v>
      </c>
      <c r="K19" s="167" t="s">
        <v>255</v>
      </c>
      <c r="L19" s="167">
        <v>58.78</v>
      </c>
      <c r="M19" s="167">
        <v>1487376000</v>
      </c>
      <c r="N19" s="167">
        <v>5.93</v>
      </c>
      <c r="O19" s="167">
        <v>100</v>
      </c>
      <c r="P19" s="167">
        <v>8.6999999999999993</v>
      </c>
      <c r="Q19"/>
      <c r="R19"/>
    </row>
    <row r="20" spans="1:18" x14ac:dyDescent="0.25">
      <c r="A20" s="167">
        <v>54.27</v>
      </c>
      <c r="B20" s="167">
        <v>0.21</v>
      </c>
      <c r="C20" s="167">
        <v>14.65</v>
      </c>
      <c r="D20" s="8">
        <v>42783.75</v>
      </c>
      <c r="E20" s="167">
        <v>0.21</v>
      </c>
      <c r="F20" s="167" t="s">
        <v>362</v>
      </c>
      <c r="G20" s="167">
        <v>295.81</v>
      </c>
      <c r="H20" s="167">
        <v>0</v>
      </c>
      <c r="I20" s="167">
        <v>0</v>
      </c>
      <c r="J20" s="167">
        <v>1003.53</v>
      </c>
      <c r="K20" s="167" t="s">
        <v>363</v>
      </c>
      <c r="L20" s="167">
        <v>54.27</v>
      </c>
      <c r="M20" s="167">
        <v>1487379600</v>
      </c>
      <c r="N20" s="167">
        <v>6.7</v>
      </c>
      <c r="O20" s="167">
        <v>89</v>
      </c>
      <c r="P20" s="167">
        <v>5.68</v>
      </c>
      <c r="Q20"/>
      <c r="R20"/>
    </row>
    <row r="21" spans="1:18" x14ac:dyDescent="0.25">
      <c r="A21" s="167">
        <v>50.12</v>
      </c>
      <c r="B21" s="167">
        <v>0.13</v>
      </c>
      <c r="C21" s="167">
        <v>14.9</v>
      </c>
      <c r="D21" s="8">
        <v>42783.791666666664</v>
      </c>
      <c r="E21" s="167">
        <v>0.24</v>
      </c>
      <c r="F21" s="167" t="s">
        <v>362</v>
      </c>
      <c r="G21" s="167">
        <v>293.47000000000003</v>
      </c>
      <c r="H21" s="167">
        <v>0</v>
      </c>
      <c r="I21" s="167">
        <v>0</v>
      </c>
      <c r="J21" s="167">
        <v>1004.56</v>
      </c>
      <c r="K21" s="167" t="s">
        <v>363</v>
      </c>
      <c r="L21" s="167">
        <v>50.12</v>
      </c>
      <c r="M21" s="167">
        <v>1487383200</v>
      </c>
      <c r="N21" s="167">
        <v>7.48</v>
      </c>
      <c r="O21" s="167">
        <v>92</v>
      </c>
      <c r="P21" s="167">
        <v>2.89</v>
      </c>
      <c r="Q21"/>
      <c r="R21"/>
    </row>
    <row r="22" spans="1:18" x14ac:dyDescent="0.25">
      <c r="A22" s="167">
        <v>45.71</v>
      </c>
      <c r="B22" s="167">
        <v>0.09</v>
      </c>
      <c r="C22" s="167">
        <v>14.5</v>
      </c>
      <c r="D22" s="8">
        <v>42783.833333333336</v>
      </c>
      <c r="E22" s="167">
        <v>0.28000000000000003</v>
      </c>
      <c r="F22" s="167" t="s">
        <v>362</v>
      </c>
      <c r="G22" s="167">
        <v>291.41000000000003</v>
      </c>
      <c r="H22" s="167">
        <v>0</v>
      </c>
      <c r="I22" s="167">
        <v>0</v>
      </c>
      <c r="J22" s="167">
        <v>1005.58</v>
      </c>
      <c r="K22" s="167" t="s">
        <v>363</v>
      </c>
      <c r="L22" s="167">
        <v>45.71</v>
      </c>
      <c r="M22" s="167">
        <v>1487386800</v>
      </c>
      <c r="N22" s="167">
        <v>7.67</v>
      </c>
      <c r="O22" s="167">
        <v>122</v>
      </c>
      <c r="P22" s="167">
        <v>1.1499999999999999</v>
      </c>
      <c r="Q22"/>
      <c r="R22"/>
    </row>
    <row r="23" spans="1:18" x14ac:dyDescent="0.25">
      <c r="A23" s="167">
        <v>44.43</v>
      </c>
      <c r="B23" s="167">
        <v>0.17</v>
      </c>
      <c r="C23" s="167">
        <v>13.22</v>
      </c>
      <c r="D23" s="8">
        <v>42783.875</v>
      </c>
      <c r="E23" s="167">
        <v>0.28000000000000003</v>
      </c>
      <c r="F23" s="167" t="s">
        <v>362</v>
      </c>
      <c r="G23" s="167">
        <v>290.12</v>
      </c>
      <c r="H23" s="167">
        <v>0</v>
      </c>
      <c r="I23" s="167">
        <v>0</v>
      </c>
      <c r="J23" s="167">
        <v>1006.35</v>
      </c>
      <c r="K23" s="167" t="s">
        <v>363</v>
      </c>
      <c r="L23" s="167">
        <v>44.43</v>
      </c>
      <c r="M23" s="167">
        <v>1487390400</v>
      </c>
      <c r="N23" s="167">
        <v>5.44</v>
      </c>
      <c r="O23" s="167">
        <v>246</v>
      </c>
      <c r="P23" s="167">
        <v>0.19</v>
      </c>
      <c r="Q23"/>
      <c r="R23"/>
    </row>
    <row r="24" spans="1:18" x14ac:dyDescent="0.25">
      <c r="A24" s="167">
        <v>43.51</v>
      </c>
      <c r="B24" s="167">
        <v>0.27</v>
      </c>
      <c r="C24" s="167">
        <v>14.81</v>
      </c>
      <c r="D24" s="8">
        <v>42783.916666666664</v>
      </c>
      <c r="E24" s="167">
        <v>0.31</v>
      </c>
      <c r="F24" s="167" t="s">
        <v>253</v>
      </c>
      <c r="G24" s="167">
        <v>289.11</v>
      </c>
      <c r="H24" s="167">
        <v>0</v>
      </c>
      <c r="I24" s="167">
        <v>0</v>
      </c>
      <c r="J24" s="167">
        <v>1007.03</v>
      </c>
      <c r="K24" s="167" t="s">
        <v>255</v>
      </c>
      <c r="L24" s="167">
        <v>43.51</v>
      </c>
      <c r="M24" s="167">
        <v>1487394000</v>
      </c>
      <c r="N24" s="167">
        <v>5.36</v>
      </c>
      <c r="O24" s="167">
        <v>190</v>
      </c>
      <c r="P24" s="167">
        <v>0.68</v>
      </c>
      <c r="Q24"/>
      <c r="R24"/>
    </row>
    <row r="25" spans="1:18" x14ac:dyDescent="0.25">
      <c r="A25" s="167">
        <v>40.49</v>
      </c>
      <c r="B25" s="167">
        <v>0.32</v>
      </c>
      <c r="C25" s="167">
        <v>14.34</v>
      </c>
      <c r="D25" s="8">
        <v>42783.958333333336</v>
      </c>
      <c r="E25" s="167">
        <v>0.34</v>
      </c>
      <c r="F25" s="167" t="s">
        <v>253</v>
      </c>
      <c r="G25" s="167">
        <v>288.45999999999998</v>
      </c>
      <c r="H25" s="167">
        <v>0</v>
      </c>
      <c r="I25" s="167">
        <v>0</v>
      </c>
      <c r="J25" s="167">
        <v>1007.54</v>
      </c>
      <c r="K25" s="167" t="s">
        <v>255</v>
      </c>
      <c r="L25" s="167">
        <v>40.49</v>
      </c>
      <c r="M25" s="167">
        <v>1487397600</v>
      </c>
      <c r="N25" s="167">
        <v>5.6</v>
      </c>
      <c r="O25" s="167">
        <v>223</v>
      </c>
      <c r="P25" s="167">
        <v>1.96</v>
      </c>
      <c r="Q25"/>
      <c r="R25"/>
    </row>
    <row r="26" spans="1:18" x14ac:dyDescent="0.25">
      <c r="A26" s="167">
        <v>39.369999999999997</v>
      </c>
      <c r="B26" s="167">
        <v>0.4</v>
      </c>
      <c r="C26" s="167">
        <v>14.33</v>
      </c>
      <c r="D26" s="8">
        <v>42784</v>
      </c>
      <c r="E26" s="167">
        <v>0.35</v>
      </c>
      <c r="F26" s="167" t="s">
        <v>253</v>
      </c>
      <c r="G26" s="167">
        <v>288.54000000000002</v>
      </c>
      <c r="H26" s="167">
        <v>0</v>
      </c>
      <c r="I26" s="167">
        <v>0</v>
      </c>
      <c r="J26" s="167">
        <v>1007.6</v>
      </c>
      <c r="K26" s="167" t="s">
        <v>255</v>
      </c>
      <c r="L26" s="167">
        <v>39.369999999999997</v>
      </c>
      <c r="M26" s="167">
        <v>1487401200</v>
      </c>
      <c r="N26" s="167">
        <v>5.86</v>
      </c>
      <c r="O26" s="167">
        <v>203</v>
      </c>
      <c r="P26" s="167">
        <v>1.21</v>
      </c>
      <c r="Q26"/>
      <c r="R26"/>
    </row>
    <row r="27" spans="1:18" x14ac:dyDescent="0.25">
      <c r="A27" s="167">
        <v>38.64</v>
      </c>
      <c r="B27" s="167">
        <v>0.55000000000000004</v>
      </c>
      <c r="C27" s="167">
        <v>14.56</v>
      </c>
      <c r="D27" s="8">
        <v>42784.041666666664</v>
      </c>
      <c r="E27" s="167">
        <v>0.37</v>
      </c>
      <c r="F27" s="167" t="s">
        <v>253</v>
      </c>
      <c r="G27" s="167">
        <v>288.62</v>
      </c>
      <c r="H27" s="167">
        <v>0</v>
      </c>
      <c r="I27" s="167">
        <v>0</v>
      </c>
      <c r="J27" s="167">
        <v>1007.68</v>
      </c>
      <c r="K27" s="167" t="s">
        <v>255</v>
      </c>
      <c r="L27" s="167">
        <v>38.64</v>
      </c>
      <c r="M27" s="167">
        <v>1487404800</v>
      </c>
      <c r="N27" s="167">
        <v>5.83</v>
      </c>
      <c r="O27" s="167">
        <v>216</v>
      </c>
      <c r="P27" s="167">
        <v>2.14</v>
      </c>
      <c r="Q27"/>
      <c r="R27"/>
    </row>
    <row r="28" spans="1:18" x14ac:dyDescent="0.25">
      <c r="A28" s="167">
        <v>38.700000000000003</v>
      </c>
      <c r="B28" s="167">
        <v>0.54</v>
      </c>
      <c r="C28" s="167">
        <v>15.18</v>
      </c>
      <c r="D28" s="8">
        <v>42784.083333333336</v>
      </c>
      <c r="E28" s="167">
        <v>0.38</v>
      </c>
      <c r="F28" s="167" t="s">
        <v>253</v>
      </c>
      <c r="G28" s="167">
        <v>288.7</v>
      </c>
      <c r="H28" s="167">
        <v>0</v>
      </c>
      <c r="I28" s="167">
        <v>0</v>
      </c>
      <c r="J28" s="167">
        <v>1007.77</v>
      </c>
      <c r="K28" s="167" t="s">
        <v>255</v>
      </c>
      <c r="L28" s="167">
        <v>38.700000000000003</v>
      </c>
      <c r="M28" s="167">
        <v>1487408400</v>
      </c>
      <c r="N28" s="167">
        <v>3.92</v>
      </c>
      <c r="O28" s="167">
        <v>256</v>
      </c>
      <c r="P28" s="167">
        <v>0.99</v>
      </c>
      <c r="Q28"/>
      <c r="R28"/>
    </row>
    <row r="29" spans="1:18" x14ac:dyDescent="0.25">
      <c r="A29" s="167">
        <v>35.340000000000003</v>
      </c>
      <c r="B29" s="167">
        <v>0.66</v>
      </c>
      <c r="C29" s="167">
        <v>14.78</v>
      </c>
      <c r="D29" s="8">
        <v>42784.125</v>
      </c>
      <c r="E29" s="167">
        <v>0.42</v>
      </c>
      <c r="F29" s="167" t="s">
        <v>253</v>
      </c>
      <c r="G29" s="167">
        <v>287.91000000000003</v>
      </c>
      <c r="H29" s="167">
        <v>0</v>
      </c>
      <c r="I29" s="167">
        <v>0</v>
      </c>
      <c r="J29" s="167">
        <v>1008.13</v>
      </c>
      <c r="K29" s="167" t="s">
        <v>681</v>
      </c>
      <c r="L29" s="167">
        <v>35.340000000000003</v>
      </c>
      <c r="M29" s="167">
        <v>1487412000</v>
      </c>
      <c r="N29" s="167">
        <v>6.52</v>
      </c>
      <c r="O29" s="167">
        <v>214</v>
      </c>
      <c r="P29" s="167">
        <v>2.5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8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42783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52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52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52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52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52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52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52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3" x14ac:dyDescent="0.25">
      <c r="C17" s="149" t="s">
        <v>191</v>
      </c>
      <c r="J17" s="160"/>
      <c r="K17" s="161"/>
      <c r="L17" s="161"/>
    </row>
    <row r="18" spans="3:13" x14ac:dyDescent="0.25">
      <c r="C18" t="s">
        <v>837</v>
      </c>
      <c r="J18" s="160" t="s">
        <v>85</v>
      </c>
      <c r="K18" s="161"/>
      <c r="L18" s="161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838</v>
      </c>
      <c r="J19" s="160" t="s">
        <v>86</v>
      </c>
      <c r="K19" s="161"/>
      <c r="L19" s="161"/>
      <c r="M19" s="152" t="s">
        <v>112</v>
      </c>
    </row>
    <row r="20" spans="3:13" x14ac:dyDescent="0.25">
      <c r="C20" t="s">
        <v>839</v>
      </c>
      <c r="J20" s="152" t="s">
        <v>87</v>
      </c>
      <c r="M20" s="152" t="s">
        <v>214</v>
      </c>
    </row>
    <row r="21" spans="3:13" x14ac:dyDescent="0.25">
      <c r="C21" t="s">
        <v>840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841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842</v>
      </c>
      <c r="J23" s="162" t="s">
        <v>95</v>
      </c>
      <c r="M23" s="152" t="str">
        <f>"-07"</f>
        <v>-07</v>
      </c>
    </row>
    <row r="24" spans="3:13" x14ac:dyDescent="0.25">
      <c r="C24" t="s">
        <v>843</v>
      </c>
      <c r="J24" s="152" t="s">
        <v>108</v>
      </c>
      <c r="M24" s="152" t="s">
        <v>110</v>
      </c>
    </row>
    <row r="25" spans="3:13" x14ac:dyDescent="0.25">
      <c r="C25" t="s">
        <v>844</v>
      </c>
      <c r="J25" s="152" t="s">
        <v>150</v>
      </c>
      <c r="M25" s="152" t="b">
        <v>1</v>
      </c>
    </row>
    <row r="26" spans="3:13" x14ac:dyDescent="0.25">
      <c r="C26" t="s">
        <v>845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C:\Users\stu\Documents\GitHub\eaglep3-reporting\EC\2017-02-17-refined-times.txt</v>
      </c>
    </row>
    <row r="27" spans="3:13" x14ac:dyDescent="0.25">
      <c r="C27" t="s">
        <v>846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C:\Users\stu\Documents\GitHub\eaglep3-reporting\EC\2017-02-17-Enforcements.txt</v>
      </c>
    </row>
    <row r="28" spans="3:13" x14ac:dyDescent="0.25">
      <c r="C28" t="s">
        <v>847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C:\Users\stu\Documents\GitHub\eaglep3-reporting\EC\2017-02-17-Runs-refined.txt</v>
      </c>
    </row>
    <row r="29" spans="3:13" x14ac:dyDescent="0.25">
      <c r="C29" t="s">
        <v>848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C:\Users\stu\Documents\GitHub\eaglep3-reporting\EC\2017-02-17-Trips.txt</v>
      </c>
    </row>
    <row r="30" spans="3:13" x14ac:dyDescent="0.25">
      <c r="C30" t="s">
        <v>849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C:\Users\stu\Documents\GitHub\eaglep3-reporting\EC\2017-02-17-Weather.txt</v>
      </c>
    </row>
    <row r="31" spans="3:13" x14ac:dyDescent="0.25">
      <c r="C31" t="s">
        <v>850</v>
      </c>
      <c r="J31" s="152" t="s">
        <v>212</v>
      </c>
      <c r="M31" s="152" t="s">
        <v>213</v>
      </c>
    </row>
    <row r="32" spans="3:13" x14ac:dyDescent="0.25">
      <c r="C32" t="s">
        <v>851</v>
      </c>
    </row>
    <row r="33" spans="3:3" x14ac:dyDescent="0.25">
      <c r="C33" t="s">
        <v>852</v>
      </c>
    </row>
    <row r="34" spans="3:3" x14ac:dyDescent="0.25">
      <c r="C34" t="s">
        <v>853</v>
      </c>
    </row>
    <row r="35" spans="3:3" x14ac:dyDescent="0.25">
      <c r="C35" t="s">
        <v>854</v>
      </c>
    </row>
    <row r="36" spans="3:3" x14ac:dyDescent="0.25">
      <c r="C36" t="s">
        <v>855</v>
      </c>
    </row>
    <row r="37" spans="3:3" x14ac:dyDescent="0.25">
      <c r="C37" t="s">
        <v>856</v>
      </c>
    </row>
    <row r="38" spans="3:3" x14ac:dyDescent="0.25">
      <c r="C38" t="s">
        <v>857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19" workbookViewId="0">
      <selection activeCell="F14" sqref="F14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865</v>
      </c>
      <c r="B1" t="str">
        <f t="shared" ref="B1:B30" si="0">MID(A1,6,23)</f>
        <v>2017/02/17 12:43:14.101</v>
      </c>
      <c r="C1" t="e">
        <f>ABS(B1-#REF!)</f>
        <v>#REF!</v>
      </c>
    </row>
    <row r="2" spans="1:3" x14ac:dyDescent="0.25">
      <c r="A2" t="s">
        <v>866</v>
      </c>
      <c r="B2" s="20" t="str">
        <f t="shared" si="0"/>
        <v>2017/02/17 12:43:15.086</v>
      </c>
      <c r="C2">
        <f>ABS(B2-B1)</f>
        <v>1.1400465155020356E-5</v>
      </c>
    </row>
    <row r="3" spans="1:3" x14ac:dyDescent="0.25">
      <c r="A3" t="s">
        <v>867</v>
      </c>
      <c r="B3" s="20" t="str">
        <f t="shared" si="0"/>
        <v>2017/02/17 12:43:15.331</v>
      </c>
      <c r="C3" s="20">
        <f t="shared" ref="C3:C30" si="1">ABS(B3-B2)</f>
        <v>2.8356444090604782E-6</v>
      </c>
    </row>
    <row r="4" spans="1:3" x14ac:dyDescent="0.25">
      <c r="A4" t="s">
        <v>868</v>
      </c>
      <c r="B4" s="20" t="str">
        <f t="shared" si="0"/>
        <v>2017/02/17 12:52:07.332</v>
      </c>
      <c r="C4" s="20">
        <f t="shared" si="1"/>
        <v>6.1574189821840264E-3</v>
      </c>
    </row>
    <row r="5" spans="1:3" x14ac:dyDescent="0.25">
      <c r="A5" t="s">
        <v>869</v>
      </c>
      <c r="B5" s="20" t="str">
        <f t="shared" si="0"/>
        <v>2017/02/17 12:52:08.073</v>
      </c>
      <c r="C5" s="20">
        <f t="shared" si="1"/>
        <v>8.5763895185664296E-6</v>
      </c>
    </row>
    <row r="6" spans="1:3" x14ac:dyDescent="0.25">
      <c r="A6" t="s">
        <v>870</v>
      </c>
      <c r="B6" s="20" t="str">
        <f t="shared" si="0"/>
        <v>2017/02/17 12:52:08.088</v>
      </c>
      <c r="C6" s="20">
        <f t="shared" si="1"/>
        <v>1.7361162463203073E-7</v>
      </c>
    </row>
    <row r="7" spans="1:3" x14ac:dyDescent="0.25">
      <c r="A7" t="s">
        <v>871</v>
      </c>
      <c r="B7" s="20" t="str">
        <f t="shared" si="0"/>
        <v>2017/02/17 13:51:38.750</v>
      </c>
      <c r="C7" s="20">
        <f t="shared" si="1"/>
        <v>4.1327106482640374E-2</v>
      </c>
    </row>
    <row r="8" spans="1:3" x14ac:dyDescent="0.25">
      <c r="A8" t="s">
        <v>872</v>
      </c>
      <c r="B8" s="20" t="str">
        <f t="shared" si="0"/>
        <v>2017/02/17 13:51:38.777</v>
      </c>
      <c r="C8" s="20">
        <f t="shared" si="1"/>
        <v>3.1249510357156396E-7</v>
      </c>
    </row>
    <row r="9" spans="1:3" x14ac:dyDescent="0.25">
      <c r="A9" t="s">
        <v>873</v>
      </c>
      <c r="B9" s="20" t="str">
        <f t="shared" si="0"/>
        <v>2017/02/17 13:51:39.476</v>
      </c>
      <c r="C9" s="20">
        <f t="shared" si="1"/>
        <v>8.0902827903628349E-6</v>
      </c>
    </row>
    <row r="10" spans="1:3" x14ac:dyDescent="0.25">
      <c r="A10" t="s">
        <v>874</v>
      </c>
      <c r="B10" s="20" t="str">
        <f t="shared" si="0"/>
        <v>2017/02/17 14:22:34.689</v>
      </c>
      <c r="C10" s="20">
        <f t="shared" si="1"/>
        <v>2.147237268218305E-2</v>
      </c>
    </row>
    <row r="11" spans="1:3" x14ac:dyDescent="0.25">
      <c r="A11" t="s">
        <v>875</v>
      </c>
      <c r="B11" s="20" t="str">
        <f t="shared" si="0"/>
        <v>2017/02/17 14:22:35.675</v>
      </c>
      <c r="C11" s="20">
        <f t="shared" si="1"/>
        <v>1.1412041203584522E-5</v>
      </c>
    </row>
    <row r="12" spans="1:3" x14ac:dyDescent="0.25">
      <c r="A12" t="s">
        <v>876</v>
      </c>
      <c r="B12" s="20" t="str">
        <f t="shared" si="0"/>
        <v>2017/02/17 14:22:35.849</v>
      </c>
      <c r="C12" s="20">
        <f t="shared" si="1"/>
        <v>2.0138832041993737E-6</v>
      </c>
    </row>
    <row r="13" spans="1:3" x14ac:dyDescent="0.25">
      <c r="A13" t="s">
        <v>877</v>
      </c>
      <c r="B13" s="20" t="str">
        <f t="shared" si="0"/>
        <v>2017/02/17 14:50:53.387</v>
      </c>
      <c r="C13" s="20">
        <f t="shared" si="1"/>
        <v>1.9647430555778556E-2</v>
      </c>
    </row>
    <row r="14" spans="1:3" x14ac:dyDescent="0.25">
      <c r="A14" t="s">
        <v>878</v>
      </c>
      <c r="B14" s="20" t="str">
        <f t="shared" si="0"/>
        <v>2017/02/17 14:50:54.005</v>
      </c>
      <c r="C14" s="20">
        <f t="shared" si="1"/>
        <v>7.1527829277329147E-6</v>
      </c>
    </row>
    <row r="15" spans="1:3" x14ac:dyDescent="0.25">
      <c r="A15" t="s">
        <v>879</v>
      </c>
      <c r="B15" s="20" t="str">
        <f t="shared" si="0"/>
        <v>2017/02/17 15:05:48.493</v>
      </c>
      <c r="C15" s="20">
        <f t="shared" si="1"/>
        <v>1.0352870369388256E-2</v>
      </c>
    </row>
    <row r="16" spans="1:3" x14ac:dyDescent="0.25">
      <c r="A16" t="s">
        <v>880</v>
      </c>
      <c r="B16" s="20" t="str">
        <f t="shared" si="0"/>
        <v>2017/02/17 15:05:48.776</v>
      </c>
      <c r="C16" s="20">
        <f t="shared" si="1"/>
        <v>3.2754614949226379E-6</v>
      </c>
    </row>
    <row r="17" spans="1:3" x14ac:dyDescent="0.25">
      <c r="A17" t="s">
        <v>881</v>
      </c>
      <c r="B17" s="20" t="str">
        <f t="shared" si="0"/>
        <v>2017/02/17 15:05:48.792</v>
      </c>
      <c r="C17" s="20">
        <f t="shared" si="1"/>
        <v>1.8518767319619656E-7</v>
      </c>
    </row>
    <row r="18" spans="1:3" x14ac:dyDescent="0.25">
      <c r="A18" t="s">
        <v>882</v>
      </c>
      <c r="B18" s="20" t="str">
        <f t="shared" si="0"/>
        <v>2017/02/17 15:38:47.921</v>
      </c>
      <c r="C18" s="20">
        <f t="shared" si="1"/>
        <v>2.2906585647433531E-2</v>
      </c>
    </row>
    <row r="19" spans="1:3" x14ac:dyDescent="0.25">
      <c r="A19" t="s">
        <v>883</v>
      </c>
      <c r="B19" s="20" t="str">
        <f t="shared" si="0"/>
        <v>2017/02/17 15:38:47.964</v>
      </c>
      <c r="C19" s="20">
        <f t="shared" si="1"/>
        <v>4.9768277676776052E-7</v>
      </c>
    </row>
    <row r="20" spans="1:3" x14ac:dyDescent="0.25">
      <c r="A20" t="s">
        <v>884</v>
      </c>
      <c r="B20" s="20" t="str">
        <f t="shared" si="0"/>
        <v>2017/02/17 15:38:48.206</v>
      </c>
      <c r="C20" s="20">
        <f t="shared" si="1"/>
        <v>2.8009235393255949E-6</v>
      </c>
    </row>
    <row r="21" spans="1:3" x14ac:dyDescent="0.25">
      <c r="A21" t="s">
        <v>885</v>
      </c>
      <c r="B21" s="20" t="str">
        <f t="shared" si="0"/>
        <v>2017/02/17 15:58:27.474</v>
      </c>
      <c r="C21" s="20">
        <f t="shared" si="1"/>
        <v>1.364893518621102E-2</v>
      </c>
    </row>
    <row r="22" spans="1:3" x14ac:dyDescent="0.25">
      <c r="A22" t="s">
        <v>886</v>
      </c>
      <c r="B22" s="20" t="str">
        <f t="shared" si="0"/>
        <v>2017/02/17 15:58:28.389</v>
      </c>
      <c r="C22" s="20">
        <f t="shared" si="1"/>
        <v>1.0590279998723418E-5</v>
      </c>
    </row>
    <row r="23" spans="1:3" x14ac:dyDescent="0.25">
      <c r="A23" t="s">
        <v>887</v>
      </c>
      <c r="B23" s="20" t="str">
        <f t="shared" si="0"/>
        <v>2017/02/17 15:58:29.021</v>
      </c>
      <c r="C23" s="20">
        <f t="shared" si="1"/>
        <v>7.3148112278431654E-6</v>
      </c>
    </row>
    <row r="24" spans="1:3" x14ac:dyDescent="0.25">
      <c r="A24" t="s">
        <v>888</v>
      </c>
      <c r="B24" s="20" t="str">
        <f t="shared" si="0"/>
        <v>2017/02/17 19:23:12.654</v>
      </c>
      <c r="C24" s="20">
        <f t="shared" si="1"/>
        <v>0.14217167824244825</v>
      </c>
    </row>
    <row r="25" spans="1:3" x14ac:dyDescent="0.25">
      <c r="A25" t="s">
        <v>889</v>
      </c>
      <c r="B25" s="20" t="str">
        <f t="shared" si="0"/>
        <v>2017/02/17 19:23:13.025</v>
      </c>
      <c r="C25" s="20">
        <f t="shared" si="1"/>
        <v>4.2939864215441048E-6</v>
      </c>
    </row>
    <row r="26" spans="1:3" x14ac:dyDescent="0.25">
      <c r="A26" t="s">
        <v>890</v>
      </c>
      <c r="B26" s="20" t="str">
        <f t="shared" si="0"/>
        <v>2017/02/17 19:23:13.604</v>
      </c>
      <c r="C26" s="20">
        <f t="shared" si="1"/>
        <v>6.7013825173489749E-6</v>
      </c>
    </row>
    <row r="27" spans="1:3" x14ac:dyDescent="0.25">
      <c r="A27" t="s">
        <v>891</v>
      </c>
      <c r="B27" s="20" t="str">
        <f t="shared" si="0"/>
        <v>2017/02/17 19:37:17.836</v>
      </c>
      <c r="C27" s="20">
        <f t="shared" si="1"/>
        <v>9.7712037095334381E-3</v>
      </c>
    </row>
    <row r="28" spans="1:3" x14ac:dyDescent="0.25">
      <c r="A28" t="s">
        <v>892</v>
      </c>
      <c r="B28" s="20" t="str">
        <f t="shared" si="0"/>
        <v>2017/02/17 19:37:17.854</v>
      </c>
      <c r="C28" s="20">
        <f t="shared" si="1"/>
        <v>2.0833249436691403E-7</v>
      </c>
    </row>
    <row r="29" spans="1:3" x14ac:dyDescent="0.25">
      <c r="A29" t="s">
        <v>893</v>
      </c>
      <c r="B29" s="20" t="str">
        <f t="shared" si="0"/>
        <v>2017/02/17 19:37:18.676</v>
      </c>
      <c r="C29" s="20">
        <f t="shared" si="1"/>
        <v>9.5138893811963499E-6</v>
      </c>
    </row>
    <row r="30" spans="1:3" x14ac:dyDescent="0.25">
      <c r="A30" t="s">
        <v>894</v>
      </c>
      <c r="B30" s="20" t="str">
        <f t="shared" si="0"/>
        <v>2017/02/17 20:48:28.929</v>
      </c>
      <c r="C30" s="20">
        <f t="shared" si="1"/>
        <v>4.9424224533140659E-2</v>
      </c>
    </row>
    <row r="31" spans="1:3" x14ac:dyDescent="0.25">
      <c r="A31" t="s">
        <v>895</v>
      </c>
      <c r="B31" s="20" t="str">
        <f t="shared" ref="B31:B32" si="2">MID(A31,6,23)</f>
        <v>2017/02/17 20:48:28.967</v>
      </c>
      <c r="C31" s="20">
        <f t="shared" ref="C31:C32" si="3">ABS(B31-B30)</f>
        <v>4.3981708586215973E-7</v>
      </c>
    </row>
    <row r="32" spans="1:3" x14ac:dyDescent="0.25">
      <c r="A32" t="s">
        <v>896</v>
      </c>
      <c r="B32" s="20" t="str">
        <f t="shared" si="2"/>
        <v>2017/02/17 20:48:29.211</v>
      </c>
      <c r="C32" s="20">
        <f t="shared" si="3"/>
        <v>2.8240756364539266E-6</v>
      </c>
    </row>
    <row r="33" spans="1:3" x14ac:dyDescent="0.25">
      <c r="A33" t="s">
        <v>897</v>
      </c>
      <c r="B33" s="20" t="str">
        <f t="shared" ref="B33:B49" si="4">MID(A33,6,23)</f>
        <v>2017/02/17 20:56:56.926</v>
      </c>
      <c r="C33" s="20">
        <f t="shared" ref="C33:C49" si="5">ABS(B33-B32)</f>
        <v>5.8763310153153725E-3</v>
      </c>
    </row>
    <row r="34" spans="1:3" x14ac:dyDescent="0.25">
      <c r="A34" t="s">
        <v>898</v>
      </c>
      <c r="B34" s="20" t="str">
        <f t="shared" si="4"/>
        <v>2017/02/17 20:56:56.964</v>
      </c>
      <c r="C34" s="20">
        <f t="shared" si="5"/>
        <v>4.3981708586215973E-7</v>
      </c>
    </row>
    <row r="35" spans="1:3" x14ac:dyDescent="0.25">
      <c r="A35" t="s">
        <v>899</v>
      </c>
      <c r="B35" s="20" t="str">
        <f t="shared" si="4"/>
        <v>2017/02/17 20:56:57.212</v>
      </c>
      <c r="C35" s="20">
        <f t="shared" si="5"/>
        <v>2.8703725547529757E-6</v>
      </c>
    </row>
    <row r="36" spans="1:3" x14ac:dyDescent="0.25">
      <c r="A36" t="s">
        <v>900</v>
      </c>
      <c r="B36" s="20" t="str">
        <f t="shared" si="4"/>
        <v>2017/02/17 22:14:19.767</v>
      </c>
      <c r="C36" s="20">
        <f t="shared" si="5"/>
        <v>5.373327546112705E-2</v>
      </c>
    </row>
    <row r="37" spans="1:3" x14ac:dyDescent="0.25">
      <c r="A37" t="s">
        <v>901</v>
      </c>
      <c r="B37" s="20" t="str">
        <f t="shared" si="4"/>
        <v>2017/02/17 22:14:19.874</v>
      </c>
      <c r="C37" s="20">
        <f t="shared" si="5"/>
        <v>1.2384261935949326E-6</v>
      </c>
    </row>
    <row r="38" spans="1:3" x14ac:dyDescent="0.25">
      <c r="A38" t="s">
        <v>902</v>
      </c>
      <c r="B38" s="20" t="str">
        <f t="shared" si="4"/>
        <v>2017/02/17 22:14:20.512</v>
      </c>
      <c r="C38" s="20">
        <f t="shared" si="5"/>
        <v>7.3842602432705462E-6</v>
      </c>
    </row>
    <row r="39" spans="1:3" x14ac:dyDescent="0.25">
      <c r="A39" t="s">
        <v>903</v>
      </c>
      <c r="B39" s="20" t="str">
        <f t="shared" si="4"/>
        <v>2017/02/17 23:02:57.826</v>
      </c>
      <c r="C39" s="20">
        <f t="shared" si="5"/>
        <v>3.3765208332624752E-2</v>
      </c>
    </row>
    <row r="40" spans="1:3" x14ac:dyDescent="0.25">
      <c r="A40" t="s">
        <v>904</v>
      </c>
      <c r="B40" s="20" t="str">
        <f t="shared" si="4"/>
        <v>2017/02/17 23:02:57.849</v>
      </c>
      <c r="C40" s="20">
        <f t="shared" si="5"/>
        <v>2.6619818527251482E-7</v>
      </c>
    </row>
    <row r="41" spans="1:3" x14ac:dyDescent="0.25">
      <c r="A41" t="s">
        <v>905</v>
      </c>
      <c r="B41" s="20" t="str">
        <f t="shared" si="4"/>
        <v>2017/02/17 23:32:17.855</v>
      </c>
      <c r="C41" s="20">
        <f t="shared" si="5"/>
        <v>2.0370439815451391E-2</v>
      </c>
    </row>
    <row r="42" spans="1:3" x14ac:dyDescent="0.25">
      <c r="A42" t="s">
        <v>906</v>
      </c>
      <c r="B42" s="20" t="str">
        <f t="shared" si="4"/>
        <v>2017/02/17 23:32:17.910</v>
      </c>
      <c r="C42" s="20">
        <f t="shared" si="5"/>
        <v>6.3657353166490793E-7</v>
      </c>
    </row>
    <row r="43" spans="1:3" x14ac:dyDescent="0.25">
      <c r="A43" t="s">
        <v>907</v>
      </c>
      <c r="B43" s="20" t="str">
        <f t="shared" si="4"/>
        <v>2017/02/17 23:32:18.043</v>
      </c>
      <c r="C43" s="20">
        <f t="shared" si="5"/>
        <v>1.5393525245599449E-6</v>
      </c>
    </row>
    <row r="44" spans="1:3" x14ac:dyDescent="0.25">
      <c r="A44" t="s">
        <v>908</v>
      </c>
      <c r="B44" s="20" t="str">
        <f t="shared" si="4"/>
        <v>2017/02/18 00:28:15.641</v>
      </c>
      <c r="C44" s="20">
        <f t="shared" si="5"/>
        <v>3.8861087967234198E-2</v>
      </c>
    </row>
    <row r="45" spans="1:3" x14ac:dyDescent="0.25">
      <c r="A45" t="s">
        <v>909</v>
      </c>
      <c r="B45" s="20" t="str">
        <f t="shared" si="4"/>
        <v>2017/02/18 00:28:16.841</v>
      </c>
      <c r="C45" s="20">
        <f t="shared" si="5"/>
        <v>1.3888886314816773E-5</v>
      </c>
    </row>
    <row r="46" spans="1:3" x14ac:dyDescent="0.25">
      <c r="A46" t="s">
        <v>910</v>
      </c>
      <c r="B46" s="20" t="str">
        <f t="shared" si="4"/>
        <v>2017/02/18 00:28:16.866</v>
      </c>
      <c r="C46" s="20">
        <f t="shared" si="5"/>
        <v>2.8935028240084648E-7</v>
      </c>
    </row>
    <row r="47" spans="1:3" x14ac:dyDescent="0.25">
      <c r="A47" t="s">
        <v>911</v>
      </c>
      <c r="B47" s="20" t="str">
        <f t="shared" si="4"/>
        <v>2017/02/18 01:02:36.633</v>
      </c>
      <c r="C47" s="20">
        <f t="shared" si="5"/>
        <v>2.3839895839046221E-2</v>
      </c>
    </row>
    <row r="48" spans="1:3" x14ac:dyDescent="0.25">
      <c r="A48" t="s">
        <v>912</v>
      </c>
      <c r="B48" s="20" t="str">
        <f t="shared" si="4"/>
        <v>2017/02/18 01:02:36.832</v>
      </c>
      <c r="C48" s="20">
        <f t="shared" si="5"/>
        <v>2.3032407625578344E-6</v>
      </c>
    </row>
    <row r="49" spans="1:3" x14ac:dyDescent="0.25">
      <c r="A49" t="s">
        <v>913</v>
      </c>
      <c r="B49" s="20" t="str">
        <f t="shared" si="4"/>
        <v>2017/02/18 01:02:36.852</v>
      </c>
      <c r="C49" s="20">
        <f t="shared" si="5"/>
        <v>2.3147731553763151E-7</v>
      </c>
    </row>
    <row r="50" spans="1:3" x14ac:dyDescent="0.25">
      <c r="A50" t="s">
        <v>914</v>
      </c>
      <c r="B50" s="20" t="str">
        <f t="shared" ref="B50:B54" si="6">MID(A50,6,23)</f>
        <v>2017/02/18 01:22:44.916</v>
      </c>
      <c r="C50" s="20">
        <f t="shared" ref="C50:C54" si="7">ABS(B50-B49)</f>
        <v>1.3982222226331942E-2</v>
      </c>
    </row>
    <row r="51" spans="1:3" x14ac:dyDescent="0.25">
      <c r="A51" t="s">
        <v>915</v>
      </c>
      <c r="B51" s="20" t="str">
        <f t="shared" si="6"/>
        <v>2017/02/18 01:22:45.158</v>
      </c>
      <c r="C51" s="20">
        <f t="shared" si="7"/>
        <v>2.8009235393255949E-6</v>
      </c>
    </row>
    <row r="52" spans="1:3" x14ac:dyDescent="0.25">
      <c r="A52" t="s">
        <v>916</v>
      </c>
      <c r="B52" s="20" t="str">
        <f t="shared" si="6"/>
        <v>2017/02/18 01:22:45.459</v>
      </c>
      <c r="C52" s="20">
        <f t="shared" si="7"/>
        <v>3.483793989289552E-6</v>
      </c>
    </row>
    <row r="53" spans="1:3" x14ac:dyDescent="0.25">
      <c r="A53" t="s">
        <v>917</v>
      </c>
      <c r="B53" s="20" t="str">
        <f t="shared" si="6"/>
        <v>2017/02/18 02:01:44.909</v>
      </c>
      <c r="C53" s="20">
        <f t="shared" si="7"/>
        <v>2.7076967591710854E-2</v>
      </c>
    </row>
    <row r="54" spans="1:3" x14ac:dyDescent="0.25">
      <c r="A54" t="s">
        <v>918</v>
      </c>
      <c r="B54" s="20" t="str">
        <f t="shared" si="6"/>
        <v>2017/02/18 02:01:45.110</v>
      </c>
      <c r="C54" s="20">
        <f t="shared" si="7"/>
        <v>2.326392859686166E-6</v>
      </c>
    </row>
    <row r="55" spans="1:3" x14ac:dyDescent="0.25">
      <c r="A55" t="s">
        <v>919</v>
      </c>
      <c r="B55" s="20" t="str">
        <f t="shared" ref="B55:B62" si="8">MID(A55,6,23)</f>
        <v>2017/02/18 02:01:45.133</v>
      </c>
      <c r="C55" s="20">
        <f t="shared" ref="C55:C62" si="9">ABS(B55-B54)</f>
        <v>2.66205461230129E-7</v>
      </c>
    </row>
    <row r="56" spans="1:3" x14ac:dyDescent="0.25">
      <c r="A56" t="s">
        <v>920</v>
      </c>
      <c r="B56" s="20" t="str">
        <f t="shared" si="8"/>
        <v>2017/02/18 04:11:28.206</v>
      </c>
      <c r="C56" s="20">
        <f t="shared" si="9"/>
        <v>9.0081863425439224E-2</v>
      </c>
    </row>
    <row r="57" spans="1:3" x14ac:dyDescent="0.25">
      <c r="A57" t="s">
        <v>921</v>
      </c>
      <c r="B57" s="20" t="str">
        <f t="shared" si="8"/>
        <v>2017/02/18 04:11:28.921</v>
      </c>
      <c r="C57" s="20">
        <f t="shared" si="9"/>
        <v>8.2754631876014173E-6</v>
      </c>
    </row>
    <row r="58" spans="1:3" x14ac:dyDescent="0.25">
      <c r="A58" t="s">
        <v>922</v>
      </c>
      <c r="B58" s="20" t="str">
        <f t="shared" si="8"/>
        <v>2017/02/18 04:11:28.961</v>
      </c>
      <c r="C58" s="20">
        <f t="shared" si="9"/>
        <v>4.6296190703287721E-7</v>
      </c>
    </row>
    <row r="59" spans="1:3" x14ac:dyDescent="0.25">
      <c r="A59" t="s">
        <v>923</v>
      </c>
      <c r="B59" s="20" t="str">
        <f t="shared" si="8"/>
        <v>2017/02/18 06:13:32.210</v>
      </c>
      <c r="C59" s="20">
        <f t="shared" si="9"/>
        <v>8.4759826386289205E-2</v>
      </c>
    </row>
    <row r="60" spans="1:3" x14ac:dyDescent="0.25">
      <c r="A60" t="s">
        <v>924</v>
      </c>
      <c r="B60" s="20" t="str">
        <f t="shared" si="8"/>
        <v>2017/02/18 06:13:32.924</v>
      </c>
      <c r="C60" s="20">
        <f t="shared" si="9"/>
        <v>8.2638871390372515E-6</v>
      </c>
    </row>
    <row r="61" spans="1:3" x14ac:dyDescent="0.25">
      <c r="A61" t="s">
        <v>925</v>
      </c>
      <c r="B61" s="20" t="str">
        <f t="shared" si="8"/>
        <v>2017/02/18 06:13:32.962</v>
      </c>
      <c r="C61" s="20">
        <f t="shared" si="9"/>
        <v>4.3981708586215973E-7</v>
      </c>
    </row>
    <row r="62" spans="1:3" x14ac:dyDescent="0.25">
      <c r="A62" t="s">
        <v>926</v>
      </c>
      <c r="B62" s="20" t="str">
        <f t="shared" si="8"/>
        <v>2017/02/18 07:57:10.110</v>
      </c>
      <c r="C62" s="20">
        <f t="shared" si="9"/>
        <v>7.1957731481234077E-2</v>
      </c>
    </row>
    <row r="63" spans="1:3" x14ac:dyDescent="0.25">
      <c r="A63" t="s">
        <v>927</v>
      </c>
      <c r="B63" s="20" t="str">
        <f t="shared" ref="B63:B64" si="10">MID(A63,6,23)</f>
        <v>2017/02/18 07:57:10.423</v>
      </c>
      <c r="C63" s="20">
        <f t="shared" ref="C63:C64" si="11">ABS(B63-B62)</f>
        <v>3.6226847441866994E-6</v>
      </c>
    </row>
    <row r="64" spans="1:3" x14ac:dyDescent="0.25">
      <c r="A64" t="s">
        <v>928</v>
      </c>
      <c r="B64" s="20" t="str">
        <f t="shared" si="10"/>
        <v>2017/02/18 07:57:10.915</v>
      </c>
      <c r="C64" s="20">
        <f t="shared" si="11"/>
        <v>5.6944481912069023E-6</v>
      </c>
    </row>
    <row r="65" spans="2:3" x14ac:dyDescent="0.25">
      <c r="B65" s="20"/>
      <c r="C65" s="20"/>
    </row>
    <row r="66" spans="2:3" x14ac:dyDescent="0.25">
      <c r="B66" s="20"/>
      <c r="C66" s="20"/>
    </row>
    <row r="67" spans="2:3" x14ac:dyDescent="0.25">
      <c r="B67" s="20"/>
      <c r="C67" s="20"/>
    </row>
    <row r="68" spans="2:3" x14ac:dyDescent="0.25">
      <c r="B68" s="20"/>
      <c r="C68" s="20"/>
    </row>
    <row r="69" spans="2:3" x14ac:dyDescent="0.25">
      <c r="B69" s="20"/>
      <c r="C69" s="20"/>
    </row>
    <row r="70" spans="2:3" x14ac:dyDescent="0.25">
      <c r="B70" s="20"/>
      <c r="C70" s="20"/>
    </row>
    <row r="71" spans="2:3" x14ac:dyDescent="0.25">
      <c r="B71" s="20"/>
      <c r="C71" s="20"/>
    </row>
    <row r="72" spans="2:3" x14ac:dyDescent="0.25">
      <c r="B72" s="20"/>
      <c r="C72" s="20"/>
    </row>
    <row r="73" spans="2:3" x14ac:dyDescent="0.25">
      <c r="B73" s="20"/>
      <c r="C73" s="20"/>
    </row>
    <row r="74" spans="2:3" x14ac:dyDescent="0.25">
      <c r="B74" s="20"/>
      <c r="C74" s="20"/>
    </row>
    <row r="75" spans="2:3" x14ac:dyDescent="0.25">
      <c r="B75" s="20"/>
      <c r="C75" s="20"/>
    </row>
    <row r="76" spans="2:3" x14ac:dyDescent="0.25">
      <c r="B76" s="20"/>
      <c r="C76" s="20"/>
    </row>
    <row r="77" spans="2:3" x14ac:dyDescent="0.25">
      <c r="B77" s="20"/>
      <c r="C77" s="20"/>
    </row>
    <row r="78" spans="2:3" x14ac:dyDescent="0.25">
      <c r="B78" s="20"/>
      <c r="C78" s="20"/>
    </row>
    <row r="79" spans="2:3" x14ac:dyDescent="0.25">
      <c r="B79" s="20"/>
      <c r="C79" s="20"/>
    </row>
    <row r="80" spans="2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2017-02-21T18:41:44Z</dcterms:modified>
</cp:coreProperties>
</file>