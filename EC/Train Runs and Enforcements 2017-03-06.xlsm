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Trips'!$A$2:$J$101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60" i="3" l="1"/>
  <c r="S61" i="3"/>
  <c r="S62" i="3"/>
  <c r="S63" i="3"/>
  <c r="R60" i="3"/>
  <c r="R61" i="3"/>
  <c r="R62" i="3"/>
  <c r="R63" i="3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3" i="6"/>
  <c r="E22" i="10"/>
  <c r="E23" i="10" s="1"/>
  <c r="E19" i="10"/>
  <c r="L19" i="10" s="1"/>
  <c r="M19" i="10" s="1"/>
  <c r="E5" i="10"/>
  <c r="E6" i="10" s="1"/>
  <c r="L6" i="10" s="1"/>
  <c r="M6" i="10" s="1"/>
  <c r="L3" i="10"/>
  <c r="M3" i="10" s="1"/>
  <c r="L4" i="10"/>
  <c r="M4" i="10" s="1"/>
  <c r="L12" i="10"/>
  <c r="M12" i="10" s="1"/>
  <c r="L13" i="10"/>
  <c r="M13" i="10" s="1"/>
  <c r="L14" i="10"/>
  <c r="M14" i="10" s="1"/>
  <c r="L15" i="10"/>
  <c r="M15" i="10" s="1"/>
  <c r="L16" i="10"/>
  <c r="M16" i="10" s="1"/>
  <c r="L17" i="10"/>
  <c r="M17" i="10" s="1"/>
  <c r="L18" i="10"/>
  <c r="M18" i="10" s="1"/>
  <c r="L20" i="10"/>
  <c r="M20" i="10" s="1"/>
  <c r="L21" i="10"/>
  <c r="M21" i="10" s="1"/>
  <c r="L22" i="10"/>
  <c r="M22" i="10" s="1"/>
  <c r="L34" i="10"/>
  <c r="M34" i="10" s="1"/>
  <c r="L35" i="10"/>
  <c r="M35" i="10" s="1"/>
  <c r="L2" i="10"/>
  <c r="M2" i="10" s="1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2" i="10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7" i="3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13" i="1"/>
  <c r="N3" i="10"/>
  <c r="O3" i="10"/>
  <c r="P3" i="10"/>
  <c r="Q3" i="10"/>
  <c r="N4" i="10"/>
  <c r="O4" i="10"/>
  <c r="P4" i="10"/>
  <c r="Q4" i="10"/>
  <c r="N5" i="10"/>
  <c r="O5" i="10"/>
  <c r="P5" i="10"/>
  <c r="Q5" i="10"/>
  <c r="N6" i="10"/>
  <c r="O6" i="10"/>
  <c r="P6" i="10"/>
  <c r="Q6" i="10"/>
  <c r="N7" i="10"/>
  <c r="O7" i="10"/>
  <c r="P7" i="10"/>
  <c r="Q7" i="10"/>
  <c r="N8" i="10"/>
  <c r="O8" i="10"/>
  <c r="P8" i="10"/>
  <c r="Q8" i="10"/>
  <c r="N9" i="10"/>
  <c r="O9" i="10"/>
  <c r="P9" i="10"/>
  <c r="Q9" i="10"/>
  <c r="N10" i="10"/>
  <c r="O10" i="10"/>
  <c r="P10" i="10"/>
  <c r="Q10" i="10"/>
  <c r="N11" i="10"/>
  <c r="O11" i="10"/>
  <c r="P11" i="10"/>
  <c r="Q11" i="10"/>
  <c r="N12" i="10"/>
  <c r="O12" i="10"/>
  <c r="P12" i="10"/>
  <c r="Q12" i="10"/>
  <c r="N13" i="10"/>
  <c r="O13" i="10"/>
  <c r="P13" i="10"/>
  <c r="Q13" i="10"/>
  <c r="N14" i="10"/>
  <c r="O14" i="10"/>
  <c r="P14" i="10"/>
  <c r="Q14" i="10"/>
  <c r="N15" i="10"/>
  <c r="O15" i="10"/>
  <c r="P15" i="10"/>
  <c r="Q15" i="10"/>
  <c r="N16" i="10"/>
  <c r="O16" i="10"/>
  <c r="P16" i="10"/>
  <c r="Q16" i="10"/>
  <c r="N17" i="10"/>
  <c r="O17" i="10"/>
  <c r="P17" i="10"/>
  <c r="Q17" i="10"/>
  <c r="N18" i="10"/>
  <c r="O18" i="10"/>
  <c r="P18" i="10"/>
  <c r="Q18" i="10"/>
  <c r="N19" i="10"/>
  <c r="O19" i="10"/>
  <c r="P19" i="10"/>
  <c r="Q19" i="10"/>
  <c r="N20" i="10"/>
  <c r="O20" i="10"/>
  <c r="P20" i="10"/>
  <c r="Q20" i="10"/>
  <c r="N21" i="10"/>
  <c r="O21" i="10"/>
  <c r="P21" i="10"/>
  <c r="Q21" i="10"/>
  <c r="N22" i="10"/>
  <c r="O22" i="10"/>
  <c r="P22" i="10"/>
  <c r="Q22" i="10"/>
  <c r="N23" i="10"/>
  <c r="O23" i="10"/>
  <c r="P23" i="10"/>
  <c r="Q23" i="10"/>
  <c r="N24" i="10"/>
  <c r="O24" i="10"/>
  <c r="P24" i="10"/>
  <c r="Q24" i="10"/>
  <c r="N25" i="10"/>
  <c r="O25" i="10"/>
  <c r="P25" i="10"/>
  <c r="Q25" i="10"/>
  <c r="N26" i="10"/>
  <c r="O26" i="10"/>
  <c r="P26" i="10"/>
  <c r="Q26" i="10"/>
  <c r="N27" i="10"/>
  <c r="O27" i="10"/>
  <c r="P27" i="10"/>
  <c r="Q27" i="10"/>
  <c r="N28" i="10"/>
  <c r="O28" i="10"/>
  <c r="P28" i="10"/>
  <c r="Q28" i="10"/>
  <c r="N29" i="10"/>
  <c r="O29" i="10"/>
  <c r="P29" i="10"/>
  <c r="Q29" i="10"/>
  <c r="N30" i="10"/>
  <c r="O30" i="10"/>
  <c r="P30" i="10"/>
  <c r="Q30" i="10"/>
  <c r="N31" i="10"/>
  <c r="O31" i="10"/>
  <c r="P31" i="10"/>
  <c r="Q31" i="10"/>
  <c r="N32" i="10"/>
  <c r="O32" i="10"/>
  <c r="P32" i="10"/>
  <c r="Q32" i="10"/>
  <c r="N33" i="10"/>
  <c r="O33" i="10"/>
  <c r="P33" i="10"/>
  <c r="Q33" i="10"/>
  <c r="N34" i="10"/>
  <c r="O34" i="10"/>
  <c r="P34" i="10"/>
  <c r="Q34" i="10"/>
  <c r="N35" i="10"/>
  <c r="O35" i="10"/>
  <c r="P35" i="10"/>
  <c r="Q35" i="10"/>
  <c r="Q2" i="10"/>
  <c r="P2" i="10"/>
  <c r="O2" i="10"/>
  <c r="N2" i="10"/>
  <c r="L23" i="10" l="1"/>
  <c r="M23" i="10" s="1"/>
  <c r="E24" i="10"/>
  <c r="L5" i="10"/>
  <c r="M5" i="10" s="1"/>
  <c r="R2" i="10"/>
  <c r="I2" i="10" s="1"/>
  <c r="R32" i="10"/>
  <c r="R28" i="10"/>
  <c r="R24" i="10"/>
  <c r="R20" i="10"/>
  <c r="I20" i="10" s="1"/>
  <c r="R16" i="10"/>
  <c r="I16" i="10" s="1"/>
  <c r="R12" i="10"/>
  <c r="I12" i="10" s="1"/>
  <c r="R8" i="10"/>
  <c r="R4" i="10"/>
  <c r="I4" i="10" s="1"/>
  <c r="R34" i="10"/>
  <c r="H34" i="10" s="1"/>
  <c r="R31" i="10"/>
  <c r="R29" i="10"/>
  <c r="R26" i="10"/>
  <c r="R23" i="10"/>
  <c r="I23" i="10" s="1"/>
  <c r="R22" i="10"/>
  <c r="I22" i="10" s="1"/>
  <c r="R18" i="10"/>
  <c r="I18" i="10" s="1"/>
  <c r="R15" i="10"/>
  <c r="I15" i="10" s="1"/>
  <c r="R13" i="10"/>
  <c r="I13" i="10" s="1"/>
  <c r="R11" i="10"/>
  <c r="R9" i="10"/>
  <c r="R7" i="10"/>
  <c r="R5" i="10"/>
  <c r="R35" i="10"/>
  <c r="H35" i="10" s="1"/>
  <c r="R33" i="10"/>
  <c r="R30" i="10"/>
  <c r="R27" i="10"/>
  <c r="R25" i="10"/>
  <c r="R21" i="10"/>
  <c r="I21" i="10" s="1"/>
  <c r="R19" i="10"/>
  <c r="I19" i="10" s="1"/>
  <c r="R17" i="10"/>
  <c r="I17" i="10" s="1"/>
  <c r="R14" i="10"/>
  <c r="I14" i="10" s="1"/>
  <c r="R10" i="10"/>
  <c r="R6" i="10"/>
  <c r="I6" i="10" s="1"/>
  <c r="R3" i="10"/>
  <c r="I3" i="10" s="1"/>
  <c r="E7" i="10"/>
  <c r="AN145" i="1"/>
  <c r="AM145" i="1"/>
  <c r="AH145" i="1"/>
  <c r="AE145" i="1"/>
  <c r="AD145" i="1"/>
  <c r="AG145" i="1" s="1"/>
  <c r="AC145" i="1"/>
  <c r="AB145" i="1"/>
  <c r="AA145" i="1"/>
  <c r="V145" i="1"/>
  <c r="M145" i="1"/>
  <c r="L145" i="1"/>
  <c r="K145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H172" i="1"/>
  <c r="AM172" i="1"/>
  <c r="AN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H173" i="1"/>
  <c r="AM173" i="1"/>
  <c r="AN173" i="1"/>
  <c r="K44" i="1"/>
  <c r="L44" i="1"/>
  <c r="M44" i="1"/>
  <c r="N44" i="1" s="1"/>
  <c r="V44" i="1"/>
  <c r="J6" i="10" s="1"/>
  <c r="Y44" i="1"/>
  <c r="Z44" i="1"/>
  <c r="AB44" i="1"/>
  <c r="AC44" i="1"/>
  <c r="AD44" i="1"/>
  <c r="T44" i="1" s="1"/>
  <c r="AE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H47" i="1"/>
  <c r="AM47" i="1"/>
  <c r="AN47" i="1"/>
  <c r="K48" i="1"/>
  <c r="L48" i="1"/>
  <c r="M48" i="1"/>
  <c r="N48" i="1"/>
  <c r="V48" i="1"/>
  <c r="Y48" i="1"/>
  <c r="Z48" i="1"/>
  <c r="AB48" i="1"/>
  <c r="AC48" i="1"/>
  <c r="AD48" i="1"/>
  <c r="X48" i="1" s="1"/>
  <c r="AE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H50" i="1"/>
  <c r="AM50" i="1"/>
  <c r="AN50" i="1"/>
  <c r="K51" i="1"/>
  <c r="L51" i="1"/>
  <c r="M51" i="1"/>
  <c r="N51" i="1" s="1"/>
  <c r="V51" i="1"/>
  <c r="S9" i="3" s="1"/>
  <c r="Y51" i="1"/>
  <c r="Z51" i="1"/>
  <c r="AB51" i="1"/>
  <c r="AC51" i="1"/>
  <c r="AD51" i="1"/>
  <c r="AE51" i="1"/>
  <c r="R9" i="3" s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R13" i="3" s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H53" i="1"/>
  <c r="AM53" i="1"/>
  <c r="AN53" i="1"/>
  <c r="K16" i="1"/>
  <c r="L16" i="1"/>
  <c r="M16" i="1"/>
  <c r="V16" i="1"/>
  <c r="J2" i="10" s="1"/>
  <c r="Y16" i="1"/>
  <c r="Z16" i="1"/>
  <c r="AB16" i="1"/>
  <c r="AC16" i="1"/>
  <c r="AD16" i="1"/>
  <c r="T16" i="1" s="1"/>
  <c r="AE16" i="1"/>
  <c r="AH16" i="1"/>
  <c r="AM16" i="1"/>
  <c r="AN16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H15" i="1"/>
  <c r="AM15" i="1"/>
  <c r="AN15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H30" i="1"/>
  <c r="AM30" i="1"/>
  <c r="AN30" i="1"/>
  <c r="K31" i="1"/>
  <c r="L31" i="1"/>
  <c r="M31" i="1"/>
  <c r="N31" i="1" s="1"/>
  <c r="V31" i="1"/>
  <c r="S7" i="3" s="1"/>
  <c r="Y31" i="1"/>
  <c r="Z31" i="1"/>
  <c r="AB31" i="1"/>
  <c r="AC31" i="1"/>
  <c r="AD31" i="1"/>
  <c r="AE31" i="1"/>
  <c r="R7" i="3" s="1"/>
  <c r="AH31" i="1"/>
  <c r="AM31" i="1"/>
  <c r="AN31" i="1"/>
  <c r="K32" i="1"/>
  <c r="L32" i="1"/>
  <c r="M32" i="1"/>
  <c r="N32" i="1" s="1"/>
  <c r="V32" i="1"/>
  <c r="S17" i="3" s="1"/>
  <c r="Y32" i="1"/>
  <c r="Z32" i="1"/>
  <c r="AB32" i="1"/>
  <c r="AC32" i="1"/>
  <c r="AD32" i="1"/>
  <c r="AE32" i="1"/>
  <c r="R17" i="3" s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H34" i="1"/>
  <c r="AM34" i="1"/>
  <c r="AN34" i="1"/>
  <c r="K35" i="1"/>
  <c r="L35" i="1"/>
  <c r="M35" i="1"/>
  <c r="N35" i="1" s="1"/>
  <c r="V35" i="1"/>
  <c r="S28" i="3" s="1"/>
  <c r="Y35" i="1"/>
  <c r="Z35" i="1"/>
  <c r="AB35" i="1"/>
  <c r="AC35" i="1"/>
  <c r="AD35" i="1"/>
  <c r="AG35" i="1" s="1"/>
  <c r="AE35" i="1"/>
  <c r="R28" i="3" s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H37" i="1"/>
  <c r="AM37" i="1"/>
  <c r="AN37" i="1"/>
  <c r="K38" i="1"/>
  <c r="L38" i="1"/>
  <c r="M38" i="1"/>
  <c r="N38" i="1" s="1"/>
  <c r="V38" i="1"/>
  <c r="J3" i="10" s="1"/>
  <c r="Y38" i="1"/>
  <c r="Z38" i="1"/>
  <c r="AB38" i="1"/>
  <c r="AC38" i="1"/>
  <c r="AD38" i="1"/>
  <c r="AE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H39" i="1"/>
  <c r="AM39" i="1"/>
  <c r="AN39" i="1"/>
  <c r="K40" i="1"/>
  <c r="L40" i="1"/>
  <c r="M40" i="1"/>
  <c r="N40" i="1" s="1"/>
  <c r="V40" i="1"/>
  <c r="J4" i="10" s="1"/>
  <c r="Y40" i="1"/>
  <c r="Z40" i="1"/>
  <c r="AB40" i="1"/>
  <c r="AC40" i="1"/>
  <c r="AD40" i="1"/>
  <c r="AG40" i="1" s="1"/>
  <c r="AE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H41" i="1"/>
  <c r="AM41" i="1"/>
  <c r="AN41" i="1"/>
  <c r="K42" i="1"/>
  <c r="L42" i="1"/>
  <c r="M42" i="1"/>
  <c r="N42" i="1" s="1"/>
  <c r="V42" i="1"/>
  <c r="J5" i="10" s="1"/>
  <c r="Y42" i="1"/>
  <c r="Z42" i="1"/>
  <c r="AB42" i="1"/>
  <c r="AC42" i="1"/>
  <c r="AD42" i="1"/>
  <c r="AG42" i="1" s="1"/>
  <c r="AE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H43" i="1"/>
  <c r="AM43" i="1"/>
  <c r="AN43" i="1"/>
  <c r="K54" i="1"/>
  <c r="L54" i="1"/>
  <c r="M54" i="1"/>
  <c r="N54" i="1" s="1"/>
  <c r="V54" i="1"/>
  <c r="Y54" i="1"/>
  <c r="Z54" i="1"/>
  <c r="AB54" i="1"/>
  <c r="AC54" i="1"/>
  <c r="AD54" i="1"/>
  <c r="AE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H55" i="1"/>
  <c r="AM55" i="1"/>
  <c r="AN55" i="1"/>
  <c r="K56" i="1"/>
  <c r="L56" i="1"/>
  <c r="M56" i="1"/>
  <c r="N56" i="1" s="1"/>
  <c r="V56" i="1"/>
  <c r="J12" i="10" s="1"/>
  <c r="Y56" i="1"/>
  <c r="Z56" i="1"/>
  <c r="AB56" i="1"/>
  <c r="AC56" i="1"/>
  <c r="AD56" i="1"/>
  <c r="T56" i="1" s="1"/>
  <c r="AE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H57" i="1"/>
  <c r="AM57" i="1"/>
  <c r="AN57" i="1"/>
  <c r="K58" i="1"/>
  <c r="L58" i="1"/>
  <c r="M58" i="1"/>
  <c r="N58" i="1" s="1"/>
  <c r="V58" i="1"/>
  <c r="J13" i="10" s="1"/>
  <c r="Y58" i="1"/>
  <c r="Z58" i="1"/>
  <c r="AB58" i="1"/>
  <c r="AC58" i="1"/>
  <c r="AD58" i="1"/>
  <c r="AG58" i="1" s="1"/>
  <c r="AE58" i="1"/>
  <c r="AH58" i="1"/>
  <c r="AM58" i="1"/>
  <c r="AN58" i="1"/>
  <c r="K59" i="1"/>
  <c r="L59" i="1"/>
  <c r="M59" i="1"/>
  <c r="N59" i="1" s="1"/>
  <c r="V59" i="1"/>
  <c r="S8" i="3" s="1"/>
  <c r="Y59" i="1"/>
  <c r="Z59" i="1"/>
  <c r="AB59" i="1"/>
  <c r="AC59" i="1"/>
  <c r="AD59" i="1"/>
  <c r="AG59" i="1" s="1"/>
  <c r="AE59" i="1"/>
  <c r="R8" i="3" s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15" i="3" s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H64" i="1"/>
  <c r="AM64" i="1"/>
  <c r="AN64" i="1"/>
  <c r="K65" i="1"/>
  <c r="L65" i="1"/>
  <c r="M65" i="1"/>
  <c r="N65" i="1" s="1"/>
  <c r="V65" i="1"/>
  <c r="S27" i="3" s="1"/>
  <c r="Y65" i="1"/>
  <c r="Z65" i="1"/>
  <c r="AB65" i="1"/>
  <c r="AC65" i="1"/>
  <c r="AD65" i="1"/>
  <c r="T65" i="1" s="1"/>
  <c r="AE65" i="1"/>
  <c r="R27" i="3" s="1"/>
  <c r="AH65" i="1"/>
  <c r="AM65" i="1"/>
  <c r="AN65" i="1"/>
  <c r="K66" i="1"/>
  <c r="L66" i="1"/>
  <c r="M66" i="1"/>
  <c r="N66" i="1" s="1"/>
  <c r="V66" i="1"/>
  <c r="S19" i="3" s="1"/>
  <c r="Y66" i="1"/>
  <c r="Z66" i="1"/>
  <c r="AB66" i="1"/>
  <c r="AC66" i="1"/>
  <c r="AD66" i="1"/>
  <c r="AE66" i="1"/>
  <c r="R19" i="3" s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H68" i="1"/>
  <c r="AM68" i="1"/>
  <c r="AN68" i="1"/>
  <c r="K69" i="1"/>
  <c r="L69" i="1"/>
  <c r="M69" i="1"/>
  <c r="N69" i="1" s="1"/>
  <c r="V69" i="1"/>
  <c r="S29" i="3" s="1"/>
  <c r="Y69" i="1"/>
  <c r="Z69" i="1"/>
  <c r="AB69" i="1"/>
  <c r="AC69" i="1"/>
  <c r="AD69" i="1"/>
  <c r="AG69" i="1" s="1"/>
  <c r="AE69" i="1"/>
  <c r="R29" i="3" s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H74" i="1"/>
  <c r="AM74" i="1"/>
  <c r="AN74" i="1"/>
  <c r="K75" i="1"/>
  <c r="L75" i="1"/>
  <c r="M75" i="1"/>
  <c r="N75" i="1" s="1"/>
  <c r="V75" i="1"/>
  <c r="S10" i="3" s="1"/>
  <c r="Y75" i="1"/>
  <c r="Z75" i="1"/>
  <c r="AB75" i="1"/>
  <c r="AC75" i="1"/>
  <c r="AD75" i="1"/>
  <c r="AE75" i="1"/>
  <c r="R10" i="3" s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H79" i="1"/>
  <c r="AM79" i="1"/>
  <c r="AN79" i="1"/>
  <c r="K80" i="1"/>
  <c r="L80" i="1"/>
  <c r="M80" i="1"/>
  <c r="N80" i="1" s="1"/>
  <c r="V80" i="1"/>
  <c r="S31" i="3" s="1"/>
  <c r="Y80" i="1"/>
  <c r="Z80" i="1"/>
  <c r="AB80" i="1"/>
  <c r="AC80" i="1"/>
  <c r="AD80" i="1"/>
  <c r="AG80" i="1" s="1"/>
  <c r="AE80" i="1"/>
  <c r="R31" i="3" s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H82" i="1"/>
  <c r="AM82" i="1"/>
  <c r="AN82" i="1"/>
  <c r="K83" i="1"/>
  <c r="L83" i="1"/>
  <c r="M83" i="1"/>
  <c r="N83" i="1" s="1"/>
  <c r="V83" i="1"/>
  <c r="S44" i="3" s="1"/>
  <c r="Y83" i="1"/>
  <c r="Z83" i="1"/>
  <c r="AB83" i="1"/>
  <c r="AC83" i="1"/>
  <c r="AD83" i="1"/>
  <c r="AE83" i="1"/>
  <c r="R44" i="3" s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H89" i="1"/>
  <c r="AM89" i="1"/>
  <c r="AN89" i="1"/>
  <c r="K90" i="1"/>
  <c r="L90" i="1"/>
  <c r="M90" i="1"/>
  <c r="N90" i="1" s="1"/>
  <c r="V90" i="1"/>
  <c r="J15" i="10" s="1"/>
  <c r="Y90" i="1"/>
  <c r="Z90" i="1"/>
  <c r="AB90" i="1"/>
  <c r="AC90" i="1"/>
  <c r="AD90" i="1"/>
  <c r="AG90" i="1" s="1"/>
  <c r="AE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H92" i="1"/>
  <c r="AM92" i="1"/>
  <c r="AN92" i="1"/>
  <c r="K93" i="1"/>
  <c r="L93" i="1"/>
  <c r="M93" i="1"/>
  <c r="V93" i="1"/>
  <c r="Y93" i="1"/>
  <c r="Z93" i="1"/>
  <c r="AB93" i="1"/>
  <c r="AC93" i="1"/>
  <c r="AD93" i="1"/>
  <c r="T93" i="1" s="1"/>
  <c r="AE93" i="1"/>
  <c r="AH93" i="1"/>
  <c r="AM93" i="1"/>
  <c r="AN93" i="1"/>
  <c r="K94" i="1"/>
  <c r="L94" i="1"/>
  <c r="M94" i="1"/>
  <c r="V94" i="1"/>
  <c r="Y94" i="1"/>
  <c r="Z94" i="1"/>
  <c r="AB94" i="1"/>
  <c r="AC94" i="1"/>
  <c r="AD94" i="1"/>
  <c r="AG94" i="1" s="1"/>
  <c r="AE94" i="1"/>
  <c r="AH94" i="1"/>
  <c r="AM94" i="1"/>
  <c r="AN94" i="1"/>
  <c r="K95" i="1"/>
  <c r="L95" i="1"/>
  <c r="M95" i="1"/>
  <c r="P95" i="1" s="1"/>
  <c r="V95" i="1"/>
  <c r="S32" i="3" s="1"/>
  <c r="Y95" i="1"/>
  <c r="Z95" i="1"/>
  <c r="AB95" i="1"/>
  <c r="AC95" i="1"/>
  <c r="AD95" i="1"/>
  <c r="AE95" i="1"/>
  <c r="R32" i="3" s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H96" i="1"/>
  <c r="AM96" i="1"/>
  <c r="AN96" i="1"/>
  <c r="K97" i="1"/>
  <c r="L97" i="1"/>
  <c r="M97" i="1"/>
  <c r="P97" i="1" s="1"/>
  <c r="V97" i="1"/>
  <c r="S33" i="3" s="1"/>
  <c r="Y97" i="1"/>
  <c r="Z97" i="1"/>
  <c r="AB97" i="1"/>
  <c r="AC97" i="1"/>
  <c r="AD97" i="1"/>
  <c r="T97" i="1" s="1"/>
  <c r="AE97" i="1"/>
  <c r="R33" i="3" s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H99" i="1"/>
  <c r="AM99" i="1"/>
  <c r="AN99" i="1"/>
  <c r="K100" i="1"/>
  <c r="L100" i="1"/>
  <c r="M100" i="1"/>
  <c r="N100" i="1" s="1"/>
  <c r="V100" i="1"/>
  <c r="S26" i="3" s="1"/>
  <c r="Y100" i="1"/>
  <c r="Z100" i="1"/>
  <c r="AB100" i="1"/>
  <c r="AC100" i="1"/>
  <c r="AD100" i="1"/>
  <c r="AE100" i="1"/>
  <c r="R26" i="3" s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H103" i="1"/>
  <c r="AM103" i="1"/>
  <c r="AN103" i="1"/>
  <c r="K104" i="1"/>
  <c r="L104" i="1"/>
  <c r="M104" i="1"/>
  <c r="N104" i="1" s="1"/>
  <c r="V104" i="1"/>
  <c r="S42" i="3" s="1"/>
  <c r="Y104" i="1"/>
  <c r="Z104" i="1"/>
  <c r="AB104" i="1"/>
  <c r="AC104" i="1"/>
  <c r="AD104" i="1"/>
  <c r="AG104" i="1" s="1"/>
  <c r="AE104" i="1"/>
  <c r="R42" i="3" s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H105" i="1"/>
  <c r="AM105" i="1"/>
  <c r="AN105" i="1"/>
  <c r="K106" i="1"/>
  <c r="L106" i="1"/>
  <c r="M106" i="1"/>
  <c r="N106" i="1" s="1"/>
  <c r="V106" i="1"/>
  <c r="S35" i="3" s="1"/>
  <c r="Y106" i="1"/>
  <c r="Z106" i="1"/>
  <c r="AB106" i="1"/>
  <c r="AC106" i="1"/>
  <c r="AD106" i="1"/>
  <c r="AG106" i="1" s="1"/>
  <c r="AE106" i="1"/>
  <c r="R35" i="3" s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R34" i="3" s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H109" i="1"/>
  <c r="AM109" i="1"/>
  <c r="AN109" i="1"/>
  <c r="K110" i="1"/>
  <c r="L110" i="1"/>
  <c r="M110" i="1"/>
  <c r="N110" i="1" s="1"/>
  <c r="V110" i="1"/>
  <c r="S39" i="3" s="1"/>
  <c r="Y110" i="1"/>
  <c r="Z110" i="1"/>
  <c r="AB110" i="1"/>
  <c r="AC110" i="1"/>
  <c r="AD110" i="1"/>
  <c r="AG110" i="1" s="1"/>
  <c r="AE110" i="1"/>
  <c r="R39" i="3" s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H119" i="1"/>
  <c r="AM119" i="1"/>
  <c r="AN119" i="1"/>
  <c r="K120" i="1"/>
  <c r="L120" i="1"/>
  <c r="M120" i="1"/>
  <c r="N120" i="1" s="1"/>
  <c r="V120" i="1"/>
  <c r="J17" i="10" s="1"/>
  <c r="Y120" i="1"/>
  <c r="Z120" i="1"/>
  <c r="AB120" i="1"/>
  <c r="AC120" i="1"/>
  <c r="AD120" i="1"/>
  <c r="T120" i="1" s="1"/>
  <c r="AE120" i="1"/>
  <c r="AH120" i="1"/>
  <c r="AM120" i="1"/>
  <c r="AN120" i="1"/>
  <c r="K121" i="1"/>
  <c r="L121" i="1"/>
  <c r="M121" i="1"/>
  <c r="N121" i="1" s="1"/>
  <c r="V121" i="1"/>
  <c r="S30" i="3" s="1"/>
  <c r="Y121" i="1"/>
  <c r="Z121" i="1"/>
  <c r="AB121" i="1"/>
  <c r="AC121" i="1"/>
  <c r="AD121" i="1"/>
  <c r="AE121" i="1"/>
  <c r="R30" i="3" s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36" i="3" s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H125" i="1"/>
  <c r="AM125" i="1"/>
  <c r="AN125" i="1"/>
  <c r="K126" i="1"/>
  <c r="L126" i="1"/>
  <c r="M126" i="1"/>
  <c r="N126" i="1" s="1"/>
  <c r="V126" i="1"/>
  <c r="J19" i="10" s="1"/>
  <c r="Y126" i="1"/>
  <c r="Z126" i="1"/>
  <c r="AB126" i="1"/>
  <c r="AC126" i="1"/>
  <c r="AD126" i="1"/>
  <c r="AG126" i="1" s="1"/>
  <c r="AE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H127" i="1"/>
  <c r="AM127" i="1"/>
  <c r="AN127" i="1"/>
  <c r="K128" i="1"/>
  <c r="L128" i="1"/>
  <c r="M128" i="1"/>
  <c r="N128" i="1" s="1"/>
  <c r="V128" i="1"/>
  <c r="J20" i="10" s="1"/>
  <c r="Y128" i="1"/>
  <c r="Z128" i="1"/>
  <c r="AB128" i="1"/>
  <c r="AC128" i="1"/>
  <c r="AD128" i="1"/>
  <c r="AE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H129" i="1"/>
  <c r="AM129" i="1"/>
  <c r="AN129" i="1"/>
  <c r="K130" i="1"/>
  <c r="L130" i="1"/>
  <c r="M130" i="1"/>
  <c r="N130" i="1" s="1"/>
  <c r="V130" i="1"/>
  <c r="J21" i="10" s="1"/>
  <c r="Y130" i="1"/>
  <c r="Z130" i="1"/>
  <c r="AB130" i="1"/>
  <c r="AC130" i="1"/>
  <c r="AD130" i="1"/>
  <c r="AE130" i="1"/>
  <c r="AH130" i="1"/>
  <c r="AM130" i="1"/>
  <c r="AN130" i="1"/>
  <c r="K131" i="1"/>
  <c r="L131" i="1"/>
  <c r="M131" i="1"/>
  <c r="N131" i="1" s="1"/>
  <c r="V131" i="1"/>
  <c r="S24" i="3" s="1"/>
  <c r="Y131" i="1"/>
  <c r="Z131" i="1"/>
  <c r="AB131" i="1"/>
  <c r="AC131" i="1"/>
  <c r="AD131" i="1"/>
  <c r="T131" i="1" s="1"/>
  <c r="AE131" i="1"/>
  <c r="R24" i="3" s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R14" i="3" s="1"/>
  <c r="AH132" i="1"/>
  <c r="AM132" i="1"/>
  <c r="AN132" i="1"/>
  <c r="K133" i="1"/>
  <c r="L133" i="1"/>
  <c r="M133" i="1"/>
  <c r="N133" i="1" s="1"/>
  <c r="V133" i="1"/>
  <c r="S46" i="3" s="1"/>
  <c r="Y133" i="1"/>
  <c r="Z133" i="1"/>
  <c r="AB133" i="1"/>
  <c r="AC133" i="1"/>
  <c r="AD133" i="1"/>
  <c r="AG133" i="1" s="1"/>
  <c r="AE133" i="1"/>
  <c r="R46" i="3" s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H142" i="1"/>
  <c r="AM142" i="1"/>
  <c r="AN142" i="1"/>
  <c r="K143" i="1"/>
  <c r="L143" i="1"/>
  <c r="M143" i="1"/>
  <c r="V143" i="1"/>
  <c r="Y143" i="1"/>
  <c r="Z143" i="1"/>
  <c r="AB143" i="1"/>
  <c r="AC143" i="1"/>
  <c r="AD143" i="1"/>
  <c r="T143" i="1" s="1"/>
  <c r="AE143" i="1"/>
  <c r="AG143" i="1"/>
  <c r="AH143" i="1"/>
  <c r="AM143" i="1"/>
  <c r="AN143" i="1"/>
  <c r="K144" i="1"/>
  <c r="L144" i="1"/>
  <c r="M144" i="1"/>
  <c r="P144" i="1" s="1"/>
  <c r="V144" i="1"/>
  <c r="Y144" i="1"/>
  <c r="Z144" i="1"/>
  <c r="AB144" i="1"/>
  <c r="AC144" i="1"/>
  <c r="AD144" i="1"/>
  <c r="AG144" i="1" s="1"/>
  <c r="AE144" i="1"/>
  <c r="AH144" i="1"/>
  <c r="AM144" i="1"/>
  <c r="AN14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H147" i="1"/>
  <c r="AM147" i="1"/>
  <c r="AN147" i="1"/>
  <c r="K148" i="1"/>
  <c r="L148" i="1"/>
  <c r="M148" i="1"/>
  <c r="N148" i="1" s="1"/>
  <c r="V148" i="1"/>
  <c r="S47" i="3" s="1"/>
  <c r="Y148" i="1"/>
  <c r="Z148" i="1"/>
  <c r="AB148" i="1"/>
  <c r="AC148" i="1"/>
  <c r="AD148" i="1"/>
  <c r="AE148" i="1"/>
  <c r="R47" i="3" s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H151" i="1"/>
  <c r="AM151" i="1"/>
  <c r="AN151" i="1"/>
  <c r="K152" i="1"/>
  <c r="L152" i="1"/>
  <c r="M152" i="1"/>
  <c r="N152" i="1" s="1"/>
  <c r="V152" i="1"/>
  <c r="S12" i="3" s="1"/>
  <c r="Y152" i="1"/>
  <c r="AB152" i="1"/>
  <c r="AC152" i="1"/>
  <c r="AD152" i="1"/>
  <c r="T152" i="1" s="1"/>
  <c r="AE152" i="1"/>
  <c r="R12" i="3" s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H156" i="1"/>
  <c r="AM156" i="1"/>
  <c r="AN156" i="1"/>
  <c r="K157" i="1"/>
  <c r="L157" i="1"/>
  <c r="M157" i="1"/>
  <c r="N157" i="1" s="1"/>
  <c r="V157" i="1"/>
  <c r="J35" i="10" s="1"/>
  <c r="Y157" i="1"/>
  <c r="Z157" i="1"/>
  <c r="AB157" i="1"/>
  <c r="AC157" i="1"/>
  <c r="AD157" i="1"/>
  <c r="T157" i="1" s="1"/>
  <c r="AE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H174" i="1"/>
  <c r="AM174" i="1"/>
  <c r="AN17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H175" i="1"/>
  <c r="AM175" i="1"/>
  <c r="AN17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H176" i="1"/>
  <c r="AM176" i="1"/>
  <c r="AN176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H177" i="1"/>
  <c r="AM177" i="1"/>
  <c r="AN177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H178" i="1"/>
  <c r="AM178" i="1"/>
  <c r="AN178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H179" i="1"/>
  <c r="AM179" i="1"/>
  <c r="AN179" i="1"/>
  <c r="K229" i="1"/>
  <c r="L229" i="1"/>
  <c r="M229" i="1"/>
  <c r="N229" i="1" s="1"/>
  <c r="V229" i="1"/>
  <c r="Y229" i="1"/>
  <c r="Z229" i="1"/>
  <c r="AB229" i="1"/>
  <c r="AC229" i="1"/>
  <c r="AD229" i="1"/>
  <c r="AE229" i="1"/>
  <c r="AH180" i="1"/>
  <c r="AM180" i="1"/>
  <c r="AN180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H181" i="1"/>
  <c r="AM181" i="1"/>
  <c r="AN181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H182" i="1"/>
  <c r="AM182" i="1"/>
  <c r="AN182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H183" i="1"/>
  <c r="AM183" i="1"/>
  <c r="AN183" i="1"/>
  <c r="K233" i="1"/>
  <c r="L233" i="1"/>
  <c r="M233" i="1"/>
  <c r="N233" i="1" s="1"/>
  <c r="V233" i="1"/>
  <c r="Y233" i="1"/>
  <c r="Z233" i="1"/>
  <c r="AB233" i="1"/>
  <c r="AC233" i="1"/>
  <c r="AD233" i="1"/>
  <c r="AE233" i="1"/>
  <c r="AH184" i="1"/>
  <c r="AM184" i="1"/>
  <c r="AN184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H185" i="1"/>
  <c r="AM185" i="1"/>
  <c r="AN185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H186" i="1"/>
  <c r="AM186" i="1"/>
  <c r="AN186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H187" i="1"/>
  <c r="AM187" i="1"/>
  <c r="AN187" i="1"/>
  <c r="K160" i="1"/>
  <c r="L160" i="1"/>
  <c r="M160" i="1"/>
  <c r="N160" i="1" s="1"/>
  <c r="V160" i="1"/>
  <c r="S56" i="3" s="1"/>
  <c r="Y160" i="1"/>
  <c r="Z160" i="1"/>
  <c r="AB160" i="1"/>
  <c r="AC160" i="1"/>
  <c r="AD160" i="1"/>
  <c r="T160" i="1" s="1"/>
  <c r="AE160" i="1"/>
  <c r="R56" i="3" s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H189" i="1"/>
  <c r="AM189" i="1"/>
  <c r="AN189" i="1"/>
  <c r="K162" i="1"/>
  <c r="L162" i="1"/>
  <c r="M162" i="1"/>
  <c r="N162" i="1" s="1"/>
  <c r="V162" i="1"/>
  <c r="S57" i="3" s="1"/>
  <c r="Y162" i="1"/>
  <c r="Z162" i="1"/>
  <c r="AB162" i="1"/>
  <c r="AC162" i="1"/>
  <c r="AD162" i="1"/>
  <c r="T162" i="1" s="1"/>
  <c r="AE162" i="1"/>
  <c r="R57" i="3" s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E163" i="1"/>
  <c r="AH191" i="1"/>
  <c r="AM191" i="1"/>
  <c r="AN191" i="1"/>
  <c r="K164" i="1"/>
  <c r="L164" i="1"/>
  <c r="M164" i="1"/>
  <c r="N164" i="1" s="1"/>
  <c r="V164" i="1"/>
  <c r="S49" i="3" s="1"/>
  <c r="Y164" i="1"/>
  <c r="Z164" i="1"/>
  <c r="AB164" i="1"/>
  <c r="AC164" i="1"/>
  <c r="AD164" i="1"/>
  <c r="T164" i="1" s="1"/>
  <c r="AE164" i="1"/>
  <c r="R49" i="3" s="1"/>
  <c r="AH192" i="1"/>
  <c r="AM192" i="1"/>
  <c r="AN192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H193" i="1"/>
  <c r="AM193" i="1"/>
  <c r="AN193" i="1"/>
  <c r="K166" i="1"/>
  <c r="L166" i="1"/>
  <c r="M166" i="1"/>
  <c r="N166" i="1" s="1"/>
  <c r="V166" i="1"/>
  <c r="S58" i="3" s="1"/>
  <c r="Y166" i="1"/>
  <c r="Z166" i="1"/>
  <c r="AB166" i="1"/>
  <c r="AC166" i="1"/>
  <c r="AD166" i="1"/>
  <c r="T166" i="1" s="1"/>
  <c r="AE166" i="1"/>
  <c r="R58" i="3" s="1"/>
  <c r="AH194" i="1"/>
  <c r="AM194" i="1"/>
  <c r="AN194" i="1"/>
  <c r="K167" i="1"/>
  <c r="L167" i="1"/>
  <c r="M167" i="1"/>
  <c r="P167" i="1" s="1"/>
  <c r="V167" i="1"/>
  <c r="Y167" i="1"/>
  <c r="Z167" i="1"/>
  <c r="AB167" i="1"/>
  <c r="AC167" i="1"/>
  <c r="AD167" i="1"/>
  <c r="AG167" i="1" s="1"/>
  <c r="AE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H196" i="1"/>
  <c r="AM196" i="1"/>
  <c r="AN196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X172" i="1" s="1"/>
  <c r="AE171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E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H202" i="1"/>
  <c r="AM202" i="1"/>
  <c r="AN202" i="1"/>
  <c r="K177" i="1"/>
  <c r="L177" i="1"/>
  <c r="M177" i="1"/>
  <c r="N177" i="1" s="1"/>
  <c r="V177" i="1"/>
  <c r="S54" i="3" s="1"/>
  <c r="Y177" i="1"/>
  <c r="Z177" i="1"/>
  <c r="AB177" i="1"/>
  <c r="AC177" i="1"/>
  <c r="AD177" i="1"/>
  <c r="AG177" i="1" s="1"/>
  <c r="AE177" i="1"/>
  <c r="R54" i="3" s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K180" i="1"/>
  <c r="L180" i="1"/>
  <c r="M180" i="1"/>
  <c r="N180" i="1" s="1"/>
  <c r="V180" i="1"/>
  <c r="S48" i="3" s="1"/>
  <c r="Y180" i="1"/>
  <c r="Z180" i="1"/>
  <c r="AB180" i="1"/>
  <c r="AC180" i="1"/>
  <c r="AD180" i="1"/>
  <c r="T180" i="1" s="1"/>
  <c r="AE180" i="1"/>
  <c r="R48" i="3" s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H205" i="1"/>
  <c r="AM205" i="1"/>
  <c r="AN205" i="1"/>
  <c r="K182" i="1"/>
  <c r="L182" i="1"/>
  <c r="M182" i="1"/>
  <c r="N182" i="1" s="1"/>
  <c r="V182" i="1"/>
  <c r="Y182" i="1"/>
  <c r="Z182" i="1"/>
  <c r="AB182" i="1"/>
  <c r="AC182" i="1"/>
  <c r="AD182" i="1"/>
  <c r="AE182" i="1"/>
  <c r="AH206" i="1"/>
  <c r="AM206" i="1"/>
  <c r="AN20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H207" i="1"/>
  <c r="AM207" i="1"/>
  <c r="AN207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H208" i="1"/>
  <c r="AM208" i="1"/>
  <c r="AN20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H209" i="1"/>
  <c r="AM209" i="1"/>
  <c r="AN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H212" i="1"/>
  <c r="AM212" i="1"/>
  <c r="AN212" i="1"/>
  <c r="K189" i="1"/>
  <c r="L189" i="1"/>
  <c r="M189" i="1"/>
  <c r="N189" i="1"/>
  <c r="V189" i="1"/>
  <c r="Y189" i="1"/>
  <c r="Z189" i="1"/>
  <c r="AB189" i="1"/>
  <c r="AC189" i="1"/>
  <c r="AD189" i="1"/>
  <c r="AE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H214" i="1"/>
  <c r="AM214" i="1"/>
  <c r="AN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H215" i="1"/>
  <c r="AM215" i="1"/>
  <c r="AN215" i="1"/>
  <c r="K192" i="1"/>
  <c r="L192" i="1"/>
  <c r="M192" i="1"/>
  <c r="N192" i="1" s="1"/>
  <c r="V192" i="1"/>
  <c r="S51" i="3" s="1"/>
  <c r="Y192" i="1"/>
  <c r="Z192" i="1"/>
  <c r="AB192" i="1"/>
  <c r="AC192" i="1"/>
  <c r="AD192" i="1"/>
  <c r="T192" i="1" s="1"/>
  <c r="AE192" i="1"/>
  <c r="R51" i="3" s="1"/>
  <c r="AH216" i="1"/>
  <c r="AM216" i="1"/>
  <c r="AN21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H217" i="1"/>
  <c r="AM217" i="1"/>
  <c r="AN21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H218" i="1"/>
  <c r="AM218" i="1"/>
  <c r="AN21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H221" i="1"/>
  <c r="AM221" i="1"/>
  <c r="AN221" i="1"/>
  <c r="K198" i="1"/>
  <c r="L198" i="1"/>
  <c r="M198" i="1"/>
  <c r="N198" i="1" s="1"/>
  <c r="V198" i="1"/>
  <c r="Y198" i="1"/>
  <c r="Z198" i="1"/>
  <c r="AB198" i="1"/>
  <c r="AC198" i="1"/>
  <c r="AD198" i="1"/>
  <c r="AE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H223" i="1"/>
  <c r="AM223" i="1"/>
  <c r="AN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H226" i="1"/>
  <c r="AM226" i="1"/>
  <c r="AN22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H227" i="1"/>
  <c r="AM227" i="1"/>
  <c r="AN22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H228" i="1"/>
  <c r="AM228" i="1"/>
  <c r="AN228" i="1"/>
  <c r="AH229" i="1"/>
  <c r="AM229" i="1"/>
  <c r="AN229" i="1"/>
  <c r="AH230" i="1"/>
  <c r="AM230" i="1"/>
  <c r="AN23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H231" i="1"/>
  <c r="AM231" i="1"/>
  <c r="AN231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H232" i="1"/>
  <c r="AM232" i="1"/>
  <c r="AN232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H233" i="1"/>
  <c r="AM233" i="1"/>
  <c r="AN233" i="1"/>
  <c r="K220" i="1"/>
  <c r="L220" i="1"/>
  <c r="M220" i="1"/>
  <c r="N220" i="1" s="1"/>
  <c r="V220" i="1"/>
  <c r="Y220" i="1"/>
  <c r="Z220" i="1"/>
  <c r="AB220" i="1"/>
  <c r="AC220" i="1"/>
  <c r="AD220" i="1"/>
  <c r="AE220" i="1"/>
  <c r="AH234" i="1"/>
  <c r="AM234" i="1"/>
  <c r="AN234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H235" i="1"/>
  <c r="AM235" i="1"/>
  <c r="AN235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H236" i="1"/>
  <c r="AM236" i="1"/>
  <c r="AN236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H237" i="1"/>
  <c r="AM237" i="1"/>
  <c r="AN237" i="1"/>
  <c r="M43" i="3"/>
  <c r="U43" i="3"/>
  <c r="V43" i="3"/>
  <c r="W43" i="3"/>
  <c r="X43" i="3"/>
  <c r="AC43" i="3"/>
  <c r="M63" i="3"/>
  <c r="U63" i="3"/>
  <c r="AD63" i="3" s="1"/>
  <c r="V63" i="3"/>
  <c r="W63" i="3"/>
  <c r="X63" i="3"/>
  <c r="M56" i="3"/>
  <c r="U56" i="3"/>
  <c r="AC56" i="3" s="1"/>
  <c r="V56" i="3"/>
  <c r="W56" i="3"/>
  <c r="X56" i="3"/>
  <c r="M7" i="3"/>
  <c r="U7" i="3"/>
  <c r="AC7" i="3" s="1"/>
  <c r="V7" i="3"/>
  <c r="W7" i="3"/>
  <c r="X7" i="3"/>
  <c r="M62" i="3"/>
  <c r="U62" i="3"/>
  <c r="V62" i="3"/>
  <c r="AE62" i="3" s="1"/>
  <c r="W62" i="3"/>
  <c r="X62" i="3"/>
  <c r="AC62" i="3"/>
  <c r="M57" i="3"/>
  <c r="U57" i="3"/>
  <c r="V57" i="3"/>
  <c r="W57" i="3"/>
  <c r="X57" i="3"/>
  <c r="M49" i="3"/>
  <c r="U49" i="3"/>
  <c r="AC49" i="3" s="1"/>
  <c r="V49" i="3"/>
  <c r="W49" i="3"/>
  <c r="X49" i="3"/>
  <c r="M28" i="3"/>
  <c r="U28" i="3"/>
  <c r="V28" i="3"/>
  <c r="W28" i="3"/>
  <c r="X28" i="3"/>
  <c r="AC28" i="3"/>
  <c r="M17" i="3"/>
  <c r="U17" i="3"/>
  <c r="V17" i="3"/>
  <c r="W17" i="3"/>
  <c r="X17" i="3"/>
  <c r="M58" i="3"/>
  <c r="U58" i="3"/>
  <c r="V58" i="3"/>
  <c r="W58" i="3"/>
  <c r="X58" i="3"/>
  <c r="M52" i="3"/>
  <c r="U52" i="3"/>
  <c r="AC52" i="3" s="1"/>
  <c r="V52" i="3"/>
  <c r="W52" i="3"/>
  <c r="X52" i="3"/>
  <c r="M53" i="3"/>
  <c r="U53" i="3"/>
  <c r="V53" i="3"/>
  <c r="W53" i="3"/>
  <c r="X53" i="3"/>
  <c r="AC53" i="3"/>
  <c r="M55" i="3"/>
  <c r="U55" i="3"/>
  <c r="V55" i="3"/>
  <c r="W55" i="3"/>
  <c r="X55" i="3"/>
  <c r="AC55" i="3"/>
  <c r="M25" i="3"/>
  <c r="U25" i="3"/>
  <c r="AC25" i="3" s="1"/>
  <c r="V25" i="3"/>
  <c r="W25" i="3"/>
  <c r="X25" i="3"/>
  <c r="M38" i="3"/>
  <c r="U38" i="3"/>
  <c r="V38" i="3"/>
  <c r="W38" i="3"/>
  <c r="X38" i="3"/>
  <c r="M50" i="3"/>
  <c r="U50" i="3"/>
  <c r="V50" i="3"/>
  <c r="W50" i="3"/>
  <c r="X50" i="3"/>
  <c r="AC50" i="3"/>
  <c r="M59" i="3"/>
  <c r="U59" i="3"/>
  <c r="V59" i="3"/>
  <c r="W59" i="3"/>
  <c r="X59" i="3"/>
  <c r="AC59" i="3"/>
  <c r="M9" i="3"/>
  <c r="U9" i="3"/>
  <c r="AC9" i="3" s="1"/>
  <c r="V9" i="3"/>
  <c r="W9" i="3"/>
  <c r="X9" i="3"/>
  <c r="M8" i="3"/>
  <c r="U8" i="3"/>
  <c r="V8" i="3"/>
  <c r="W8" i="3"/>
  <c r="X8" i="3"/>
  <c r="M13" i="3"/>
  <c r="U13" i="3"/>
  <c r="V13" i="3"/>
  <c r="W13" i="3"/>
  <c r="X13" i="3"/>
  <c r="M27" i="3"/>
  <c r="U27" i="3"/>
  <c r="V27" i="3"/>
  <c r="W27" i="3"/>
  <c r="X27" i="3"/>
  <c r="M15" i="3"/>
  <c r="U15" i="3"/>
  <c r="AC15" i="3" s="1"/>
  <c r="V15" i="3"/>
  <c r="W15" i="3"/>
  <c r="X15" i="3"/>
  <c r="M61" i="3"/>
  <c r="U61" i="3"/>
  <c r="V61" i="3"/>
  <c r="W61" i="3"/>
  <c r="X61" i="3"/>
  <c r="M29" i="3"/>
  <c r="U29" i="3"/>
  <c r="V29" i="3"/>
  <c r="W29" i="3"/>
  <c r="X29" i="3"/>
  <c r="AC29" i="3"/>
  <c r="M54" i="3"/>
  <c r="U54" i="3"/>
  <c r="V54" i="3"/>
  <c r="W54" i="3"/>
  <c r="X54" i="3"/>
  <c r="M19" i="3"/>
  <c r="U19" i="3"/>
  <c r="AC19" i="3" s="1"/>
  <c r="V19" i="3"/>
  <c r="W19" i="3"/>
  <c r="Y19" i="3" s="1"/>
  <c r="X19" i="3"/>
  <c r="M10" i="3"/>
  <c r="U10" i="3"/>
  <c r="AC10" i="3" s="1"/>
  <c r="V10" i="3"/>
  <c r="W10" i="3"/>
  <c r="X10" i="3"/>
  <c r="M48" i="3"/>
  <c r="U48" i="3"/>
  <c r="V48" i="3"/>
  <c r="W48" i="3"/>
  <c r="X48" i="3"/>
  <c r="AC48" i="3"/>
  <c r="M11" i="3"/>
  <c r="U11" i="3"/>
  <c r="V11" i="3"/>
  <c r="W11" i="3"/>
  <c r="X11" i="3"/>
  <c r="M31" i="3"/>
  <c r="U31" i="3"/>
  <c r="AC31" i="3" s="1"/>
  <c r="V31" i="3"/>
  <c r="W31" i="3"/>
  <c r="X31" i="3"/>
  <c r="M44" i="3"/>
  <c r="U44" i="3"/>
  <c r="V44" i="3"/>
  <c r="W44" i="3"/>
  <c r="X44" i="3"/>
  <c r="M45" i="3"/>
  <c r="U45" i="3"/>
  <c r="V45" i="3"/>
  <c r="W45" i="3"/>
  <c r="X45" i="3"/>
  <c r="M32" i="3"/>
  <c r="U32" i="3"/>
  <c r="V32" i="3"/>
  <c r="W32" i="3"/>
  <c r="X32" i="3"/>
  <c r="AC32" i="3"/>
  <c r="M33" i="3"/>
  <c r="U33" i="3"/>
  <c r="V33" i="3"/>
  <c r="W33" i="3"/>
  <c r="X33" i="3"/>
  <c r="M22" i="3"/>
  <c r="U22" i="3"/>
  <c r="V22" i="3"/>
  <c r="W22" i="3"/>
  <c r="X22" i="3"/>
  <c r="M23" i="3"/>
  <c r="U23" i="3"/>
  <c r="V23" i="3"/>
  <c r="W23" i="3"/>
  <c r="X23" i="3"/>
  <c r="AC23" i="3"/>
  <c r="M20" i="3"/>
  <c r="U20" i="3"/>
  <c r="V20" i="3"/>
  <c r="W20" i="3"/>
  <c r="X20" i="3"/>
  <c r="AD44" i="3"/>
  <c r="M21" i="3"/>
  <c r="U21" i="3"/>
  <c r="AC21" i="3" s="1"/>
  <c r="V21" i="3"/>
  <c r="W21" i="3"/>
  <c r="X21" i="3"/>
  <c r="M26" i="3"/>
  <c r="U26" i="3"/>
  <c r="AC26" i="3" s="1"/>
  <c r="V26" i="3"/>
  <c r="W26" i="3"/>
  <c r="X26" i="3"/>
  <c r="M35" i="3"/>
  <c r="U35" i="3"/>
  <c r="V35" i="3"/>
  <c r="W35" i="3"/>
  <c r="X35" i="3"/>
  <c r="AC35" i="3"/>
  <c r="M34" i="3"/>
  <c r="U34" i="3"/>
  <c r="AC34" i="3" s="1"/>
  <c r="V34" i="3"/>
  <c r="W34" i="3"/>
  <c r="X34" i="3"/>
  <c r="M42" i="3"/>
  <c r="U42" i="3"/>
  <c r="V42" i="3"/>
  <c r="W42" i="3"/>
  <c r="X42" i="3"/>
  <c r="M39" i="3"/>
  <c r="U39" i="3"/>
  <c r="AC39" i="3" s="1"/>
  <c r="V39" i="3"/>
  <c r="W39" i="3"/>
  <c r="X39" i="3"/>
  <c r="M51" i="3"/>
  <c r="U51" i="3"/>
  <c r="V51" i="3"/>
  <c r="W51" i="3"/>
  <c r="X51" i="3"/>
  <c r="AC51" i="3"/>
  <c r="M30" i="3"/>
  <c r="U30" i="3"/>
  <c r="AC30" i="3" s="1"/>
  <c r="V30" i="3"/>
  <c r="W30" i="3"/>
  <c r="X30" i="3"/>
  <c r="M40" i="3"/>
  <c r="U40" i="3"/>
  <c r="V40" i="3"/>
  <c r="W40" i="3"/>
  <c r="X40" i="3"/>
  <c r="M41" i="3"/>
  <c r="U41" i="3"/>
  <c r="AC41" i="3" s="1"/>
  <c r="V41" i="3"/>
  <c r="W41" i="3"/>
  <c r="X41" i="3"/>
  <c r="M24" i="3"/>
  <c r="U24" i="3"/>
  <c r="V24" i="3"/>
  <c r="W24" i="3"/>
  <c r="X24" i="3"/>
  <c r="AC24" i="3"/>
  <c r="M36" i="3"/>
  <c r="U36" i="3"/>
  <c r="AD36" i="3" s="1"/>
  <c r="V36" i="3"/>
  <c r="W36" i="3"/>
  <c r="X36" i="3"/>
  <c r="M46" i="3"/>
  <c r="U46" i="3"/>
  <c r="V46" i="3"/>
  <c r="W46" i="3"/>
  <c r="X46" i="3"/>
  <c r="M14" i="3"/>
  <c r="U14" i="3"/>
  <c r="AC14" i="3" s="1"/>
  <c r="V14" i="3"/>
  <c r="W14" i="3"/>
  <c r="X14" i="3"/>
  <c r="M47" i="3"/>
  <c r="U47" i="3"/>
  <c r="V47" i="3"/>
  <c r="W47" i="3"/>
  <c r="X47" i="3"/>
  <c r="AC47" i="3"/>
  <c r="AD59" i="3"/>
  <c r="M12" i="3"/>
  <c r="U12" i="3"/>
  <c r="V12" i="3"/>
  <c r="W12" i="3"/>
  <c r="X12" i="3"/>
  <c r="M37" i="3"/>
  <c r="U37" i="3"/>
  <c r="V37" i="3"/>
  <c r="W37" i="3"/>
  <c r="X37" i="3"/>
  <c r="M18" i="3"/>
  <c r="U18" i="3"/>
  <c r="AC18" i="3" s="1"/>
  <c r="V18" i="3"/>
  <c r="W18" i="3"/>
  <c r="X18" i="3"/>
  <c r="M60" i="3"/>
  <c r="U60" i="3"/>
  <c r="V60" i="3"/>
  <c r="W60" i="3"/>
  <c r="X60" i="3"/>
  <c r="AC60" i="3"/>
  <c r="I5" i="10" l="1"/>
  <c r="I7" i="10"/>
  <c r="H4" i="10"/>
  <c r="J23" i="10"/>
  <c r="H20" i="10"/>
  <c r="E25" i="10"/>
  <c r="L24" i="10"/>
  <c r="M24" i="10" s="1"/>
  <c r="H24" i="10" s="1"/>
  <c r="R55" i="3"/>
  <c r="R52" i="3"/>
  <c r="R53" i="3"/>
  <c r="R25" i="3"/>
  <c r="R38" i="3"/>
  <c r="R59" i="3"/>
  <c r="R50" i="3"/>
  <c r="S37" i="3"/>
  <c r="S18" i="3"/>
  <c r="R23" i="3"/>
  <c r="R22" i="3"/>
  <c r="S45" i="3"/>
  <c r="S11" i="3"/>
  <c r="S16" i="3"/>
  <c r="S43" i="3"/>
  <c r="S13" i="3"/>
  <c r="AA50" i="1"/>
  <c r="AA47" i="1"/>
  <c r="J34" i="10"/>
  <c r="R40" i="3"/>
  <c r="R41" i="3"/>
  <c r="R20" i="3"/>
  <c r="R21" i="3"/>
  <c r="S20" i="3"/>
  <c r="S21" i="3"/>
  <c r="S52" i="3"/>
  <c r="S53" i="3"/>
  <c r="S55" i="3"/>
  <c r="J22" i="10"/>
  <c r="S14" i="3"/>
  <c r="S36" i="3"/>
  <c r="J18" i="10"/>
  <c r="S40" i="3"/>
  <c r="S41" i="3"/>
  <c r="S34" i="3"/>
  <c r="J16" i="10"/>
  <c r="J14" i="10"/>
  <c r="S15" i="3"/>
  <c r="S25" i="3"/>
  <c r="S38" i="3"/>
  <c r="S50" i="3"/>
  <c r="S59" i="3"/>
  <c r="R37" i="3"/>
  <c r="R18" i="3"/>
  <c r="S22" i="3"/>
  <c r="S23" i="3"/>
  <c r="R11" i="3"/>
  <c r="R45" i="3"/>
  <c r="R43" i="3"/>
  <c r="R16" i="3"/>
  <c r="H3" i="10"/>
  <c r="I34" i="10"/>
  <c r="H2" i="10"/>
  <c r="H19" i="10"/>
  <c r="I35" i="10"/>
  <c r="H16" i="10"/>
  <c r="H22" i="10"/>
  <c r="H6" i="10"/>
  <c r="H12" i="10"/>
  <c r="L7" i="10"/>
  <c r="M7" i="10" s="1"/>
  <c r="E8" i="10"/>
  <c r="H15" i="10"/>
  <c r="H14" i="10"/>
  <c r="H17" i="10"/>
  <c r="H13" i="10"/>
  <c r="H23" i="10"/>
  <c r="H18" i="10"/>
  <c r="H5" i="10"/>
  <c r="H21" i="10"/>
  <c r="AA52" i="1"/>
  <c r="AI59" i="1"/>
  <c r="AA55" i="1"/>
  <c r="W55" i="1" s="1"/>
  <c r="AI134" i="1"/>
  <c r="AI110" i="1"/>
  <c r="X70" i="1"/>
  <c r="AI21" i="1"/>
  <c r="AG70" i="1"/>
  <c r="X46" i="1"/>
  <c r="T172" i="1"/>
  <c r="U172" i="1" s="1"/>
  <c r="S172" i="1" s="1"/>
  <c r="AA188" i="1"/>
  <c r="AI109" i="1"/>
  <c r="AA101" i="1"/>
  <c r="AA70" i="1"/>
  <c r="AA16" i="1"/>
  <c r="X52" i="1"/>
  <c r="X49" i="1"/>
  <c r="AA51" i="1"/>
  <c r="AG44" i="1"/>
  <c r="X148" i="1"/>
  <c r="X95" i="1"/>
  <c r="AA49" i="1"/>
  <c r="AA46" i="1"/>
  <c r="AA141" i="1"/>
  <c r="AG131" i="1"/>
  <c r="AI118" i="1"/>
  <c r="T95" i="1"/>
  <c r="AA94" i="1"/>
  <c r="W94" i="1" s="1"/>
  <c r="T94" i="1"/>
  <c r="AA93" i="1"/>
  <c r="AI29" i="1"/>
  <c r="AI155" i="1"/>
  <c r="AA45" i="1"/>
  <c r="AA138" i="1"/>
  <c r="AA129" i="1"/>
  <c r="AI125" i="1"/>
  <c r="AG95" i="1"/>
  <c r="X94" i="1"/>
  <c r="X34" i="1"/>
  <c r="AA34" i="1"/>
  <c r="AA32" i="1"/>
  <c r="AA53" i="1"/>
  <c r="X51" i="1"/>
  <c r="X50" i="1"/>
  <c r="X44" i="1"/>
  <c r="AA172" i="1"/>
  <c r="W172" i="1" s="1"/>
  <c r="X150" i="1"/>
  <c r="X54" i="1"/>
  <c r="X174" i="1"/>
  <c r="AA63" i="1"/>
  <c r="X22" i="1"/>
  <c r="AA22" i="1"/>
  <c r="AG53" i="1"/>
  <c r="AI53" i="1" s="1"/>
  <c r="X53" i="1"/>
  <c r="AG173" i="1"/>
  <c r="U173" i="1" s="1"/>
  <c r="S173" i="1" s="1"/>
  <c r="X173" i="1"/>
  <c r="X149" i="1"/>
  <c r="X145" i="1"/>
  <c r="W53" i="1"/>
  <c r="AA180" i="1"/>
  <c r="AA196" i="1"/>
  <c r="AA17" i="1"/>
  <c r="W17" i="1" s="1"/>
  <c r="T49" i="1"/>
  <c r="X56" i="1"/>
  <c r="X176" i="1"/>
  <c r="X144" i="1"/>
  <c r="AA177" i="1"/>
  <c r="W177" i="1" s="1"/>
  <c r="AA139" i="1"/>
  <c r="AI126" i="1"/>
  <c r="AI122" i="1"/>
  <c r="AA92" i="1"/>
  <c r="AA48" i="1"/>
  <c r="X47" i="1"/>
  <c r="AA44" i="1"/>
  <c r="W44" i="1" s="1"/>
  <c r="X55" i="1"/>
  <c r="X175" i="1"/>
  <c r="X151" i="1"/>
  <c r="X147" i="1"/>
  <c r="X143" i="1"/>
  <c r="AD49" i="3"/>
  <c r="AI145" i="1"/>
  <c r="W145" i="1"/>
  <c r="T145" i="1"/>
  <c r="U145" i="1" s="1"/>
  <c r="S145" i="1" s="1"/>
  <c r="AA173" i="1"/>
  <c r="AI172" i="1"/>
  <c r="AI50" i="1"/>
  <c r="U49" i="1"/>
  <c r="S49" i="1" s="1"/>
  <c r="AI49" i="1"/>
  <c r="W49" i="1"/>
  <c r="W50" i="1"/>
  <c r="AG48" i="1"/>
  <c r="AG47" i="1"/>
  <c r="T47" i="1"/>
  <c r="T46" i="1"/>
  <c r="AG52" i="1"/>
  <c r="T50" i="1"/>
  <c r="U50" i="1" s="1"/>
  <c r="S50" i="1" s="1"/>
  <c r="U53" i="1"/>
  <c r="S53" i="1" s="1"/>
  <c r="T48" i="1"/>
  <c r="T52" i="1"/>
  <c r="AG51" i="1"/>
  <c r="T51" i="1"/>
  <c r="AG46" i="1"/>
  <c r="AG45" i="1"/>
  <c r="W45" i="1" s="1"/>
  <c r="X45" i="1"/>
  <c r="U44" i="1"/>
  <c r="S44" i="1" s="1"/>
  <c r="AI44" i="1"/>
  <c r="AA79" i="1"/>
  <c r="W79" i="1" s="1"/>
  <c r="AA77" i="1"/>
  <c r="AA54" i="1"/>
  <c r="AA204" i="1"/>
  <c r="AG178" i="1"/>
  <c r="X178" i="1"/>
  <c r="AA176" i="1"/>
  <c r="AA166" i="1"/>
  <c r="X25" i="1"/>
  <c r="AA23" i="1"/>
  <c r="AA20" i="1"/>
  <c r="AI17" i="1"/>
  <c r="AC45" i="3"/>
  <c r="AD62" i="3"/>
  <c r="Y46" i="3"/>
  <c r="X233" i="1"/>
  <c r="X66" i="1"/>
  <c r="AI33" i="1"/>
  <c r="AE11" i="3"/>
  <c r="AA222" i="1"/>
  <c r="AI167" i="1"/>
  <c r="AA167" i="1"/>
  <c r="W167" i="1" s="1"/>
  <c r="AA163" i="1"/>
  <c r="AA211" i="1"/>
  <c r="AA158" i="1"/>
  <c r="AI156" i="1"/>
  <c r="AI151" i="1"/>
  <c r="AI147" i="1"/>
  <c r="AA103" i="1"/>
  <c r="AA89" i="1"/>
  <c r="AE59" i="3"/>
  <c r="Y30" i="3"/>
  <c r="Y33" i="3"/>
  <c r="AD60" i="3"/>
  <c r="AE50" i="3"/>
  <c r="AD48" i="3"/>
  <c r="AD28" i="3"/>
  <c r="AD27" i="3"/>
  <c r="AA237" i="1"/>
  <c r="W237" i="1" s="1"/>
  <c r="AA203" i="1"/>
  <c r="AA201" i="1"/>
  <c r="W201" i="1" s="1"/>
  <c r="AA234" i="1"/>
  <c r="W234" i="1" s="1"/>
  <c r="AA150" i="1"/>
  <c r="AA115" i="1"/>
  <c r="AA106" i="1"/>
  <c r="W106" i="1" s="1"/>
  <c r="AA83" i="1"/>
  <c r="AG56" i="1"/>
  <c r="AI56" i="1" s="1"/>
  <c r="AA33" i="1"/>
  <c r="W33" i="1" s="1"/>
  <c r="X26" i="1"/>
  <c r="X206" i="1"/>
  <c r="AA185" i="1"/>
  <c r="W185" i="1" s="1"/>
  <c r="T233" i="1"/>
  <c r="T156" i="1"/>
  <c r="X104" i="1"/>
  <c r="T102" i="1"/>
  <c r="AI64" i="1"/>
  <c r="AA58" i="1"/>
  <c r="W58" i="1" s="1"/>
  <c r="AA40" i="1"/>
  <c r="W40" i="1" s="1"/>
  <c r="X38" i="1"/>
  <c r="X205" i="1"/>
  <c r="AD61" i="3"/>
  <c r="AE19" i="3"/>
  <c r="AA197" i="1"/>
  <c r="W197" i="1" s="1"/>
  <c r="AA193" i="1"/>
  <c r="W193" i="1" s="1"/>
  <c r="AA183" i="1"/>
  <c r="W183" i="1" s="1"/>
  <c r="AA170" i="1"/>
  <c r="AA224" i="1"/>
  <c r="AA146" i="1"/>
  <c r="AA142" i="1"/>
  <c r="X106" i="1"/>
  <c r="AA104" i="1"/>
  <c r="W104" i="1" s="1"/>
  <c r="AA80" i="1"/>
  <c r="W80" i="1" s="1"/>
  <c r="AA76" i="1"/>
  <c r="W76" i="1" s="1"/>
  <c r="AA72" i="1"/>
  <c r="AA61" i="1"/>
  <c r="AA56" i="1"/>
  <c r="T42" i="1"/>
  <c r="U42" i="1" s="1"/>
  <c r="S42" i="1" s="1"/>
  <c r="AI41" i="1"/>
  <c r="AI37" i="1"/>
  <c r="T33" i="1"/>
  <c r="U33" i="1" s="1"/>
  <c r="S33" i="1" s="1"/>
  <c r="T17" i="1"/>
  <c r="U17" i="1" s="1"/>
  <c r="S17" i="1" s="1"/>
  <c r="AA15" i="1"/>
  <c r="X204" i="1"/>
  <c r="AC27" i="3"/>
  <c r="Y32" i="3"/>
  <c r="Y31" i="3"/>
  <c r="Y15" i="3"/>
  <c r="X207" i="1"/>
  <c r="X17" i="1"/>
  <c r="AD57" i="3"/>
  <c r="AD35" i="3"/>
  <c r="Y10" i="3"/>
  <c r="Y8" i="3"/>
  <c r="Y38" i="3"/>
  <c r="Y57" i="3"/>
  <c r="Y43" i="3"/>
  <c r="AC13" i="3"/>
  <c r="Y36" i="3"/>
  <c r="Y42" i="3"/>
  <c r="Y49" i="3"/>
  <c r="Y63" i="3"/>
  <c r="AC17" i="3"/>
  <c r="AC12" i="3"/>
  <c r="AC8" i="3"/>
  <c r="AE49" i="3"/>
  <c r="AE63" i="3"/>
  <c r="AC20" i="3"/>
  <c r="AC11" i="3"/>
  <c r="AG16" i="1"/>
  <c r="X16" i="1"/>
  <c r="AD53" i="3"/>
  <c r="AD46" i="3"/>
  <c r="Y11" i="3"/>
  <c r="Y61" i="3"/>
  <c r="X190" i="1"/>
  <c r="AG190" i="1"/>
  <c r="U190" i="1" s="1"/>
  <c r="S190" i="1" s="1"/>
  <c r="AG171" i="1"/>
  <c r="AI171" i="1" s="1"/>
  <c r="X171" i="1"/>
  <c r="AA226" i="1"/>
  <c r="W226" i="1" s="1"/>
  <c r="AA212" i="1"/>
  <c r="W158" i="1"/>
  <c r="AG72" i="1"/>
  <c r="AI72" i="1" s="1"/>
  <c r="T72" i="1"/>
  <c r="AD15" i="3"/>
  <c r="X197" i="1"/>
  <c r="AG194" i="1"/>
  <c r="AI218" i="1" s="1"/>
  <c r="X194" i="1"/>
  <c r="AA169" i="1"/>
  <c r="W169" i="1" s="1"/>
  <c r="AA236" i="1"/>
  <c r="W236" i="1" s="1"/>
  <c r="T229" i="1"/>
  <c r="X229" i="1"/>
  <c r="AG229" i="1"/>
  <c r="AI229" i="1" s="1"/>
  <c r="AA209" i="1"/>
  <c r="X159" i="1"/>
  <c r="T139" i="1"/>
  <c r="AG139" i="1"/>
  <c r="W139" i="1" s="1"/>
  <c r="AA135" i="1"/>
  <c r="W135" i="1" s="1"/>
  <c r="X128" i="1"/>
  <c r="AG127" i="1"/>
  <c r="AI127" i="1" s="1"/>
  <c r="T119" i="1"/>
  <c r="AG119" i="1"/>
  <c r="X220" i="1"/>
  <c r="AG220" i="1"/>
  <c r="AG174" i="1"/>
  <c r="AI174" i="1" s="1"/>
  <c r="AG163" i="1"/>
  <c r="AI163" i="1" s="1"/>
  <c r="X163" i="1"/>
  <c r="Y22" i="3"/>
  <c r="T220" i="1"/>
  <c r="T198" i="1"/>
  <c r="X198" i="1"/>
  <c r="AG198" i="1"/>
  <c r="AG189" i="1"/>
  <c r="AI189" i="1" s="1"/>
  <c r="X189" i="1"/>
  <c r="X182" i="1"/>
  <c r="T182" i="1"/>
  <c r="T174" i="1"/>
  <c r="X160" i="1"/>
  <c r="AG160" i="1"/>
  <c r="AI160" i="1" s="1"/>
  <c r="AG211" i="1"/>
  <c r="T211" i="1"/>
  <c r="AA99" i="1"/>
  <c r="AA81" i="1"/>
  <c r="X73" i="1"/>
  <c r="AA73" i="1"/>
  <c r="AA60" i="1"/>
  <c r="AA26" i="1"/>
  <c r="Y7" i="3"/>
  <c r="AA232" i="1"/>
  <c r="W232" i="1" s="1"/>
  <c r="AA227" i="1"/>
  <c r="AA207" i="1"/>
  <c r="AA156" i="1"/>
  <c r="W156" i="1" s="1"/>
  <c r="AA133" i="1"/>
  <c r="W133" i="1" s="1"/>
  <c r="AA97" i="1"/>
  <c r="X64" i="1"/>
  <c r="AI55" i="1"/>
  <c r="AI25" i="1"/>
  <c r="AA24" i="1"/>
  <c r="X18" i="1"/>
  <c r="AA18" i="1"/>
  <c r="Y58" i="3"/>
  <c r="Y60" i="3"/>
  <c r="Y37" i="3"/>
  <c r="Y14" i="3"/>
  <c r="AD55" i="3"/>
  <c r="Y40" i="3"/>
  <c r="AE43" i="3"/>
  <c r="Y44" i="3"/>
  <c r="AE10" i="3"/>
  <c r="Y27" i="3"/>
  <c r="Y25" i="3"/>
  <c r="Y53" i="3"/>
  <c r="AA206" i="1"/>
  <c r="AA200" i="1"/>
  <c r="AG186" i="1"/>
  <c r="U186" i="1" s="1"/>
  <c r="S186" i="1" s="1"/>
  <c r="X186" i="1"/>
  <c r="AA184" i="1"/>
  <c r="X168" i="1"/>
  <c r="AG164" i="1"/>
  <c r="AI164" i="1" s="1"/>
  <c r="X164" i="1"/>
  <c r="AA162" i="1"/>
  <c r="AG233" i="1"/>
  <c r="AA231" i="1"/>
  <c r="AA228" i="1"/>
  <c r="W228" i="1" s="1"/>
  <c r="X225" i="1"/>
  <c r="X208" i="1"/>
  <c r="AG207" i="1"/>
  <c r="U207" i="1" s="1"/>
  <c r="S207" i="1" s="1"/>
  <c r="AI159" i="1"/>
  <c r="AA127" i="1"/>
  <c r="AA126" i="1"/>
  <c r="W126" i="1" s="1"/>
  <c r="AA124" i="1"/>
  <c r="AA118" i="1"/>
  <c r="W118" i="1" s="1"/>
  <c r="AG116" i="1"/>
  <c r="U116" i="1" s="1"/>
  <c r="S116" i="1" s="1"/>
  <c r="X116" i="1"/>
  <c r="X112" i="1"/>
  <c r="AI106" i="1"/>
  <c r="T104" i="1"/>
  <c r="X87" i="1"/>
  <c r="AA87" i="1"/>
  <c r="T86" i="1"/>
  <c r="AA85" i="1"/>
  <c r="AA65" i="1"/>
  <c r="AA59" i="1"/>
  <c r="W59" i="1" s="1"/>
  <c r="AA36" i="1"/>
  <c r="U143" i="1"/>
  <c r="AA223" i="1"/>
  <c r="W223" i="1" s="1"/>
  <c r="X223" i="1"/>
  <c r="AA205" i="1"/>
  <c r="AG202" i="1"/>
  <c r="AI226" i="1" s="1"/>
  <c r="X202" i="1"/>
  <c r="AA195" i="1"/>
  <c r="AA192" i="1"/>
  <c r="AG182" i="1"/>
  <c r="X181" i="1"/>
  <c r="AA175" i="1"/>
  <c r="W175" i="1" s="1"/>
  <c r="AA171" i="1"/>
  <c r="AG168" i="1"/>
  <c r="U168" i="1" s="1"/>
  <c r="S168" i="1" s="1"/>
  <c r="AA161" i="1"/>
  <c r="W161" i="1" s="1"/>
  <c r="AA235" i="1"/>
  <c r="AG225" i="1"/>
  <c r="AI225" i="1" s="1"/>
  <c r="AA219" i="1"/>
  <c r="W219" i="1" s="1"/>
  <c r="X216" i="1"/>
  <c r="AA214" i="1"/>
  <c r="W214" i="1" s="1"/>
  <c r="AG212" i="1"/>
  <c r="U212" i="1" s="1"/>
  <c r="S212" i="1" s="1"/>
  <c r="X212" i="1"/>
  <c r="AA208" i="1"/>
  <c r="AA159" i="1"/>
  <c r="W159" i="1" s="1"/>
  <c r="AA151" i="1"/>
  <c r="W151" i="1" s="1"/>
  <c r="AA148" i="1"/>
  <c r="AA144" i="1"/>
  <c r="T135" i="1"/>
  <c r="U135" i="1" s="1"/>
  <c r="S135" i="1" s="1"/>
  <c r="AA128" i="1"/>
  <c r="AA122" i="1"/>
  <c r="W122" i="1" s="1"/>
  <c r="X99" i="1"/>
  <c r="X83" i="1"/>
  <c r="AA37" i="1"/>
  <c r="W37" i="1" s="1"/>
  <c r="AA29" i="1"/>
  <c r="W29" i="1" s="1"/>
  <c r="AA199" i="1"/>
  <c r="AA187" i="1"/>
  <c r="W187" i="1" s="1"/>
  <c r="AA165" i="1"/>
  <c r="W165" i="1" s="1"/>
  <c r="AA230" i="1"/>
  <c r="W230" i="1" s="1"/>
  <c r="AA217" i="1"/>
  <c r="AA134" i="1"/>
  <c r="W134" i="1" s="1"/>
  <c r="AA125" i="1"/>
  <c r="W125" i="1" s="1"/>
  <c r="AA123" i="1"/>
  <c r="AA114" i="1"/>
  <c r="X111" i="1"/>
  <c r="AA108" i="1"/>
  <c r="X107" i="1"/>
  <c r="AG91" i="1"/>
  <c r="U91" i="1" s="1"/>
  <c r="S91" i="1" s="1"/>
  <c r="X91" i="1"/>
  <c r="AG89" i="1"/>
  <c r="AI89" i="1" s="1"/>
  <c r="AI80" i="1"/>
  <c r="X61" i="1"/>
  <c r="AG60" i="1"/>
  <c r="AI60" i="1" s="1"/>
  <c r="X60" i="1"/>
  <c r="AI58" i="1"/>
  <c r="AA221" i="1"/>
  <c r="AA191" i="1"/>
  <c r="AA189" i="1"/>
  <c r="AA179" i="1"/>
  <c r="W179" i="1" s="1"/>
  <c r="AA218" i="1"/>
  <c r="W218" i="1" s="1"/>
  <c r="X153" i="1"/>
  <c r="AG152" i="1"/>
  <c r="AI152" i="1" s="1"/>
  <c r="AA147" i="1"/>
  <c r="W147" i="1" s="1"/>
  <c r="AA140" i="1"/>
  <c r="AA181" i="1"/>
  <c r="W181" i="1" s="1"/>
  <c r="X232" i="1"/>
  <c r="AA215" i="1"/>
  <c r="W215" i="1" s="1"/>
  <c r="X127" i="1"/>
  <c r="AA121" i="1"/>
  <c r="AA116" i="1"/>
  <c r="AA113" i="1"/>
  <c r="AA111" i="1"/>
  <c r="AA109" i="1"/>
  <c r="W109" i="1" s="1"/>
  <c r="AA107" i="1"/>
  <c r="AA102" i="1"/>
  <c r="W102" i="1" s="1"/>
  <c r="AG97" i="1"/>
  <c r="U97" i="1" s="1"/>
  <c r="S97" i="1" s="1"/>
  <c r="AA96" i="1"/>
  <c r="AA86" i="1"/>
  <c r="W86" i="1" s="1"/>
  <c r="AG81" i="1"/>
  <c r="U81" i="1" s="1"/>
  <c r="S81" i="1" s="1"/>
  <c r="AI79" i="1"/>
  <c r="AA69" i="1"/>
  <c r="AA67" i="1"/>
  <c r="AA64" i="1"/>
  <c r="W64" i="1" s="1"/>
  <c r="AA41" i="1"/>
  <c r="W41" i="1" s="1"/>
  <c r="T38" i="1"/>
  <c r="AG30" i="1"/>
  <c r="U30" i="1" s="1"/>
  <c r="S30" i="1" s="1"/>
  <c r="AA25" i="1"/>
  <c r="W25" i="1" s="1"/>
  <c r="AA21" i="1"/>
  <c r="W21" i="1" s="1"/>
  <c r="X218" i="1"/>
  <c r="T215" i="1"/>
  <c r="U215" i="1" s="1"/>
  <c r="S215" i="1" s="1"/>
  <c r="U156" i="1"/>
  <c r="S156" i="1" s="1"/>
  <c r="W150" i="1"/>
  <c r="T148" i="1"/>
  <c r="AG142" i="1"/>
  <c r="AI142" i="1" s="1"/>
  <c r="X142" i="1"/>
  <c r="AG138" i="1"/>
  <c r="AI138" i="1" s="1"/>
  <c r="X138" i="1"/>
  <c r="T223" i="1"/>
  <c r="U223" i="1" s="1"/>
  <c r="S223" i="1" s="1"/>
  <c r="X237" i="1"/>
  <c r="X201" i="1"/>
  <c r="AA198" i="1"/>
  <c r="T197" i="1"/>
  <c r="U197" i="1" s="1"/>
  <c r="S197" i="1" s="1"/>
  <c r="X193" i="1"/>
  <c r="AA190" i="1"/>
  <c r="T189" i="1"/>
  <c r="X185" i="1"/>
  <c r="AA182" i="1"/>
  <c r="T181" i="1"/>
  <c r="U181" i="1" s="1"/>
  <c r="S181" i="1" s="1"/>
  <c r="X177" i="1"/>
  <c r="AA174" i="1"/>
  <c r="T171" i="1"/>
  <c r="X167" i="1"/>
  <c r="AA164" i="1"/>
  <c r="T163" i="1"/>
  <c r="X236" i="1"/>
  <c r="AA233" i="1"/>
  <c r="T232" i="1"/>
  <c r="U232" i="1" s="1"/>
  <c r="S232" i="1" s="1"/>
  <c r="X228" i="1"/>
  <c r="AA225" i="1"/>
  <c r="T219" i="1"/>
  <c r="U219" i="1" s="1"/>
  <c r="S219" i="1" s="1"/>
  <c r="T159" i="1"/>
  <c r="U159" i="1" s="1"/>
  <c r="S159" i="1" s="1"/>
  <c r="AA157" i="1"/>
  <c r="X155" i="1"/>
  <c r="AG149" i="1"/>
  <c r="U149" i="1" s="1"/>
  <c r="S149" i="1" s="1"/>
  <c r="AG148" i="1"/>
  <c r="AI148" i="1" s="1"/>
  <c r="T147" i="1"/>
  <c r="U147" i="1" s="1"/>
  <c r="S147" i="1" s="1"/>
  <c r="T132" i="1"/>
  <c r="X132" i="1"/>
  <c r="AG132" i="1"/>
  <c r="AI132" i="1" s="1"/>
  <c r="AA220" i="1"/>
  <c r="T237" i="1"/>
  <c r="U237" i="1" s="1"/>
  <c r="S237" i="1" s="1"/>
  <c r="AA202" i="1"/>
  <c r="T201" i="1"/>
  <c r="U201" i="1" s="1"/>
  <c r="S201" i="1" s="1"/>
  <c r="AA194" i="1"/>
  <c r="T193" i="1"/>
  <c r="U193" i="1" s="1"/>
  <c r="S193" i="1" s="1"/>
  <c r="AA186" i="1"/>
  <c r="T185" i="1"/>
  <c r="U185" i="1" s="1"/>
  <c r="S185" i="1" s="1"/>
  <c r="AA178" i="1"/>
  <c r="W178" i="1" s="1"/>
  <c r="T177" i="1"/>
  <c r="U177" i="1" s="1"/>
  <c r="S177" i="1" s="1"/>
  <c r="AA168" i="1"/>
  <c r="T167" i="1"/>
  <c r="AA160" i="1"/>
  <c r="T236" i="1"/>
  <c r="U236" i="1" s="1"/>
  <c r="S236" i="1" s="1"/>
  <c r="AA229" i="1"/>
  <c r="W229" i="1" s="1"/>
  <c r="T228" i="1"/>
  <c r="U228" i="1" s="1"/>
  <c r="S228" i="1" s="1"/>
  <c r="AA213" i="1"/>
  <c r="W213" i="1" s="1"/>
  <c r="AA210" i="1"/>
  <c r="W210" i="1" s="1"/>
  <c r="AA155" i="1"/>
  <c r="W155" i="1" s="1"/>
  <c r="AA154" i="1"/>
  <c r="AA152" i="1"/>
  <c r="AA149" i="1"/>
  <c r="AA143" i="1"/>
  <c r="W143" i="1" s="1"/>
  <c r="T142" i="1"/>
  <c r="AA137" i="1"/>
  <c r="AA131" i="1"/>
  <c r="T126" i="1"/>
  <c r="U126" i="1" s="1"/>
  <c r="S126" i="1" s="1"/>
  <c r="AG123" i="1"/>
  <c r="AA117" i="1"/>
  <c r="W117" i="1" s="1"/>
  <c r="AG111" i="1"/>
  <c r="AI111" i="1" s="1"/>
  <c r="AA110" i="1"/>
  <c r="W110" i="1" s="1"/>
  <c r="T110" i="1"/>
  <c r="AG107" i="1"/>
  <c r="AA100" i="1"/>
  <c r="T99" i="1"/>
  <c r="AA98" i="1"/>
  <c r="W98" i="1" s="1"/>
  <c r="T98" i="1"/>
  <c r="U98" i="1" s="1"/>
  <c r="S98" i="1" s="1"/>
  <c r="AG93" i="1"/>
  <c r="AI93" i="1" s="1"/>
  <c r="X90" i="1"/>
  <c r="AA88" i="1"/>
  <c r="AA84" i="1"/>
  <c r="T83" i="1"/>
  <c r="AA82" i="1"/>
  <c r="W82" i="1" s="1"/>
  <c r="T82" i="1"/>
  <c r="AA78" i="1"/>
  <c r="AG77" i="1"/>
  <c r="AI76" i="1"/>
  <c r="T73" i="1"/>
  <c r="AA71" i="1"/>
  <c r="W71" i="1" s="1"/>
  <c r="T69" i="1"/>
  <c r="U69" i="1" s="1"/>
  <c r="S69" i="1" s="1"/>
  <c r="AA68" i="1"/>
  <c r="AG65" i="1"/>
  <c r="AI65" i="1" s="1"/>
  <c r="X65" i="1"/>
  <c r="T64" i="1"/>
  <c r="U64" i="1" s="1"/>
  <c r="S64" i="1" s="1"/>
  <c r="X59" i="1"/>
  <c r="AA42" i="1"/>
  <c r="W42" i="1" s="1"/>
  <c r="AG38" i="1"/>
  <c r="AI38" i="1" s="1"/>
  <c r="AA35" i="1"/>
  <c r="W35" i="1" s="1"/>
  <c r="X33" i="1"/>
  <c r="X30" i="1"/>
  <c r="T29" i="1"/>
  <c r="U29" i="1" s="1"/>
  <c r="S29" i="1" s="1"/>
  <c r="AA19" i="1"/>
  <c r="W19" i="1" s="1"/>
  <c r="T18" i="1"/>
  <c r="T103" i="1"/>
  <c r="T87" i="1"/>
  <c r="T80" i="1"/>
  <c r="U80" i="1" s="1"/>
  <c r="S80" i="1" s="1"/>
  <c r="AA39" i="1"/>
  <c r="T34" i="1"/>
  <c r="AA28" i="1"/>
  <c r="AA27" i="1"/>
  <c r="W27" i="1" s="1"/>
  <c r="T26" i="1"/>
  <c r="W23" i="1"/>
  <c r="T22" i="1"/>
  <c r="X21" i="1"/>
  <c r="AA14" i="1"/>
  <c r="W14" i="1" s="1"/>
  <c r="AA132" i="1"/>
  <c r="AA130" i="1"/>
  <c r="X126" i="1"/>
  <c r="AA119" i="1"/>
  <c r="AG115" i="1"/>
  <c r="U115" i="1" s="1"/>
  <c r="AA112" i="1"/>
  <c r="X110" i="1"/>
  <c r="AA105" i="1"/>
  <c r="AG103" i="1"/>
  <c r="W103" i="1" s="1"/>
  <c r="X103" i="1"/>
  <c r="AG101" i="1"/>
  <c r="AI101" i="1" s="1"/>
  <c r="AG99" i="1"/>
  <c r="AI99" i="1" s="1"/>
  <c r="X98" i="1"/>
  <c r="AA91" i="1"/>
  <c r="W91" i="1" s="1"/>
  <c r="AA90" i="1"/>
  <c r="W90" i="1" s="1"/>
  <c r="T90" i="1"/>
  <c r="U90" i="1" s="1"/>
  <c r="S90" i="1" s="1"/>
  <c r="AG87" i="1"/>
  <c r="AG85" i="1"/>
  <c r="AG83" i="1"/>
  <c r="X82" i="1"/>
  <c r="AG78" i="1"/>
  <c r="AI78" i="1" s="1"/>
  <c r="X78" i="1"/>
  <c r="AA75" i="1"/>
  <c r="AG73" i="1"/>
  <c r="AI73" i="1" s="1"/>
  <c r="T59" i="1"/>
  <c r="U59" i="1" s="1"/>
  <c r="S59" i="1" s="1"/>
  <c r="U56" i="1"/>
  <c r="S56" i="1" s="1"/>
  <c r="AG34" i="1"/>
  <c r="AG18" i="1"/>
  <c r="AI18" i="1" s="1"/>
  <c r="X122" i="1"/>
  <c r="X102" i="1"/>
  <c r="AI97" i="1"/>
  <c r="X86" i="1"/>
  <c r="AI81" i="1"/>
  <c r="X80" i="1"/>
  <c r="AA57" i="1"/>
  <c r="AG39" i="1"/>
  <c r="U39" i="1" s="1"/>
  <c r="S39" i="1" s="1"/>
  <c r="X39" i="1"/>
  <c r="AA38" i="1"/>
  <c r="T37" i="1"/>
  <c r="U37" i="1" s="1"/>
  <c r="S37" i="1" s="1"/>
  <c r="AA30" i="1"/>
  <c r="AG26" i="1"/>
  <c r="T25" i="1"/>
  <c r="U25" i="1" s="1"/>
  <c r="S25" i="1" s="1"/>
  <c r="AG22" i="1"/>
  <c r="T21" i="1"/>
  <c r="U21" i="1" s="1"/>
  <c r="S21" i="1" s="1"/>
  <c r="AI237" i="1"/>
  <c r="AI213" i="1"/>
  <c r="AI201" i="1"/>
  <c r="AI193" i="1"/>
  <c r="AI185" i="1"/>
  <c r="AI183" i="1"/>
  <c r="AI177" i="1"/>
  <c r="AI197" i="1"/>
  <c r="U167" i="1"/>
  <c r="S167" i="1" s="1"/>
  <c r="AI187" i="1"/>
  <c r="AI181" i="1"/>
  <c r="AI179" i="1"/>
  <c r="AI158" i="1"/>
  <c r="T216" i="1"/>
  <c r="AG206" i="1"/>
  <c r="AI206" i="1" s="1"/>
  <c r="AG200" i="1"/>
  <c r="AI200" i="1" s="1"/>
  <c r="AG192" i="1"/>
  <c r="W192" i="1" s="1"/>
  <c r="T175" i="1"/>
  <c r="U175" i="1" s="1"/>
  <c r="S175" i="1" s="1"/>
  <c r="AG170" i="1"/>
  <c r="X169" i="1"/>
  <c r="T169" i="1"/>
  <c r="U169" i="1" s="1"/>
  <c r="S169" i="1" s="1"/>
  <c r="AG166" i="1"/>
  <c r="AI166" i="1" s="1"/>
  <c r="X165" i="1"/>
  <c r="T165" i="1"/>
  <c r="U165" i="1" s="1"/>
  <c r="S165" i="1" s="1"/>
  <c r="AG162" i="1"/>
  <c r="X161" i="1"/>
  <c r="T161" i="1"/>
  <c r="U161" i="1" s="1"/>
  <c r="S161" i="1" s="1"/>
  <c r="AG235" i="1"/>
  <c r="X234" i="1"/>
  <c r="T234" i="1"/>
  <c r="U234" i="1" s="1"/>
  <c r="S234" i="1" s="1"/>
  <c r="AG231" i="1"/>
  <c r="X230" i="1"/>
  <c r="T230" i="1"/>
  <c r="U230" i="1" s="1"/>
  <c r="S230" i="1" s="1"/>
  <c r="AG227" i="1"/>
  <c r="W227" i="1" s="1"/>
  <c r="X226" i="1"/>
  <c r="T226" i="1"/>
  <c r="U226" i="1" s="1"/>
  <c r="S226" i="1" s="1"/>
  <c r="AG224" i="1"/>
  <c r="X224" i="1"/>
  <c r="X215" i="1"/>
  <c r="T214" i="1"/>
  <c r="W212" i="1"/>
  <c r="X210" i="1"/>
  <c r="T209" i="1"/>
  <c r="X209" i="1"/>
  <c r="T208" i="1"/>
  <c r="AG157" i="1"/>
  <c r="W157" i="1" s="1"/>
  <c r="X157" i="1"/>
  <c r="X152" i="1"/>
  <c r="T151" i="1"/>
  <c r="U151" i="1" s="1"/>
  <c r="S151" i="1" s="1"/>
  <c r="AI150" i="1"/>
  <c r="W144" i="1"/>
  <c r="T137" i="1"/>
  <c r="X137" i="1"/>
  <c r="AG137" i="1"/>
  <c r="X136" i="1"/>
  <c r="AG136" i="1"/>
  <c r="AI133" i="1"/>
  <c r="AG96" i="1"/>
  <c r="T96" i="1"/>
  <c r="X96" i="1"/>
  <c r="AA95" i="1"/>
  <c r="W95" i="1" s="1"/>
  <c r="U95" i="1"/>
  <c r="S95" i="1" s="1"/>
  <c r="U178" i="1"/>
  <c r="S178" i="1" s="1"/>
  <c r="T154" i="1"/>
  <c r="X154" i="1"/>
  <c r="T146" i="1"/>
  <c r="AG146" i="1"/>
  <c r="AI144" i="1"/>
  <c r="T105" i="1"/>
  <c r="X105" i="1"/>
  <c r="AG105" i="1"/>
  <c r="T75" i="1"/>
  <c r="X75" i="1"/>
  <c r="AG75" i="1"/>
  <c r="AG221" i="1"/>
  <c r="W221" i="1" s="1"/>
  <c r="AG205" i="1"/>
  <c r="AI205" i="1" s="1"/>
  <c r="AG203" i="1"/>
  <c r="AI203" i="1" s="1"/>
  <c r="AG199" i="1"/>
  <c r="AG195" i="1"/>
  <c r="AG191" i="1"/>
  <c r="AI191" i="1" s="1"/>
  <c r="AG222" i="1"/>
  <c r="AI222" i="1" s="1"/>
  <c r="X221" i="1"/>
  <c r="AI234" i="1"/>
  <c r="AI230" i="1"/>
  <c r="AG204" i="1"/>
  <c r="AI204" i="1" s="1"/>
  <c r="X203" i="1"/>
  <c r="X199" i="1"/>
  <c r="AG196" i="1"/>
  <c r="AI196" i="1" s="1"/>
  <c r="X195" i="1"/>
  <c r="X191" i="1"/>
  <c r="AI214" i="1"/>
  <c r="AG188" i="1"/>
  <c r="W188" i="1" s="1"/>
  <c r="X187" i="1"/>
  <c r="T187" i="1"/>
  <c r="U187" i="1" s="1"/>
  <c r="S187" i="1" s="1"/>
  <c r="AI210" i="1"/>
  <c r="AG184" i="1"/>
  <c r="AI184" i="1" s="1"/>
  <c r="X183" i="1"/>
  <c r="T183" i="1"/>
  <c r="U183" i="1" s="1"/>
  <c r="S183" i="1" s="1"/>
  <c r="AG180" i="1"/>
  <c r="AI180" i="1" s="1"/>
  <c r="X179" i="1"/>
  <c r="T179" i="1"/>
  <c r="U179" i="1" s="1"/>
  <c r="S179" i="1" s="1"/>
  <c r="AG176" i="1"/>
  <c r="W176" i="1" s="1"/>
  <c r="X222" i="1"/>
  <c r="X200" i="1"/>
  <c r="X196" i="1"/>
  <c r="X192" i="1"/>
  <c r="X188" i="1"/>
  <c r="X184" i="1"/>
  <c r="X180" i="1"/>
  <c r="X170" i="1"/>
  <c r="X166" i="1"/>
  <c r="X162" i="1"/>
  <c r="X235" i="1"/>
  <c r="X231" i="1"/>
  <c r="X227" i="1"/>
  <c r="X219" i="1"/>
  <c r="T218" i="1"/>
  <c r="U218" i="1" s="1"/>
  <c r="S218" i="1" s="1"/>
  <c r="AA216" i="1"/>
  <c r="X214" i="1"/>
  <c r="T213" i="1"/>
  <c r="U213" i="1" s="1"/>
  <c r="S213" i="1" s="1"/>
  <c r="X213" i="1"/>
  <c r="AG209" i="1"/>
  <c r="AI209" i="1" s="1"/>
  <c r="AG208" i="1"/>
  <c r="X156" i="1"/>
  <c r="T155" i="1"/>
  <c r="U155" i="1" s="1"/>
  <c r="S155" i="1" s="1"/>
  <c r="AA153" i="1"/>
  <c r="T150" i="1"/>
  <c r="U150" i="1" s="1"/>
  <c r="S150" i="1" s="1"/>
  <c r="T144" i="1"/>
  <c r="U144" i="1" s="1"/>
  <c r="S144" i="1" s="1"/>
  <c r="T140" i="1"/>
  <c r="AG140" i="1"/>
  <c r="X140" i="1"/>
  <c r="W131" i="1"/>
  <c r="T121" i="1"/>
  <c r="X121" i="1"/>
  <c r="AG121" i="1"/>
  <c r="X120" i="1"/>
  <c r="AG120" i="1"/>
  <c r="AI117" i="1"/>
  <c r="AI98" i="1"/>
  <c r="X74" i="1"/>
  <c r="AG74" i="1"/>
  <c r="T74" i="1"/>
  <c r="T217" i="1"/>
  <c r="X217" i="1"/>
  <c r="AI165" i="1"/>
  <c r="T153" i="1"/>
  <c r="AI131" i="1"/>
  <c r="AG130" i="1"/>
  <c r="T130" i="1"/>
  <c r="X131" i="1"/>
  <c r="X130" i="1"/>
  <c r="AI82" i="1"/>
  <c r="U82" i="1"/>
  <c r="S82" i="1" s="1"/>
  <c r="AG217" i="1"/>
  <c r="AG216" i="1"/>
  <c r="U214" i="1"/>
  <c r="S214" i="1" s="1"/>
  <c r="X211" i="1"/>
  <c r="T210" i="1"/>
  <c r="U210" i="1" s="1"/>
  <c r="S210" i="1" s="1"/>
  <c r="T158" i="1"/>
  <c r="U158" i="1" s="1"/>
  <c r="S158" i="1" s="1"/>
  <c r="X158" i="1"/>
  <c r="AG154" i="1"/>
  <c r="AG153" i="1"/>
  <c r="AI143" i="1"/>
  <c r="U131" i="1"/>
  <c r="S131" i="1" s="1"/>
  <c r="AG114" i="1"/>
  <c r="W114" i="1" s="1"/>
  <c r="T114" i="1"/>
  <c r="X115" i="1"/>
  <c r="X114" i="1"/>
  <c r="AI83" i="1"/>
  <c r="X76" i="1"/>
  <c r="AI27" i="1"/>
  <c r="AG141" i="1"/>
  <c r="W141" i="1" s="1"/>
  <c r="X135" i="1"/>
  <c r="T134" i="1"/>
  <c r="U134" i="1" s="1"/>
  <c r="S134" i="1" s="1"/>
  <c r="T129" i="1"/>
  <c r="X129" i="1"/>
  <c r="T128" i="1"/>
  <c r="AG124" i="1"/>
  <c r="X124" i="1"/>
  <c r="X119" i="1"/>
  <c r="T118" i="1"/>
  <c r="U118" i="1" s="1"/>
  <c r="S118" i="1" s="1"/>
  <c r="T113" i="1"/>
  <c r="X113" i="1"/>
  <c r="T112" i="1"/>
  <c r="AG108" i="1"/>
  <c r="X108" i="1"/>
  <c r="AI90" i="1"/>
  <c r="AG88" i="1"/>
  <c r="T88" i="1"/>
  <c r="X88" i="1"/>
  <c r="AI70" i="1"/>
  <c r="U70" i="1"/>
  <c r="S70" i="1" s="1"/>
  <c r="W69" i="1"/>
  <c r="X141" i="1"/>
  <c r="X139" i="1"/>
  <c r="T138" i="1"/>
  <c r="U138" i="1" s="1"/>
  <c r="S138" i="1" s="1"/>
  <c r="AA136" i="1"/>
  <c r="AI135" i="1"/>
  <c r="X134" i="1"/>
  <c r="T133" i="1"/>
  <c r="U133" i="1" s="1"/>
  <c r="S133" i="1" s="1"/>
  <c r="X133" i="1"/>
  <c r="AG129" i="1"/>
  <c r="AG128" i="1"/>
  <c r="X123" i="1"/>
  <c r="T122" i="1"/>
  <c r="U122" i="1" s="1"/>
  <c r="S122" i="1" s="1"/>
  <c r="AA120" i="1"/>
  <c r="X118" i="1"/>
  <c r="T117" i="1"/>
  <c r="U117" i="1" s="1"/>
  <c r="S117" i="1" s="1"/>
  <c r="X117" i="1"/>
  <c r="AG113" i="1"/>
  <c r="AG112" i="1"/>
  <c r="U110" i="1"/>
  <c r="S110" i="1" s="1"/>
  <c r="T106" i="1"/>
  <c r="U106" i="1" s="1"/>
  <c r="S106" i="1" s="1"/>
  <c r="U104" i="1"/>
  <c r="S104" i="1" s="1"/>
  <c r="AI104" i="1"/>
  <c r="AI102" i="1"/>
  <c r="U102" i="1"/>
  <c r="S102" i="1" s="1"/>
  <c r="U101" i="1"/>
  <c r="S101" i="1" s="1"/>
  <c r="AG100" i="1"/>
  <c r="T100" i="1"/>
  <c r="X100" i="1"/>
  <c r="AI86" i="1"/>
  <c r="U86" i="1"/>
  <c r="S86" i="1" s="1"/>
  <c r="AG84" i="1"/>
  <c r="W84" i="1" s="1"/>
  <c r="T84" i="1"/>
  <c r="X84" i="1"/>
  <c r="AI69" i="1"/>
  <c r="AG68" i="1"/>
  <c r="T68" i="1"/>
  <c r="X69" i="1"/>
  <c r="X68" i="1"/>
  <c r="T125" i="1"/>
  <c r="U125" i="1" s="1"/>
  <c r="S125" i="1" s="1"/>
  <c r="X125" i="1"/>
  <c r="T109" i="1"/>
  <c r="U109" i="1" s="1"/>
  <c r="S109" i="1" s="1"/>
  <c r="X109" i="1"/>
  <c r="AI95" i="1"/>
  <c r="AI94" i="1"/>
  <c r="U94" i="1"/>
  <c r="AG92" i="1"/>
  <c r="T92" i="1"/>
  <c r="X92" i="1"/>
  <c r="AI71" i="1"/>
  <c r="T62" i="1"/>
  <c r="X62" i="1"/>
  <c r="AG62" i="1"/>
  <c r="AI35" i="1"/>
  <c r="W70" i="1"/>
  <c r="T67" i="1"/>
  <c r="X67" i="1"/>
  <c r="T66" i="1"/>
  <c r="T28" i="1"/>
  <c r="X28" i="1"/>
  <c r="AG28" i="1"/>
  <c r="X29" i="1"/>
  <c r="X101" i="1"/>
  <c r="X97" i="1"/>
  <c r="X93" i="1"/>
  <c r="X89" i="1"/>
  <c r="X85" i="1"/>
  <c r="X81" i="1"/>
  <c r="X77" i="1"/>
  <c r="T76" i="1"/>
  <c r="U76" i="1" s="1"/>
  <c r="S76" i="1" s="1"/>
  <c r="AA74" i="1"/>
  <c r="X72" i="1"/>
  <c r="T71" i="1"/>
  <c r="U71" i="1" s="1"/>
  <c r="S71" i="1" s="1"/>
  <c r="X71" i="1"/>
  <c r="AG67" i="1"/>
  <c r="AG66" i="1"/>
  <c r="AA62" i="1"/>
  <c r="T54" i="1"/>
  <c r="AG54" i="1"/>
  <c r="X43" i="1"/>
  <c r="AG43" i="1"/>
  <c r="AI40" i="1"/>
  <c r="T31" i="1"/>
  <c r="X31" i="1"/>
  <c r="AG31" i="1"/>
  <c r="T15" i="1"/>
  <c r="X15" i="1"/>
  <c r="AG15" i="1"/>
  <c r="T79" i="1"/>
  <c r="U79" i="1" s="1"/>
  <c r="S79" i="1" s="1"/>
  <c r="X79" i="1"/>
  <c r="AA66" i="1"/>
  <c r="T63" i="1"/>
  <c r="X63" i="1"/>
  <c r="AG63" i="1"/>
  <c r="AI19" i="1"/>
  <c r="AI14" i="1"/>
  <c r="T61" i="1"/>
  <c r="AG57" i="1"/>
  <c r="X57" i="1"/>
  <c r="X42" i="1"/>
  <c r="T41" i="1"/>
  <c r="U41" i="1" s="1"/>
  <c r="S41" i="1" s="1"/>
  <c r="T36" i="1"/>
  <c r="X36" i="1"/>
  <c r="AG36" i="1"/>
  <c r="T23" i="1"/>
  <c r="U23" i="1" s="1"/>
  <c r="S23" i="1" s="1"/>
  <c r="X23" i="1"/>
  <c r="T20" i="1"/>
  <c r="X20" i="1"/>
  <c r="AG20" i="1"/>
  <c r="AG61" i="1"/>
  <c r="T55" i="1"/>
  <c r="U55" i="1" s="1"/>
  <c r="S55" i="1" s="1"/>
  <c r="AA43" i="1"/>
  <c r="AI42" i="1"/>
  <c r="X41" i="1"/>
  <c r="T40" i="1"/>
  <c r="U40" i="1" s="1"/>
  <c r="S40" i="1" s="1"/>
  <c r="X40" i="1"/>
  <c r="X37" i="1"/>
  <c r="AI34" i="1"/>
  <c r="AA31" i="1"/>
  <c r="T27" i="1"/>
  <c r="U27" i="1" s="1"/>
  <c r="S27" i="1" s="1"/>
  <c r="X27" i="1"/>
  <c r="T24" i="1"/>
  <c r="X24" i="1"/>
  <c r="AG24" i="1"/>
  <c r="AI23" i="1"/>
  <c r="W22" i="1"/>
  <c r="T14" i="1"/>
  <c r="U14" i="1" s="1"/>
  <c r="S14" i="1" s="1"/>
  <c r="T58" i="1"/>
  <c r="U58" i="1" s="1"/>
  <c r="S58" i="1" s="1"/>
  <c r="X58" i="1"/>
  <c r="T35" i="1"/>
  <c r="U35" i="1" s="1"/>
  <c r="S35" i="1" s="1"/>
  <c r="X35" i="1"/>
  <c r="T32" i="1"/>
  <c r="X32" i="1"/>
  <c r="AG32" i="1"/>
  <c r="AI26" i="1"/>
  <c r="T19" i="1"/>
  <c r="U19" i="1" s="1"/>
  <c r="S19" i="1" s="1"/>
  <c r="X19" i="1"/>
  <c r="AE51" i="3"/>
  <c r="AE18" i="3"/>
  <c r="AD47" i="3"/>
  <c r="AE47" i="3"/>
  <c r="Y21" i="3"/>
  <c r="AE34" i="3"/>
  <c r="AD19" i="3"/>
  <c r="Y17" i="3"/>
  <c r="AD11" i="3"/>
  <c r="Y18" i="3"/>
  <c r="Y47" i="3"/>
  <c r="Y41" i="3"/>
  <c r="Y39" i="3"/>
  <c r="Y34" i="3"/>
  <c r="AE42" i="3"/>
  <c r="AE39" i="3"/>
  <c r="Y45" i="3"/>
  <c r="AE35" i="3"/>
  <c r="Y48" i="3"/>
  <c r="AE31" i="3"/>
  <c r="Y29" i="3"/>
  <c r="Y9" i="3"/>
  <c r="AE23" i="3"/>
  <c r="Y50" i="3"/>
  <c r="Y52" i="3"/>
  <c r="Y56" i="3"/>
  <c r="AD8" i="3"/>
  <c r="AD39" i="3"/>
  <c r="AD31" i="3"/>
  <c r="AD23" i="3"/>
  <c r="AC37" i="3"/>
  <c r="AE61" i="3"/>
  <c r="AD51" i="3"/>
  <c r="Y35" i="3"/>
  <c r="AE46" i="3"/>
  <c r="Y20" i="3"/>
  <c r="AD43" i="3"/>
  <c r="AD32" i="3"/>
  <c r="AE27" i="3"/>
  <c r="Y13" i="3"/>
  <c r="AE26" i="3"/>
  <c r="AD24" i="3"/>
  <c r="AD20" i="3"/>
  <c r="AE15" i="3"/>
  <c r="Y28" i="3"/>
  <c r="AE14" i="3"/>
  <c r="AD12" i="3"/>
  <c r="AC54" i="3"/>
  <c r="AE30" i="3"/>
  <c r="Y12" i="3"/>
  <c r="Y24" i="3"/>
  <c r="AE55" i="3"/>
  <c r="Y51" i="3"/>
  <c r="Y26" i="3"/>
  <c r="AE45" i="3"/>
  <c r="Y23" i="3"/>
  <c r="AD40" i="3"/>
  <c r="Y54" i="3"/>
  <c r="Y59" i="3"/>
  <c r="Y55" i="3"/>
  <c r="Y62" i="3"/>
  <c r="AD41" i="3"/>
  <c r="AE41" i="3"/>
  <c r="AC44" i="3"/>
  <c r="AD38" i="3"/>
  <c r="AD25" i="3"/>
  <c r="AE25" i="3"/>
  <c r="AC38" i="3"/>
  <c r="AD22" i="3"/>
  <c r="AE60" i="3"/>
  <c r="AE54" i="3"/>
  <c r="AE53" i="3"/>
  <c r="AD52" i="3"/>
  <c r="AD50" i="3"/>
  <c r="AC42" i="3"/>
  <c r="AD45" i="3"/>
  <c r="AC22" i="3"/>
  <c r="AD42" i="3"/>
  <c r="AD29" i="3"/>
  <c r="AE29" i="3"/>
  <c r="AD26" i="3"/>
  <c r="AD17" i="3"/>
  <c r="AE17" i="3"/>
  <c r="AC58" i="3"/>
  <c r="AD9" i="3"/>
  <c r="AE9" i="3"/>
  <c r="AC63" i="3"/>
  <c r="AE56" i="3"/>
  <c r="AE58" i="3"/>
  <c r="AE57" i="3"/>
  <c r="AD56" i="3"/>
  <c r="AD54" i="3"/>
  <c r="AC40" i="3"/>
  <c r="AE48" i="3"/>
  <c r="AD33" i="3"/>
  <c r="AE33" i="3"/>
  <c r="AC61" i="3"/>
  <c r="AD30" i="3"/>
  <c r="AD58" i="3"/>
  <c r="AC46" i="3"/>
  <c r="AC36" i="3"/>
  <c r="AE52" i="3"/>
  <c r="AC33" i="3"/>
  <c r="AE38" i="3"/>
  <c r="AD37" i="3"/>
  <c r="AE37" i="3"/>
  <c r="AD34" i="3"/>
  <c r="AE22" i="3"/>
  <c r="AD21" i="3"/>
  <c r="AE21" i="3"/>
  <c r="AD13" i="3"/>
  <c r="AE13" i="3"/>
  <c r="AC57" i="3"/>
  <c r="AD18" i="3"/>
  <c r="AD14" i="3"/>
  <c r="AD10" i="3"/>
  <c r="AE44" i="3"/>
  <c r="AE40" i="3"/>
  <c r="AE36" i="3"/>
  <c r="AE32" i="3"/>
  <c r="AE28" i="3"/>
  <c r="AE24" i="3"/>
  <c r="AE20" i="3"/>
  <c r="AE12" i="3"/>
  <c r="AE8" i="3"/>
  <c r="K13" i="1"/>
  <c r="M13" i="1"/>
  <c r="N13" i="1" s="1"/>
  <c r="Y13" i="1"/>
  <c r="Z13" i="1"/>
  <c r="AB13" i="1"/>
  <c r="AC13" i="1"/>
  <c r="AD13" i="1"/>
  <c r="X14" i="1" s="1"/>
  <c r="AE13" i="1"/>
  <c r="AM13" i="1"/>
  <c r="M16" i="3"/>
  <c r="U16" i="3"/>
  <c r="W16" i="3"/>
  <c r="X16" i="3"/>
  <c r="J7" i="10" l="1"/>
  <c r="I24" i="10"/>
  <c r="J24" i="10"/>
  <c r="L25" i="10"/>
  <c r="E26" i="10"/>
  <c r="H7" i="10"/>
  <c r="E9" i="10"/>
  <c r="L8" i="10"/>
  <c r="W132" i="1"/>
  <c r="U225" i="1"/>
  <c r="S225" i="1" s="1"/>
  <c r="U160" i="1"/>
  <c r="S160" i="1" s="1"/>
  <c r="AI139" i="1"/>
  <c r="U142" i="1"/>
  <c r="S142" i="1" s="1"/>
  <c r="U182" i="1"/>
  <c r="S182" i="1" s="1"/>
  <c r="U119" i="1"/>
  <c r="S119" i="1" s="1"/>
  <c r="W31" i="1"/>
  <c r="W72" i="1"/>
  <c r="W30" i="1"/>
  <c r="W75" i="1"/>
  <c r="W149" i="1"/>
  <c r="U52" i="1"/>
  <c r="S52" i="1" s="1"/>
  <c r="U87" i="1"/>
  <c r="S87" i="1" s="1"/>
  <c r="U38" i="1"/>
  <c r="S38" i="1" s="1"/>
  <c r="W87" i="1"/>
  <c r="AI52" i="1"/>
  <c r="U73" i="1"/>
  <c r="S73" i="1" s="1"/>
  <c r="W119" i="1"/>
  <c r="AI173" i="1"/>
  <c r="AI87" i="1"/>
  <c r="U220" i="1"/>
  <c r="S220" i="1" s="1"/>
  <c r="U139" i="1"/>
  <c r="S139" i="1" s="1"/>
  <c r="W52" i="1"/>
  <c r="W173" i="1"/>
  <c r="AI119" i="1"/>
  <c r="W88" i="1"/>
  <c r="W120" i="1"/>
  <c r="S115" i="1"/>
  <c r="W96" i="1"/>
  <c r="W116" i="1"/>
  <c r="U229" i="1"/>
  <c r="S229" i="1" s="1"/>
  <c r="U48" i="1"/>
  <c r="S48" i="1" s="1"/>
  <c r="AI48" i="1"/>
  <c r="U46" i="1"/>
  <c r="S46" i="1" s="1"/>
  <c r="AI46" i="1"/>
  <c r="W54" i="1"/>
  <c r="W56" i="1"/>
  <c r="U51" i="1"/>
  <c r="S51" i="1" s="1"/>
  <c r="AI51" i="1"/>
  <c r="W46" i="1"/>
  <c r="W48" i="1"/>
  <c r="U45" i="1"/>
  <c r="S45" i="1" s="1"/>
  <c r="AI45" i="1"/>
  <c r="AI47" i="1"/>
  <c r="U47" i="1"/>
  <c r="S47" i="1" s="1"/>
  <c r="W51" i="1"/>
  <c r="W47" i="1"/>
  <c r="W128" i="1"/>
  <c r="U89" i="1"/>
  <c r="S89" i="1" s="1"/>
  <c r="AI168" i="1"/>
  <c r="W224" i="1"/>
  <c r="W162" i="1"/>
  <c r="W174" i="1"/>
  <c r="W171" i="1"/>
  <c r="U99" i="1"/>
  <c r="S99" i="1" s="1"/>
  <c r="U202" i="1"/>
  <c r="S202" i="1" s="1"/>
  <c r="AI116" i="1"/>
  <c r="U171" i="1"/>
  <c r="S171" i="1" s="1"/>
  <c r="W85" i="1"/>
  <c r="W112" i="1"/>
  <c r="W137" i="1"/>
  <c r="W198" i="1"/>
  <c r="W18" i="1"/>
  <c r="W73" i="1"/>
  <c r="W211" i="1"/>
  <c r="U198" i="1"/>
  <c r="S198" i="1" s="1"/>
  <c r="U72" i="1"/>
  <c r="S72" i="1" s="1"/>
  <c r="W99" i="1"/>
  <c r="W105" i="1"/>
  <c r="W208" i="1"/>
  <c r="W65" i="1"/>
  <c r="U233" i="1"/>
  <c r="S233" i="1" s="1"/>
  <c r="U174" i="1"/>
  <c r="S174" i="1" s="1"/>
  <c r="W130" i="1"/>
  <c r="U132" i="1"/>
  <c r="S132" i="1" s="1"/>
  <c r="AI211" i="1"/>
  <c r="U22" i="1"/>
  <c r="S22" i="1" s="1"/>
  <c r="AI22" i="1"/>
  <c r="U78" i="1"/>
  <c r="S78" i="1" s="1"/>
  <c r="W195" i="1"/>
  <c r="U163" i="1"/>
  <c r="S163" i="1" s="1"/>
  <c r="U164" i="1"/>
  <c r="S164" i="1" s="1"/>
  <c r="W164" i="1"/>
  <c r="U189" i="1"/>
  <c r="S189" i="1" s="1"/>
  <c r="W38" i="1"/>
  <c r="AI39" i="1"/>
  <c r="AI115" i="1"/>
  <c r="AI207" i="1"/>
  <c r="U26" i="1"/>
  <c r="S26" i="1" s="1"/>
  <c r="U83" i="1"/>
  <c r="S83" i="1" s="1"/>
  <c r="U18" i="1"/>
  <c r="S18" i="1" s="1"/>
  <c r="W168" i="1"/>
  <c r="W186" i="1"/>
  <c r="W202" i="1"/>
  <c r="U211" i="1"/>
  <c r="S211" i="1" s="1"/>
  <c r="W97" i="1"/>
  <c r="AD16" i="3"/>
  <c r="AC16" i="3"/>
  <c r="U16" i="1"/>
  <c r="S16" i="1" s="1"/>
  <c r="AI16" i="1"/>
  <c r="W16" i="1"/>
  <c r="U152" i="1"/>
  <c r="S152" i="1" s="1"/>
  <c r="W81" i="1"/>
  <c r="W43" i="1"/>
  <c r="W68" i="1"/>
  <c r="W83" i="1"/>
  <c r="W217" i="1"/>
  <c r="W199" i="1"/>
  <c r="AI149" i="1"/>
  <c r="U111" i="1"/>
  <c r="S111" i="1" s="1"/>
  <c r="AI233" i="1"/>
  <c r="W111" i="1"/>
  <c r="W233" i="1"/>
  <c r="W190" i="1"/>
  <c r="W127" i="1"/>
  <c r="W207" i="1"/>
  <c r="AI30" i="1"/>
  <c r="W39" i="1"/>
  <c r="U60" i="1"/>
  <c r="S60" i="1" s="1"/>
  <c r="AI91" i="1"/>
  <c r="U127" i="1"/>
  <c r="S127" i="1" s="1"/>
  <c r="U194" i="1"/>
  <c r="S194" i="1" s="1"/>
  <c r="W123" i="1"/>
  <c r="W152" i="1"/>
  <c r="W160" i="1"/>
  <c r="W194" i="1"/>
  <c r="W220" i="1"/>
  <c r="U148" i="1"/>
  <c r="S148" i="1" s="1"/>
  <c r="W225" i="1"/>
  <c r="W182" i="1"/>
  <c r="W189" i="1"/>
  <c r="W163" i="1"/>
  <c r="U93" i="1"/>
  <c r="AI192" i="1"/>
  <c r="W60" i="1"/>
  <c r="W89" i="1"/>
  <c r="AI221" i="1"/>
  <c r="U65" i="1"/>
  <c r="S65" i="1" s="1"/>
  <c r="W142" i="1"/>
  <c r="U85" i="1"/>
  <c r="S85" i="1" s="1"/>
  <c r="AI85" i="1"/>
  <c r="U77" i="1"/>
  <c r="S77" i="1" s="1"/>
  <c r="AI77" i="1"/>
  <c r="W93" i="1"/>
  <c r="AI188" i="1"/>
  <c r="AI195" i="1"/>
  <c r="AI217" i="1"/>
  <c r="W206" i="1"/>
  <c r="W26" i="1"/>
  <c r="U103" i="1"/>
  <c r="S103" i="1" s="1"/>
  <c r="AI103" i="1"/>
  <c r="W115" i="1"/>
  <c r="W78" i="1"/>
  <c r="U107" i="1"/>
  <c r="S107" i="1" s="1"/>
  <c r="AI107" i="1"/>
  <c r="W101" i="1"/>
  <c r="W148" i="1"/>
  <c r="AI176" i="1"/>
  <c r="AI199" i="1"/>
  <c r="U34" i="1"/>
  <c r="S34" i="1" s="1"/>
  <c r="W34" i="1"/>
  <c r="U123" i="1"/>
  <c r="S123" i="1" s="1"/>
  <c r="AI123" i="1"/>
  <c r="W107" i="1"/>
  <c r="W77" i="1"/>
  <c r="W138" i="1"/>
  <c r="AI66" i="1"/>
  <c r="U66" i="1"/>
  <c r="S66" i="1" s="1"/>
  <c r="AI62" i="1"/>
  <c r="U62" i="1"/>
  <c r="S62" i="1" s="1"/>
  <c r="AI140" i="1"/>
  <c r="U140" i="1"/>
  <c r="S140" i="1" s="1"/>
  <c r="U63" i="1"/>
  <c r="S63" i="1" s="1"/>
  <c r="AI63" i="1"/>
  <c r="U15" i="1"/>
  <c r="S15" i="1" s="1"/>
  <c r="AI15" i="1"/>
  <c r="W62" i="1"/>
  <c r="AI128" i="1"/>
  <c r="U128" i="1"/>
  <c r="S128" i="1" s="1"/>
  <c r="AI153" i="1"/>
  <c r="U153" i="1"/>
  <c r="S153" i="1" s="1"/>
  <c r="AI120" i="1"/>
  <c r="U120" i="1"/>
  <c r="S120" i="1" s="1"/>
  <c r="AI161" i="1"/>
  <c r="U208" i="1"/>
  <c r="S208" i="1" s="1"/>
  <c r="AI208" i="1"/>
  <c r="U184" i="1"/>
  <c r="S184" i="1" s="1"/>
  <c r="AI220" i="1"/>
  <c r="U196" i="1"/>
  <c r="S196" i="1" s="1"/>
  <c r="AI228" i="1"/>
  <c r="U204" i="1"/>
  <c r="S204" i="1" s="1"/>
  <c r="AI223" i="1"/>
  <c r="U199" i="1"/>
  <c r="S199" i="1" s="1"/>
  <c r="AI75" i="1"/>
  <c r="U75" i="1"/>
  <c r="S75" i="1" s="1"/>
  <c r="AI137" i="1"/>
  <c r="U137" i="1"/>
  <c r="S137" i="1" s="1"/>
  <c r="AI175" i="1"/>
  <c r="U224" i="1"/>
  <c r="S224" i="1" s="1"/>
  <c r="U227" i="1"/>
  <c r="S227" i="1" s="1"/>
  <c r="AI178" i="1"/>
  <c r="AI194" i="1"/>
  <c r="U166" i="1"/>
  <c r="S166" i="1" s="1"/>
  <c r="W204" i="1"/>
  <c r="W166" i="1"/>
  <c r="U36" i="1"/>
  <c r="S36" i="1" s="1"/>
  <c r="AI36" i="1"/>
  <c r="W36" i="1"/>
  <c r="AI57" i="1"/>
  <c r="U57" i="1"/>
  <c r="S57" i="1" s="1"/>
  <c r="W57" i="1"/>
  <c r="U100" i="1"/>
  <c r="S100" i="1" s="1"/>
  <c r="AI100" i="1"/>
  <c r="AI113" i="1"/>
  <c r="U113" i="1"/>
  <c r="S113" i="1" s="1"/>
  <c r="W113" i="1"/>
  <c r="AI124" i="1"/>
  <c r="U124" i="1"/>
  <c r="S124" i="1" s="1"/>
  <c r="AI74" i="1"/>
  <c r="U74" i="1"/>
  <c r="S74" i="1" s="1"/>
  <c r="AI121" i="1"/>
  <c r="U121" i="1"/>
  <c r="S121" i="1" s="1"/>
  <c r="AI231" i="1"/>
  <c r="U205" i="1"/>
  <c r="S205" i="1" s="1"/>
  <c r="AI136" i="1"/>
  <c r="U136" i="1"/>
  <c r="S136" i="1" s="1"/>
  <c r="U235" i="1"/>
  <c r="S235" i="1" s="1"/>
  <c r="AI186" i="1"/>
  <c r="U28" i="1"/>
  <c r="S28" i="1" s="1"/>
  <c r="AI28" i="1"/>
  <c r="AI169" i="1"/>
  <c r="U216" i="1"/>
  <c r="S216" i="1" s="1"/>
  <c r="U130" i="1"/>
  <c r="S130" i="1" s="1"/>
  <c r="AI130" i="1"/>
  <c r="W153" i="1"/>
  <c r="AI212" i="1"/>
  <c r="U188" i="1"/>
  <c r="S188" i="1" s="1"/>
  <c r="W28" i="1"/>
  <c r="AI43" i="1"/>
  <c r="U43" i="1"/>
  <c r="S43" i="1" s="1"/>
  <c r="W74" i="1"/>
  <c r="AI112" i="1"/>
  <c r="U112" i="1"/>
  <c r="S112" i="1" s="1"/>
  <c r="AI129" i="1"/>
  <c r="U129" i="1"/>
  <c r="S129" i="1" s="1"/>
  <c r="W129" i="1"/>
  <c r="AI108" i="1"/>
  <c r="U108" i="1"/>
  <c r="S108" i="1" s="1"/>
  <c r="AI154" i="1"/>
  <c r="U154" i="1"/>
  <c r="S154" i="1" s="1"/>
  <c r="U217" i="1"/>
  <c r="S217" i="1" s="1"/>
  <c r="AI170" i="1"/>
  <c r="W108" i="1"/>
  <c r="W124" i="1"/>
  <c r="AI162" i="1"/>
  <c r="U209" i="1"/>
  <c r="S209" i="1" s="1"/>
  <c r="W209" i="1"/>
  <c r="U180" i="1"/>
  <c r="S180" i="1" s="1"/>
  <c r="U222" i="1"/>
  <c r="S222" i="1" s="1"/>
  <c r="AI236" i="1"/>
  <c r="AI227" i="1"/>
  <c r="U203" i="1"/>
  <c r="S203" i="1" s="1"/>
  <c r="U146" i="1"/>
  <c r="S146" i="1" s="1"/>
  <c r="AI146" i="1"/>
  <c r="U96" i="1"/>
  <c r="S96" i="1" s="1"/>
  <c r="AI96" i="1"/>
  <c r="U231" i="1"/>
  <c r="S231" i="1" s="1"/>
  <c r="AI182" i="1"/>
  <c r="U170" i="1"/>
  <c r="S170" i="1" s="1"/>
  <c r="AI198" i="1"/>
  <c r="U200" i="1"/>
  <c r="S200" i="1" s="1"/>
  <c r="AI224" i="1"/>
  <c r="W184" i="1"/>
  <c r="W205" i="1"/>
  <c r="W231" i="1"/>
  <c r="W196" i="1"/>
  <c r="U32" i="1"/>
  <c r="S32" i="1" s="1"/>
  <c r="AI32" i="1"/>
  <c r="U24" i="1"/>
  <c r="S24" i="1" s="1"/>
  <c r="AI24" i="1"/>
  <c r="U20" i="1"/>
  <c r="S20" i="1" s="1"/>
  <c r="AI20" i="1"/>
  <c r="W20" i="1"/>
  <c r="W24" i="1"/>
  <c r="W100" i="1"/>
  <c r="U141" i="1"/>
  <c r="S141" i="1" s="1"/>
  <c r="AI141" i="1"/>
  <c r="AI202" i="1"/>
  <c r="U176" i="1"/>
  <c r="S176" i="1" s="1"/>
  <c r="AI215" i="1"/>
  <c r="U191" i="1"/>
  <c r="S191" i="1" s="1"/>
  <c r="AI61" i="1"/>
  <c r="U61" i="1"/>
  <c r="S61" i="1" s="1"/>
  <c r="W66" i="1"/>
  <c r="AI31" i="1"/>
  <c r="U31" i="1"/>
  <c r="S31" i="1" s="1"/>
  <c r="AI54" i="1"/>
  <c r="U54" i="1"/>
  <c r="S54" i="1" s="1"/>
  <c r="W61" i="1"/>
  <c r="AI67" i="1"/>
  <c r="U67" i="1"/>
  <c r="S67" i="1" s="1"/>
  <c r="W67" i="1"/>
  <c r="W15" i="1"/>
  <c r="W32" i="1"/>
  <c r="U92" i="1"/>
  <c r="S92" i="1" s="1"/>
  <c r="AI92" i="1"/>
  <c r="U68" i="1"/>
  <c r="S68" i="1" s="1"/>
  <c r="AI68" i="1"/>
  <c r="U84" i="1"/>
  <c r="S84" i="1" s="1"/>
  <c r="AI84" i="1"/>
  <c r="W136" i="1"/>
  <c r="U88" i="1"/>
  <c r="S88" i="1" s="1"/>
  <c r="AI88" i="1"/>
  <c r="U114" i="1"/>
  <c r="S114" i="1" s="1"/>
  <c r="AI114" i="1"/>
  <c r="W216" i="1"/>
  <c r="AI219" i="1"/>
  <c r="U195" i="1"/>
  <c r="S195" i="1" s="1"/>
  <c r="AI235" i="1"/>
  <c r="U221" i="1"/>
  <c r="S221" i="1" s="1"/>
  <c r="W92" i="1"/>
  <c r="AI105" i="1"/>
  <c r="U105" i="1"/>
  <c r="S105" i="1" s="1"/>
  <c r="W63" i="1"/>
  <c r="W121" i="1"/>
  <c r="W140" i="1"/>
  <c r="AI157" i="1"/>
  <c r="U157" i="1"/>
  <c r="S157" i="1" s="1"/>
  <c r="U162" i="1"/>
  <c r="S162" i="1" s="1"/>
  <c r="AI190" i="1"/>
  <c r="AI216" i="1"/>
  <c r="U192" i="1"/>
  <c r="S192" i="1" s="1"/>
  <c r="AI232" i="1"/>
  <c r="U206" i="1"/>
  <c r="S206" i="1" s="1"/>
  <c r="W154" i="1"/>
  <c r="W170" i="1"/>
  <c r="W191" i="1"/>
  <c r="W146" i="1"/>
  <c r="W203" i="1"/>
  <c r="W222" i="1"/>
  <c r="W235" i="1"/>
  <c r="W200" i="1"/>
  <c r="W180" i="1"/>
  <c r="AG13" i="1"/>
  <c r="AI13" i="1" s="1"/>
  <c r="X13" i="1"/>
  <c r="Y16" i="3"/>
  <c r="AA13" i="1"/>
  <c r="T13" i="1"/>
  <c r="M8" i="10" l="1"/>
  <c r="I8" i="10" s="1"/>
  <c r="J8" i="10"/>
  <c r="E27" i="10"/>
  <c r="L26" i="10"/>
  <c r="M25" i="10"/>
  <c r="J25" i="10"/>
  <c r="L9" i="10"/>
  <c r="E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H25" i="10" l="1"/>
  <c r="I25" i="10"/>
  <c r="M9" i="10"/>
  <c r="I9" i="10" s="1"/>
  <c r="J9" i="10"/>
  <c r="M26" i="10"/>
  <c r="J26" i="10"/>
  <c r="H8" i="10"/>
  <c r="E28" i="10"/>
  <c r="L27" i="10"/>
  <c r="E11" i="10"/>
  <c r="L11" i="10" s="1"/>
  <c r="L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L28" i="10" l="1"/>
  <c r="E29" i="10"/>
  <c r="M11" i="10"/>
  <c r="I11" i="10" s="1"/>
  <c r="J11" i="10"/>
  <c r="H9" i="10"/>
  <c r="M10" i="10"/>
  <c r="I10" i="10" s="1"/>
  <c r="J10" i="10"/>
  <c r="M27" i="10"/>
  <c r="J27" i="10"/>
  <c r="H26" i="10"/>
  <c r="I26" i="10"/>
  <c r="B87" i="9"/>
  <c r="B88" i="9"/>
  <c r="B89" i="9"/>
  <c r="B90" i="9"/>
  <c r="B91" i="9"/>
  <c r="B92" i="9"/>
  <c r="H11" i="10" l="1"/>
  <c r="H10" i="10"/>
  <c r="I27" i="10"/>
  <c r="H27" i="10"/>
  <c r="E30" i="10"/>
  <c r="L29" i="10"/>
  <c r="M28" i="10"/>
  <c r="J28" i="10"/>
  <c r="C88" i="9"/>
  <c r="C92" i="9"/>
  <c r="C93" i="9"/>
  <c r="C90" i="9"/>
  <c r="C89" i="9"/>
  <c r="C91" i="9"/>
  <c r="I28" i="10" l="1"/>
  <c r="H28" i="10"/>
  <c r="M29" i="10"/>
  <c r="J29" i="10"/>
  <c r="L30" i="10"/>
  <c r="E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M30" i="10" l="1"/>
  <c r="J30" i="10"/>
  <c r="H29" i="10"/>
  <c r="I29" i="10"/>
  <c r="L31" i="10"/>
  <c r="E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L32" i="10" l="1"/>
  <c r="E33" i="10"/>
  <c r="L33" i="10" s="1"/>
  <c r="M31" i="10"/>
  <c r="J31" i="10"/>
  <c r="H30" i="10"/>
  <c r="I30" i="10"/>
  <c r="B55" i="9"/>
  <c r="B56" i="9"/>
  <c r="B57" i="9"/>
  <c r="B58" i="9"/>
  <c r="B59" i="9"/>
  <c r="B60" i="9"/>
  <c r="B61" i="9"/>
  <c r="B62" i="9"/>
  <c r="C63" i="9" s="1"/>
  <c r="M33" i="10" l="1"/>
  <c r="J33" i="10"/>
  <c r="H31" i="10"/>
  <c r="I31" i="10"/>
  <c r="M32" i="10"/>
  <c r="J32" i="10"/>
  <c r="C61" i="9"/>
  <c r="C57" i="9"/>
  <c r="C59" i="9"/>
  <c r="C62" i="9"/>
  <c r="C60" i="9"/>
  <c r="C58" i="9"/>
  <c r="C56" i="9"/>
  <c r="I32" i="10" l="1"/>
  <c r="H32" i="10"/>
  <c r="H33" i="10"/>
  <c r="I33" i="10"/>
  <c r="B50" i="9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V16" i="3"/>
  <c r="AE16" i="3" s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N62" i="3" s="1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47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13" i="3"/>
  <c r="N28" i="3"/>
  <c r="N57" i="3"/>
  <c r="N14" i="3"/>
  <c r="N36" i="3"/>
  <c r="N26" i="3"/>
  <c r="N31" i="3"/>
  <c r="N19" i="3"/>
  <c r="N27" i="3"/>
  <c r="N58" i="3"/>
  <c r="N46" i="3"/>
  <c r="N30" i="3"/>
  <c r="N34" i="3"/>
  <c r="N32" i="3"/>
  <c r="N37" i="3"/>
  <c r="N18" i="3"/>
  <c r="N24" i="3"/>
  <c r="N41" i="3"/>
  <c r="N40" i="3"/>
  <c r="N35" i="3"/>
  <c r="N33" i="3"/>
  <c r="N45" i="3"/>
  <c r="N11" i="3"/>
  <c r="N61" i="3"/>
  <c r="N52" i="3"/>
  <c r="N53" i="3"/>
  <c r="N55" i="3"/>
  <c r="N7" i="3"/>
  <c r="N56" i="3"/>
  <c r="N63" i="3"/>
  <c r="N43" i="3"/>
  <c r="N44" i="3"/>
  <c r="N9" i="3"/>
  <c r="N59" i="3"/>
  <c r="N50" i="3"/>
  <c r="N60" i="3"/>
  <c r="N51" i="3"/>
  <c r="N39" i="3"/>
  <c r="N42" i="3"/>
  <c r="N22" i="3"/>
  <c r="N23" i="3"/>
  <c r="N48" i="3"/>
  <c r="N54" i="3"/>
  <c r="N17" i="3"/>
  <c r="N49" i="3"/>
  <c r="N12" i="3"/>
  <c r="N21" i="3"/>
  <c r="N20" i="3"/>
  <c r="N10" i="3"/>
  <c r="N29" i="3"/>
  <c r="N15" i="3"/>
  <c r="N25" i="3"/>
  <c r="N38" i="3"/>
  <c r="L13" i="1"/>
  <c r="N16" i="3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G3" i="6"/>
  <c r="H3" i="6"/>
  <c r="J3" i="6"/>
  <c r="B4" i="6" l="1"/>
  <c r="I4" i="6" s="1"/>
  <c r="B5" i="6" l="1"/>
  <c r="I5" i="6" s="1"/>
  <c r="H4" i="6"/>
  <c r="J4" i="6"/>
  <c r="G4" i="6"/>
  <c r="H5" i="6" l="1"/>
  <c r="J5" i="6"/>
  <c r="G5" i="6"/>
  <c r="B6" i="6"/>
  <c r="I6" i="6" s="1"/>
  <c r="J6" i="6" l="1"/>
  <c r="H6" i="6"/>
  <c r="G6" i="6"/>
  <c r="B7" i="6"/>
  <c r="I7" i="6" s="1"/>
  <c r="B8" i="6" l="1"/>
  <c r="I8" i="6" s="1"/>
  <c r="G7" i="6"/>
  <c r="H7" i="6"/>
  <c r="J7" i="6"/>
  <c r="B9" i="6" l="1"/>
  <c r="I9" i="6" s="1"/>
  <c r="H8" i="6"/>
  <c r="J8" i="6"/>
  <c r="G8" i="6"/>
  <c r="B10" i="6" l="1"/>
  <c r="I10" i="6" s="1"/>
  <c r="H9" i="6"/>
  <c r="J9" i="6"/>
  <c r="G9" i="6"/>
  <c r="G10" i="6" l="1"/>
  <c r="J10" i="6"/>
  <c r="H10" i="6"/>
  <c r="B11" i="6"/>
  <c r="I11" i="6" s="1"/>
  <c r="J11" i="6" l="1"/>
  <c r="H11" i="6"/>
  <c r="G11" i="6"/>
  <c r="B12" i="6"/>
  <c r="I12" i="6" s="1"/>
  <c r="H12" i="6" l="1"/>
  <c r="G12" i="6"/>
  <c r="J12" i="6"/>
  <c r="B13" i="6"/>
  <c r="I13" i="6" s="1"/>
  <c r="B14" i="6" l="1"/>
  <c r="I14" i="6" s="1"/>
  <c r="G13" i="6"/>
  <c r="H13" i="6"/>
  <c r="J13" i="6"/>
  <c r="J14" i="6" l="1"/>
  <c r="H14" i="6"/>
  <c r="G14" i="6"/>
  <c r="B15" i="6"/>
  <c r="I15" i="6" s="1"/>
  <c r="H15" i="6" l="1"/>
  <c r="J15" i="6"/>
  <c r="G15" i="6"/>
  <c r="B16" i="6"/>
  <c r="I16" i="6" s="1"/>
  <c r="H16" i="6" l="1"/>
  <c r="J16" i="6"/>
  <c r="G16" i="6"/>
  <c r="B17" i="6"/>
  <c r="I17" i="6" s="1"/>
  <c r="H17" i="6" l="1"/>
  <c r="J17" i="6"/>
  <c r="G17" i="6"/>
  <c r="B18" i="6"/>
  <c r="I18" i="6" s="1"/>
  <c r="G18" i="6" l="1"/>
  <c r="H18" i="6"/>
  <c r="J18" i="6"/>
  <c r="B19" i="6"/>
  <c r="I19" i="6" s="1"/>
  <c r="B20" i="6" l="1"/>
  <c r="I20" i="6" s="1"/>
  <c r="J19" i="6"/>
  <c r="G19" i="6"/>
  <c r="H19" i="6"/>
  <c r="B21" i="6" l="1"/>
  <c r="I21" i="6" s="1"/>
  <c r="J20" i="6"/>
  <c r="G20" i="6"/>
  <c r="H20" i="6"/>
  <c r="H21" i="6" l="1"/>
  <c r="J21" i="6"/>
  <c r="G21" i="6"/>
  <c r="B22" i="6"/>
  <c r="I22" i="6" s="1"/>
  <c r="B23" i="6" l="1"/>
  <c r="I23" i="6" s="1"/>
  <c r="G22" i="6"/>
  <c r="J22" i="6"/>
  <c r="H22" i="6"/>
  <c r="G23" i="6" l="1"/>
  <c r="H23" i="6"/>
  <c r="J23" i="6"/>
  <c r="B24" i="6"/>
  <c r="I24" i="6" s="1"/>
  <c r="J24" i="6" l="1"/>
  <c r="G24" i="6"/>
  <c r="H24" i="6"/>
  <c r="B25" i="6"/>
  <c r="I25" i="6" s="1"/>
  <c r="G25" i="6" l="1"/>
  <c r="H25" i="6"/>
  <c r="J25" i="6"/>
  <c r="B26" i="6"/>
  <c r="I26" i="6" s="1"/>
  <c r="B27" i="6" l="1"/>
  <c r="I27" i="6" s="1"/>
  <c r="J26" i="6"/>
  <c r="H26" i="6"/>
  <c r="G26" i="6"/>
  <c r="J27" i="6" l="1"/>
  <c r="G27" i="6"/>
  <c r="H27" i="6"/>
  <c r="B28" i="6"/>
  <c r="I28" i="6" s="1"/>
  <c r="B29" i="6" l="1"/>
  <c r="I29" i="6" s="1"/>
  <c r="G28" i="6"/>
  <c r="J28" i="6"/>
  <c r="H28" i="6"/>
  <c r="G29" i="6" l="1"/>
  <c r="J29" i="6"/>
  <c r="H29" i="6"/>
  <c r="B30" i="6"/>
  <c r="I30" i="6" s="1"/>
  <c r="B31" i="6" l="1"/>
  <c r="I31" i="6" s="1"/>
  <c r="G30" i="6"/>
  <c r="J30" i="6"/>
  <c r="H30" i="6"/>
  <c r="G31" i="6" l="1"/>
  <c r="H31" i="6"/>
  <c r="J31" i="6"/>
  <c r="B32" i="6"/>
  <c r="I32" i="6" s="1"/>
  <c r="B33" i="6" l="1"/>
  <c r="I33" i="6" s="1"/>
  <c r="G32" i="6"/>
  <c r="H32" i="6"/>
  <c r="J32" i="6"/>
  <c r="G33" i="6" l="1"/>
  <c r="H33" i="6"/>
  <c r="J33" i="6"/>
  <c r="B34" i="6"/>
  <c r="I34" i="6" s="1"/>
  <c r="G34" i="6" l="1"/>
  <c r="H34" i="6"/>
  <c r="J34" i="6"/>
  <c r="B35" i="6"/>
  <c r="I35" i="6" s="1"/>
  <c r="B36" i="6" l="1"/>
  <c r="I36" i="6" s="1"/>
  <c r="J35" i="6"/>
  <c r="G35" i="6"/>
  <c r="H35" i="6"/>
  <c r="B37" i="6" l="1"/>
  <c r="I37" i="6" s="1"/>
  <c r="J36" i="6"/>
  <c r="G36" i="6"/>
  <c r="H36" i="6"/>
  <c r="H37" i="6" l="1"/>
  <c r="G37" i="6"/>
  <c r="J37" i="6"/>
  <c r="B38" i="6"/>
  <c r="I38" i="6" s="1"/>
  <c r="B39" i="6" l="1"/>
  <c r="I39" i="6" s="1"/>
  <c r="G38" i="6"/>
  <c r="J38" i="6"/>
  <c r="H38" i="6"/>
  <c r="B40" i="6" l="1"/>
  <c r="I40" i="6" s="1"/>
  <c r="J39" i="6"/>
  <c r="G39" i="6"/>
  <c r="H39" i="6"/>
  <c r="J40" i="6" l="1"/>
  <c r="G40" i="6"/>
  <c r="H40" i="6"/>
  <c r="B41" i="6"/>
  <c r="I41" i="6" s="1"/>
  <c r="H41" i="6" l="1"/>
  <c r="J41" i="6"/>
  <c r="G41" i="6"/>
  <c r="B42" i="6"/>
  <c r="I42" i="6" s="1"/>
  <c r="B43" i="6" l="1"/>
  <c r="I43" i="6" s="1"/>
  <c r="J42" i="6"/>
  <c r="H42" i="6"/>
  <c r="G42" i="6"/>
  <c r="J43" i="6" l="1"/>
  <c r="G43" i="6"/>
  <c r="H43" i="6"/>
  <c r="B44" i="6"/>
  <c r="I44" i="6" s="1"/>
  <c r="G44" i="6" l="1"/>
  <c r="H44" i="6"/>
  <c r="J44" i="6"/>
  <c r="B45" i="6"/>
  <c r="I45" i="6" s="1"/>
  <c r="G45" i="6" l="1"/>
  <c r="H45" i="6"/>
  <c r="J45" i="6"/>
  <c r="B46" i="6"/>
  <c r="I46" i="6" s="1"/>
  <c r="B47" i="6" l="1"/>
  <c r="I47" i="6" s="1"/>
  <c r="J46" i="6"/>
  <c r="H46" i="6"/>
  <c r="G46" i="6"/>
  <c r="B48" i="6" l="1"/>
  <c r="I48" i="6" s="1"/>
  <c r="J47" i="6"/>
  <c r="G47" i="6"/>
  <c r="H47" i="6"/>
  <c r="H48" i="6" l="1"/>
  <c r="G48" i="6"/>
  <c r="J48" i="6"/>
  <c r="B49" i="6"/>
  <c r="I49" i="6" s="1"/>
  <c r="G49" i="6" l="1"/>
  <c r="H49" i="6"/>
  <c r="J49" i="6"/>
  <c r="B50" i="6"/>
  <c r="I50" i="6" s="1"/>
  <c r="B51" i="6" l="1"/>
  <c r="I51" i="6" s="1"/>
  <c r="J50" i="6"/>
  <c r="H50" i="6"/>
  <c r="G50" i="6"/>
  <c r="B52" i="6" l="1"/>
  <c r="I52" i="6" s="1"/>
  <c r="J51" i="6"/>
  <c r="G51" i="6"/>
  <c r="H51" i="6"/>
  <c r="B53" i="6" l="1"/>
  <c r="I53" i="6" s="1"/>
  <c r="J52" i="6"/>
  <c r="G52" i="6"/>
  <c r="H52" i="6"/>
  <c r="J53" i="6" l="1"/>
  <c r="H53" i="6"/>
  <c r="G53" i="6"/>
  <c r="B54" i="6"/>
  <c r="I54" i="6" s="1"/>
  <c r="J54" i="6" l="1"/>
  <c r="H54" i="6"/>
  <c r="G54" i="6"/>
  <c r="B55" i="6"/>
  <c r="I55" i="6" s="1"/>
  <c r="J55" i="6" l="1"/>
  <c r="G55" i="6"/>
  <c r="H55" i="6"/>
  <c r="B56" i="6"/>
  <c r="I56" i="6" s="1"/>
  <c r="B57" i="6" l="1"/>
  <c r="I57" i="6" s="1"/>
  <c r="G56" i="6"/>
  <c r="H56" i="6"/>
  <c r="J56" i="6"/>
  <c r="G57" i="6" l="1"/>
  <c r="H57" i="6"/>
  <c r="J57" i="6"/>
  <c r="B58" i="6"/>
  <c r="I58" i="6" s="1"/>
  <c r="B59" i="6" l="1"/>
  <c r="I59" i="6" s="1"/>
  <c r="J58" i="6"/>
  <c r="G58" i="6"/>
  <c r="H58" i="6"/>
  <c r="H59" i="6" l="1"/>
  <c r="G59" i="6"/>
  <c r="J59" i="6"/>
  <c r="B60" i="6"/>
  <c r="I60" i="6" s="1"/>
  <c r="B61" i="6" l="1"/>
  <c r="I61" i="6" s="1"/>
  <c r="H60" i="6"/>
  <c r="G60" i="6"/>
  <c r="J60" i="6"/>
  <c r="B62" i="6" l="1"/>
  <c r="I62" i="6" s="1"/>
  <c r="J61" i="6"/>
  <c r="H61" i="6"/>
  <c r="G61" i="6"/>
  <c r="J62" i="6" l="1"/>
  <c r="H62" i="6"/>
  <c r="G62" i="6"/>
  <c r="B63" i="6"/>
  <c r="I63" i="6" s="1"/>
  <c r="J63" i="6" l="1"/>
  <c r="H63" i="6"/>
  <c r="G63" i="6"/>
  <c r="B64" i="6"/>
  <c r="I64" i="6" s="1"/>
  <c r="B65" i="6" l="1"/>
  <c r="I65" i="6" s="1"/>
  <c r="J64" i="6"/>
  <c r="G64" i="6"/>
  <c r="H64" i="6"/>
  <c r="B66" i="6" l="1"/>
  <c r="I66" i="6" s="1"/>
  <c r="G65" i="6"/>
  <c r="H65" i="6"/>
  <c r="J65" i="6"/>
  <c r="B67" i="6" l="1"/>
  <c r="I67" i="6" s="1"/>
  <c r="J66" i="6"/>
  <c r="H66" i="6"/>
  <c r="G66" i="6"/>
  <c r="B68" i="6" l="1"/>
  <c r="I68" i="6" s="1"/>
  <c r="H67" i="6"/>
  <c r="J67" i="6"/>
  <c r="G67" i="6"/>
  <c r="G68" i="6" l="1"/>
  <c r="H68" i="6"/>
  <c r="J68" i="6"/>
  <c r="B69" i="6"/>
  <c r="I69" i="6" s="1"/>
  <c r="B70" i="6" l="1"/>
  <c r="I70" i="6" s="1"/>
  <c r="G69" i="6"/>
  <c r="J69" i="6"/>
  <c r="H69" i="6"/>
  <c r="H70" i="6" l="1"/>
  <c r="J70" i="6"/>
  <c r="G70" i="6"/>
  <c r="B71" i="6"/>
  <c r="I71" i="6" s="1"/>
  <c r="H71" i="6" l="1"/>
  <c r="G71" i="6"/>
  <c r="J71" i="6"/>
  <c r="B72" i="6"/>
  <c r="I72" i="6" s="1"/>
  <c r="H72" i="6" l="1"/>
  <c r="G72" i="6"/>
  <c r="J72" i="6"/>
  <c r="B73" i="6"/>
  <c r="I73" i="6" s="1"/>
  <c r="H73" i="6" l="1"/>
  <c r="J73" i="6"/>
  <c r="G73" i="6"/>
  <c r="B74" i="6"/>
  <c r="I74" i="6" s="1"/>
  <c r="J74" i="6" l="1"/>
  <c r="G74" i="6"/>
  <c r="H74" i="6"/>
  <c r="B75" i="6"/>
  <c r="I75" i="6" s="1"/>
  <c r="J75" i="6" l="1"/>
  <c r="H75" i="6"/>
  <c r="G75" i="6"/>
  <c r="B76" i="6"/>
  <c r="I76" i="6" s="1"/>
  <c r="G76" i="6" l="1"/>
  <c r="H76" i="6"/>
  <c r="J76" i="6"/>
  <c r="B77" i="6"/>
  <c r="I77" i="6" s="1"/>
  <c r="B78" i="6" l="1"/>
  <c r="I78" i="6" s="1"/>
  <c r="J77" i="6"/>
  <c r="G77" i="6"/>
  <c r="H77" i="6"/>
  <c r="J78" i="6" l="1"/>
  <c r="H78" i="6"/>
  <c r="G78" i="6"/>
  <c r="B79" i="6"/>
  <c r="I79" i="6" s="1"/>
  <c r="B80" i="6" l="1"/>
  <c r="I80" i="6" s="1"/>
  <c r="J79" i="6"/>
  <c r="G79" i="6"/>
  <c r="H79" i="6"/>
  <c r="B81" i="6" l="1"/>
  <c r="I81" i="6" s="1"/>
  <c r="H80" i="6"/>
  <c r="G80" i="6"/>
  <c r="J80" i="6"/>
  <c r="B82" i="6" l="1"/>
  <c r="I82" i="6" s="1"/>
  <c r="J81" i="6"/>
  <c r="G81" i="6"/>
  <c r="H81" i="6"/>
  <c r="B83" i="6" l="1"/>
  <c r="I83" i="6" s="1"/>
  <c r="J82" i="6"/>
  <c r="H82" i="6"/>
  <c r="G82" i="6"/>
  <c r="G83" i="6" l="1"/>
  <c r="H83" i="6"/>
  <c r="J83" i="6"/>
  <c r="B84" i="6"/>
  <c r="I84" i="6" s="1"/>
  <c r="B85" i="6" l="1"/>
  <c r="I85" i="6" s="1"/>
  <c r="J84" i="6"/>
  <c r="G84" i="6"/>
  <c r="H84" i="6"/>
  <c r="G85" i="6" l="1"/>
  <c r="H85" i="6"/>
  <c r="J85" i="6"/>
  <c r="B86" i="6"/>
  <c r="I86" i="6" s="1"/>
  <c r="H86" i="6" l="1"/>
  <c r="G86" i="6"/>
  <c r="J86" i="6"/>
  <c r="B87" i="6"/>
  <c r="I87" i="6" s="1"/>
  <c r="J87" i="6" l="1"/>
  <c r="H87" i="6"/>
  <c r="G87" i="6"/>
  <c r="B88" i="6"/>
  <c r="I88" i="6" s="1"/>
  <c r="H88" i="6" l="1"/>
  <c r="G88" i="6"/>
  <c r="J88" i="6"/>
  <c r="B89" i="6"/>
  <c r="I89" i="6" s="1"/>
  <c r="H89" i="6" l="1"/>
  <c r="G89" i="6"/>
  <c r="J89" i="6"/>
  <c r="B90" i="6"/>
  <c r="I90" i="6" s="1"/>
  <c r="J90" i="6" l="1"/>
  <c r="G90" i="6"/>
  <c r="H90" i="6"/>
  <c r="B91" i="6"/>
  <c r="I91" i="6" s="1"/>
  <c r="G91" i="6" l="1"/>
  <c r="H91" i="6"/>
  <c r="J91" i="6"/>
  <c r="B92" i="6"/>
  <c r="I92" i="6" s="1"/>
  <c r="B93" i="6" l="1"/>
  <c r="I93" i="6" s="1"/>
  <c r="H92" i="6"/>
  <c r="G92" i="6"/>
  <c r="J92" i="6"/>
  <c r="B94" i="6" l="1"/>
  <c r="I94" i="6" s="1"/>
  <c r="J93" i="6"/>
  <c r="G93" i="6"/>
  <c r="H93" i="6"/>
  <c r="H94" i="6" l="1"/>
  <c r="G94" i="6"/>
  <c r="J94" i="6"/>
  <c r="B95" i="6"/>
  <c r="I95" i="6" s="1"/>
  <c r="H95" i="6" l="1"/>
  <c r="J95" i="6"/>
  <c r="G95" i="6"/>
  <c r="B96" i="6"/>
  <c r="I96" i="6" s="1"/>
  <c r="G96" i="6" l="1"/>
  <c r="J96" i="6"/>
  <c r="H96" i="6"/>
  <c r="B97" i="6"/>
  <c r="I97" i="6" s="1"/>
  <c r="B98" i="6" l="1"/>
  <c r="I98" i="6" s="1"/>
  <c r="H97" i="6"/>
  <c r="J97" i="6"/>
  <c r="G97" i="6"/>
  <c r="B99" i="6" l="1"/>
  <c r="I99" i="6" s="1"/>
  <c r="J98" i="6"/>
  <c r="H98" i="6"/>
  <c r="G98" i="6"/>
  <c r="B101" i="6" l="1"/>
  <c r="I101" i="6" s="1"/>
  <c r="B100" i="6"/>
  <c r="I100" i="6" s="1"/>
  <c r="G99" i="6"/>
  <c r="H99" i="6"/>
  <c r="J99" i="6"/>
  <c r="G100" i="6" l="1"/>
  <c r="H100" i="6"/>
  <c r="J100" i="6"/>
  <c r="J101" i="6"/>
  <c r="G101" i="6"/>
  <c r="H10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<sst xmlns="http://schemas.openxmlformats.org/spreadsheetml/2006/main" count="2996" uniqueCount="1028">
  <si>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</si>
  <si>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</si>
  <si>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</si>
  <si>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</si>
  <si>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</si>
  <si>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</si>
  <si>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</si>
  <si>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</si>
  <si>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</si>
  <si>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</si>
  <si>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</si>
  <si>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</si>
  <si>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</si>
  <si>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</si>
  <si>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</si>
  <si>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</si>
  <si>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</si>
  <si>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</si>
  <si>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</si>
  <si>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</si>
  <si>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</si>
  <si>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</si>
  <si>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</si>
  <si>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</si>
  <si>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</si>
  <si>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</si>
  <si>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</si>
  <si>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</si>
  <si>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</si>
  <si>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</si>
  <si>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</si>
  <si>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</si>
  <si>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</si>
  <si>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</si>
  <si>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</si>
  <si>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</si>
  <si>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</si>
  <si>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</si>
  <si>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</si>
  <si>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</si>
  <si>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</si>
  <si>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</si>
  <si>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</si>
  <si>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</si>
  <si>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</si>
  <si>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</si>
  <si>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</si>
  <si>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</si>
  <si>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</si>
  <si>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</si>
  <si>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</si>
  <si>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</si>
  <si>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</si>
  <si>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</si>
  <si>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</si>
  <si>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</si>
  <si>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</si>
  <si>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</si>
  <si>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</si>
  <si>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</si>
  <si>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</si>
  <si>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</si>
  <si>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</si>
  <si>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</si>
  <si>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</si>
  <si>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</si>
  <si>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</si>
  <si>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</si>
  <si>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</si>
  <si>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</si>
  <si>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</si>
  <si>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</si>
  <si>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</si>
  <si>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</si>
  <si>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</si>
  <si>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</si>
  <si>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</si>
  <si>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</si>
  <si>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</si>
  <si>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</si>
  <si>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</si>
  <si>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</si>
  <si>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</si>
  <si>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</si>
  <si>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</si>
  <si>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</si>
  <si>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</si>
  <si>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</si>
  <si>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</si>
  <si>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</si>
  <si>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</si>
  <si>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</si>
  <si>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</si>
  <si>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</si>
  <si>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</si>
  <si>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</si>
  <si>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</si>
  <si>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</si>
  <si>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</si>
  <si>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</si>
  <si>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</si>
  <si>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</si>
  <si>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</si>
  <si>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</si>
  <si>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</si>
  <si>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</si>
  <si>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</si>
  <si>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</si>
  <si>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</si>
  <si>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</si>
  <si>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</si>
  <si>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</si>
  <si>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</si>
  <si>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</si>
  <si>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</si>
  <si>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</si>
  <si>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</si>
  <si>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</si>
  <si>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</si>
  <si>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</si>
  <si>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</si>
  <si>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</si>
  <si>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</si>
  <si>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</si>
  <si>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</si>
  <si>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</si>
  <si>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</si>
  <si>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</si>
  <si>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</si>
  <si>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</si>
  <si>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</si>
  <si>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</si>
  <si>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</si>
  <si>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</si>
  <si>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</si>
  <si>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</si>
  <si>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</si>
  <si>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</si>
  <si>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</si>
  <si>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</si>
  <si>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</si>
  <si>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</si>
  <si>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</si>
  <si>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</si>
  <si>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</si>
  <si>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</si>
  <si>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</si>
  <si>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</si>
  <si>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</si>
  <si>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</si>
  <si>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</si>
  <si>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</si>
  <si>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</si>
  <si>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</si>
  <si>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</si>
  <si>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</si>
  <si>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</si>
  <si>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</si>
  <si>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</si>
  <si>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</si>
  <si>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</si>
  <si>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</si>
  <si>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</si>
  <si>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</si>
  <si>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</si>
  <si>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</si>
  <si>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</si>
  <si>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</si>
  <si>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</si>
  <si>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</si>
  <si>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</si>
  <si>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</si>
  <si>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</si>
  <si>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</si>
  <si>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</si>
  <si>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</si>
  <si>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</si>
  <si>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</si>
  <si>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</si>
  <si>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</si>
  <si>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</si>
  <si>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</si>
  <si>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</si>
  <si>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</si>
  <si>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</si>
  <si>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</si>
  <si>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</si>
  <si>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</si>
  <si>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</si>
  <si>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</si>
  <si>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</si>
  <si>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</si>
  <si>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</si>
  <si>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</si>
  <si>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</si>
  <si>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</si>
  <si>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</si>
  <si>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</si>
  <si>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</si>
  <si>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</si>
  <si>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</si>
  <si>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</si>
  <si>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</si>
  <si>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</si>
  <si>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</si>
  <si>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</si>
  <si>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</si>
  <si>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</si>
  <si>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</si>
  <si>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</si>
  <si>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</si>
  <si>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</si>
  <si>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</si>
  <si>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</si>
  <si>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</si>
  <si>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rtdc.l.rtdc.4027:itc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</si>
  <si>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</si>
  <si>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</si>
  <si>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</si>
  <si>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</si>
  <si>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</si>
  <si>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</si>
  <si>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</si>
  <si>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</si>
  <si>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</si>
  <si>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</si>
  <si>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</si>
  <si>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</si>
  <si>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</si>
  <si>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</si>
  <si>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</si>
  <si>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rtdc.l.rtdc.4044:itc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</si>
  <si>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</si>
  <si>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</si>
  <si>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</si>
  <si>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</si>
  <si>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</si>
  <si>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</si>
  <si>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</si>
  <si>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</si>
  <si>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</si>
  <si>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</si>
  <si>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</si>
  <si>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</si>
  <si>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</si>
  <si>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</si>
  <si>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</si>
  <si>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</si>
  <si>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204:232994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</si>
  <si>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</si>
  <si>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</si>
  <si>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</si>
  <si>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</si>
  <si>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</si>
  <si>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</si>
  <si>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</si>
  <si>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</si>
  <si>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</si>
  <si>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</si>
  <si>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</si>
  <si>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</si>
  <si>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243-23</t>
  </si>
  <si>
    <t>240-23</t>
  </si>
  <si>
    <t>315-23</t>
  </si>
  <si>
    <t>309-23</t>
  </si>
  <si>
    <t>244-23</t>
  </si>
  <si>
    <t>311-23</t>
  </si>
  <si>
    <t>313-23</t>
  </si>
  <si>
    <t>204:233312</t>
  </si>
  <si>
    <t>204:232977</t>
  </si>
  <si>
    <t>204:467</t>
  </si>
  <si>
    <t>204:473</t>
  </si>
  <si>
    <t>rtdc.l.rtdc.4007:itc</t>
  </si>
  <si>
    <t>204:233000</t>
  </si>
  <si>
    <t>204:233315</t>
  </si>
  <si>
    <t>204:232975</t>
  </si>
  <si>
    <t>300:58933</t>
  </si>
  <si>
    <t>300:58623</t>
  </si>
  <si>
    <t>Early arrival</t>
  </si>
  <si>
    <t>LOCKLEAR</t>
  </si>
  <si>
    <t>TRAVIS</t>
  </si>
  <si>
    <t>204:134</t>
  </si>
  <si>
    <t>204:232979</t>
  </si>
  <si>
    <t>204:233004</t>
  </si>
  <si>
    <t>204:442</t>
  </si>
  <si>
    <t>204:161</t>
  </si>
  <si>
    <t>204:233323</t>
  </si>
  <si>
    <t>204:233008</t>
  </si>
  <si>
    <t>204:167</t>
  </si>
  <si>
    <t>300:58636</t>
  </si>
  <si>
    <t>rtdc.l.rtdc.4016:itc</t>
  </si>
  <si>
    <t>rtdc.l.rtdc.4015:itc</t>
  </si>
  <si>
    <t>clear-night</t>
  </si>
  <si>
    <t>Clear</t>
  </si>
  <si>
    <t>204:233295</t>
  </si>
  <si>
    <t>204:232986</t>
  </si>
  <si>
    <t>204:232991</t>
  </si>
  <si>
    <t>204:449</t>
  </si>
  <si>
    <t>204:232971</t>
  </si>
  <si>
    <t>204:477</t>
  </si>
  <si>
    <t>rtdc.l.rtdc.4002:itc</t>
  </si>
  <si>
    <t>rtdc.l.rtdc.4021:itc</t>
  </si>
  <si>
    <t>rtdc.l.rtdc.4020:itc</t>
  </si>
  <si>
    <t>rtdc.l.rtdc.4022:itc</t>
  </si>
  <si>
    <t>rtdc.l.rtdc.4032:itc</t>
  </si>
  <si>
    <t>MOSES</t>
  </si>
  <si>
    <t>BRADLEY</t>
  </si>
  <si>
    <t>rtdc.l.rtdc.4065:itc</t>
  </si>
  <si>
    <t>rtdc.l.rtdc.4066:itc</t>
  </si>
  <si>
    <t>204:478</t>
  </si>
  <si>
    <t>204:232988</t>
  </si>
  <si>
    <t>204:232978</t>
  </si>
  <si>
    <t>204:469</t>
  </si>
  <si>
    <t>204:233303</t>
  </si>
  <si>
    <t>204:233025</t>
  </si>
  <si>
    <t>204:233291</t>
  </si>
  <si>
    <t>204:232985</t>
  </si>
  <si>
    <t>204:232967</t>
  </si>
  <si>
    <t>204:233006</t>
  </si>
  <si>
    <t>204:233329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</si>
  <si>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</si>
  <si>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</si>
  <si>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</si>
  <si>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</si>
  <si>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</si>
  <si>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</si>
  <si>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</si>
  <si>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</si>
  <si>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</si>
  <si>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</si>
  <si>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</si>
  <si>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</si>
  <si>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</si>
  <si>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</si>
  <si>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</si>
  <si>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</si>
  <si>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</si>
  <si>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</si>
  <si>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</si>
  <si>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</si>
  <si>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</si>
  <si>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</si>
  <si>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</si>
  <si>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</si>
  <si>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</si>
  <si>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</si>
  <si>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</si>
  <si>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</si>
  <si>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</si>
  <si>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</si>
  <si>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</si>
  <si>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</si>
  <si>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</si>
  <si>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</si>
  <si>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</si>
  <si>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</si>
  <si>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</si>
  <si>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</si>
  <si>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</si>
  <si>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</si>
  <si>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</si>
  <si>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</si>
  <si>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</si>
  <si>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</si>
  <si>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</si>
  <si>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</si>
  <si>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</si>
  <si>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</si>
  <si>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</si>
  <si>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</si>
  <si>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</si>
  <si>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</si>
  <si>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</si>
  <si>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</si>
  <si>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</si>
  <si>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</si>
  <si>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</si>
  <si>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</si>
  <si>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</si>
  <si>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</si>
  <si>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</si>
  <si>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</si>
  <si>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</si>
  <si>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</si>
  <si>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</si>
  <si>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</si>
  <si>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</si>
  <si>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</si>
  <si>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</si>
  <si>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</si>
  <si>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</si>
  <si>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</si>
  <si>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</si>
  <si>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</si>
  <si>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</si>
  <si>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</si>
  <si>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</si>
  <si>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</si>
  <si>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</si>
  <si>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</si>
  <si>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</si>
  <si>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</si>
  <si>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</si>
  <si>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</si>
  <si>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</si>
  <si>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</si>
  <si>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</si>
  <si>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</si>
  <si>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</si>
  <si>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</si>
  <si>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</si>
  <si>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</si>
  <si>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</si>
  <si>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</si>
  <si>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</si>
  <si>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</si>
  <si>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</si>
  <si>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</si>
  <si>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</si>
  <si>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</si>
  <si>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</si>
  <si>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</si>
  <si>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</si>
  <si>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</si>
  <si>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</si>
  <si>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</si>
  <si>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</si>
  <si>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</si>
  <si>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</si>
  <si>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</si>
  <si>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</si>
  <si>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</si>
  <si>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</si>
  <si>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</si>
  <si>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</si>
  <si>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</si>
  <si>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</si>
  <si>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</si>
  <si>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</si>
  <si>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</si>
  <si>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</si>
  <si>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</si>
  <si>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</si>
  <si>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</si>
  <si>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</si>
  <si>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</si>
  <si>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</si>
  <si>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</si>
  <si>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</si>
  <si>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</si>
  <si>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rtdc.l.rtdc.4052:itc</t>
  </si>
  <si>
    <t>rtdc.l.rtdc.4019:itc</t>
  </si>
  <si>
    <t>TEMPORARY SPEED RESTRICTION</t>
  </si>
  <si>
    <t>rtdc.l.rtdc.4004:itc</t>
  </si>
  <si>
    <t>rtdc.l.rtdc.4003:itc</t>
  </si>
  <si>
    <t>242-02</t>
  </si>
  <si>
    <t>rtdc.l.rtdc.4053:itc</t>
  </si>
  <si>
    <t>SHOOK</t>
  </si>
  <si>
    <t>JOHN</t>
  </si>
  <si>
    <t>DAVID</t>
  </si>
  <si>
    <t>SMITH</t>
  </si>
  <si>
    <t>PERKINS</t>
  </si>
  <si>
    <t>DARREN</t>
  </si>
  <si>
    <t>81-02</t>
  </si>
  <si>
    <t>88-02</t>
  </si>
  <si>
    <t>243-02</t>
  </si>
  <si>
    <t>240-02</t>
  </si>
  <si>
    <t>315-02</t>
  </si>
  <si>
    <t>309-02</t>
  </si>
  <si>
    <t>244-02</t>
  </si>
  <si>
    <t>311-02</t>
  </si>
  <si>
    <t>313-02</t>
  </si>
  <si>
    <t>204:232982</t>
  </si>
  <si>
    <t>204:233282</t>
  </si>
  <si>
    <t>204:435</t>
  </si>
  <si>
    <t>204:232983</t>
  </si>
  <si>
    <t>204:143</t>
  </si>
  <si>
    <t>204:484</t>
  </si>
  <si>
    <t>204:233321</t>
  </si>
  <si>
    <t>300:23308</t>
  </si>
  <si>
    <t>300:23325</t>
  </si>
  <si>
    <t>300:58624</t>
  </si>
  <si>
    <t>rtdc.l.rtdc.4029:itc</t>
  </si>
  <si>
    <t>rtdc.l.rtdc.4017:itc</t>
  </si>
  <si>
    <t>rtdc.l.rtdc.4031:itc</t>
  </si>
  <si>
    <t>rtdc.l.rtdc.4018:itc</t>
  </si>
  <si>
    <t>243-05</t>
  </si>
  <si>
    <t>DUNCAN</t>
  </si>
  <si>
    <t>SHEILA</t>
  </si>
  <si>
    <t>MAGEE</t>
  </si>
  <si>
    <t>KENYA</t>
  </si>
  <si>
    <t>STAMBAUGH</t>
  </si>
  <si>
    <t>SANTIZO</t>
  </si>
  <si>
    <t>D. EDY</t>
  </si>
  <si>
    <t>MAELZER</t>
  </si>
  <si>
    <t>KURT</t>
  </si>
  <si>
    <t>DAVIS</t>
  </si>
  <si>
    <t>WENDY</t>
  </si>
  <si>
    <t>rtdc.l.rtdc.4010:itc</t>
  </si>
  <si>
    <t>ROBINSON</t>
  </si>
  <si>
    <t>KADDIBA</t>
  </si>
  <si>
    <t>rtdc.l.rtdc.4009:itc</t>
  </si>
  <si>
    <t>HOLCOMB</t>
  </si>
  <si>
    <t>KAMDEN</t>
  </si>
  <si>
    <t>rtdc.l.rtdc.4001:itc</t>
  </si>
  <si>
    <t>LALONDE</t>
  </si>
  <si>
    <t>GREGORY</t>
  </si>
  <si>
    <t>ROMERO</t>
  </si>
  <si>
    <t>CHAD</t>
  </si>
  <si>
    <t>STEWART</t>
  </si>
  <si>
    <t>LEVIN</t>
  </si>
  <si>
    <t>SCOTT</t>
  </si>
  <si>
    <t>DAVIDSON</t>
  </si>
  <si>
    <t>87-05</t>
  </si>
  <si>
    <t>86-05</t>
  </si>
  <si>
    <t>309-05</t>
  </si>
  <si>
    <t>244-05</t>
  </si>
  <si>
    <t>311-05</t>
  </si>
  <si>
    <t>313-05</t>
  </si>
  <si>
    <t>partly-cloudy-night</t>
  </si>
  <si>
    <t>Partly Cloudy</t>
  </si>
  <si>
    <t>partly-cloudy-day</t>
  </si>
  <si>
    <t>204:741</t>
  </si>
  <si>
    <t>204:233280</t>
  </si>
  <si>
    <t>204:174</t>
  </si>
  <si>
    <t>204:734</t>
  </si>
  <si>
    <t>204:160</t>
  </si>
  <si>
    <t>204:232993</t>
  </si>
  <si>
    <t>204:233013</t>
  </si>
  <si>
    <t>204:426</t>
  </si>
  <si>
    <t>204:233300</t>
  </si>
  <si>
    <t>204:233380</t>
  </si>
  <si>
    <t>204:437</t>
  </si>
  <si>
    <t>204:232980</t>
  </si>
  <si>
    <t>204:232989</t>
  </si>
  <si>
    <t>300:58613</t>
  </si>
  <si>
    <t>300:58628</t>
  </si>
  <si>
    <t>300:58609</t>
  </si>
  <si>
    <t>204:733</t>
  </si>
  <si>
    <t>204:1018</t>
  </si>
  <si>
    <t>300:58954</t>
  </si>
  <si>
    <t>204:232957</t>
  </si>
  <si>
    <t>300:58941</t>
  </si>
  <si>
    <t>204:233017</t>
  </si>
  <si>
    <t>204:233283</t>
  </si>
  <si>
    <t>204:232976</t>
  </si>
  <si>
    <t>204:471</t>
  </si>
  <si>
    <t>204:1486</t>
  </si>
  <si>
    <t>300:23289</t>
  </si>
  <si>
    <t>Onboard in-route failure</t>
  </si>
  <si>
    <t>103-06</t>
  </si>
  <si>
    <t>901-06</t>
  </si>
  <si>
    <t>800-06</t>
  </si>
  <si>
    <t>119-06</t>
  </si>
  <si>
    <t>rtdc.l.rtdc.4008:itc</t>
  </si>
  <si>
    <t>902-06</t>
  </si>
  <si>
    <t>802-06</t>
  </si>
  <si>
    <t>804-06</t>
  </si>
  <si>
    <t>SIGNAL</t>
  </si>
  <si>
    <t>Signal based authority (5)</t>
  </si>
  <si>
    <t>123-06</t>
  </si>
  <si>
    <t>120-06</t>
  </si>
  <si>
    <t>806-06</t>
  </si>
  <si>
    <t>807-06</t>
  </si>
  <si>
    <t>SWITCH UNKNOWN</t>
  </si>
  <si>
    <t>Track device (7)</t>
  </si>
  <si>
    <t>122-06</t>
  </si>
  <si>
    <t>810-06</t>
  </si>
  <si>
    <t>139-06</t>
  </si>
  <si>
    <t>147-06</t>
  </si>
  <si>
    <t>140-06</t>
  </si>
  <si>
    <t>153-06</t>
  </si>
  <si>
    <t>148-06</t>
  </si>
  <si>
    <t>50-06</t>
  </si>
  <si>
    <t>157-06</t>
  </si>
  <si>
    <t>817-06</t>
  </si>
  <si>
    <t>154-06</t>
  </si>
  <si>
    <t>163-06</t>
  </si>
  <si>
    <t>820-06</t>
  </si>
  <si>
    <t>173-06</t>
  </si>
  <si>
    <t>168-06</t>
  </si>
  <si>
    <t>171-06</t>
  </si>
  <si>
    <t>181-06</t>
  </si>
  <si>
    <t>rtdc.l.rtdc.4051:itc</t>
  </si>
  <si>
    <t>183-06</t>
  </si>
  <si>
    <t>189-06</t>
  </si>
  <si>
    <t>184-06</t>
  </si>
  <si>
    <t>186-06</t>
  </si>
  <si>
    <t>rtdc.l.rtdc.4054:itc</t>
  </si>
  <si>
    <t>192-06</t>
  </si>
  <si>
    <t>194-06</t>
  </si>
  <si>
    <t>190-06</t>
  </si>
  <si>
    <t>196-06</t>
  </si>
  <si>
    <t>832-06</t>
  </si>
  <si>
    <t>207-06</t>
  </si>
  <si>
    <t>202-06</t>
  </si>
  <si>
    <t>217-06</t>
  </si>
  <si>
    <t>210-06</t>
  </si>
  <si>
    <t>219-06</t>
  </si>
  <si>
    <t>218-06</t>
  </si>
  <si>
    <t>233-06</t>
  </si>
  <si>
    <t>237-06</t>
  </si>
  <si>
    <t>234-06</t>
  </si>
  <si>
    <t>56-06</t>
  </si>
  <si>
    <t>Y</t>
  </si>
  <si>
    <t>302-06</t>
  </si>
  <si>
    <t>101-06</t>
  </si>
  <si>
    <t>HAUSER</t>
  </si>
  <si>
    <t>FRANK</t>
  </si>
  <si>
    <t>304-06</t>
  </si>
  <si>
    <t>306-06</t>
  </si>
  <si>
    <t>STARKS</t>
  </si>
  <si>
    <t>ANGELINA</t>
  </si>
  <si>
    <t>102-06</t>
  </si>
  <si>
    <t>308-06</t>
  </si>
  <si>
    <t>BONDS</t>
  </si>
  <si>
    <t>REYNALDO</t>
  </si>
  <si>
    <t>105-06</t>
  </si>
  <si>
    <t>310-06</t>
  </si>
  <si>
    <t>107-06</t>
  </si>
  <si>
    <t>109-06</t>
  </si>
  <si>
    <t>111-06</t>
  </si>
  <si>
    <t>YORK</t>
  </si>
  <si>
    <t>EDGAR</t>
  </si>
  <si>
    <t>113-06</t>
  </si>
  <si>
    <t>106-06</t>
  </si>
  <si>
    <t>108-06</t>
  </si>
  <si>
    <t>115-06</t>
  </si>
  <si>
    <t>110-06</t>
  </si>
  <si>
    <t>117-06</t>
  </si>
  <si>
    <t>112-06</t>
  </si>
  <si>
    <t>801-06</t>
  </si>
  <si>
    <t>114-06</t>
  </si>
  <si>
    <t>ROCHA</t>
  </si>
  <si>
    <t>YAOTL</t>
  </si>
  <si>
    <t>121-06</t>
  </si>
  <si>
    <t>803-06</t>
  </si>
  <si>
    <t>116-06</t>
  </si>
  <si>
    <t>125-06</t>
  </si>
  <si>
    <t>118-06</t>
  </si>
  <si>
    <t>805-06</t>
  </si>
  <si>
    <t>127-06</t>
  </si>
  <si>
    <t>129-06</t>
  </si>
  <si>
    <t>124-06</t>
  </si>
  <si>
    <t>126-06</t>
  </si>
  <si>
    <t>131-06</t>
  </si>
  <si>
    <t>808-06</t>
  </si>
  <si>
    <t>128-06</t>
  </si>
  <si>
    <t>133-06</t>
  </si>
  <si>
    <t>809-06</t>
  </si>
  <si>
    <t>135-06</t>
  </si>
  <si>
    <t>130-06</t>
  </si>
  <si>
    <t>811-06</t>
  </si>
  <si>
    <t>137-06</t>
  </si>
  <si>
    <t>132-06</t>
  </si>
  <si>
    <t>903-06</t>
  </si>
  <si>
    <t>812-06</t>
  </si>
  <si>
    <t>134-06</t>
  </si>
  <si>
    <t>141-06</t>
  </si>
  <si>
    <t>136-06</t>
  </si>
  <si>
    <t>143-06</t>
  </si>
  <si>
    <t>138-06</t>
  </si>
  <si>
    <t>145-06</t>
  </si>
  <si>
    <t>813-06</t>
  </si>
  <si>
    <t>142-06</t>
  </si>
  <si>
    <t>814-06</t>
  </si>
  <si>
    <t>149-06</t>
  </si>
  <si>
    <t>144-06</t>
  </si>
  <si>
    <t>151-06</t>
  </si>
  <si>
    <t>146-06</t>
  </si>
  <si>
    <t>815-06</t>
  </si>
  <si>
    <t>155-06</t>
  </si>
  <si>
    <t>816-06</t>
  </si>
  <si>
    <t>150-06</t>
  </si>
  <si>
    <t>152-06</t>
  </si>
  <si>
    <t>159-06</t>
  </si>
  <si>
    <t>161-06</t>
  </si>
  <si>
    <t>156-06</t>
  </si>
  <si>
    <t>CLARK</t>
  </si>
  <si>
    <t>KATHLEEN</t>
  </si>
  <si>
    <t>158-06</t>
  </si>
  <si>
    <t>818-06</t>
  </si>
  <si>
    <t>165-06</t>
  </si>
  <si>
    <t>51-06</t>
  </si>
  <si>
    <t>160-06</t>
  </si>
  <si>
    <t>819-06</t>
  </si>
  <si>
    <t>167-06</t>
  </si>
  <si>
    <t>162-06</t>
  </si>
  <si>
    <t>169-06</t>
  </si>
  <si>
    <t>LEVERE</t>
  </si>
  <si>
    <t>CRAIG</t>
  </si>
  <si>
    <t>164-06</t>
  </si>
  <si>
    <t>166-06</t>
  </si>
  <si>
    <t>175-06</t>
  </si>
  <si>
    <t>170-06</t>
  </si>
  <si>
    <t>177-06</t>
  </si>
  <si>
    <t>821-06</t>
  </si>
  <si>
    <t>172-06</t>
  </si>
  <si>
    <t>179-06</t>
  </si>
  <si>
    <t>174-06</t>
  </si>
  <si>
    <t>822-06</t>
  </si>
  <si>
    <t>176-06</t>
  </si>
  <si>
    <t>178-06</t>
  </si>
  <si>
    <t>185-06</t>
  </si>
  <si>
    <t>823-06</t>
  </si>
  <si>
    <t>180-06</t>
  </si>
  <si>
    <t>187-06</t>
  </si>
  <si>
    <t>824-06</t>
  </si>
  <si>
    <t>182-06</t>
  </si>
  <si>
    <t>191-06</t>
  </si>
  <si>
    <t>193-06</t>
  </si>
  <si>
    <t>904-06</t>
  </si>
  <si>
    <t>825-06</t>
  </si>
  <si>
    <t>188-06</t>
  </si>
  <si>
    <t>195-06</t>
  </si>
  <si>
    <t>827-06</t>
  </si>
  <si>
    <t>826-06</t>
  </si>
  <si>
    <t>197-06</t>
  </si>
  <si>
    <t>52-06</t>
  </si>
  <si>
    <t>199-06</t>
  </si>
  <si>
    <t>828-06</t>
  </si>
  <si>
    <t>201-06</t>
  </si>
  <si>
    <t>829-06</t>
  </si>
  <si>
    <t>203-06</t>
  </si>
  <si>
    <t>198-06</t>
  </si>
  <si>
    <t>831-06</t>
  </si>
  <si>
    <t>830-06</t>
  </si>
  <si>
    <t>200-06</t>
  </si>
  <si>
    <t>205-06</t>
  </si>
  <si>
    <t>833-06</t>
  </si>
  <si>
    <t>204-06</t>
  </si>
  <si>
    <t>69-06</t>
  </si>
  <si>
    <t>209-06</t>
  </si>
  <si>
    <t>835-06</t>
  </si>
  <si>
    <t>211-06</t>
  </si>
  <si>
    <t>54-06</t>
  </si>
  <si>
    <t>834-06</t>
  </si>
  <si>
    <t>206-06</t>
  </si>
  <si>
    <t>213-06</t>
  </si>
  <si>
    <t>208-06</t>
  </si>
  <si>
    <t>215-06</t>
  </si>
  <si>
    <t>836-06</t>
  </si>
  <si>
    <t>837-06</t>
  </si>
  <si>
    <t>212-06</t>
  </si>
  <si>
    <t>STORY</t>
  </si>
  <si>
    <t>SAMANTHA</t>
  </si>
  <si>
    <t>839-06</t>
  </si>
  <si>
    <t>838-06</t>
  </si>
  <si>
    <t>214-06</t>
  </si>
  <si>
    <t>303-06</t>
  </si>
  <si>
    <t>53-06</t>
  </si>
  <si>
    <t>216-06</t>
  </si>
  <si>
    <t>221-06</t>
  </si>
  <si>
    <t>841-06</t>
  </si>
  <si>
    <t>906-06</t>
  </si>
  <si>
    <t>305-06</t>
  </si>
  <si>
    <t>220-06</t>
  </si>
  <si>
    <t>223-06</t>
  </si>
  <si>
    <t>840-06</t>
  </si>
  <si>
    <t>222-06</t>
  </si>
  <si>
    <t>307-06</t>
  </si>
  <si>
    <t>225-06</t>
  </si>
  <si>
    <t>843-06</t>
  </si>
  <si>
    <t>227-06</t>
  </si>
  <si>
    <t>55-06</t>
  </si>
  <si>
    <t>224-06</t>
  </si>
  <si>
    <t>57-06</t>
  </si>
  <si>
    <t>842-06</t>
  </si>
  <si>
    <t>226-06</t>
  </si>
  <si>
    <t>229-06</t>
  </si>
  <si>
    <t>845-06</t>
  </si>
  <si>
    <t>231-06</t>
  </si>
  <si>
    <t>228-06</t>
  </si>
  <si>
    <t>844-06</t>
  </si>
  <si>
    <t>847-06</t>
  </si>
  <si>
    <t>230-06</t>
  </si>
  <si>
    <t>235-06</t>
  </si>
  <si>
    <t>59-06</t>
  </si>
  <si>
    <t>232-06</t>
  </si>
  <si>
    <t>239-06</t>
  </si>
  <si>
    <t>236-06</t>
  </si>
  <si>
    <t>241-06</t>
  </si>
  <si>
    <t>238-06</t>
  </si>
  <si>
    <t>240-06</t>
  </si>
  <si>
    <t>243-06</t>
  </si>
  <si>
    <t>242-06</t>
  </si>
  <si>
    <t>315-06</t>
  </si>
  <si>
    <t>309-06</t>
  </si>
  <si>
    <t>244-06</t>
  </si>
  <si>
    <t>311-06</t>
  </si>
  <si>
    <t>313-06</t>
  </si>
  <si>
    <t>precipType</t>
  </si>
  <si>
    <t>rain</t>
  </si>
  <si>
    <t>wind</t>
  </si>
  <si>
    <t>Breezy and Partly Cloudy</t>
  </si>
  <si>
    <t>clear-day</t>
  </si>
  <si>
    <t>204:232689</t>
  </si>
  <si>
    <t>204:757</t>
  </si>
  <si>
    <t>204:233249</t>
  </si>
  <si>
    <t>204:737</t>
  </si>
  <si>
    <t>204:233307</t>
  </si>
  <si>
    <t>204:232656</t>
  </si>
  <si>
    <t>204:795</t>
  </si>
  <si>
    <t>204:233298</t>
  </si>
  <si>
    <t>204:233286</t>
  </si>
  <si>
    <t>204:755</t>
  </si>
  <si>
    <t>204:233318</t>
  </si>
  <si>
    <t>204:794</t>
  </si>
  <si>
    <t>204:232987</t>
  </si>
  <si>
    <t>204:232965</t>
  </si>
  <si>
    <t>204:232973</t>
  </si>
  <si>
    <t>204:233305</t>
  </si>
  <si>
    <t>204:233010</t>
  </si>
  <si>
    <t>204:475</t>
  </si>
  <si>
    <t>204:233278</t>
  </si>
  <si>
    <t>204:233302</t>
  </si>
  <si>
    <t>204:232981</t>
  </si>
  <si>
    <t>204:233326</t>
  </si>
  <si>
    <t>204:130</t>
  </si>
  <si>
    <t>204:233308</t>
  </si>
  <si>
    <t>204:1158</t>
  </si>
  <si>
    <t>204:233401</t>
  </si>
  <si>
    <t>204:233072</t>
  </si>
  <si>
    <t>204:233349</t>
  </si>
  <si>
    <t>204:233045</t>
  </si>
  <si>
    <t>204:482</t>
  </si>
  <si>
    <t>204:232974</t>
  </si>
  <si>
    <t>204:233261</t>
  </si>
  <si>
    <t>204:232942</t>
  </si>
  <si>
    <t>204:364</t>
  </si>
  <si>
    <t>204:233301</t>
  </si>
  <si>
    <t>204:356</t>
  </si>
  <si>
    <t>204:233331</t>
  </si>
  <si>
    <t>204:233019</t>
  </si>
  <si>
    <t>204:1494</t>
  </si>
  <si>
    <t>204:2167</t>
  </si>
  <si>
    <t>204:20238</t>
  </si>
  <si>
    <t>204:1150</t>
  </si>
  <si>
    <t>204:128278</t>
  </si>
  <si>
    <t>204:1805</t>
  </si>
  <si>
    <t>204:662</t>
  </si>
  <si>
    <t>204:233359</t>
  </si>
  <si>
    <t>204:905</t>
  </si>
  <si>
    <t>204:673</t>
  </si>
  <si>
    <t>204:232963</t>
  </si>
  <si>
    <t>204:163</t>
  </si>
  <si>
    <t>204:233355</t>
  </si>
  <si>
    <t>204:233336</t>
  </si>
  <si>
    <t>204:233030</t>
  </si>
  <si>
    <t>204:172</t>
  </si>
  <si>
    <t>204:191</t>
  </si>
  <si>
    <t>204:418</t>
  </si>
  <si>
    <t>204:233264</t>
  </si>
  <si>
    <t>204:232943</t>
  </si>
  <si>
    <t>204:233055</t>
  </si>
  <si>
    <t>204:480</t>
  </si>
  <si>
    <t>204:233346</t>
  </si>
  <si>
    <t>204:511</t>
  </si>
  <si>
    <t>204:233001</t>
  </si>
  <si>
    <t>204:233276</t>
  </si>
  <si>
    <t>204:433</t>
  </si>
  <si>
    <t>204:233402</t>
  </si>
  <si>
    <t>204:233089</t>
  </si>
  <si>
    <t>204:233398</t>
  </si>
  <si>
    <t>204:233079</t>
  </si>
  <si>
    <t>204:207</t>
  </si>
  <si>
    <t>204:233344</t>
  </si>
  <si>
    <t>204:233287</t>
  </si>
  <si>
    <t>204:101724</t>
  </si>
  <si>
    <t>204:232960</t>
  </si>
  <si>
    <t>204:233268</t>
  </si>
  <si>
    <t>204:232966</t>
  </si>
  <si>
    <t>204:233404</t>
  </si>
  <si>
    <t>300:19400</t>
  </si>
  <si>
    <t>300:23302</t>
  </si>
  <si>
    <t>300:23478</t>
  </si>
  <si>
    <t>300:23003</t>
  </si>
  <si>
    <t>300:25126</t>
  </si>
  <si>
    <t>300:23442</t>
  </si>
  <si>
    <t>300:23297</t>
  </si>
  <si>
    <t>300:22743</t>
  </si>
  <si>
    <t>300:23295</t>
  </si>
  <si>
    <t>300:23310</t>
  </si>
  <si>
    <t>300:22835</t>
  </si>
  <si>
    <t>300:21909</t>
  </si>
  <si>
    <t>204:359</t>
  </si>
  <si>
    <t>300:24233</t>
  </si>
  <si>
    <t>300:21960</t>
  </si>
  <si>
    <t>204:900</t>
  </si>
  <si>
    <t>204:708</t>
  </si>
  <si>
    <t>300:23346</t>
  </si>
  <si>
    <t>300:23559</t>
  </si>
  <si>
    <t>204:135</t>
  </si>
  <si>
    <t>300:21846</t>
  </si>
  <si>
    <t>204:943</t>
  </si>
  <si>
    <t>204:1262</t>
  </si>
  <si>
    <t>204:907</t>
  </si>
  <si>
    <t>204:133</t>
  </si>
  <si>
    <t>300:58700</t>
  </si>
  <si>
    <t>204:629</t>
  </si>
  <si>
    <t>204:904</t>
  </si>
  <si>
    <t>300:59007</t>
  </si>
  <si>
    <t>300:58692</t>
  </si>
  <si>
    <t>204:645</t>
  </si>
  <si>
    <t>204:878</t>
  </si>
  <si>
    <t>300:58926</t>
  </si>
  <si>
    <t>300:58598</t>
  </si>
  <si>
    <t>204:682</t>
  </si>
  <si>
    <t>204:929</t>
  </si>
  <si>
    <t>300:58999</t>
  </si>
  <si>
    <t>300:58685</t>
  </si>
  <si>
    <t>204:969</t>
  </si>
  <si>
    <t>300:23123</t>
  </si>
  <si>
    <t>300:58722</t>
  </si>
  <si>
    <t>204:666</t>
  </si>
  <si>
    <t>204:950</t>
  </si>
  <si>
    <t>300:59003</t>
  </si>
  <si>
    <t>300:58688</t>
  </si>
  <si>
    <t>204:979</t>
  </si>
  <si>
    <t>300:58929</t>
  </si>
  <si>
    <t>300:58655</t>
  </si>
  <si>
    <t>204:659</t>
  </si>
  <si>
    <t>204:958</t>
  </si>
  <si>
    <t>300:58965</t>
  </si>
  <si>
    <t>300:58651</t>
  </si>
  <si>
    <t>204:649</t>
  </si>
  <si>
    <t>204:661</t>
  </si>
  <si>
    <t>204:960</t>
  </si>
  <si>
    <t>300:58920</t>
  </si>
  <si>
    <t>300:58602</t>
  </si>
  <si>
    <t>204:964</t>
  </si>
  <si>
    <t>300:58931</t>
  </si>
  <si>
    <t>204:668</t>
  </si>
  <si>
    <t>204:965</t>
  </si>
  <si>
    <t>300:58606</t>
  </si>
  <si>
    <t>204:656</t>
  </si>
  <si>
    <t>300:58928</t>
  </si>
  <si>
    <t>300:58611</t>
  </si>
  <si>
    <t>204:652</t>
  </si>
  <si>
    <t>204:941</t>
  </si>
  <si>
    <t>300:58935</t>
  </si>
  <si>
    <t>204:636</t>
  </si>
  <si>
    <t>204:944</t>
  </si>
  <si>
    <t>204:664</t>
  </si>
  <si>
    <t>204:948</t>
  </si>
  <si>
    <t>300:58608</t>
  </si>
  <si>
    <t>204:650</t>
  </si>
  <si>
    <t>204:937</t>
  </si>
  <si>
    <t>204:710</t>
  </si>
  <si>
    <t>204:932</t>
  </si>
  <si>
    <t>300:58950</t>
  </si>
  <si>
    <t>300:58638</t>
  </si>
  <si>
    <t>204:628</t>
  </si>
  <si>
    <t>204:1006</t>
  </si>
  <si>
    <t>204:925</t>
  </si>
  <si>
    <t>300:29665</t>
  </si>
  <si>
    <t>300:59001</t>
  </si>
  <si>
    <t>300:23375</t>
  </si>
  <si>
    <t>300:23366</t>
  </si>
  <si>
    <t>300:21738</t>
  </si>
  <si>
    <t>start /low /b %USERPROFILE%\Documents\GitHub\eaglep3\Utilities\DownloadLogsFromS3.py --loco 4002 --day 2017-03-06</t>
  </si>
  <si>
    <t>start /low /b %USERPROFILE%\Documents\GitHub\eaglep3\Utilities\DownloadLogsFromS3.py --loco 4009 --day 2017-03-06</t>
  </si>
  <si>
    <t>start /low /b %USERPROFILE%\Documents\GitHub\eaglep3\Utilities\DownloadLogsFromS3.py --loco 4051 --day 2017-03-06</t>
  </si>
  <si>
    <t>start /low /b %USERPROFILE%\Documents\GitHub\eaglep3\Utilities\DownloadLogsFromS3.py --loco 4009 --day 1969-12-31</t>
  </si>
  <si>
    <t>start /low /b %USERPROFILE%\Documents\GitHub\eaglep3\Utilities\DownloadLogsFromS3.py --loco 4029 --day 2017-03-06</t>
  </si>
  <si>
    <t>start /low /b %USERPROFILE%\Documents\GitHub\eaglep3\Utilities\DownloadLogsFromS3.py --loco 4007 --day 2017-03-06</t>
  </si>
  <si>
    <t>start /low /b %USERPROFILE%\Documents\GitHub\eaglep3\Utilities\DownloadLogsFromS3.py --loco 4020 --day 2017-03-06</t>
  </si>
  <si>
    <t>start /low /b %USERPROFILE%\Documents\GitHub\eaglep3\Utilities\DownloadLogsFromS3.py --loco 4046 --day 2017-03-06</t>
  </si>
  <si>
    <t>start /low /b %USERPROFILE%\Documents\GitHub\eaglep3\Utilities\DownloadLogsFromS3.py --loco 4029 --day 2017-03-07</t>
  </si>
  <si>
    <t>start /low /b %USERPROFILE%\Documents\GitHub\eaglep3\Utilities\DownloadLogsFromS3.py --loco 4001 --day 2017-03-06</t>
  </si>
  <si>
    <t>start /low /b %USERPROFILE%\Documents\GitHub\eaglep3\Utilities\DownloadLogsFromS3.py --loco 4052 --day 2017-03-07</t>
  </si>
  <si>
    <t>start /low /b %USERPROFILE%\Documents\GitHub\eaglep3\Utilities\DownloadLogsFromS3.py --loco 4019 --day 2017-03-06</t>
  </si>
  <si>
    <t>start /low /b %USERPROFILE%\Documents\GitHub\eaglep3\Utilities\DownloadLogsFromS3.py --loco 4003 --day 2017-03-06</t>
  </si>
  <si>
    <t>start /low /b %USERPROFILE%\Documents\GitHub\eaglep3\Utilities\DownloadLogsFromS3.py --loco 4052 --day 2017-03-06</t>
  </si>
  <si>
    <t>start /low /b %USERPROFILE%\Documents\GitHub\eaglep3\Utilities\DownloadLogsFromS3.py --loco 4051 --day 2017-03-07</t>
  </si>
  <si>
    <t>start /low /b %USERPROFILE%\Documents\GitHub\eaglep3\Utilities\DownloadLogsFromS3.py --loco 4010 --day 2017-03-06</t>
  </si>
  <si>
    <t>start /low /b %USERPROFILE%\Documents\GitHub\eaglep3\Utilities\DownloadLogsFromS3.py --loco 4004 --day 2017-03-06</t>
  </si>
  <si>
    <t>start /low /b %USERPROFILE%\Documents\GitHub\eaglep3\Utilities\DownloadLogsFromS3.py --loco 4018 --day 2017-03-06</t>
  </si>
  <si>
    <t>start /low /b %USERPROFILE%\Documents\GitHub\eaglep3\Utilities\DownloadLogsFromS3.py --loco 4018 --day 2017-03-07</t>
  </si>
  <si>
    <t>start /low /b %USERPROFILE%\Documents\GitHub\eaglep3\Utilities\DownloadLogsFromS3.py --loco 4017 --day 2017-03-06</t>
  </si>
  <si>
    <t>start /low /b %USERPROFILE%\Documents\GitHub\eaglep3\Utilities\DownloadLogsFromS3.py --loco 4054 --day 2017-03-06</t>
  </si>
  <si>
    <t>start /low /b %USERPROFILE%\Documents\GitHub\eaglep3\Utilities\DownloadLogsFromS3.py --loco 4010 --day 2017-03-07</t>
  </si>
  <si>
    <t>start /low /b %USERPROFILE%\Documents\GitHub\eaglep3\Utilities\DownloadLogsFromS3.py --loco 4045 --day 2017-03-07</t>
  </si>
  <si>
    <t>start /low /b %USERPROFILE%\Documents\GitHub\eaglep3\Utilities\DownloadLogsFromS3.py --loco 4053 --day 2017-03-07</t>
  </si>
  <si>
    <t>start /low /b %USERPROFILE%\Documents\GitHub\eaglep3\Utilities\DownloadLogsFromS3.py --loco 4008 --day 2017-03-06</t>
  </si>
  <si>
    <t>start /low /b %USERPROFILE%\Documents\GitHub\eaglep3\Utilities\DownloadLogsFromS3.py --loco 4013 --day 2017-03-06</t>
  </si>
  <si>
    <t>start /low /b %USERPROFILE%\Documents\GitHub\eaglep3\Utilities\DownloadLogsFromS3.py --loco 4013 --day 2017-03-07</t>
  </si>
  <si>
    <t>Main 3 departure</t>
  </si>
  <si>
    <t>:.+((SYSTEM_STATE.+slice.+state.+changed )|(ment ac)|(multiple cpu faults)|(system.+state.+changed )|(\[timeout)|(PRM\|1\|D)|(kpr)|(kdp)|(\|lc)|(penalty))</t>
  </si>
  <si>
    <t>Wi-MAX data drop</t>
  </si>
  <si>
    <t>Delayed by onboard in-route failure</t>
  </si>
  <si>
    <t>Form C</t>
  </si>
  <si>
    <t>Hard cut out due to xing wind issues?</t>
  </si>
  <si>
    <t>Chambers 2N STOP</t>
  </si>
  <si>
    <t>40th 4S STOP</t>
  </si>
  <si>
    <t>DUS 28S STOP</t>
  </si>
  <si>
    <t>Wi-MAX data drop (4007 WAN2 down)</t>
  </si>
  <si>
    <t>104-06</t>
  </si>
  <si>
    <t>204:136</t>
  </si>
  <si>
    <t>Delayed by CCROC/crew/equipment mismatch</t>
  </si>
  <si>
    <t>204:678</t>
  </si>
  <si>
    <t>204:967</t>
  </si>
  <si>
    <t>300:58971</t>
  </si>
  <si>
    <t>Did not release brakes for departure test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</si>
  <si>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</si>
  <si>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</si>
  <si>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</si>
  <si>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</si>
  <si>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</si>
  <si>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</si>
  <si>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</si>
  <si>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</si>
  <si>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</si>
  <si>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</si>
  <si>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</si>
  <si>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</si>
  <si>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</si>
  <si>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</si>
  <si>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</si>
  <si>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</si>
  <si>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</si>
  <si>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</si>
  <si>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</si>
  <si>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</si>
  <si>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</si>
  <si>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</si>
  <si>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</si>
  <si>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Warning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</si>
</sst>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6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workbookViewId="0">
      <selection activeCell="R17" sqref="R1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42800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139</v>
      </c>
      <c r="K5" s="40"/>
      <c r="L5" s="40"/>
      <c r="M5" s="41">
        <f>AVERAGEIFS($N$13:$N$9335,$AG$13:$AG$9335,I1)</f>
        <v>42.37601918490811</v>
      </c>
      <c r="N5" s="39">
        <f t="array" ref="N5">MIN(IF($AG$13:$AG$9335=I1,IF(ISNUMBER($N$13:$N$9335),IF($N$13:$N$9335&gt;0,$N$13:$N$9335))))</f>
        <v>35.233333334326744</v>
      </c>
      <c r="O5" s="3">
        <f t="array" ref="O5">MAX(IF($AG$13:$AG$9335=I1,IF(ISNUMBER($N$13:$N$9335),IF($N$13:$N$9335&gt;0,$N$13:$N$9335))))</f>
        <v>56.616666668560356</v>
      </c>
      <c r="P5" s="2"/>
      <c r="R5" s="74" t="s">
        <v>17</v>
      </c>
      <c r="S5" s="50">
        <f>COUNTIFS($N$13:$N$9335,"&gt;0",$AG$13:$AG$9335,R1)</f>
        <v>46</v>
      </c>
      <c r="T5" s="40"/>
      <c r="U5" s="177"/>
      <c r="V5" s="174">
        <f>AVERAGEIFS($N$13:$N$9335,$AG$13:$AG$9335,R1)</f>
        <v>15.405434782100517</v>
      </c>
      <c r="W5" s="175">
        <f t="array" ref="W5">MIN(IF($AG$13:$AG$9335=R1,IF(ISNUMBER($N$13:$N$9335),IF($N$13:$N$9335&gt;0,$N$13:$N$9335))))</f>
        <v>12.15000000083819</v>
      </c>
      <c r="X5" s="176">
        <f t="array" ref="X5">MAX(IF($AG$13:$AG$9335=R1,IF(ISNUMBER($N$13:$N$9335),IF($N$13:$N$9335&gt;0,$N$13:$N$9335))))</f>
        <v>27.783333332045004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7"/>
      <c r="V6" s="174">
        <f>IFERROR(AVERAGE($O$13:$O$112),0)</f>
        <v>0</v>
      </c>
      <c r="W6" s="175">
        <f>MIN($O$13:$O$112)</f>
        <v>0</v>
      </c>
      <c r="X6" s="176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5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1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42.37601918490811</v>
      </c>
      <c r="N8" s="39">
        <f>N5</f>
        <v>35.233333334326744</v>
      </c>
      <c r="O8" s="3">
        <f>O5</f>
        <v>56.616666668560356</v>
      </c>
      <c r="P8" s="2"/>
      <c r="R8" s="74" t="s">
        <v>16</v>
      </c>
      <c r="S8" s="50">
        <f>S5</f>
        <v>46</v>
      </c>
      <c r="T8" s="40"/>
      <c r="U8" s="177"/>
      <c r="V8" s="174">
        <f>V5</f>
        <v>15.405434782100517</v>
      </c>
      <c r="W8" s="175">
        <f>W5</f>
        <v>12.15000000083819</v>
      </c>
      <c r="X8" s="176">
        <f>X5</f>
        <v>27.783333332045004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0.96527777777777779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0.97872340425531912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- 2017-03-06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AVERAGE(S13:S82)</f>
        <v>0.98571428571428577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206</v>
      </c>
      <c r="AN12" s="47" t="s">
        <v>214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606</v>
      </c>
      <c r="B13" s="7">
        <v>4002</v>
      </c>
      <c r="C13" s="21" t="s">
        <v>245</v>
      </c>
      <c r="D13" s="21" t="s">
        <v>525</v>
      </c>
      <c r="E13" s="13">
        <v>42800.129791666666</v>
      </c>
      <c r="F13" s="13">
        <v>42800.135601851849</v>
      </c>
      <c r="G13" s="7">
        <v>1</v>
      </c>
      <c r="H13" s="21" t="s">
        <v>286</v>
      </c>
      <c r="I13" s="13">
        <v>42800.162719907406</v>
      </c>
      <c r="J13" s="7">
        <v>0</v>
      </c>
      <c r="K13" s="98" t="str">
        <f t="shared" ref="K13:K43" si="0">IF(ISEVEN(B13),(B13-1)&amp;"/"&amp;B13,B13&amp;"/"&amp;(B13+1))</f>
        <v>4001/4002</v>
      </c>
      <c r="L13" s="21" t="str">
        <f>VLOOKUP(A13,'Trips&amp;Operators'!$C$1:$G$99999,5,FALSE)</f>
        <v>HAUSER FRANK</v>
      </c>
      <c r="M13" s="6">
        <f t="shared" ref="M13:M43" si="1">I13-F13</f>
        <v>2.7118055557366461E-2</v>
      </c>
      <c r="N13" s="7">
        <f>24*60*SUM($M13:$M13)</f>
        <v>39.050000002607703</v>
      </c>
      <c r="O13" s="7"/>
      <c r="P13" s="7"/>
      <c r="Q13" s="22"/>
      <c r="R13" s="22"/>
      <c r="S13" s="31">
        <f t="shared" ref="S13:S43" si="2">SUM(U13:U13)/IF(AG13="EC",12,1)</f>
        <v>1</v>
      </c>
      <c r="T13" s="46" t="str">
        <f t="shared" ref="T13:T43" si="3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-06T02:06:54-0700',mode:absolute,to:'2017-03-06T04:54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87" t="str">
        <f t="shared" ref="W13:W43" si="5">IF(AA13&lt;IF(AG13="EC",23,5.65),"Y","N")</f>
        <v>N</v>
      </c>
      <c r="X13" s="187" t="e">
        <f t="shared" ref="X13:X43" si="6">VALUE(LEFT(AD13,4))-VALUE(LEFT(AD12,4))</f>
        <v>#VALUE!</v>
      </c>
      <c r="Y13" s="62">
        <f t="shared" ref="Y13:Y43" si="7">RIGHT(D13,LEN(D13)-4)/10000</f>
        <v>7.3400000000000007E-2</v>
      </c>
      <c r="Z13" s="62">
        <f t="shared" ref="Z13:Z43" si="8">RIGHT(H13,LEN(H13)-4)/10000</f>
        <v>23.3323</v>
      </c>
      <c r="AA13" s="62">
        <f t="shared" ref="AA13:AA43" si="9">ABS(Z13-Y13)</f>
        <v>23.258900000000001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3" si="10">IF(LEN(A13)=6,"0"&amp;A13,A13)</f>
        <v>0101-06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/stypes="app*4002*20170306*" /stext=" 10:.+((SYSTEM_STATE.+slice.+state.+changed )|(ment ac)|(multiple cpu faults)|(system.+state.+changed )|(\[timeout)|(PRM\|1\|D)|(kpr)|(kdp)|(\|lc)|(penalty))"</v>
      </c>
      <c r="AG13" s="1" t="str">
        <f t="shared" ref="AG13:AG43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4002 --swversion DE.1.0.9.0 --startMP 204:734 --initTime 2017-03-06T03:06:54 --startdatetime 2017-03-06T03:15:16 --delay 1 --endMP 204:233323 --enddatetime 2017-03-06T03:54:19 --enforcementcount 0 &gt;&gt;C:\Users\stu\Documents\GitHub\eaglep3-reporting\EC\2017-03-06-refined-times.txt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{"issue":{"subject":"","project_id":79,"tracker_id":40,"status_id":1,"priority_id":2,"assigned_to_id":23,"start_date":"2017-03-06","description":"","custom_fields":[{"id":1,"name":"Subdivision","value":"EC"},{"id":4,"name":"Milepost","value":"23.3323"},{"id":17,"name":"Train ID","value":"101-06"},{"id":16,"name":"Locomotive ID","value":"4002"},{"id":130,"name":"Impact","value":""},{"id":150,"name":"Time of Event (Mountain Time)","value":"03:54:19"},{"id":151,"name":"Denver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4002 --day 2017-03-06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613</v>
      </c>
      <c r="B14" s="7">
        <v>4021</v>
      </c>
      <c r="C14" s="21" t="s">
        <v>245</v>
      </c>
      <c r="D14" s="21" t="s">
        <v>796</v>
      </c>
      <c r="E14" s="13">
        <v>42800.169039351851</v>
      </c>
      <c r="F14" s="13">
        <v>42800.176261574074</v>
      </c>
      <c r="G14" s="7">
        <v>1</v>
      </c>
      <c r="H14" s="21" t="s">
        <v>285</v>
      </c>
      <c r="I14" s="13">
        <v>42800.205671296295</v>
      </c>
      <c r="J14" s="7">
        <v>0</v>
      </c>
      <c r="K14" s="98" t="str">
        <f t="shared" si="0"/>
        <v>4021/4022</v>
      </c>
      <c r="L14" s="21" t="str">
        <f>VLOOKUP(A14,'Trips&amp;Operators'!$C$1:$G$99999,5,FALSE)</f>
        <v>SANTIZO D. EDY</v>
      </c>
      <c r="M14" s="6">
        <f t="shared" si="1"/>
        <v>2.940972222131677E-2</v>
      </c>
      <c r="N14" s="7">
        <f>24*60*SUM($M14:$M14)</f>
        <v>42.349999998696148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4"/>
        <v>https://d0f6bd738d7f1b3e5a7ca70fe4ff75f0.us-east-1.aws.found.io/app/kibana#/discover/Steve-Slow-Train-Analysis-(2080s-and-2083s)?_g=(refreshInterval:(display:Off,pause:!f,section:0,value:0),time:(from:'2017-03-06T03:03:25-0700',mode:absolute,to:'2017-03-06T05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7" t="str">
        <f t="shared" si="5"/>
        <v>N</v>
      </c>
      <c r="X14" s="187">
        <f t="shared" si="6"/>
        <v>1</v>
      </c>
      <c r="Y14" s="62">
        <f t="shared" si="7"/>
        <v>23.268899999999999</v>
      </c>
      <c r="Z14" s="62">
        <f t="shared" si="8"/>
        <v>1.61E-2</v>
      </c>
      <c r="AA14" s="62">
        <f t="shared" si="9"/>
        <v>23.252799999999997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0102-06</v>
      </c>
      <c r="AE14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14" s="82" t="str">
        <f t="shared" si="12"/>
        <v>"C:\Program Files (x86)\AstroGrep\AstroGrep.exe" /e /r /s /spath="%USERPROFILE%\AppData\Local\Temp\OnboardLogs" /stypes="app*4021*20170306*" /stext=" 11:.+((SYSTEM_STATE.+slice.+state.+changed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8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4021 --swversion DE.1.0.9.0 --startMP 204:232689 --initTime 2017-03-06T04:03:25 --startdatetime 2017-03-06T04:13:49 --delay 1 --endMP 204:161 --enddatetime 2017-03-06T04:56:10 --enforcementcount 0 &gt;&gt;C:\Users\stu\Documents\GitHub\eaglep3-reporting\EC\2017-03-06-refined-times.txt</v>
      </c>
      <c r="AI14" s="108" t="str">
        <f t="shared" ref="AI14:AI8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ID","value":"102-06"},{"id":16,"name":"Locomotive ID","value":"4021"},{"id":130,"name":"Impact","value":""},{"id":150,"name":"Time of Event (Mountain Time)","value":"04:56:10"},{"id":151,"name":"Denver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88" si="19">"start /low /b "&amp;dls3logs&amp;" --loco "&amp;B14&amp;" --day "&amp;TEXT(F14,"YYYY-MM-DD")</f>
        <v>start /low /b %USERPROFILE%\Documents\GitHub\eaglep3\Utilities\DownloadLogsFromS3.py --loco 4021 --day 2017-03-06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550</v>
      </c>
      <c r="B15" s="7">
        <v>4003</v>
      </c>
      <c r="C15" s="21" t="s">
        <v>245</v>
      </c>
      <c r="D15" s="21" t="s">
        <v>797</v>
      </c>
      <c r="E15" s="13">
        <v>42800.15152777778</v>
      </c>
      <c r="F15" s="13">
        <v>42800.156574074077</v>
      </c>
      <c r="G15" s="7">
        <v>1</v>
      </c>
      <c r="H15" s="21" t="s">
        <v>798</v>
      </c>
      <c r="I15" s="13">
        <v>42800.182974537034</v>
      </c>
      <c r="J15" s="7">
        <v>0</v>
      </c>
      <c r="K15" s="98" t="str">
        <f t="shared" si="0"/>
        <v>4003/4004</v>
      </c>
      <c r="L15" s="21" t="str">
        <f>VLOOKUP(A15,'Trips&amp;Operators'!$C$1:$G$99999,5,FALSE)</f>
        <v>MAELZER KURT</v>
      </c>
      <c r="M15" s="6">
        <f t="shared" si="1"/>
        <v>2.640046295709908E-2</v>
      </c>
      <c r="N15" s="7">
        <f>24*60*SUM($M15:$M15)</f>
        <v>38.016666658222675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4"/>
        <v>https://d0f6bd738d7f1b3e5a7ca70fe4ff75f0.us-east-1.aws.found.io/app/kibana#/discover/Steve-Slow-Train-Analysis-(2080s-and-2083s)?_g=(refreshInterval:(display:Off,pause:!f,section:0,value:0),time:(from:'2017-03-06T02:38:12-0700',mode:absolute,to:'2017-03-06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" s="187" t="str">
        <f t="shared" si="5"/>
        <v>N</v>
      </c>
      <c r="X15" s="187">
        <f t="shared" si="6"/>
        <v>1</v>
      </c>
      <c r="Y15" s="62">
        <f t="shared" si="7"/>
        <v>7.5700000000000003E-2</v>
      </c>
      <c r="Z15" s="62">
        <f t="shared" si="8"/>
        <v>23.3249</v>
      </c>
      <c r="AA15" s="62">
        <f t="shared" si="9"/>
        <v>23.249199999999998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0103-06</v>
      </c>
      <c r="AE15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5" s="82" t="str">
        <f t="shared" si="12"/>
        <v>"C:\Program Files (x86)\AstroGrep\AstroGrep.exe" /e /r /s /spath="%USERPROFILE%\AppData\Local\Temp\OnboardLogs" /stypes="app*4003*20170306*" /stext=" 11:.+((SYSTEM_STATE.+slice.+state.+changed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7"/>
        <v>"%USERPROFILE%\Documents\GitHub\eaglep3\Utilities\RefineRTDCRunTimes.py" --tripid 103-06 --locoid 4003 --swversion DE.1.0.9.0 --startMP 204:757 --initTime 2017-03-06T03:38:12 --startdatetime 2017-03-06T03:45:28 --delay 1 --endMP 204:233249 --enddatetime 2017-03-06T04:23:29 --enforcementcount 0 &gt;&gt;C:\Users\stu\Documents\GitHub\eaglep3-reporting\EC\2017-03-06-refined-times.txt</v>
      </c>
      <c r="AI1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{"issue":{"subject":"","project_id":79,"tracker_id":40,"status_id":1,"priority_id":2,"assigned_to_id":23,"start_date":"2017-03-06","description":"","custom_fields":[{"id":1,"name":"Subdivision","value":"EC"},{"id":4,"name":"Milepost","value":"23.3249"},{"id":17,"name":"Train ID","value":"103-06"},{"id":16,"name":"Locomotive ID","value":"4003"},{"id":130,"name":"Impact","value":""},{"id":150,"name":"Time of Event (Mountain Time)","value":"04:23:29"},{"id":151,"name":"Denver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9"/>
        <v>start /low /b %USERPROFILE%\Documents\GitHub\eaglep3\Utilities\DownloadLogsFromS3.py --loco 4003 --day 2017-03-06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997</v>
      </c>
      <c r="B16" s="7">
        <v>4045</v>
      </c>
      <c r="C16" s="21" t="s">
        <v>245</v>
      </c>
      <c r="D16" s="21" t="s">
        <v>797</v>
      </c>
      <c r="E16" s="13">
        <v>42800.15152777778</v>
      </c>
      <c r="F16" s="13"/>
      <c r="G16" s="7">
        <v>1</v>
      </c>
      <c r="H16" s="21" t="s">
        <v>798</v>
      </c>
      <c r="I16" s="13"/>
      <c r="J16" s="7">
        <v>0</v>
      </c>
      <c r="K16" s="98" t="str">
        <f t="shared" si="0"/>
        <v>4045/4046</v>
      </c>
      <c r="L16" s="21" t="e">
        <f>VLOOKUP(A16,'Trips&amp;Operators'!$C$1:$G$99999,5,FALSE)</f>
        <v>#N/A</v>
      </c>
      <c r="M16" s="6">
        <f t="shared" si="1"/>
        <v>0</v>
      </c>
      <c r="N16" s="7"/>
      <c r="O16" s="7"/>
      <c r="P16" s="7">
        <v>1</v>
      </c>
      <c r="Q16" s="22"/>
      <c r="R16" s="22" t="s">
        <v>549</v>
      </c>
      <c r="S16" s="31">
        <f t="shared" si="2"/>
        <v>0</v>
      </c>
      <c r="T16" s="46" t="str">
        <f t="shared" si="3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86" t="str">
        <f t="shared" si="4"/>
        <v>https://d0f6bd738d7f1b3e5a7ca70fe4ff75f0.us-east-1.aws.found.io/app/kibana#/discover/Steve-Slow-Train-Analysis-(2080s-and-2083s)?_g=(refreshInterval:(display:Off,pause:!f,section:0,value:0),time:(from:'2017-03-06T02:38:12-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87" t="str">
        <f t="shared" si="5"/>
        <v>N</v>
      </c>
      <c r="X16" s="187">
        <f t="shared" si="6"/>
        <v>1</v>
      </c>
      <c r="Y16" s="62">
        <f t="shared" si="7"/>
        <v>7.5700000000000003E-2</v>
      </c>
      <c r="Z16" s="62">
        <f t="shared" si="8"/>
        <v>23.3249</v>
      </c>
      <c r="AA16" s="62">
        <f t="shared" si="9"/>
        <v>23.249199999999998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0104-06</v>
      </c>
      <c r="AE16" s="85" t="str">
        <f t="shared" si="11"/>
        <v>aws s3 cp s3://rtdc.mdm.uploadarchive.raw/RTDC4045/ "%USERPROFILE%\AppData\Local\Temp\OnboardLogs"\RTDC4045\1900-01-00 --exclude "*" --recursive --include "*19000100*" &amp; "%USERPROFILE%\Documents\GitHub\mrs-test-scripts\Headless Mode &amp; Sideloading\WalkAndUnGZ.bat" "%USERPROFILE%\AppData\Local\Temp\OnboardLogs"\RTDC4045\1900-01-00 &amp; aws s3 cp s3://rtdc.mdm.uploadarchive.raw/RTDC4045/ "%USERPROFILE%\AppData\Local\Temp\OnboardLogs"\RTDC4045\1900-01-01 --exclude "*" --recursive --include "*19000101*" &amp; "%USERPROFILE%\Documents\GitHub\mrs-test-scripts\Headless Mode &amp; Sideloading\WalkAndUnGZ.bat" "%USERPROFILE%\AppData\Local\Temp\OnboardLogs"\RTDC4045\1900-01-01</v>
      </c>
      <c r="AF16" s="82" t="str">
        <f t="shared" si="12"/>
        <v>"C:\Program Files (x86)\AstroGrep\AstroGrep.exe" /e /r /s /spath="%USERPROFILE%\AppData\Local\Temp\OnboardLogs" /stypes="app*4045*19000100*" /stext=" 07:.+((SYSTEM_STATE.+slice.+state.+changed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ref="AH16" si="20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104-06 --locoid 4045 --swversion DE.1.0.9.0 --startMP 204:757 --initTime 2017-03-06T03:38:12 --startdatetime 1900-01-00T00:00:00 --delay 1 --endMP 204:233249 --enddatetime 1900-01-00T00:00:00 --enforcementcount 0 &gt;&gt;C:\Users\stu\Documents\GitHub\eaglep3-reporting\EC\2017-03-06-refined-times.txt</v>
      </c>
      <c r="AI16" s="108" t="str">
        <f t="shared" ref="AI16" si="21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failure","project_id":79,"tracker_id":40,"status_id":1,"priority_id":2,"assigned_to_id":23,"start_date":"1900-01-00","description":"","custom_fields":[{"id":1,"name":"Subdivision","value":"EC"},{"id":4,"name":"Milepost","value":"23.3249"},{"id":17,"name":"Train ID","value":"104-06"},{"id":16,"name":"Locomotive ID","value":"4045"},{"id":130,"name":"Impact","value":""},{"id":150,"name":"Time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ref="AM16" si="22">"start /low /b "&amp;dls3logs&amp;" --loco "&amp;B16&amp;" --day "&amp;TEXT(F16,"YYYY-MM-DD")</f>
        <v>start /low /b %USERPROFILE%\Documents\GitHub\eaglep3\Utilities\DownloadLogsFromS3.py --loco 4045 --day 1900-01-00</v>
      </c>
      <c r="AN16" s="163" t="e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#DIV/0!</v>
      </c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</row>
    <row r="17" spans="1:91" s="1" customFormat="1" x14ac:dyDescent="0.25">
      <c r="A17" s="33" t="s">
        <v>617</v>
      </c>
      <c r="B17" s="7">
        <v>4020</v>
      </c>
      <c r="C17" s="21" t="s">
        <v>245</v>
      </c>
      <c r="D17" s="21" t="s">
        <v>799</v>
      </c>
      <c r="E17" s="13">
        <v>42800.174074074072</v>
      </c>
      <c r="F17" s="13">
        <v>42800.177337962959</v>
      </c>
      <c r="G17" s="7">
        <v>1</v>
      </c>
      <c r="H17" s="21" t="s">
        <v>800</v>
      </c>
      <c r="I17" s="13">
        <v>42800.204837962963</v>
      </c>
      <c r="J17" s="7">
        <v>0</v>
      </c>
      <c r="K17" s="98" t="str">
        <f t="shared" si="0"/>
        <v>4019/4020</v>
      </c>
      <c r="L17" s="21" t="str">
        <f>VLOOKUP(A17,'Trips&amp;Operators'!$C$1:$G$99999,5,FALSE)</f>
        <v>STARKS ANGELINA</v>
      </c>
      <c r="M17" s="6">
        <f t="shared" si="1"/>
        <v>2.7500000003783498E-2</v>
      </c>
      <c r="N17" s="7">
        <f t="shared" ref="N17:N43" si="23">24*60*SUM($M17:$M17)</f>
        <v>39.600000005448237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4"/>
        <v>https://d0f6bd738d7f1b3e5a7ca70fe4ff75f0.us-east-1.aws.found.io/app/kibana#/discover/Steve-Slow-Train-Analysis-(2080s-and-2083s)?_g=(refreshInterval:(display:Off,pause:!f,section:0,value:0),time:(from:'2017-03-06T03:10:40-0700',mode:absolute,to:'2017-03-06T05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87" t="str">
        <f t="shared" si="5"/>
        <v>N</v>
      </c>
      <c r="X17" s="187">
        <f t="shared" si="6"/>
        <v>1</v>
      </c>
      <c r="Y17" s="62">
        <f t="shared" si="7"/>
        <v>7.3700000000000002E-2</v>
      </c>
      <c r="Z17" s="62">
        <f t="shared" si="8"/>
        <v>23.3307</v>
      </c>
      <c r="AA17" s="62">
        <f t="shared" si="9"/>
        <v>23.257000000000001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0105-06</v>
      </c>
      <c r="AE17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17" s="82" t="str">
        <f t="shared" si="12"/>
        <v>"C:\Program Files (x86)\AstroGrep\AstroGrep.exe" /e /r /s /spath="%USERPROFILE%\AppData\Local\Temp\OnboardLogs" /stypes="app*4020*20170306*"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7"/>
        <v>"%USERPROFILE%\Documents\GitHub\eaglep3\Utilities\RefineRTDCRunTimes.py" --tripid 105-06 --locoid 4020 --swversion DE.1.0.9.0 --startMP 204:737 --initTime 2017-03-06T04:10:40 --startdatetime 2017-03-06T04:15:22 --delay 1 --endMP 204:233307 --enddatetime 2017-03-06T04:54:58 --enforcementcount 0 &gt;&gt;C:\Users\stu\Documents\GitHub\eaglep3-reporting\EC\2017-03-06-refined-times.txt</v>
      </c>
      <c r="AI1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{"issue":{"subject":"","project_id":79,"tracker_id":40,"status_id":1,"priority_id":2,"assigned_to_id":23,"start_date":"2017-03-06","description":"","custom_fields":[{"id":1,"name":"Subdivision","value":"EC"},{"id":4,"name":"Milepost","value":"23.3307"},{"id":17,"name":"Train ID","value":"105-06"},{"id":16,"name":"Locomotive ID","value":"4020"},{"id":130,"name":"Impact","value":""},{"id":150,"name":"Time of Event (Mountain Time)","value":"04:54:58"},{"id":151,"name":"Denver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19"/>
        <v>start /low /b %USERPROFILE%\Documents\GitHub\eaglep3\Utilities\DownloadLogsFromS3.py --loco 4020 --day 2017-03-06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625</v>
      </c>
      <c r="B18" s="7">
        <v>4054</v>
      </c>
      <c r="C18" s="21" t="s">
        <v>245</v>
      </c>
      <c r="D18" s="21" t="s">
        <v>801</v>
      </c>
      <c r="E18" s="13">
        <v>42800.212916666664</v>
      </c>
      <c r="F18" s="13">
        <v>42800.216400462959</v>
      </c>
      <c r="G18" s="7">
        <v>1</v>
      </c>
      <c r="H18" s="21" t="s">
        <v>238</v>
      </c>
      <c r="I18" s="13">
        <v>42800.247442129628</v>
      </c>
      <c r="J18" s="7">
        <v>0</v>
      </c>
      <c r="K18" s="98" t="str">
        <f t="shared" si="0"/>
        <v>4053/4054</v>
      </c>
      <c r="L18" s="21" t="str">
        <f>VLOOKUP(A18,'Trips&amp;Operators'!$C$1:$G$99999,5,FALSE)</f>
        <v>STARKS ANGELINA</v>
      </c>
      <c r="M18" s="6">
        <f t="shared" si="1"/>
        <v>3.104166666889796E-2</v>
      </c>
      <c r="N18" s="7">
        <f t="shared" si="23"/>
        <v>44.700000003213063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4"/>
        <v>https://d0f6bd738d7f1b3e5a7ca70fe4ff75f0.us-east-1.aws.found.io/app/kibana#/discover/Steve-Slow-Train-Analysis-(2080s-and-2083s)?_g=(refreshInterval:(display:Off,pause:!f,section:0,value:0),time:(from:'2017-03-06T04:06:36-0700',mode:absolute,to:'2017-03-06T06:56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" s="187" t="str">
        <f t="shared" si="5"/>
        <v>N</v>
      </c>
      <c r="X18" s="187">
        <f t="shared" si="6"/>
        <v>1</v>
      </c>
      <c r="Y18" s="62">
        <f t="shared" si="7"/>
        <v>23.265599999999999</v>
      </c>
      <c r="Z18" s="62">
        <f t="shared" si="8"/>
        <v>1.47E-2</v>
      </c>
      <c r="AA18" s="62">
        <f t="shared" si="9"/>
        <v>23.250899999999998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0106-06</v>
      </c>
      <c r="AE18" s="85" t="str">
        <f t="shared" si="11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8" s="82" t="str">
        <f t="shared" si="12"/>
        <v>"C:\Program Files (x86)\AstroGrep\AstroGrep.exe" /e /r /s /spath="%USERPROFILE%\AppData\Local\Temp\OnboardLogs" /stypes="app*4054*20170306*" /stext=" 12:.+((SYSTEM_STATE.+slice.+state.+changed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7"/>
        <v>"%USERPROFILE%\Documents\GitHub\eaglep3\Utilities\RefineRTDCRunTimes.py" --tripid 106-06 --locoid 4054 --swversion DE.1.0.9.0 --startMP 204:232656 --initTime 2017-03-06T05:06:36 --startdatetime 2017-03-06T05:11:37 --delay 1 --endMP 204:147 --enddatetime 2017-03-06T05:56:19 --enforcementcount 0 &gt;&gt;C:\Users\stu\Documents\GitHub\eaglep3-reporting\EC\2017-03-06-refined-times.txt</v>
      </c>
      <c r="AI1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{"issue":{"subject":"","project_id":79,"tracker_id":40,"status_id":1,"priority_id":2,"assigned_to_id":23,"start_date":"2017-03-06","description":"","custom_fields":[{"id":1,"name":"Subdivision","value":"EC"},{"id":4,"name":"Milepost","value":"0.0147"},{"id":17,"name":"Train ID","value":"106-06"},{"id":16,"name":"Locomotive ID","value":"4054"},{"id":130,"name":"Impact","value":""},{"id":150,"name":"Time of Event (Mountain Time)","value":"05:56:19"},{"id":151,"name":"Denver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9"/>
        <v>start /low /b %USERPROFILE%\Documents\GitHub\eaglep3\Utilities\DownloadLogsFromS3.py --loco 4054 --day 2017-03-06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619</v>
      </c>
      <c r="B19" s="7">
        <v>4009</v>
      </c>
      <c r="C19" s="21" t="s">
        <v>245</v>
      </c>
      <c r="D19" s="21" t="s">
        <v>546</v>
      </c>
      <c r="E19" s="13">
        <v>42800.18105324074</v>
      </c>
      <c r="F19" s="13">
        <v>42800.187685185185</v>
      </c>
      <c r="G19" s="7">
        <v>1</v>
      </c>
      <c r="H19" s="21" t="s">
        <v>236</v>
      </c>
      <c r="I19" s="13">
        <v>42800.215150462966</v>
      </c>
      <c r="J19" s="7">
        <v>0</v>
      </c>
      <c r="K19" s="98" t="str">
        <f t="shared" si="0"/>
        <v>4009/4010</v>
      </c>
      <c r="L19" s="21" t="str">
        <f>VLOOKUP(A19,'Trips&amp;Operators'!$C$1:$G$99999,5,FALSE)</f>
        <v>BONDS REYNALDO</v>
      </c>
      <c r="M19" s="6">
        <f t="shared" si="1"/>
        <v>2.7465277780720498E-2</v>
      </c>
      <c r="N19" s="7">
        <f t="shared" si="23"/>
        <v>39.550000004237518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4"/>
        <v>https://d0f6bd738d7f1b3e5a7ca70fe4ff75f0.us-east-1.aws.found.io/app/kibana#/discover/Steve-Slow-Train-Analysis-(2080s-and-2083s)?_g=(refreshInterval:(display:Off,pause:!f,section:0,value:0),time:(from:'2017-03-06T03:20:43-0700',mode:absolute,to:'2017-03-06T06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" s="187" t="str">
        <f t="shared" si="5"/>
        <v>N</v>
      </c>
      <c r="X19" s="187">
        <f t="shared" si="6"/>
        <v>1</v>
      </c>
      <c r="Y19" s="62">
        <f t="shared" si="7"/>
        <v>4.7100000000000003E-2</v>
      </c>
      <c r="Z19" s="62">
        <f t="shared" si="8"/>
        <v>23.331</v>
      </c>
      <c r="AA19" s="62">
        <f t="shared" si="9"/>
        <v>23.283899999999999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0107-06</v>
      </c>
      <c r="AE19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9" s="82" t="str">
        <f t="shared" si="12"/>
        <v>"C:\Program Files (x86)\AstroGrep\AstroGrep.exe" /e /r /s /spath="%USERPROFILE%\AppData\Local\Temp\OnboardLogs" /stypes="app*4009*20170306*" /stext=" 12:.+((SYSTEM_STATE.+slice.+state.+changed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7"/>
        <v>"%USERPROFILE%\Documents\GitHub\eaglep3\Utilities\RefineRTDCRunTimes.py" --tripid 107-06 --locoid 4009 --swversion DE.1.0.9.0 --startMP 204:471 --initTime 2017-03-06T04:20:43 --startdatetime 2017-03-06T04:30:16 --delay 1 --endMP 204:233310 --enddatetime 2017-03-06T05:09:49 --enforcementcount 0 &gt;&gt;C:\Users\stu\Documents\GitHub\eaglep3-reporting\EC\2017-03-06-refined-times.txt</v>
      </c>
      <c r="AI1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{"issue":{"subject":"","project_id":79,"tracker_id":40,"status_id":1,"priority_id":2,"assigned_to_id":23,"start_date":"2017-03-06","description":"","custom_fields":[{"id":1,"name":"Subdivision","value":"EC"},{"id":4,"name":"Milepost","value":"23.331"},{"id":17,"name":"Train ID","value":"107-06"},{"id":16,"name":"Locomotive ID","value":"4009"},{"id":130,"name":"Impact","value":""},{"id":150,"name":"Time of Event (Mountain Time)","value":"05:09:49"},{"id":151,"name":"Denver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9"/>
        <v>start /low /b %USERPROFILE%\Documents\GitHub\eaglep3\Utilities\DownloadLogsFromS3.py --loco 4009 --day 2017-03-06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626</v>
      </c>
      <c r="B20" s="7">
        <v>4010</v>
      </c>
      <c r="C20" s="21" t="s">
        <v>245</v>
      </c>
      <c r="D20" s="21" t="s">
        <v>316</v>
      </c>
      <c r="E20" s="13">
        <v>42800.220370370371</v>
      </c>
      <c r="F20" s="13">
        <v>42800.226550925923</v>
      </c>
      <c r="G20" s="7">
        <v>1</v>
      </c>
      <c r="H20" s="21" t="s">
        <v>192</v>
      </c>
      <c r="I20" s="13">
        <v>42800.25577546296</v>
      </c>
      <c r="J20" s="7">
        <v>0</v>
      </c>
      <c r="K20" s="98" t="str">
        <f t="shared" si="0"/>
        <v>4009/4010</v>
      </c>
      <c r="L20" s="21" t="str">
        <f>VLOOKUP(A20,'Trips&amp;Operators'!$C$1:$G$99999,5,FALSE)</f>
        <v>BONDS REYNALDO</v>
      </c>
      <c r="M20" s="6">
        <f t="shared" si="1"/>
        <v>2.9224537036498077E-2</v>
      </c>
      <c r="N20" s="7">
        <f t="shared" si="23"/>
        <v>42.083333332557231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4"/>
        <v>https://d0f6bd738d7f1b3e5a7ca70fe4ff75f0.us-east-1.aws.found.io/app/kibana#/discover/Steve-Slow-Train-Analysis-(2080s-and-2083s)?_g=(refreshInterval:(display:Off,pause:!f,section:0,value:0),time:(from:'2017-03-06T04:17:20-0700',mode:absolute,to:'2017-03-06T07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" s="187" t="str">
        <f t="shared" si="5"/>
        <v>N</v>
      </c>
      <c r="X20" s="187">
        <f t="shared" si="6"/>
        <v>1</v>
      </c>
      <c r="Y20" s="62">
        <f t="shared" si="7"/>
        <v>23.298500000000001</v>
      </c>
      <c r="Z20" s="62">
        <f t="shared" si="8"/>
        <v>1.4999999999999999E-2</v>
      </c>
      <c r="AA20" s="62">
        <f t="shared" si="9"/>
        <v>23.2835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0108-06</v>
      </c>
      <c r="AE20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20" s="82" t="str">
        <f t="shared" si="12"/>
        <v>"C:\Program Files (x86)\AstroGrep\AstroGrep.exe" /e /r /s /spath="%USERPROFILE%\AppData\Local\Temp\OnboardLogs" /stypes="app*4010*20170306*" /stext=" 13:.+((SYSTEM_STATE.+slice.+state.+changed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7"/>
        <v>"%USERPROFILE%\Documents\GitHub\eaglep3\Utilities\RefineRTDCRunTimes.py" --tripid 108-06 --locoid 4010 --swversion DE.1.0.9.0 --startMP 204:232985 --initTime 2017-03-06T05:17:20 --startdatetime 2017-03-06T05:26:14 --delay 1 --endMP 204:150 --enddatetime 2017-03-06T06:08:19 --enforcementcount 0 &gt;&gt;C:\Users\stu\Documents\GitHub\eaglep3-reporting\EC\2017-03-06-refined-times.txt</v>
      </c>
      <c r="AI2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ID","value":"108-06"},{"id":16,"name":"Locomotive ID","value":"4010"},{"id":130,"name":"Impact","value":""},{"id":150,"name":"Time of Event (Mountain Time)","value":"06:08:19"},{"id":151,"name":"Denver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9"/>
        <v>start /low /b %USERPROFILE%\Documents\GitHub\eaglep3\Utilities\DownloadLogsFromS3.py --loco 4010 --day 2017-03-06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620</v>
      </c>
      <c r="B21" s="7">
        <v>4018</v>
      </c>
      <c r="C21" s="21" t="s">
        <v>245</v>
      </c>
      <c r="D21" s="21" t="s">
        <v>270</v>
      </c>
      <c r="E21" s="13">
        <v>42800.189317129632</v>
      </c>
      <c r="F21" s="13">
        <v>42800.198078703703</v>
      </c>
      <c r="G21" s="7">
        <v>2</v>
      </c>
      <c r="H21" s="21" t="s">
        <v>294</v>
      </c>
      <c r="I21" s="13">
        <v>42800.226504629631</v>
      </c>
      <c r="J21" s="7">
        <v>0</v>
      </c>
      <c r="K21" s="98" t="str">
        <f t="shared" si="0"/>
        <v>4017/4018</v>
      </c>
      <c r="L21" s="21" t="str">
        <f>VLOOKUP(A21,'Trips&amp;Operators'!$C$1:$G$99999,5,FALSE)</f>
        <v>SHOOK JOHN</v>
      </c>
      <c r="M21" s="6">
        <f t="shared" si="1"/>
        <v>2.842592592787696E-2</v>
      </c>
      <c r="N21" s="7">
        <f t="shared" si="23"/>
        <v>40.933333336142823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4"/>
        <v>https://d0f6bd738d7f1b3e5a7ca70fe4ff75f0.us-east-1.aws.found.io/app/kibana#/discover/Steve-Slow-Train-Analysis-(2080s-and-2083s)?_g=(refreshInterval:(display:Off,pause:!f,section:0,value:0),time:(from:'2017-03-06T03:32:37-0700',mode:absolute,to:'2017-03-06T06:26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7" t="str">
        <f t="shared" si="5"/>
        <v>N</v>
      </c>
      <c r="X21" s="187">
        <f t="shared" si="6"/>
        <v>1</v>
      </c>
      <c r="Y21" s="62">
        <f t="shared" si="7"/>
        <v>4.6699999999999998E-2</v>
      </c>
      <c r="Z21" s="62">
        <f t="shared" si="8"/>
        <v>23.329499999999999</v>
      </c>
      <c r="AA21" s="62">
        <f t="shared" si="9"/>
        <v>23.282799999999998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0109-06</v>
      </c>
      <c r="AE21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21" s="82" t="str">
        <f t="shared" si="12"/>
        <v>"C:\Program Files (x86)\AstroGrep\AstroGrep.exe" /e /r /s /spath="%USERPROFILE%\AppData\Local\Temp\OnboardLogs" /stypes="app*4018*20170306*" /stext=" 12:.+((SYSTEM_STATE.+slice.+state.+changed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7"/>
        <v>"%USERPROFILE%\Documents\GitHub\eaglep3\Utilities\RefineRTDCRunTimes.py" --tripid 109-06 --locoid 4018 --swversion DE.1.0.9.0 --startMP 204:467 --initTime 2017-03-06T04:32:37 --startdatetime 2017-03-06T04:45:14 --delay 2 --endMP 204:233295 --enddatetime 2017-03-06T05:26:10 --enforcementcount 0 &gt;&gt;C:\Users\stu\Documents\GitHub\eaglep3-reporting\EC\2017-03-06-refined-times.txt</v>
      </c>
      <c r="AI2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{"issue":{"subject":"","project_id":79,"tracker_id":40,"status_id":1,"priority_id":2,"assigned_to_id":23,"start_date":"2017-03-06","description":"","custom_fields":[{"id":1,"name":"Subdivision","value":"EC"},{"id":4,"name":"Milepost","value":"23.3295"},{"id":17,"name":"Train ID","value":"109-06"},{"id":16,"name":"Locomotive ID","value":"4018"},{"id":130,"name":"Impact","value":""},{"id":150,"name":"Time of Event (Mountain Time)","value":"05:26:10"},{"id":151,"name":"Denver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9"/>
        <v>start /low /b %USERPROFILE%\Documents\GitHub\eaglep3\Utilities\DownloadLogsFromS3.py --loco 4018 --day 2017-03-06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628</v>
      </c>
      <c r="B22" s="7">
        <v>4017</v>
      </c>
      <c r="C22" s="21" t="s">
        <v>245</v>
      </c>
      <c r="D22" s="21" t="s">
        <v>472</v>
      </c>
      <c r="E22" s="13">
        <v>42800.227800925924</v>
      </c>
      <c r="F22" s="13">
        <v>42800.236979166664</v>
      </c>
      <c r="G22" s="7">
        <v>0</v>
      </c>
      <c r="H22" s="21" t="s">
        <v>526</v>
      </c>
      <c r="I22" s="13">
        <v>42800.266134259262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SHOOK JOHN</v>
      </c>
      <c r="M22" s="6">
        <f t="shared" si="1"/>
        <v>2.9155092597648036E-2</v>
      </c>
      <c r="N22" s="7">
        <f t="shared" si="23"/>
        <v>41.983333340613171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4"/>
        <v>https://d0f6bd738d7f1b3e5a7ca70fe4ff75f0.us-east-1.aws.found.io/app/kibana#/discover/Steve-Slow-Train-Analysis-(2080s-and-2083s)?_g=(refreshInterval:(display:Off,pause:!f,section:0,value:0),time:(from:'2017-03-06T04:28:02-0700',mode:absolute,to:'2017-03-06T07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7" t="str">
        <f t="shared" si="5"/>
        <v>N</v>
      </c>
      <c r="X22" s="187">
        <f t="shared" si="6"/>
        <v>1</v>
      </c>
      <c r="Y22" s="62">
        <f t="shared" si="7"/>
        <v>23.298200000000001</v>
      </c>
      <c r="Z22" s="62">
        <f t="shared" si="8"/>
        <v>1.6E-2</v>
      </c>
      <c r="AA22" s="62">
        <f t="shared" si="9"/>
        <v>23.282200000000003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0110-06</v>
      </c>
      <c r="AE22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22" s="82" t="str">
        <f t="shared" si="12"/>
        <v>"C:\Program Files (x86)\AstroGrep\AstroGrep.exe" /e /r /s /spath="%USERPROFILE%\AppData\Local\Temp\OnboardLogs" /stypes="app*4017*20170306*" /stext=" 13:.+((SYSTEM_STATE.+slice.+state.+changed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7"/>
        <v>"%USERPROFILE%\Documents\GitHub\eaglep3\Utilities\RefineRTDCRunTimes.py" --tripid 110-06 --locoid 4017 --swversion DE.1.0.9.0 --startMP 204:232982 --initTime 2017-03-06T05:28:02 --startdatetime 2017-03-06T05:41:15 --delay 0 --endMP 204:160 --enddatetime 2017-03-06T06:23:14 --enforcementcount 0 &gt;&gt;C:\Users\stu\Documents\GitHub\eaglep3-reporting\EC\2017-03-06-refined-times.txt</v>
      </c>
      <c r="AI2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ID","value":"110-06"},{"id":16,"name":"Locomotive ID","value":"4017"},{"id":130,"name":"Impact","value":""},{"id":150,"name":"Time of Event (Mountain Time)","value":"06:23:14"},{"id":151,"name":"Denver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9"/>
        <v>start /low /b %USERPROFILE%\Documents\GitHub\eaglep3\Utilities\DownloadLogsFromS3.py --loco 4017 --day 2017-03-06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621</v>
      </c>
      <c r="B23" s="7">
        <v>4002</v>
      </c>
      <c r="C23" s="21" t="s">
        <v>245</v>
      </c>
      <c r="D23" s="21" t="s">
        <v>802</v>
      </c>
      <c r="E23" s="13">
        <v>42800.208252314813</v>
      </c>
      <c r="F23" s="13">
        <v>42800.21020833333</v>
      </c>
      <c r="G23" s="7">
        <v>2</v>
      </c>
      <c r="H23" s="21" t="s">
        <v>803</v>
      </c>
      <c r="I23" s="13">
        <v>42800.234953703701</v>
      </c>
      <c r="J23" s="7">
        <v>0</v>
      </c>
      <c r="K23" s="98" t="str">
        <f t="shared" si="0"/>
        <v>4001/4002</v>
      </c>
      <c r="L23" s="21" t="str">
        <f>VLOOKUP(A23,'Trips&amp;Operators'!$C$1:$G$99999,5,FALSE)</f>
        <v>YORK EDGAR</v>
      </c>
      <c r="M23" s="6">
        <f t="shared" si="1"/>
        <v>2.47453703705105E-2</v>
      </c>
      <c r="N23" s="7">
        <f t="shared" si="23"/>
        <v>35.63333333353512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4"/>
        <v>https://d0f6bd738d7f1b3e5a7ca70fe4ff75f0.us-east-1.aws.found.io/app/kibana#/discover/Steve-Slow-Train-Analysis-(2080s-and-2083s)?_g=(refreshInterval:(display:Off,pause:!f,section:0,value:0),time:(from:'2017-03-06T03:59:53-0700',mode:absolute,to:'2017-03-06T06:38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7" t="str">
        <f t="shared" si="5"/>
        <v>N</v>
      </c>
      <c r="X23" s="187">
        <f t="shared" si="6"/>
        <v>1</v>
      </c>
      <c r="Y23" s="62">
        <f t="shared" si="7"/>
        <v>7.9500000000000001E-2</v>
      </c>
      <c r="Z23" s="62">
        <f t="shared" si="8"/>
        <v>23.329799999999999</v>
      </c>
      <c r="AA23" s="62">
        <f t="shared" si="9"/>
        <v>23.250299999999999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0111-06</v>
      </c>
      <c r="AE23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23" s="82" t="str">
        <f t="shared" si="12"/>
        <v>"C:\Program Files (x86)\AstroGrep\AstroGrep.exe" /e /r /s /spath="%USERPROFILE%\AppData\Local\Temp\OnboardLogs" /stypes="app*4002*20170306*" /stext=" 12:.+((SYSTEM_STATE.+slice.+state.+changed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7"/>
        <v>"%USERPROFILE%\Documents\GitHub\eaglep3\Utilities\RefineRTDCRunTimes.py" --tripid 111-06 --locoid 4002 --swversion DE.1.0.9.0 --startMP 204:795 --initTime 2017-03-06T04:59:53 --startdatetime 2017-03-06T05:02:42 --delay 2 --endMP 204:233298 --enddatetime 2017-03-06T05:38:20 --enforcementcount 0 &gt;&gt;C:\Users\stu\Documents\GitHub\eaglep3-reporting\EC\2017-03-06-refined-times.txt</v>
      </c>
      <c r="AI2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{"issue":{"subject":"","project_id":79,"tracker_id":40,"status_id":1,"priority_id":2,"assigned_to_id":23,"start_date":"2017-03-06","description":"","custom_fields":[{"id":1,"name":"Subdivision","value":"EC"},{"id":4,"name":"Milepost","value":"23.3298"},{"id":17,"name":"Train ID","value":"111-06"},{"id":16,"name":"Locomotive ID","value":"4002"},{"id":130,"name":"Impact","value":""},{"id":150,"name":"Time of Event (Mountain Time)","value":"05:38:20"},{"id":151,"name":"Denver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9"/>
        <v>start /low /b %USERPROFILE%\Documents\GitHub\eaglep3\Utilities\DownloadLogsFromS3.py --loco 4002 --day 2017-03-06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630</v>
      </c>
      <c r="B24" s="7">
        <v>4001</v>
      </c>
      <c r="C24" s="21" t="s">
        <v>245</v>
      </c>
      <c r="D24" s="21" t="s">
        <v>282</v>
      </c>
      <c r="E24" s="13">
        <v>42800.236435185187</v>
      </c>
      <c r="F24" s="13">
        <v>42800.247384259259</v>
      </c>
      <c r="G24" s="7">
        <v>1</v>
      </c>
      <c r="H24" s="21" t="s">
        <v>184</v>
      </c>
      <c r="I24" s="13">
        <v>42800.27447916667</v>
      </c>
      <c r="J24" s="7">
        <v>0</v>
      </c>
      <c r="K24" s="98" t="str">
        <f t="shared" si="0"/>
        <v>4001/4002</v>
      </c>
      <c r="L24" s="21" t="str">
        <f>VLOOKUP(A24,'Trips&amp;Operators'!$C$1:$G$99999,5,FALSE)</f>
        <v>YORK EDGAR</v>
      </c>
      <c r="M24" s="6">
        <f t="shared" si="1"/>
        <v>2.7094907411083113E-2</v>
      </c>
      <c r="N24" s="7">
        <f t="shared" si="23"/>
        <v>39.016666671959683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4"/>
        <v>https://d0f6bd738d7f1b3e5a7ca70fe4ff75f0.us-east-1.aws.found.io/app/kibana#/discover/Steve-Slow-Train-Analysis-(2080s-and-2083s)?_g=(refreshInterval:(display:Off,pause:!f,section:0,value:0),time:(from:'2017-03-06T04:40:28-0700',mode:absolute,to:'2017-03-06T07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7" t="str">
        <f t="shared" si="5"/>
        <v>N</v>
      </c>
      <c r="X24" s="187">
        <f t="shared" si="6"/>
        <v>1</v>
      </c>
      <c r="Y24" s="62">
        <f t="shared" si="7"/>
        <v>23.297899999999998</v>
      </c>
      <c r="Z24" s="62">
        <f t="shared" si="8"/>
        <v>1.49E-2</v>
      </c>
      <c r="AA24" s="62">
        <f t="shared" si="9"/>
        <v>23.282999999999998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0112-06</v>
      </c>
      <c r="AE24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24" s="82" t="str">
        <f t="shared" si="12"/>
        <v>"C:\Program Files (x86)\AstroGrep\AstroGrep.exe" /e /r /s /spath="%USERPROFILE%\AppData\Local\Temp\OnboardLogs" /stypes="app*4001*20170306*" /stext=" 13:.+((SYSTEM_STATE.+slice.+state.+changed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7"/>
        <v>"%USERPROFILE%\Documents\GitHub\eaglep3\Utilities\RefineRTDCRunTimes.py" --tripid 112-06 --locoid 4001 --swversion DE.1.0.9.0 --startMP 204:232979 --initTime 2017-03-06T05:40:28 --startdatetime 2017-03-06T05:56:14 --delay 1 --endMP 204:149 --enddatetime 2017-03-06T06:35:15 --enforcementcount 0 &gt;&gt;C:\Users\stu\Documents\GitHub\eaglep3-reporting\EC\2017-03-06-refined-times.txt</v>
      </c>
      <c r="AI2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ID","value":"112-06"},{"id":16,"name":"Locomotive ID","value":"4001"},{"id":130,"name":"Impact","value":""},{"id":150,"name":"Time of Event (Mountain Time)","value":"06:35:15"},{"id":151,"name":"Denver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9"/>
        <v>start /low /b %USERPROFILE%\Documents\GitHub\eaglep3\Utilities\DownloadLogsFromS3.py --loco 4001 --day 2017-03-06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624</v>
      </c>
      <c r="B25" s="7">
        <v>4022</v>
      </c>
      <c r="C25" s="21" t="s">
        <v>245</v>
      </c>
      <c r="D25" s="21" t="s">
        <v>532</v>
      </c>
      <c r="E25" s="13">
        <v>42800.210856481484</v>
      </c>
      <c r="F25" s="13">
        <v>42800.2190162037</v>
      </c>
      <c r="G25" s="7">
        <v>1</v>
      </c>
      <c r="H25" s="21" t="s">
        <v>804</v>
      </c>
      <c r="I25" s="13">
        <v>42800.244351851848</v>
      </c>
      <c r="J25" s="7">
        <v>0</v>
      </c>
      <c r="K25" s="98" t="str">
        <f t="shared" si="0"/>
        <v>4021/4022</v>
      </c>
      <c r="L25" s="21" t="str">
        <f>VLOOKUP(A25,'Trips&amp;Operators'!$C$1:$G$99999,5,FALSE)</f>
        <v>SANTIZO D. EDY</v>
      </c>
      <c r="M25" s="6">
        <f t="shared" si="1"/>
        <v>2.5335648148029577E-2</v>
      </c>
      <c r="N25" s="7">
        <f t="shared" si="23"/>
        <v>36.483333333162591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4"/>
        <v>https://d0f6bd738d7f1b3e5a7ca70fe4ff75f0.us-east-1.aws.found.io/app/kibana#/discover/Steve-Slow-Train-Analysis-(2080s-and-2083s)?_g=(refreshInterval:(display:Off,pause:!f,section:0,value:0),time:(from:'2017-03-06T04:03:38-0700',mode:absolute,to:'2017-03-06T06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7" t="str">
        <f t="shared" si="5"/>
        <v>N</v>
      </c>
      <c r="X25" s="187">
        <f t="shared" si="6"/>
        <v>1</v>
      </c>
      <c r="Y25" s="62">
        <f t="shared" si="7"/>
        <v>4.3700000000000003E-2</v>
      </c>
      <c r="Z25" s="62">
        <f t="shared" si="8"/>
        <v>23.328600000000002</v>
      </c>
      <c r="AA25" s="62">
        <f t="shared" si="9"/>
        <v>23.2849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0113-06</v>
      </c>
      <c r="AE25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25" s="82" t="str">
        <f t="shared" si="12"/>
        <v>"C:\Program Files (x86)\AstroGrep\AstroGrep.exe" /e /r /s /spath="%USERPROFILE%\AppData\Local\Temp\OnboardLogs" /stypes="app*4022*20170306*" /stext=" 12:.+((SYSTEM_STATE.+slice.+state.+changed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7"/>
        <v>"%USERPROFILE%\Documents\GitHub\eaglep3\Utilities\RefineRTDCRunTimes.py" --tripid 113-06 --locoid 4022 --swversion DE.1.0.9.0 --startMP 204:437 --initTime 2017-03-06T05:03:38 --startdatetime 2017-03-06T05:15:23 --delay 1 --endMP 204:233286 --enddatetime 2017-03-06T05:51:52 --enforcementcount 0 &gt;&gt;C:\Users\stu\Documents\GitHub\eaglep3-reporting\EC\2017-03-06-refined-times.txt</v>
      </c>
      <c r="AI2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{"issue":{"subject":"","project_id":79,"tracker_id":40,"status_id":1,"priority_id":2,"assigned_to_id":23,"start_date":"2017-03-06","description":"","custom_fields":[{"id":1,"name":"Subdivision","value":"EC"},{"id":4,"name":"Milepost","value":"23.3286"},{"id":17,"name":"Train ID","value":"113-06"},{"id":16,"name":"Locomotive ID","value":"4022"},{"id":130,"name":"Impact","value":""},{"id":150,"name":"Time of Event (Mountain Time)","value":"05:51:52"},{"id":151,"name":"Denver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9"/>
        <v>start /low /b %USERPROFILE%\Documents\GitHub\eaglep3\Utilities\DownloadLogsFromS3.py --loco 4022 --day 2017-03-06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632</v>
      </c>
      <c r="B26" s="7">
        <v>4021</v>
      </c>
      <c r="C26" s="21" t="s">
        <v>245</v>
      </c>
      <c r="D26" s="21" t="s">
        <v>541</v>
      </c>
      <c r="E26" s="13">
        <v>42800.24628472222</v>
      </c>
      <c r="F26" s="13">
        <v>42800.257824074077</v>
      </c>
      <c r="G26" s="7">
        <v>1</v>
      </c>
      <c r="H26" s="21" t="s">
        <v>476</v>
      </c>
      <c r="I26" s="13">
        <v>42800.287662037037</v>
      </c>
      <c r="J26" s="7">
        <v>0</v>
      </c>
      <c r="K26" s="98" t="str">
        <f t="shared" si="0"/>
        <v>4021/4022</v>
      </c>
      <c r="L26" s="21" t="str">
        <f>VLOOKUP(A26,'Trips&amp;Operators'!$C$1:$G$99999,5,FALSE)</f>
        <v>SANTIZO D. EDY</v>
      </c>
      <c r="M26" s="6">
        <f t="shared" si="1"/>
        <v>2.9837962960300501E-2</v>
      </c>
      <c r="N26" s="7">
        <f t="shared" si="23"/>
        <v>42.966666662832722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4"/>
        <v>https://d0f6bd738d7f1b3e5a7ca70fe4ff75f0.us-east-1.aws.found.io/app/kibana#/discover/Steve-Slow-Train-Analysis-(2080s-and-2083s)?_g=(refreshInterval:(display:Off,pause:!f,section:0,value:0),time:(from:'2017-03-06T04:54:39-0700',mode:absolute,to:'2017-03-06T07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7" t="str">
        <f t="shared" si="5"/>
        <v>N</v>
      </c>
      <c r="X26" s="187">
        <f t="shared" si="6"/>
        <v>1</v>
      </c>
      <c r="Y26" s="62">
        <f t="shared" si="7"/>
        <v>23.2957</v>
      </c>
      <c r="Z26" s="62">
        <f t="shared" si="8"/>
        <v>1.43E-2</v>
      </c>
      <c r="AA26" s="62">
        <f t="shared" si="9"/>
        <v>23.281400000000001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0114-06</v>
      </c>
      <c r="AE26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26" s="82" t="str">
        <f t="shared" si="12"/>
        <v>"C:\Program Files (x86)\AstroGrep\AstroGrep.exe" /e /r /s /spath="%USERPROFILE%\AppData\Local\Temp\OnboardLogs" /stypes="app*4021*20170306*" /stext=" 13:.+((SYSTEM_STATE.+slice.+state.+changed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7"/>
        <v>"%USERPROFILE%\Documents\GitHub\eaglep3\Utilities\RefineRTDCRunTimes.py" --tripid 114-06 --locoid 4021 --swversion DE.1.0.9.0 --startMP 204:232957 --initTime 2017-03-06T05:54:39 --startdatetime 2017-03-06T06:11:16 --delay 1 --endMP 204:143 --enddatetime 2017-03-06T06:54:14 --enforcementcount 0 &gt;&gt;C:\Users\stu\Documents\GitHub\eaglep3-reporting\EC\2017-03-06-refined-times.txt</v>
      </c>
      <c r="AI2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{"issue":{"subject":"","project_id":79,"tracker_id":40,"status_id":1,"priority_id":2,"assigned_to_id":23,"start_date":"2017-03-06","description":"","custom_fields":[{"id":1,"name":"Subdivision","value":"EC"},{"id":4,"name":"Milepost","value":"0.0143"},{"id":17,"name":"Train ID","value":"114-06"},{"id":16,"name":"Locomotive ID","value":"4021"},{"id":130,"name":"Impact","value":""},{"id":150,"name":"Time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9"/>
        <v>start /low /b %USERPROFILE%\Documents\GitHub\eaglep3\Utilities\DownloadLogsFromS3.py --loco 4021 --day 2017-03-06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627</v>
      </c>
      <c r="B27" s="7">
        <v>4003</v>
      </c>
      <c r="C27" s="21" t="s">
        <v>245</v>
      </c>
      <c r="D27" s="21" t="s">
        <v>805</v>
      </c>
      <c r="E27" s="13">
        <v>42800.227314814816</v>
      </c>
      <c r="F27" s="13">
        <v>42800.229930555557</v>
      </c>
      <c r="G27" s="7">
        <v>1</v>
      </c>
      <c r="H27" s="21" t="s">
        <v>252</v>
      </c>
      <c r="I27" s="13">
        <v>42800.256111111114</v>
      </c>
      <c r="J27" s="7">
        <v>0</v>
      </c>
      <c r="K27" s="98" t="str">
        <f t="shared" si="0"/>
        <v>4003/4004</v>
      </c>
      <c r="L27" s="21" t="str">
        <f>VLOOKUP(A27,'Trips&amp;Operators'!$C$1:$G$99999,5,FALSE)</f>
        <v>ROBINSON KADDIBA</v>
      </c>
      <c r="M27" s="6">
        <f t="shared" si="1"/>
        <v>2.6180555556493346E-2</v>
      </c>
      <c r="N27" s="7">
        <f t="shared" si="23"/>
        <v>37.700000001350418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4"/>
        <v>https://d0f6bd738d7f1b3e5a7ca70fe4ff75f0.us-east-1.aws.found.io/app/kibana#/discover/Steve-Slow-Train-Analysis-(2080s-and-2083s)?_g=(refreshInterval:(display:Off,pause:!f,section:0,value:0),time:(from:'2017-03-06T04:27:20-0700',mode:absolute,to:'2017-03-06T07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7" s="187" t="str">
        <f t="shared" si="5"/>
        <v>N</v>
      </c>
      <c r="X27" s="187">
        <f t="shared" si="6"/>
        <v>1</v>
      </c>
      <c r="Y27" s="62">
        <f t="shared" si="7"/>
        <v>7.5499999999999998E-2</v>
      </c>
      <c r="Z27" s="62">
        <f t="shared" si="8"/>
        <v>23.329699999999999</v>
      </c>
      <c r="AA27" s="62">
        <f t="shared" si="9"/>
        <v>23.254199999999997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0115-06</v>
      </c>
      <c r="AE27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27" s="82" t="str">
        <f t="shared" si="12"/>
        <v>"C:\Program Files (x86)\AstroGrep\AstroGrep.exe" /e /r /s /spath="%USERPROFILE%\AppData\Local\Temp\OnboardLogs" /stypes="app*4003*20170306*" /stext=" 13:.+((SYSTEM_STATE.+slice.+state.+changed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7"/>
        <v>"%USERPROFILE%\Documents\GitHub\eaglep3\Utilities\RefineRTDCRunTimes.py" --tripid 115-06 --locoid 4003 --swversion DE.1.0.9.0 --startMP 204:755 --initTime 2017-03-06T05:27:20 --startdatetime 2017-03-06T05:31:06 --delay 1 --endMP 204:233297 --enddatetime 2017-03-06T06:08:48 --enforcementcount 0 &gt;&gt;C:\Users\stu\Documents\GitHub\eaglep3-reporting\EC\2017-03-06-refined-times.txt</v>
      </c>
      <c r="AI2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ID","value":"115-06"},{"id":16,"name":"Locomotive ID","value":"4003"},{"id":130,"name":"Impact","value":""},{"id":150,"name":"Time of Event (Mountain Time)","value":"06:08:48"},{"id":151,"name":"Denver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9"/>
        <v>start /low /b %USERPROFILE%\Documents\GitHub\eaglep3\Utilities\DownloadLogsFromS3.py --loco 4003 --day 2017-03-06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637</v>
      </c>
      <c r="B28" s="7">
        <v>4004</v>
      </c>
      <c r="C28" s="21" t="s">
        <v>245</v>
      </c>
      <c r="D28" s="21" t="s">
        <v>316</v>
      </c>
      <c r="E28" s="13">
        <v>42800.262175925927</v>
      </c>
      <c r="F28" s="13">
        <v>42800.268217592595</v>
      </c>
      <c r="G28" s="7">
        <v>1</v>
      </c>
      <c r="H28" s="21" t="s">
        <v>192</v>
      </c>
      <c r="I28" s="13">
        <v>42800.299756944441</v>
      </c>
      <c r="J28" s="7">
        <v>0</v>
      </c>
      <c r="K28" s="98" t="str">
        <f t="shared" si="0"/>
        <v>4003/4004</v>
      </c>
      <c r="L28" s="21" t="str">
        <f>VLOOKUP(A28,'Trips&amp;Operators'!$C$1:$G$99999,5,FALSE)</f>
        <v>ROBINSON KADDIBA</v>
      </c>
      <c r="M28" s="6">
        <f t="shared" si="1"/>
        <v>3.1539351846731734E-2</v>
      </c>
      <c r="N28" s="7">
        <f t="shared" si="23"/>
        <v>45.416666659293696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4"/>
        <v>https://d0f6bd738d7f1b3e5a7ca70fe4ff75f0.us-east-1.aws.found.io/app/kibana#/discover/Steve-Slow-Train-Analysis-(2080s-and-2083s)?_g=(refreshInterval:(display:Off,pause:!f,section:0,value:0),time:(from:'2017-03-06T05:17:32-0700',mode:absolute,to:'2017-03-06T08:11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8" s="187" t="str">
        <f t="shared" si="5"/>
        <v>N</v>
      </c>
      <c r="X28" s="187">
        <f t="shared" si="6"/>
        <v>1</v>
      </c>
      <c r="Y28" s="62">
        <f t="shared" si="7"/>
        <v>23.298500000000001</v>
      </c>
      <c r="Z28" s="62">
        <f t="shared" si="8"/>
        <v>1.4999999999999999E-2</v>
      </c>
      <c r="AA28" s="62">
        <f t="shared" si="9"/>
        <v>23.2835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0116-06</v>
      </c>
      <c r="AE28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28" s="82" t="str">
        <f t="shared" si="12"/>
        <v>"C:\Program Files (x86)\AstroGrep\AstroGrep.exe" /e /r /s /spath="%USERPROFILE%\AppData\Local\Temp\OnboardLogs" /stypes="app*4004*20170306*" /stext=" 14:.+((SYSTEM_STATE.+slice.+state.+changed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7"/>
        <v>"%USERPROFILE%\Documents\GitHub\eaglep3\Utilities\RefineRTDCRunTimes.py" --tripid 116-06 --locoid 4004 --swversion DE.1.0.9.0 --startMP 204:232985 --initTime 2017-03-06T06:17:32 --startdatetime 2017-03-06T06:26:14 --delay 1 --endMP 204:150 --enddatetime 2017-03-06T07:11:39 --enforcementcount 0 &gt;&gt;C:\Users\stu\Documents\GitHub\eaglep3-reporting\EC\2017-03-06-refined-times.txt</v>
      </c>
      <c r="AI2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ID","value":"116-06"},{"id":16,"name":"Locomotive ID","value":"4004"},{"id":130,"name":"Impact","value":""},{"id":150,"name":"Time of Event (Mountain Time)","value":"07:11:39"},{"id":151,"name":"Denver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9"/>
        <v>start /low /b %USERPROFILE%\Documents\GitHub\eaglep3\Utilities\DownloadLogsFromS3.py --loco 4004 --day 2017-03-06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629</v>
      </c>
      <c r="B29" s="7">
        <v>4046</v>
      </c>
      <c r="C29" s="21" t="s">
        <v>245</v>
      </c>
      <c r="D29" s="21" t="s">
        <v>228</v>
      </c>
      <c r="E29" s="13">
        <v>42800.232094907406</v>
      </c>
      <c r="F29" s="13">
        <v>42800.239942129629</v>
      </c>
      <c r="G29" s="7">
        <v>1</v>
      </c>
      <c r="H29" s="21" t="s">
        <v>806</v>
      </c>
      <c r="I29" s="13">
        <v>42800.264999999999</v>
      </c>
      <c r="J29" s="7">
        <v>0</v>
      </c>
      <c r="K29" s="98" t="str">
        <f t="shared" si="0"/>
        <v>4045/4046</v>
      </c>
      <c r="L29" s="21" t="str">
        <f>VLOOKUP(A29,'Trips&amp;Operators'!$C$1:$G$99999,5,FALSE)</f>
        <v>MOSES BRADLEY</v>
      </c>
      <c r="M29" s="6">
        <f t="shared" si="1"/>
        <v>2.5057870370801538E-2</v>
      </c>
      <c r="N29" s="7">
        <f t="shared" si="23"/>
        <v>36.083333333954215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4"/>
        <v>https://d0f6bd738d7f1b3e5a7ca70fe4ff75f0.us-east-1.aws.found.io/app/kibana#/discover/Steve-Slow-Train-Analysis-(2080s-and-2083s)?_g=(refreshInterval:(display:Off,pause:!f,section:0,value:0),time:(from:'2017-03-06T04:34:13-0700',mode:absolute,to:'2017-03-06T07:21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9" s="187" t="str">
        <f t="shared" si="5"/>
        <v>N</v>
      </c>
      <c r="X29" s="187">
        <f t="shared" si="6"/>
        <v>1</v>
      </c>
      <c r="Y29" s="62">
        <f t="shared" si="7"/>
        <v>4.4600000000000001E-2</v>
      </c>
      <c r="Z29" s="62">
        <f t="shared" si="8"/>
        <v>23.331800000000001</v>
      </c>
      <c r="AA29" s="62">
        <f t="shared" si="9"/>
        <v>23.287200000000002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0117-06</v>
      </c>
      <c r="AE29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29" s="82" t="str">
        <f t="shared" si="12"/>
        <v>"C:\Program Files (x86)\AstroGrep\AstroGrep.exe" /e /r /s /spath="%USERPROFILE%\AppData\Local\Temp\OnboardLogs" /stypes="app*4046*20170306*" /stext=" 13:.+((SYSTEM_STATE.+slice.+state.+changed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7"/>
        <v>"%USERPROFILE%\Documents\GitHub\eaglep3\Utilities\RefineRTDCRunTimes.py" --tripid 117-06 --locoid 4046 --swversion DE.1.0.9.0 --startMP 204:446 --initTime 2017-03-06T05:34:13 --startdatetime 2017-03-06T05:45:31 --delay 1 --endMP 204:233318 --enddatetime 2017-03-06T06:21:36 --enforcementcount 0 &gt;&gt;C:\Users\stu\Documents\GitHub\eaglep3-reporting\EC\2017-03-06-refined-times.txt</v>
      </c>
      <c r="AI2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{"issue":{"subject":"","project_id":79,"tracker_id":40,"status_id":1,"priority_id":2,"assigned_to_id":23,"start_date":"2017-03-06","description":"","custom_fields":[{"id":1,"name":"Subdivision","value":"EC"},{"id":4,"name":"Milepost","value":"23.3318"},{"id":17,"name":"Train ID","value":"117-06"},{"id":16,"name":"Locomotive ID","value":"4046"},{"id":130,"name":"Impact","value":""},{"id":150,"name":"Time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9"/>
        <v>start /low /b %USERPROFILE%\Documents\GitHub\eaglep3\Utilities\DownloadLogsFromS3.py --loco 4046 --day 2017-03-06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639</v>
      </c>
      <c r="B30" s="7">
        <v>4045</v>
      </c>
      <c r="C30" s="21" t="s">
        <v>245</v>
      </c>
      <c r="D30" s="21" t="s">
        <v>533</v>
      </c>
      <c r="E30" s="13">
        <v>42800.275590277779</v>
      </c>
      <c r="F30" s="13">
        <v>42800.278692129628</v>
      </c>
      <c r="G30" s="7">
        <v>1</v>
      </c>
      <c r="H30" s="21" t="s">
        <v>203</v>
      </c>
      <c r="I30" s="13">
        <v>42800.31082175926</v>
      </c>
      <c r="J30" s="7">
        <v>0</v>
      </c>
      <c r="K30" s="98" t="str">
        <f t="shared" si="0"/>
        <v>4045/4046</v>
      </c>
      <c r="L30" s="21" t="str">
        <f>VLOOKUP(A30,'Trips&amp;Operators'!$C$1:$G$99999,5,FALSE)</f>
        <v>MOSES BRADLEY</v>
      </c>
      <c r="M30" s="6">
        <f t="shared" si="1"/>
        <v>3.2129629631526768E-2</v>
      </c>
      <c r="N30" s="7">
        <f t="shared" si="23"/>
        <v>46.266666669398546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4"/>
        <v>https://d0f6bd738d7f1b3e5a7ca70fe4ff75f0.us-east-1.aws.found.io/app/kibana#/discover/Steve-Slow-Train-Analysis-(2080s-and-2083s)?_g=(refreshInterval:(display:Off,pause:!f,section:0,value:0),time:(from:'2017-03-06T05:36:51-0700',mode:absolute,to:'2017-03-06T08:27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0" s="187" t="str">
        <f t="shared" si="5"/>
        <v>N</v>
      </c>
      <c r="X30" s="187">
        <f t="shared" si="6"/>
        <v>1</v>
      </c>
      <c r="Y30" s="62">
        <f t="shared" si="7"/>
        <v>23.297999999999998</v>
      </c>
      <c r="Z30" s="62">
        <f t="shared" si="8"/>
        <v>1.52E-2</v>
      </c>
      <c r="AA30" s="62">
        <f t="shared" si="9"/>
        <v>23.282799999999998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0118-06</v>
      </c>
      <c r="AE30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30" s="82" t="str">
        <f t="shared" si="12"/>
        <v>"C:\Program Files (x86)\AstroGrep\AstroGrep.exe" /e /r /s /spath="%USERPROFILE%\AppData\Local\Temp\OnboardLogs" /stypes="app*4045*20170306*" /stext=" 14:.+((SYSTEM_STATE.+slice.+state.+changed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7"/>
        <v>"%USERPROFILE%\Documents\GitHub\eaglep3\Utilities\RefineRTDCRunTimes.py" --tripid 118-06 --locoid 4045 --swversion DE.1.0.9.0 --startMP 204:232980 --initTime 2017-03-06T06:36:51 --startdatetime 2017-03-06T06:41:19 --delay 1 --endMP 204:152 --enddatetime 2017-03-06T07:27:35 --enforcementcount 0 &gt;&gt;C:\Users\stu\Documents\GitHub\eaglep3-reporting\EC\2017-03-06-refined-times.txt</v>
      </c>
      <c r="AI3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ID","value":"118-06"},{"id":16,"name":"Locomotive ID","value":"4045"},{"id":130,"name":"Impact","value":""},{"id":150,"name":"Time of Event (Mountain Time)","value":"07:27:35"},{"id":151,"name":"Denver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9"/>
        <v>start /low /b %USERPROFILE%\Documents\GitHub\eaglep3\Utilities\DownloadLogsFromS3.py --loco 4045 --day 2017-03-06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553</v>
      </c>
      <c r="B31" s="7">
        <v>4020</v>
      </c>
      <c r="C31" s="21" t="s">
        <v>245</v>
      </c>
      <c r="D31" s="21" t="s">
        <v>807</v>
      </c>
      <c r="E31" s="13">
        <v>42800.249664351853</v>
      </c>
      <c r="F31" s="13">
        <v>42800.251539351855</v>
      </c>
      <c r="G31" s="7">
        <v>1</v>
      </c>
      <c r="H31" s="21" t="s">
        <v>530</v>
      </c>
      <c r="I31" s="13">
        <v>42800.277106481481</v>
      </c>
      <c r="J31" s="7">
        <v>0</v>
      </c>
      <c r="K31" s="98" t="str">
        <f t="shared" si="0"/>
        <v>4019/4020</v>
      </c>
      <c r="L31" s="21" t="str">
        <f>VLOOKUP(A31,'Trips&amp;Operators'!$C$1:$G$99999,5,FALSE)</f>
        <v>STARKS ANGELINA</v>
      </c>
      <c r="M31" s="6">
        <f t="shared" si="1"/>
        <v>2.5567129625414964E-2</v>
      </c>
      <c r="N31" s="7">
        <f t="shared" si="23"/>
        <v>36.816666660597548</v>
      </c>
      <c r="O31" s="7"/>
      <c r="P31" s="7"/>
      <c r="Q31" s="22"/>
      <c r="R31" s="22"/>
      <c r="S31" s="31">
        <f t="shared" si="2"/>
        <v>1</v>
      </c>
      <c r="T31" s="46" t="str">
        <f t="shared" si="3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4"/>
        <v>https://d0f6bd738d7f1b3e5a7ca70fe4ff75f0.us-east-1.aws.found.io/app/kibana#/discover/Steve-Slow-Train-Analysis-(2080s-and-2083s)?_g=(refreshInterval:(display:Off,pause:!f,section:0,value:0),time:(from:'2017-03-06T04:59:31-0700',mode:absolute,to:'2017-03-06T07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87" t="str">
        <f t="shared" si="5"/>
        <v>N</v>
      </c>
      <c r="X31" s="187">
        <f t="shared" si="6"/>
        <v>1</v>
      </c>
      <c r="Y31" s="62">
        <f t="shared" si="7"/>
        <v>7.9399999999999998E-2</v>
      </c>
      <c r="Z31" s="62">
        <f t="shared" si="8"/>
        <v>23.33</v>
      </c>
      <c r="AA31" s="62">
        <f t="shared" si="9"/>
        <v>23.250599999999999</v>
      </c>
      <c r="AB31" s="59" t="str">
        <f>VLOOKUP(A31,Enforcements!$C$7:$K$13,8,0)</f>
        <v>Bulletin (2)</v>
      </c>
      <c r="AC31" s="55" t="str">
        <f>VLOOKUP(A31,Enforcements!$C$7:$E$13,3,0)</f>
        <v>GRADE CROSSING</v>
      </c>
      <c r="AD31" s="56" t="str">
        <f t="shared" si="10"/>
        <v>0119-06</v>
      </c>
      <c r="AE31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31" s="82" t="str">
        <f t="shared" si="12"/>
        <v>"C:\Program Files (x86)\AstroGrep\AstroGrep.exe" /e /r /s /spath="%USERPROFILE%\AppData\Local\Temp\OnboardLogs" /stypes="app*4020*20170306*" /stext=" 13:.+((SYSTEM_STATE.+slice.+state.+changed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7"/>
        <v>"%USERPROFILE%\Documents\GitHub\eaglep3\Utilities\RefineRTDCRunTimes.py" --tripid 119-06 --locoid 4020 --swversion DE.1.0.9.0 --startMP 204:794 --initTime 2017-03-06T05:59:31 --startdatetime 2017-03-06T06:02:13 --delay 1 --endMP 204:233300 --enddatetime 2017-03-06T06:39:02 --enforcementcount 0 &gt;&gt;C:\Users\stu\Documents\GitHub\eaglep3-reporting\EC\2017-03-06-refined-times.txt</v>
      </c>
      <c r="AI3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{"issue":{"subject":"","project_id":79,"tracker_id":40,"status_id":1,"priority_id":2,"assigned_to_id":23,"start_date":"2017-03-06","description":"","custom_fields":[{"id":1,"name":"Subdivision","value":"EC"},{"id":4,"name":"Milepost","value":"23.33"},{"id":17,"name":"Train ID","value":"119-06"},{"id":16,"name":"Locomotive ID","value":"4020"},{"id":130,"name":"Impact","value":""},{"id":150,"name":"Time of Event (Mountain Time)","value":"06:39:02"},{"id":151,"name":"Denver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9"/>
        <v>start /low /b %USERPROFILE%\Documents\GitHub\eaglep3\Utilities\DownloadLogsFromS3.py --loco 4020 --day 2017-03-06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561</v>
      </c>
      <c r="B32" s="7">
        <v>4019</v>
      </c>
      <c r="C32" s="21" t="s">
        <v>245</v>
      </c>
      <c r="D32" s="21" t="s">
        <v>269</v>
      </c>
      <c r="E32" s="13">
        <v>42800.287106481483</v>
      </c>
      <c r="F32" s="13">
        <v>42800.289097222223</v>
      </c>
      <c r="G32" s="7">
        <v>1</v>
      </c>
      <c r="H32" s="21" t="s">
        <v>526</v>
      </c>
      <c r="I32" s="13">
        <v>42800.323217592595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STARKS ANGELINA</v>
      </c>
      <c r="M32" s="6">
        <f t="shared" si="1"/>
        <v>3.4120370371965691E-2</v>
      </c>
      <c r="N32" s="7">
        <f t="shared" si="23"/>
        <v>49.133333335630596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4"/>
        <v>https://d0f6bd738d7f1b3e5a7ca70fe4ff75f0.us-east-1.aws.found.io/app/kibana#/discover/Steve-Slow-Train-Analysis-(2080s-and-2083s)?_g=(refreshInterval:(display:Off,pause:!f,section:0,value:0),time:(from:'2017-03-06T05:53:26-0700',mode:absolute,to:'2017-03-06T08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5"/>
        <v>N</v>
      </c>
      <c r="X32" s="187">
        <f t="shared" si="6"/>
        <v>1</v>
      </c>
      <c r="Y32" s="62">
        <f t="shared" si="7"/>
        <v>23.297699999999999</v>
      </c>
      <c r="Z32" s="62">
        <f t="shared" si="8"/>
        <v>1.6E-2</v>
      </c>
      <c r="AA32" s="62">
        <f t="shared" si="9"/>
        <v>23.281700000000001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0120-06</v>
      </c>
      <c r="AE32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32" s="82" t="str">
        <f t="shared" si="12"/>
        <v>"C:\Program Files (x86)\AstroGrep\AstroGrep.exe" /e /r /s /spath="%USERPROFILE%\AppData\Local\Temp\OnboardLogs" /stypes="app*4019*20170306*" /stext=" 14:.+((SYSTEM_STATE.+slice.+state.+changed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7"/>
        <v>"%USERPROFILE%\Documents\GitHub\eaglep3\Utilities\RefineRTDCRunTimes.py" --tripid 120-06 --locoid 4019 --swversion DE.1.0.9.0 --startMP 204:232977 --initTime 2017-03-06T06:53:26 --startdatetime 2017-03-06T06:56:18 --delay 1 --endMP 204:160 --enddatetime 2017-03-06T07:45:26 --enforcementcount 0 &gt;&gt;C:\Users\stu\Documents\GitHub\eaglep3-reporting\EC\2017-03-06-refined-times.txt</v>
      </c>
      <c r="AI3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ID","value":"120-06"},{"id":16,"name":"Locomotive ID","value":"4019"},{"id":130,"name":"Impact","value":""},{"id":150,"name":"Time of Event (Mountain Time)","value":"07:45:26"},{"id":151,"name":"Denver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9"/>
        <v>start /low /b %USERPROFILE%\Documents\GitHub\eaglep3\Utilities\DownloadLogsFromS3.py --loco 4019 --day 2017-03-06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635</v>
      </c>
      <c r="B33" s="7">
        <v>4009</v>
      </c>
      <c r="C33" s="21" t="s">
        <v>245</v>
      </c>
      <c r="D33" s="21" t="s">
        <v>474</v>
      </c>
      <c r="E33" s="13">
        <v>42800.257395833331</v>
      </c>
      <c r="F33" s="13">
        <v>42800.260706018518</v>
      </c>
      <c r="G33" s="7">
        <v>1</v>
      </c>
      <c r="H33" s="21" t="s">
        <v>523</v>
      </c>
      <c r="I33" s="13">
        <v>42800.288877314815</v>
      </c>
      <c r="J33" s="7">
        <v>0</v>
      </c>
      <c r="K33" s="98" t="str">
        <f t="shared" si="0"/>
        <v>4009/4010</v>
      </c>
      <c r="L33" s="21" t="str">
        <f>VLOOKUP(A33,'Trips&amp;Operators'!$C$1:$G$99999,5,FALSE)</f>
        <v>BONDS REYNALDO</v>
      </c>
      <c r="M33" s="6">
        <f t="shared" si="1"/>
        <v>2.8171296296932269E-2</v>
      </c>
      <c r="N33" s="7">
        <f t="shared" si="23"/>
        <v>40.566666667582467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4"/>
        <v>https://d0f6bd738d7f1b3e5a7ca70fe4ff75f0.us-east-1.aws.found.io/app/kibana#/discover/Steve-Slow-Train-Analysis-(2080s-and-2083s)?_g=(refreshInterval:(display:Off,pause:!f,section:0,value:0),time:(from:'2017-03-06T05:10:39-0700',mode:absolute,to:'2017-03-06T07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187" t="str">
        <f t="shared" si="5"/>
        <v>N</v>
      </c>
      <c r="X33" s="187">
        <f t="shared" si="6"/>
        <v>1</v>
      </c>
      <c r="Y33" s="62">
        <f t="shared" si="7"/>
        <v>4.3499999999999997E-2</v>
      </c>
      <c r="Z33" s="62">
        <f t="shared" si="8"/>
        <v>23.327999999999999</v>
      </c>
      <c r="AA33" s="62">
        <f t="shared" si="9"/>
        <v>23.284499999999998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0121-06</v>
      </c>
      <c r="AE33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33" s="82" t="str">
        <f t="shared" si="12"/>
        <v>"C:\Program Files (x86)\AstroGrep\AstroGrep.exe" /e /r /s /spath="%USERPROFILE%\AppData\Local\Temp\OnboardLogs" /stypes="app*4009*20170306*" /stext=" 13:.+((SYSTEM_STATE.+slice.+state.+changed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7"/>
        <v>"%USERPROFILE%\Documents\GitHub\eaglep3\Utilities\RefineRTDCRunTimes.py" --tripid 121-06 --locoid 4009 --swversion DE.1.0.9.0 --startMP 204:435 --initTime 2017-03-06T06:10:39 --startdatetime 2017-03-06T06:15:25 --delay 1 --endMP 204:233280 --enddatetime 2017-03-06T06:55:59 --enforcementcount 0 &gt;&gt;C:\Users\stu\Documents\GitHub\eaglep3-reporting\EC\2017-03-06-refined-times.txt</v>
      </c>
      <c r="AI3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{"issue":{"subject":"","project_id":79,"tracker_id":40,"status_id":1,"priority_id":2,"assigned_to_id":23,"start_date":"2017-03-06","description":"","custom_fields":[{"id":1,"name":"Subdivision","value":"EC"},{"id":4,"name":"Milepost","value":"23.328"},{"id":17,"name":"Train ID","value":"121-06"},{"id":16,"name":"Locomotive ID","value":"4009"},{"id":130,"name":"Impact","value":""},{"id":150,"name":"Time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19"/>
        <v>start /low /b %USERPROFILE%\Documents\GitHub\eaglep3\Utilities\DownloadLogsFromS3.py --loco 4009 --day 2017-03-06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566</v>
      </c>
      <c r="B34" s="7">
        <v>4010</v>
      </c>
      <c r="C34" s="21" t="s">
        <v>245</v>
      </c>
      <c r="D34" s="21" t="s">
        <v>310</v>
      </c>
      <c r="E34" s="13">
        <v>42800.297511574077</v>
      </c>
      <c r="F34" s="13">
        <v>42800.29965277778</v>
      </c>
      <c r="G34" s="7">
        <v>1</v>
      </c>
      <c r="H34" s="21" t="s">
        <v>204</v>
      </c>
      <c r="I34" s="13">
        <v>42800.330509259256</v>
      </c>
      <c r="J34" s="7">
        <v>0</v>
      </c>
      <c r="K34" s="98" t="str">
        <f t="shared" si="0"/>
        <v>4009/4010</v>
      </c>
      <c r="L34" s="21" t="str">
        <f>VLOOKUP(A34,'Trips&amp;Operators'!$C$1:$G$99999,5,FALSE)</f>
        <v>BONDS REYNALDO</v>
      </c>
      <c r="M34" s="6">
        <f t="shared" si="1"/>
        <v>3.085648147680331E-2</v>
      </c>
      <c r="N34" s="7">
        <f t="shared" si="23"/>
        <v>44.433333326596767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4"/>
        <v>https://d0f6bd738d7f1b3e5a7ca70fe4ff75f0.us-east-1.aws.found.io/app/kibana#/discover/Steve-Slow-Train-Analysis-(2080s-and-2083s)?_g=(refreshInterval:(display:Off,pause:!f,section:0,value:0),time:(from:'2017-03-06T06:08:25-0700',mode:absolute,to:'2017-03-06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4" s="187" t="str">
        <f t="shared" si="5"/>
        <v>N</v>
      </c>
      <c r="X34" s="187">
        <f t="shared" si="6"/>
        <v>1</v>
      </c>
      <c r="Y34" s="62">
        <f t="shared" si="7"/>
        <v>23.2988</v>
      </c>
      <c r="Z34" s="62">
        <f t="shared" si="8"/>
        <v>1.5800000000000002E-2</v>
      </c>
      <c r="AA34" s="62">
        <f t="shared" si="9"/>
        <v>23.283000000000001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0122-06</v>
      </c>
      <c r="AE34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34" s="82" t="str">
        <f t="shared" si="12"/>
        <v>"C:\Program Files (x86)\AstroGrep\AstroGrep.exe" /e /r /s /spath="%USERPROFILE%\AppData\Local\Temp\OnboardLogs" /stypes="app*4010*20170306*" /stext=" 14:.+((SYSTEM_STATE.+slice.+state.+changed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7"/>
        <v>"%USERPROFILE%\Documents\GitHub\eaglep3\Utilities\RefineRTDCRunTimes.py" --tripid 122-06 --locoid 4010 --swversion DE.1.0.9.0 --startMP 204:232988 --initTime 2017-03-06T07:08:25 --startdatetime 2017-03-06T07:11:30 --delay 1 --endMP 204:158 --enddatetime 2017-03-06T07:55:56 --enforcementcount 0 &gt;&gt;C:\Users\stu\Documents\GitHub\eaglep3-reporting\EC\2017-03-06-refined-times.txt</v>
      </c>
      <c r="AI3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{"issue":{"subject":"","project_id":79,"tracker_id":40,"status_id":1,"priority_id":2,"assigned_to_id":23,"start_date":"2017-03-06","description":"","custom_fields":[{"id":1,"name":"Subdivision","value":"EC"},{"id":4,"name":"Milepost","value":"0.0158"},{"id":17,"name":"Train ID","value":"122-06"},{"id":16,"name":"Locomotive ID","value":"4010"},{"id":130,"name":"Impact","value":""},{"id":150,"name":"Time of Event (Mountain Time)","value":"07:55:56"},{"id":151,"name":"Denver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19"/>
        <v>start /low /b %USERPROFILE%\Documents\GitHub\eaglep3\Utilities\DownloadLogsFromS3.py --loco 4010 --day 2017-03-06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560</v>
      </c>
      <c r="B35" s="7">
        <v>4018</v>
      </c>
      <c r="C35" s="21" t="s">
        <v>245</v>
      </c>
      <c r="D35" s="21" t="s">
        <v>201</v>
      </c>
      <c r="E35" s="13">
        <v>42800.26771990741</v>
      </c>
      <c r="F35" s="13">
        <v>42800.271006944444</v>
      </c>
      <c r="G35" s="7">
        <v>1</v>
      </c>
      <c r="H35" s="21" t="s">
        <v>268</v>
      </c>
      <c r="I35" s="13">
        <v>42800.301064814812</v>
      </c>
      <c r="J35" s="7">
        <v>0</v>
      </c>
      <c r="K35" s="98" t="str">
        <f t="shared" si="0"/>
        <v>4017/4018</v>
      </c>
      <c r="L35" s="21" t="str">
        <f>VLOOKUP(A35,'Trips&amp;Operators'!$C$1:$G$99999,5,FALSE)</f>
        <v>SHOOK JOHN</v>
      </c>
      <c r="M35" s="6">
        <f t="shared" si="1"/>
        <v>3.0057870368182193E-2</v>
      </c>
      <c r="N35" s="7">
        <f t="shared" si="23"/>
        <v>43.283333330182359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4"/>
        <v>https://d0f6bd738d7f1b3e5a7ca70fe4ff75f0.us-east-1.aws.found.io/app/kibana#/discover/Steve-Slow-Train-Analysis-(2080s-and-2083s)?_g=(refreshInterval:(display:Off,pause:!f,section:0,value:0),time:(from:'2017-03-06T05:25:31-0700',mode:absolute,to:'2017-03-06T08:13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87" t="str">
        <f t="shared" si="5"/>
        <v>N</v>
      </c>
      <c r="X35" s="187">
        <f t="shared" si="6"/>
        <v>1</v>
      </c>
      <c r="Y35" s="62">
        <f t="shared" si="7"/>
        <v>4.6199999999999998E-2</v>
      </c>
      <c r="Z35" s="62">
        <f t="shared" si="8"/>
        <v>23.331199999999999</v>
      </c>
      <c r="AA35" s="62">
        <f t="shared" si="9"/>
        <v>23.285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0123-06</v>
      </c>
      <c r="AE35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35" s="82" t="str">
        <f t="shared" si="12"/>
        <v>"C:\Program Files (x86)\AstroGrep\AstroGrep.exe" /e /r /s /spath="%USERPROFILE%\AppData\Local\Temp\OnboardLogs" /stypes="app*4018*20170306*" /stext=" 14:.+((SYSTEM_STATE.+slice.+state.+changed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7"/>
        <v>"%USERPROFILE%\Documents\GitHub\eaglep3\Utilities\RefineRTDCRunTimes.py" --tripid 123-06 --locoid 4018 --swversion DE.1.0.9.0 --startMP 204:462 --initTime 2017-03-06T06:25:31 --startdatetime 2017-03-06T06:30:15 --delay 1 --endMP 204:233312 --enddatetime 2017-03-06T07:13:32 --enforcementcount 0 &gt;&gt;C:\Users\stu\Documents\GitHub\eaglep3-reporting\EC\2017-03-06-refined-times.txt</v>
      </c>
      <c r="AI3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{"issue":{"subject":"","project_id":79,"tracker_id":40,"status_id":1,"priority_id":2,"assigned_to_id":23,"start_date":"2017-03-06","description":"","custom_fields":[{"id":1,"name":"Subdivision","value":"EC"},{"id":4,"name":"Milepost","value":"23.3312"},{"id":17,"name":"Train ID","value":"123-06"},{"id":16,"name":"Locomotive ID","value":"4018"},{"id":130,"name":"Impact","value":""},{"id":150,"name":"Time of Event (Mountain Time)","value":"07:13:32"},{"id":151,"name":"Denver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9"/>
        <v>start /low /b %USERPROFILE%\Documents\GitHub\eaglep3\Utilities\DownloadLogsFromS3.py --loco 4018 --day 2017-03-06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643</v>
      </c>
      <c r="B36" s="7">
        <v>4017</v>
      </c>
      <c r="C36" s="21" t="s">
        <v>245</v>
      </c>
      <c r="D36" s="21" t="s">
        <v>808</v>
      </c>
      <c r="E36" s="13">
        <v>42800.306747685187</v>
      </c>
      <c r="F36" s="13">
        <v>42800.309895833336</v>
      </c>
      <c r="G36" s="7">
        <v>1</v>
      </c>
      <c r="H36" s="21" t="s">
        <v>476</v>
      </c>
      <c r="I36" s="13">
        <v>42800.340960648151</v>
      </c>
      <c r="J36" s="7">
        <v>0</v>
      </c>
      <c r="K36" s="98" t="str">
        <f t="shared" si="0"/>
        <v>4017/4018</v>
      </c>
      <c r="L36" s="21" t="str">
        <f>VLOOKUP(A36,'Trips&amp;Operators'!$C$1:$G$99999,5,FALSE)</f>
        <v>SHOOK JOHN</v>
      </c>
      <c r="M36" s="6">
        <f t="shared" si="1"/>
        <v>3.1064814815181307E-2</v>
      </c>
      <c r="N36" s="7">
        <f t="shared" si="23"/>
        <v>44.733333333861083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4"/>
        <v>https://d0f6bd738d7f1b3e5a7ca70fe4ff75f0.us-east-1.aws.found.io/app/kibana#/discover/Steve-Slow-Train-Analysis-(2080s-and-2083s)?_g=(refreshInterval:(display:Off,pause:!f,section:0,value:0),time:(from:'2017-03-06T06:21:43-0700',mode:absolute,to:'2017-03-06T09:10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87" t="str">
        <f t="shared" si="5"/>
        <v>N</v>
      </c>
      <c r="X36" s="187">
        <f t="shared" si="6"/>
        <v>1</v>
      </c>
      <c r="Y36" s="62">
        <f t="shared" si="7"/>
        <v>23.2987</v>
      </c>
      <c r="Z36" s="62">
        <f t="shared" si="8"/>
        <v>1.43E-2</v>
      </c>
      <c r="AA36" s="62">
        <f t="shared" si="9"/>
        <v>23.284400000000002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0124-06</v>
      </c>
      <c r="AE36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36" s="82" t="str">
        <f t="shared" si="12"/>
        <v>"C:\Program Files (x86)\AstroGrep\AstroGrep.exe" /e /r /s /spath="%USERPROFILE%\AppData\Local\Temp\OnboardLogs" /stypes="app*4017*20170306*" /stext=" 15:.+((SYSTEM_STATE.+slice.+state.+changed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7"/>
        <v>"%USERPROFILE%\Documents\GitHub\eaglep3\Utilities\RefineRTDCRunTimes.py" --tripid 124-06 --locoid 4017 --swversion DE.1.0.9.0 --startMP 204:232987 --initTime 2017-03-06T07:21:43 --startdatetime 2017-03-06T07:26:15 --delay 1 --endMP 204:143 --enddatetime 2017-03-06T08:10:59 --enforcementcount 0 &gt;&gt;C:\Users\stu\Documents\GitHub\eaglep3-reporting\EC\2017-03-06-refined-times.txt</v>
      </c>
      <c r="AI3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{"issue":{"subject":"","project_id":79,"tracker_id":40,"status_id":1,"priority_id":2,"assigned_to_id":23,"start_date":"2017-03-06","description":"","custom_fields":[{"id":1,"name":"Subdivision","value":"EC"},{"id":4,"name":"Milepost","value":"0.0143"},{"id":17,"name":"Train ID","value":"124-06"},{"id":16,"name":"Locomotive ID","value":"4017"},{"id":130,"name":"Impact","value":""},{"id":150,"name":"Time of Event (Mountain Time)","value":"08:10:59"},{"id":151,"name":"Denver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9"/>
        <v>start /low /b %USERPROFILE%\Documents\GitHub\eaglep3\Utilities\DownloadLogsFromS3.py --loco 4017 --day 2017-03-06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638</v>
      </c>
      <c r="B37" s="7">
        <v>4002</v>
      </c>
      <c r="C37" s="21" t="s">
        <v>245</v>
      </c>
      <c r="D37" s="21" t="s">
        <v>270</v>
      </c>
      <c r="E37" s="13">
        <v>42800.275787037041</v>
      </c>
      <c r="F37" s="13">
        <v>42800.281793981485</v>
      </c>
      <c r="G37" s="7">
        <v>1</v>
      </c>
      <c r="H37" s="21" t="s">
        <v>804</v>
      </c>
      <c r="I37" s="13">
        <v>42800.307245370372</v>
      </c>
      <c r="J37" s="7">
        <v>0</v>
      </c>
      <c r="K37" s="98" t="str">
        <f t="shared" si="0"/>
        <v>4001/4002</v>
      </c>
      <c r="L37" s="21" t="str">
        <f>VLOOKUP(A37,'Trips&amp;Operators'!$C$1:$G$99999,5,FALSE)</f>
        <v>YORK EDGAR</v>
      </c>
      <c r="M37" s="6">
        <f t="shared" si="1"/>
        <v>2.545138888672227E-2</v>
      </c>
      <c r="N37" s="7">
        <f t="shared" si="23"/>
        <v>36.649999996880069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4"/>
        <v>https://d0f6bd738d7f1b3e5a7ca70fe4ff75f0.us-east-1.aws.found.io/app/kibana#/discover/Steve-Slow-Train-Analysis-(2080s-and-2083s)?_g=(refreshInterval:(display:Off,pause:!f,section:0,value:0),time:(from:'2017-03-06T05:37:08-0700',mode:absolute,to:'2017-03-06T08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87" t="str">
        <f t="shared" si="5"/>
        <v>N</v>
      </c>
      <c r="X37" s="187">
        <f t="shared" si="6"/>
        <v>1</v>
      </c>
      <c r="Y37" s="62">
        <f t="shared" si="7"/>
        <v>4.6699999999999998E-2</v>
      </c>
      <c r="Z37" s="62">
        <f t="shared" si="8"/>
        <v>23.328600000000002</v>
      </c>
      <c r="AA37" s="62">
        <f t="shared" si="9"/>
        <v>23.2819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0125-06</v>
      </c>
      <c r="AE37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37" s="82" t="str">
        <f t="shared" si="12"/>
        <v>"C:\Program Files (x86)\AstroGrep\AstroGrep.exe" /e /r /s /spath="%USERPROFILE%\AppData\Local\Temp\OnboardLogs" /stypes="app*4002*20170306*" /stext=" 14:.+((SYSTEM_STATE.+slice.+state.+changed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7"/>
        <v>"%USERPROFILE%\Documents\GitHub\eaglep3\Utilities\RefineRTDCRunTimes.py" --tripid 125-06 --locoid 4002 --swversion DE.1.0.9.0 --startMP 204:467 --initTime 2017-03-06T06:37:08 --startdatetime 2017-03-06T06:45:47 --delay 1 --endMP 204:233286 --enddatetime 2017-03-06T07:22:26 --enforcementcount 0 &gt;&gt;C:\Users\stu\Documents\GitHub\eaglep3-reporting\EC\2017-03-06-refined-times.txt</v>
      </c>
      <c r="AI3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{"issue":{"subject":"","project_id":79,"tracker_id":40,"status_id":1,"priority_id":2,"assigned_to_id":23,"start_date":"2017-03-06","description":"","custom_fields":[{"id":1,"name":"Subdivision","value":"EC"},{"id":4,"name":"Milepost","value":"23.3286"},{"id":17,"name":"Train ID","value":"125-06"},{"id":16,"name":"Locomotive ID","value":"4002"},{"id":130,"name":"Impact","value":""},{"id":150,"name":"Time of Event (Mountain Time)","value":"07:22:26"},{"id":151,"name":"Denver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9"/>
        <v>start /low /b %USERPROFILE%\Documents\GitHub\eaglep3\Utilities\DownloadLogsFromS3.py --loco 4002 --day 2017-03-06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644</v>
      </c>
      <c r="B38" s="7">
        <v>4001</v>
      </c>
      <c r="C38" s="21" t="s">
        <v>245</v>
      </c>
      <c r="D38" s="21" t="s">
        <v>809</v>
      </c>
      <c r="E38" s="13">
        <v>42800.308182870373</v>
      </c>
      <c r="F38" s="13">
        <v>42800.320509259262</v>
      </c>
      <c r="G38" s="7">
        <v>0</v>
      </c>
      <c r="H38" s="21" t="s">
        <v>526</v>
      </c>
      <c r="I38" s="13">
        <v>42800.349259259259</v>
      </c>
      <c r="J38" s="7">
        <v>0</v>
      </c>
      <c r="K38" s="98" t="str">
        <f t="shared" si="0"/>
        <v>4001/4002</v>
      </c>
      <c r="L38" s="21" t="str">
        <f>VLOOKUP(A38,'Trips&amp;Operators'!$C$1:$G$99999,5,FALSE)</f>
        <v>YORK EDGAR</v>
      </c>
      <c r="M38" s="6">
        <f t="shared" si="1"/>
        <v>2.8749999997671694E-2</v>
      </c>
      <c r="N38" s="7">
        <f t="shared" si="23"/>
        <v>41.399999996647239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4"/>
        <v>https://d0f6bd738d7f1b3e5a7ca70fe4ff75f0.us-east-1.aws.found.io/app/kibana#/discover/Steve-Slow-Train-Analysis-(2080s-and-2083s)?_g=(refreshInterval:(display:Off,pause:!f,section:0,value:0),time:(from:'2017-03-06T06:23:47-0700',mode:absolute,to:'2017-03-06T09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87" t="str">
        <f t="shared" si="5"/>
        <v>N</v>
      </c>
      <c r="X38" s="187">
        <f t="shared" si="6"/>
        <v>1</v>
      </c>
      <c r="Y38" s="62">
        <f t="shared" si="7"/>
        <v>23.296500000000002</v>
      </c>
      <c r="Z38" s="62">
        <f t="shared" si="8"/>
        <v>1.6E-2</v>
      </c>
      <c r="AA38" s="62">
        <f t="shared" si="9"/>
        <v>23.280500000000004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0126-06</v>
      </c>
      <c r="AE38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38" s="82" t="str">
        <f t="shared" si="12"/>
        <v>"C:\Program Files (x86)\AstroGrep\AstroGrep.exe" /e /r /s /spath="%USERPROFILE%\AppData\Local\Temp\OnboardLogs" /stypes="app*4001*20170306*" /stext=" 15:.+((SYSTEM_STATE.+slice.+state.+changed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7"/>
        <v>"%USERPROFILE%\Documents\GitHub\eaglep3\Utilities\RefineRTDCRunTimes.py" --tripid 126-06 --locoid 4001 --swversion DE.1.0.9.0 --startMP 204:232965 --initTime 2017-03-06T07:23:47 --startdatetime 2017-03-06T07:41:32 --delay 0 --endMP 204:160 --enddatetime 2017-03-06T08:22:56 --enforcementcount 0 &gt;&gt;C:\Users\stu\Documents\GitHub\eaglep3-reporting\EC\2017-03-06-refined-times.txt</v>
      </c>
      <c r="AI3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ID","value":"126-06"},{"id":16,"name":"Locomotive ID","value":"4001"},{"id":130,"name":"Impact","value":""},{"id":150,"name":"Time of Event (Mountain Time)","value":"08:22:56"},{"id":151,"name":"Denver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9"/>
        <v>start /low /b %USERPROFILE%\Documents\GitHub\eaglep3\Utilities\DownloadLogsFromS3.py --loco 4001 --day 2017-03-06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641</v>
      </c>
      <c r="B39" s="7">
        <v>4022</v>
      </c>
      <c r="C39" s="21" t="s">
        <v>245</v>
      </c>
      <c r="D39" s="21" t="s">
        <v>201</v>
      </c>
      <c r="E39" s="13">
        <v>42800.289259259262</v>
      </c>
      <c r="F39" s="13">
        <v>42800.292025462964</v>
      </c>
      <c r="G39" s="7">
        <v>1</v>
      </c>
      <c r="H39" s="21" t="s">
        <v>315</v>
      </c>
      <c r="I39" s="13">
        <v>42800.318888888891</v>
      </c>
      <c r="J39" s="7">
        <v>0</v>
      </c>
      <c r="K39" s="98" t="str">
        <f t="shared" si="0"/>
        <v>4021/4022</v>
      </c>
      <c r="L39" s="21" t="str">
        <f>VLOOKUP(A39,'Trips&amp;Operators'!$C$1:$G$99999,5,FALSE)</f>
        <v>SANTIZO D. EDY</v>
      </c>
      <c r="M39" s="6">
        <f t="shared" si="1"/>
        <v>2.6863425926421769E-2</v>
      </c>
      <c r="N39" s="7">
        <f t="shared" si="23"/>
        <v>38.683333334047347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4"/>
        <v>https://d0f6bd738d7f1b3e5a7ca70fe4ff75f0.us-east-1.aws.found.io/app/kibana#/discover/Steve-Slow-Train-Analysis-(2080s-and-2083s)?_g=(refreshInterval:(display:Off,pause:!f,section:0,value:0),time:(from:'2017-03-06T05:56:32-0700',mode:absolute,to:'2017-03-06T08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7" t="str">
        <f t="shared" si="5"/>
        <v>N</v>
      </c>
      <c r="X39" s="187">
        <f t="shared" si="6"/>
        <v>1</v>
      </c>
      <c r="Y39" s="62">
        <f t="shared" si="7"/>
        <v>4.6199999999999998E-2</v>
      </c>
      <c r="Z39" s="62">
        <f t="shared" si="8"/>
        <v>23.3291</v>
      </c>
      <c r="AA39" s="62">
        <f t="shared" si="9"/>
        <v>23.282900000000001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0127-06</v>
      </c>
      <c r="AE39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39" s="82" t="str">
        <f t="shared" si="12"/>
        <v>"C:\Program Files (x86)\AstroGrep\AstroGrep.exe" /e /r /s /spath="%USERPROFILE%\AppData\Local\Temp\OnboardLogs" /stypes="app*4022*20170306*"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7"/>
        <v>"%USERPROFILE%\Documents\GitHub\eaglep3\Utilities\RefineRTDCRunTimes.py" --tripid 127-06 --locoid 4022 --swversion DE.1.0.9.0 --startMP 204:462 --initTime 2017-03-06T06:56:32 --startdatetime 2017-03-06T07:00:31 --delay 1 --endMP 204:233291 --enddatetime 2017-03-06T07:39:12 --enforcementcount 0 &gt;&gt;C:\Users\stu\Documents\GitHub\eaglep3-reporting\EC\2017-03-06-refined-times.txt</v>
      </c>
      <c r="AI3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{"issue":{"subject":"","project_id":79,"tracker_id":40,"status_id":1,"priority_id":2,"assigned_to_id":23,"start_date":"2017-03-06","description":"","custom_fields":[{"id":1,"name":"Subdivision","value":"EC"},{"id":4,"name":"Milepost","value":"23.3291"},{"id":17,"name":"Train ID","value":"127-06"},{"id":16,"name":"Locomotive ID","value":"4022"},{"id":130,"name":"Impact","value":""},{"id":150,"name":"Time of Event (Mountain Time)","value":"07:39:12"},{"id":151,"name":"Denver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9"/>
        <v>start /low /b %USERPROFILE%\Documents\GitHub\eaglep3\Utilities\DownloadLogsFromS3.py --loco 4022 --day 2017-03-06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647</v>
      </c>
      <c r="B40" s="7">
        <v>4021</v>
      </c>
      <c r="C40" s="21" t="s">
        <v>245</v>
      </c>
      <c r="D40" s="21" t="s">
        <v>534</v>
      </c>
      <c r="E40" s="13">
        <v>42800.320243055554</v>
      </c>
      <c r="F40" s="13">
        <v>42800.330879629626</v>
      </c>
      <c r="G40" s="7">
        <v>1</v>
      </c>
      <c r="H40" s="21" t="s">
        <v>184</v>
      </c>
      <c r="I40" s="13">
        <v>42800.361967592595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SANTIZO D. EDY</v>
      </c>
      <c r="M40" s="6">
        <f t="shared" si="1"/>
        <v>3.1087962968740612E-2</v>
      </c>
      <c r="N40" s="7">
        <f t="shared" si="23"/>
        <v>44.766666674986482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4"/>
        <v>https://d0f6bd738d7f1b3e5a7ca70fe4ff75f0.us-east-1.aws.found.io/app/kibana#/discover/Steve-Slow-Train-Analysis-(2080s-and-2083s)?_g=(refreshInterval:(display:Off,pause:!f,section:0,value:0),time:(from:'2017-03-06T06:41:09-0700',mode:absolute,to:'2017-03-06T09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7" t="str">
        <f t="shared" si="5"/>
        <v>N</v>
      </c>
      <c r="X40" s="187">
        <f t="shared" si="6"/>
        <v>1</v>
      </c>
      <c r="Y40" s="62">
        <f t="shared" si="7"/>
        <v>23.2989</v>
      </c>
      <c r="Z40" s="62">
        <f t="shared" si="8"/>
        <v>1.49E-2</v>
      </c>
      <c r="AA40" s="62">
        <f t="shared" si="9"/>
        <v>23.283999999999999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0128-06</v>
      </c>
      <c r="AE40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40" s="82" t="str">
        <f t="shared" si="12"/>
        <v>"C:\Program Files (x86)\AstroGrep\AstroGrep.exe" /e /r /s /spath="%USERPROFILE%\AppData\Local\Temp\OnboardLogs" /stypes="app*4021*20170306*" /stext=" 15:.+((SYSTEM_STATE.+slice.+state.+changed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7"/>
        <v>"%USERPROFILE%\Documents\GitHub\eaglep3\Utilities\RefineRTDCRunTimes.py" --tripid 128-06 --locoid 4021 --swversion DE.1.0.9.0 --startMP 204:232989 --initTime 2017-03-06T07:41:09 --startdatetime 2017-03-06T07:56:28 --delay 1 --endMP 204:149 --enddatetime 2017-03-06T08:41:14 --enforcementcount 0 &gt;&gt;C:\Users\stu\Documents\GitHub\eaglep3-reporting\EC\2017-03-06-refined-times.txt</v>
      </c>
      <c r="AI4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ID","value":"128-06"},{"id":16,"name":"Locomotive ID","value":"4021"},{"id":130,"name":"Impact","value":""},{"id":150,"name":"Time of Event (Mountain Time)","value":"08:41:14"},{"id":151,"name":"Denver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9"/>
        <v>start /low /b %USERPROFILE%\Documents\GitHub\eaglep3\Utilities\DownloadLogsFromS3.py --loco 4021 --day 2017-03-06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642</v>
      </c>
      <c r="B41" s="7">
        <v>4003</v>
      </c>
      <c r="C41" s="21" t="s">
        <v>245</v>
      </c>
      <c r="D41" s="21" t="s">
        <v>228</v>
      </c>
      <c r="E41" s="13">
        <v>42800.300682870373</v>
      </c>
      <c r="F41" s="13">
        <v>42800.302303240744</v>
      </c>
      <c r="G41" s="7">
        <v>1</v>
      </c>
      <c r="H41" s="21" t="s">
        <v>253</v>
      </c>
      <c r="I41" s="13">
        <v>42800.328877314816</v>
      </c>
      <c r="J41" s="7">
        <v>0</v>
      </c>
      <c r="K41" s="98" t="str">
        <f t="shared" si="0"/>
        <v>4003/4004</v>
      </c>
      <c r="L41" s="21" t="str">
        <f>VLOOKUP(A41,'Trips&amp;Operators'!$C$1:$G$99999,5,FALSE)</f>
        <v>ROBINSON KADDIBA</v>
      </c>
      <c r="M41" s="6">
        <f t="shared" si="1"/>
        <v>2.6574074072414078E-2</v>
      </c>
      <c r="N41" s="7">
        <f t="shared" si="23"/>
        <v>38.266666664276272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4"/>
        <v>https://d0f6bd738d7f1b3e5a7ca70fe4ff75f0.us-east-1.aws.found.io/app/kibana#/discover/Steve-Slow-Train-Analysis-(2080s-and-2083s)?_g=(refreshInterval:(display:Off,pause:!f,section:0,value:0),time:(from:'2017-03-06T06:12:59-0700',mode:absolute,to:'2017-03-06T08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1" s="187" t="str">
        <f t="shared" si="5"/>
        <v>N</v>
      </c>
      <c r="X41" s="187">
        <f t="shared" si="6"/>
        <v>1</v>
      </c>
      <c r="Y41" s="62">
        <f t="shared" si="7"/>
        <v>4.4600000000000001E-2</v>
      </c>
      <c r="Z41" s="62">
        <f t="shared" si="8"/>
        <v>23.328900000000001</v>
      </c>
      <c r="AA41" s="62">
        <f t="shared" si="9"/>
        <v>23.284300000000002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0129-06</v>
      </c>
      <c r="AE41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41" s="82" t="str">
        <f t="shared" si="12"/>
        <v>"C:\Program Files (x86)\AstroGrep\AstroGrep.exe" /e /r /s /spath="%USERPROFILE%\AppData\Local\Temp\OnboardLogs" /stypes="app*4003*20170306*" /stext=" 14:.+((SYSTEM_STATE.+slice.+state.+changed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7"/>
        <v>"%USERPROFILE%\Documents\GitHub\eaglep3\Utilities\RefineRTDCRunTimes.py" --tripid 129-06 --locoid 4003 --swversion DE.1.0.9.0 --startMP 204:446 --initTime 2017-03-06T07:12:59 --startdatetime 2017-03-06T07:15:19 --delay 1 --endMP 204:233289 --enddatetime 2017-03-06T07:53:35 --enforcementcount 0 &gt;&gt;C:\Users\stu\Documents\GitHub\eaglep3-reporting\EC\2017-03-06-refined-times.txt</v>
      </c>
      <c r="AI4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{"issue":{"subject":"","project_id":79,"tracker_id":40,"status_id":1,"priority_id":2,"assigned_to_id":23,"start_date":"2017-03-06","description":"","custom_fields":[{"id":1,"name":"Subdivision","value":"EC"},{"id":4,"name":"Milepost","value":"23.3289"},{"id":17,"name":"Train ID","value":"129-06"},{"id":16,"name":"Locomotive ID","value":"4003"},{"id":130,"name":"Impact","value":""},{"id":150,"name":"Time of Event (Mountain Time)","value":"07:53:35"},{"id":151,"name":"Denver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9"/>
        <v>start /low /b %USERPROFILE%\Documents\GitHub\eaglep3\Utilities\DownloadLogsFromS3.py --loco 4003 --day 2017-03-06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651</v>
      </c>
      <c r="B42" s="7">
        <v>4004</v>
      </c>
      <c r="C42" s="21" t="s">
        <v>245</v>
      </c>
      <c r="D42" s="21" t="s">
        <v>311</v>
      </c>
      <c r="E42" s="13">
        <v>42800.335370370369</v>
      </c>
      <c r="F42" s="13">
        <v>42800.341122685182</v>
      </c>
      <c r="G42" s="7">
        <v>1</v>
      </c>
      <c r="H42" s="21" t="s">
        <v>184</v>
      </c>
      <c r="I42" s="13">
        <v>42800.371412037035</v>
      </c>
      <c r="J42" s="7">
        <v>0</v>
      </c>
      <c r="K42" s="98" t="str">
        <f t="shared" si="0"/>
        <v>4003/4004</v>
      </c>
      <c r="L42" s="21" t="str">
        <f>VLOOKUP(A42,'Trips&amp;Operators'!$C$1:$G$99999,5,FALSE)</f>
        <v>ROBINSON KADDIBA</v>
      </c>
      <c r="M42" s="6">
        <f t="shared" si="1"/>
        <v>3.0289351852843538E-2</v>
      </c>
      <c r="N42" s="7">
        <f t="shared" si="23"/>
        <v>43.616666668094695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4"/>
        <v>https://d0f6bd738d7f1b3e5a7ca70fe4ff75f0.us-east-1.aws.found.io/app/kibana#/discover/Steve-Slow-Train-Analysis-(2080s-and-2083s)?_g=(refreshInterval:(display:Off,pause:!f,section:0,value:0),time:(from:'2017-03-06T07:02:56-0700',mode:absolute,to:'2017-03-06T09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2" s="187" t="str">
        <f t="shared" si="5"/>
        <v>N</v>
      </c>
      <c r="X42" s="187">
        <f t="shared" si="6"/>
        <v>1</v>
      </c>
      <c r="Y42" s="62">
        <f t="shared" si="7"/>
        <v>23.297799999999999</v>
      </c>
      <c r="Z42" s="62">
        <f t="shared" si="8"/>
        <v>1.49E-2</v>
      </c>
      <c r="AA42" s="62">
        <f t="shared" si="9"/>
        <v>23.282899999999998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0130-06</v>
      </c>
      <c r="AE42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42" s="82" t="str">
        <f t="shared" si="12"/>
        <v>"C:\Program Files (x86)\AstroGrep\AstroGrep.exe" /e /r /s /spath="%USERPROFILE%\AppData\Local\Temp\OnboardLogs" /stypes="app*4004*20170306*" /stext=" 15:.+((SYSTEM_STATE.+slice.+state.+changed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7"/>
        <v>"%USERPROFILE%\Documents\GitHub\eaglep3\Utilities\RefineRTDCRunTimes.py" --tripid 130-06 --locoid 4004 --swversion DE.1.0.9.0 --startMP 204:232978 --initTime 2017-03-06T08:02:56 --startdatetime 2017-03-06T08:11:13 --delay 1 --endMP 204:149 --enddatetime 2017-03-06T08:54:50 --enforcementcount 0 &gt;&gt;C:\Users\stu\Documents\GitHub\eaglep3-reporting\EC\2017-03-06-refined-times.txt</v>
      </c>
      <c r="AI4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ID","value":"130-06"},{"id":16,"name":"Locomotive ID","value":"4004"},{"id":130,"name":"Impact","value":""},{"id":150,"name":"Time of Event (Mountain Time)","value":"08:54:50"},{"id":151,"name":"Denver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9"/>
        <v>start /low /b %USERPROFILE%\Documents\GitHub\eaglep3\Utilities\DownloadLogsFromS3.py --loco 4004 --day 2017-03-06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645</v>
      </c>
      <c r="B43" s="7">
        <v>4046</v>
      </c>
      <c r="C43" s="21" t="s">
        <v>245</v>
      </c>
      <c r="D43" s="21" t="s">
        <v>312</v>
      </c>
      <c r="E43" s="13">
        <v>42800.312152777777</v>
      </c>
      <c r="F43" s="13">
        <v>42800.313692129632</v>
      </c>
      <c r="G43" s="7">
        <v>1</v>
      </c>
      <c r="H43" s="21" t="s">
        <v>236</v>
      </c>
      <c r="I43" s="13">
        <v>42800.340636574074</v>
      </c>
      <c r="J43" s="7">
        <v>0</v>
      </c>
      <c r="K43" s="98" t="str">
        <f t="shared" si="0"/>
        <v>4045/4046</v>
      </c>
      <c r="L43" s="21" t="str">
        <f>VLOOKUP(A43,'Trips&amp;Operators'!$C$1:$G$99999,5,FALSE)</f>
        <v>MAELZER KURT</v>
      </c>
      <c r="M43" s="6">
        <f t="shared" si="1"/>
        <v>2.6944444442051463E-2</v>
      </c>
      <c r="N43" s="7">
        <f t="shared" si="23"/>
        <v>38.799999996554106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4"/>
        <v>https://d0f6bd738d7f1b3e5a7ca70fe4ff75f0.us-east-1.aws.found.io/app/kibana#/discover/Steve-Slow-Train-Analysis-(2080s-and-2083s)?_g=(refreshInterval:(display:Off,pause:!f,section:0,value:0),time:(from:'2017-03-06T06:29:30-0700',mode:absolute,to:'2017-03-06T09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3" s="187" t="str">
        <f t="shared" si="5"/>
        <v>N</v>
      </c>
      <c r="X43" s="187">
        <f t="shared" si="6"/>
        <v>1</v>
      </c>
      <c r="Y43" s="62">
        <f t="shared" si="7"/>
        <v>4.6899999999999997E-2</v>
      </c>
      <c r="Z43" s="62">
        <f t="shared" si="8"/>
        <v>23.331</v>
      </c>
      <c r="AA43" s="62">
        <f t="shared" si="9"/>
        <v>23.284099999999999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0131-06</v>
      </c>
      <c r="AE43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43" s="82" t="str">
        <f t="shared" si="12"/>
        <v>"C:\Program Files (x86)\AstroGrep\AstroGrep.exe" /e /r /s /spath="%USERPROFILE%\AppData\Local\Temp\OnboardLogs" /stypes="app*4046*20170306*" /stext=" 15:.+((SYSTEM_STATE.+slice.+state.+changed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7"/>
        <v>"%USERPROFILE%\Documents\GitHub\eaglep3\Utilities\RefineRTDCRunTimes.py" --tripid 131-06 --locoid 4046 --swversion DE.1.0.9.0 --startMP 204:469 --initTime 2017-03-06T07:29:30 --startdatetime 2017-03-06T07:31:43 --delay 1 --endMP 204:233310 --enddatetime 2017-03-06T08:10:31 --enforcementcount 0 &gt;&gt;C:\Users\stu\Documents\GitHub\eaglep3-reporting\EC\2017-03-06-refined-times.txt</v>
      </c>
      <c r="AI4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{"issue":{"subject":"","project_id":79,"tracker_id":40,"status_id":1,"priority_id":2,"assigned_to_id":23,"start_date":"2017-03-06","description":"","custom_fields":[{"id":1,"name":"Subdivision","value":"EC"},{"id":4,"name":"Milepost","value":"23.331"},{"id":17,"name":"Train ID","value":"131-06"},{"id":16,"name":"Locomotive ID","value":"4046"},{"id":130,"name":"Impact","value":""},{"id":150,"name":"Time of Event (Mountain Time)","value":"08:10:31"},{"id":151,"name":"Denver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9"/>
        <v>start /low /b %USERPROFILE%\Documents\GitHub\eaglep3\Utilities\DownloadLogsFromS3.py --loco 4046 --day 2017-03-06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654</v>
      </c>
      <c r="B44" s="7">
        <v>4045</v>
      </c>
      <c r="C44" s="21" t="s">
        <v>245</v>
      </c>
      <c r="D44" s="21" t="s">
        <v>296</v>
      </c>
      <c r="E44" s="13">
        <v>42800.34847222222</v>
      </c>
      <c r="F44" s="13">
        <v>42800.351620370369</v>
      </c>
      <c r="G44" s="7">
        <v>1</v>
      </c>
      <c r="H44" s="21" t="s">
        <v>998</v>
      </c>
      <c r="I44" s="13">
        <v>42800.382372685184</v>
      </c>
      <c r="J44" s="7">
        <v>0</v>
      </c>
      <c r="K44" s="98" t="str">
        <f t="shared" ref="K44:K53" si="24">IF(ISEVEN(B44),(B44-1)&amp;"/"&amp;B44,B44&amp;"/"&amp;(B44+1))</f>
        <v>4045/4046</v>
      </c>
      <c r="L44" s="21" t="str">
        <f>VLOOKUP(A44,'Trips&amp;Operators'!$C$1:$G$99999,5,FALSE)</f>
        <v>MAELZER KURT</v>
      </c>
      <c r="M44" s="6">
        <f t="shared" ref="M44:M53" si="25">I44-F44</f>
        <v>3.0752314814890269E-2</v>
      </c>
      <c r="N44" s="7">
        <f t="shared" ref="N44:N53" si="26">24*60*SUM($M44:$M44)</f>
        <v>44.283333333441988</v>
      </c>
      <c r="O44" s="7"/>
      <c r="P44" s="7"/>
      <c r="Q44" s="22"/>
      <c r="R44" s="22"/>
      <c r="S44" s="31">
        <f t="shared" ref="S44:S53" si="27">SUM(U44:U44)/IF(AG44="EC",12,1)</f>
        <v>1</v>
      </c>
      <c r="T44" s="46" t="str">
        <f t="shared" ref="T44:T53" si="28">IF(ISEVEN(LEFT(AD44,4)),"Southbound","NorthBound")</f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4"/>
        <v>https://d0f6bd738d7f1b3e5a7ca70fe4ff75f0.us-east-1.aws.found.io/app/kibana#/discover/Steve-Slow-Train-Analysis-(2080s-and-2083s)?_g=(refreshInterval:(display:Off,pause:!f,section:0,value:0),time:(from:'2017-03-06T07:21:48-0700',mode:absolute,to:'2017-03-06T10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4" s="187" t="str">
        <f t="shared" ref="W44:W53" si="29">IF(AA44&lt;IF(AG44="EC",23,5.65),"Y","N")</f>
        <v>N</v>
      </c>
      <c r="X44" s="187">
        <f t="shared" ref="X44:X56" si="30">VALUE(LEFT(AD44,4))-VALUE(LEFT(AD43,4))</f>
        <v>1</v>
      </c>
      <c r="Y44" s="62">
        <f t="shared" ref="Y44:Y53" si="31">RIGHT(D44,LEN(D44)-4)/10000</f>
        <v>23.299099999999999</v>
      </c>
      <c r="Z44" s="62">
        <f t="shared" ref="Z44:Z53" si="32">RIGHT(H44,LEN(H44)-4)/10000</f>
        <v>1.3599999999999999E-2</v>
      </c>
      <c r="AA44" s="62">
        <f t="shared" ref="AA44:AA53" si="33">ABS(Z44-Y44)</f>
        <v>23.285499999999999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ref="AD44:AD53" si="34">IF(LEN(A44)=6,"0"&amp;A44,A44)</f>
        <v>0132-06</v>
      </c>
      <c r="AE44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44" s="82" t="str">
        <f t="shared" si="12"/>
        <v>"C:\Program Files (x86)\AstroGrep\AstroGrep.exe" /e /r /s /spath="%USERPROFILE%\AppData\Local\Temp\OnboardLogs" /stypes="app*4045*20170306*" /stext=" 16:.+((SYSTEM_STATE.+slice.+state.+changed )|(ment ac)|(multiple cpu faults)|(system.+state.+changed )|(\[timeout)|(PRM\|1\|D)|(kpr)|(kdp)|(\|lc)|(penalty))"</v>
      </c>
      <c r="AG44" s="1" t="str">
        <f t="shared" ref="AG44:AG53" si="35">IFERROR(IF(VALUE(LEFT(AD44,2))&lt;=2,"EC",IF(OR(VALUE(LEFT(AD44,2))=8,VALUE(LEFT(AD44,2))=18),"NW","Other")),"Other")</f>
        <v>EC</v>
      </c>
      <c r="AH44" s="86" t="str">
        <f t="shared" ref="AH44:AH53" si="36"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132-06 --locoid 4045 --swversion DE.1.0.9.0 --startMP 204:232991 --initTime 2017-03-06T08:21:48 --startdatetime 2017-03-06T08:26:20 --delay 1 --endMP 204:136 --enddatetime 2017-03-06T09:10:37 --enforcementcount 0 &gt;&gt;C:\Users\stu\Documents\GitHub\eaglep3-reporting\EC\2017-03-06-refined-times.txt</v>
      </c>
      <c r="AI44" s="108" t="str">
        <f t="shared" ref="AI44:AI53" si="37"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{"issue":{"subject":"","project_id":79,"tracker_id":40,"status_id":1,"priority_id":2,"assigned_to_id":23,"start_date":"2017-03-06","description":"","custom_fields":[{"id":1,"name":"Subdivision","value":"EC"},{"id":4,"name":"Milepost","value":"0.0136"},{"id":17,"name":"Train ID","value":"132-06"},{"id":16,"name":"Locomotive ID","value":"4045"},{"id":130,"name":"Impact","value":""},{"id":150,"name":"Time of Event (Mountain Time)","value":"09:10:37"},{"id":151,"name":"Denver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ref="AM44:AM53" si="38">"start /low /b "&amp;dls3logs&amp;" --loco "&amp;B44&amp;" --day "&amp;TEXT(F44,"YYYY-MM-DD")</f>
        <v>start /low /b %USERPROFILE%\Documents\GitHub\eaglep3\Utilities\DownloadLogsFromS3.py --loco 4045 --day 2017-03-06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</row>
    <row r="45" spans="1:91" s="1" customFormat="1" x14ac:dyDescent="0.25">
      <c r="A45" s="33" t="s">
        <v>648</v>
      </c>
      <c r="B45" s="7">
        <v>4020</v>
      </c>
      <c r="C45" s="21" t="s">
        <v>245</v>
      </c>
      <c r="D45" s="21" t="s">
        <v>219</v>
      </c>
      <c r="E45" s="13">
        <v>42800.32471064815</v>
      </c>
      <c r="F45" s="13">
        <v>42800.32613425926</v>
      </c>
      <c r="G45" s="7">
        <v>1</v>
      </c>
      <c r="H45" s="21" t="s">
        <v>252</v>
      </c>
      <c r="I45" s="13">
        <v>42800.355694444443</v>
      </c>
      <c r="J45" s="7">
        <v>0</v>
      </c>
      <c r="K45" s="98" t="str">
        <f t="shared" si="24"/>
        <v>4019/4020</v>
      </c>
      <c r="L45" s="21" t="str">
        <f>VLOOKUP(A45,'Trips&amp;Operators'!$C$1:$G$99999,5,FALSE)</f>
        <v>STARKS ANGELINA</v>
      </c>
      <c r="M45" s="6">
        <f t="shared" si="25"/>
        <v>2.9560185183072463E-2</v>
      </c>
      <c r="N45" s="7">
        <f t="shared" si="26"/>
        <v>42.566666663624346</v>
      </c>
      <c r="O45" s="7"/>
      <c r="P45" s="7"/>
      <c r="Q45" s="22"/>
      <c r="R45" s="22"/>
      <c r="S45" s="31">
        <f t="shared" si="27"/>
        <v>1</v>
      </c>
      <c r="T45" s="46" t="str">
        <f t="shared" si="28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4"/>
        <v>https://d0f6bd738d7f1b3e5a7ca70fe4ff75f0.us-east-1.aws.found.io/app/kibana#/discover/Steve-Slow-Train-Analysis-(2080s-and-2083s)?_g=(refreshInterval:(display:Off,pause:!f,section:0,value:0),time:(from:'2017-03-06T06:47:35-0700',mode:absolute,to:'2017-03-06T09:32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87" t="str">
        <f t="shared" si="29"/>
        <v>N</v>
      </c>
      <c r="X45" s="187">
        <f t="shared" si="30"/>
        <v>1</v>
      </c>
      <c r="Y45" s="62">
        <f t="shared" si="31"/>
        <v>4.5699999999999998E-2</v>
      </c>
      <c r="Z45" s="62">
        <f t="shared" si="32"/>
        <v>23.329699999999999</v>
      </c>
      <c r="AA45" s="62">
        <f t="shared" si="33"/>
        <v>23.283999999999999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34"/>
        <v>0133-06</v>
      </c>
      <c r="AE45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45" s="82" t="str">
        <f t="shared" si="12"/>
        <v>"C:\Program Files (x86)\AstroGrep\AstroGrep.exe" /e /r /s /spath="%USERPROFILE%\AppData\Local\Temp\OnboardLogs" /stypes="app*4020*20170306*" /stext=" 15:.+((SYSTEM_STATE.+slice.+state.+changed )|(ment ac)|(multiple cpu faults)|(system.+state.+changed )|(\[timeout)|(PRM\|1\|D)|(kpr)|(kdp)|(\|lc)|(penalty))"</v>
      </c>
      <c r="AG45" s="1" t="str">
        <f t="shared" si="35"/>
        <v>EC</v>
      </c>
      <c r="AH45" s="86" t="str">
        <f t="shared" si="36"/>
        <v>"%USERPROFILE%\Documents\GitHub\eaglep3\Utilities\RefineRTDCRunTimes.py" --tripid 133-06 --locoid 4020 --swversion DE.1.0.9.0 --startMP 204:457 --initTime 2017-03-06T07:47:35 --startdatetime 2017-03-06T07:49:38 --delay 1 --endMP 204:233297 --enddatetime 2017-03-06T08:32:12 --enforcementcount 0 &gt;&gt;C:\Users\stu\Documents\GitHub\eaglep3-reporting\EC\2017-03-06-refined-times.txt</v>
      </c>
      <c r="AI45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ID","value":"133-06"},{"id":16,"name":"Locomotive ID","value":"4020"},{"id":130,"name":"Impact","value":""},{"id":150,"name":"Time of Event (Mountain Time)","value":"08:32:12"},{"id":151,"name":"Denver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38"/>
        <v>start /low /b %USERPROFILE%\Documents\GitHub\eaglep3\Utilities\DownloadLogsFromS3.py --loco 4020 --day 2017-03-06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</row>
    <row r="46" spans="1:91" s="1" customFormat="1" x14ac:dyDescent="0.25">
      <c r="A46" s="33" t="s">
        <v>657</v>
      </c>
      <c r="B46" s="7">
        <v>4019</v>
      </c>
      <c r="C46" s="21" t="s">
        <v>245</v>
      </c>
      <c r="D46" s="21" t="s">
        <v>298</v>
      </c>
      <c r="E46" s="13">
        <v>42800.358541666668</v>
      </c>
      <c r="F46" s="13">
        <v>42800.361979166664</v>
      </c>
      <c r="G46" s="7">
        <v>2</v>
      </c>
      <c r="H46" s="21" t="s">
        <v>230</v>
      </c>
      <c r="I46" s="13">
        <v>42800.390451388892</v>
      </c>
      <c r="J46" s="7">
        <v>0</v>
      </c>
      <c r="K46" s="98" t="str">
        <f t="shared" si="24"/>
        <v>4019/4020</v>
      </c>
      <c r="L46" s="21" t="str">
        <f>VLOOKUP(A46,'Trips&amp;Operators'!$C$1:$G$99999,5,FALSE)</f>
        <v>STARKS ANGELINA</v>
      </c>
      <c r="M46" s="6">
        <f t="shared" si="25"/>
        <v>2.8472222227719612E-2</v>
      </c>
      <c r="N46" s="7">
        <f t="shared" si="26"/>
        <v>41.000000007916242</v>
      </c>
      <c r="O46" s="7"/>
      <c r="P46" s="7"/>
      <c r="Q46" s="22"/>
      <c r="R46" s="22"/>
      <c r="S46" s="31">
        <f t="shared" si="27"/>
        <v>1</v>
      </c>
      <c r="T46" s="46" t="str">
        <f t="shared" si="28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4"/>
        <v>https://d0f6bd738d7f1b3e5a7ca70fe4ff75f0.us-east-1.aws.found.io/app/kibana#/discover/Steve-Slow-Train-Analysis-(2080s-and-2083s)?_g=(refreshInterval:(display:Off,pause:!f,section:0,value:0),time:(from:'2017-03-06T07:36:18-0700',mode:absolute,to:'2017-03-06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87" t="str">
        <f t="shared" si="29"/>
        <v>N</v>
      </c>
      <c r="X46" s="187">
        <f t="shared" si="30"/>
        <v>1</v>
      </c>
      <c r="Y46" s="62">
        <f t="shared" si="31"/>
        <v>23.2971</v>
      </c>
      <c r="Z46" s="62">
        <f t="shared" si="32"/>
        <v>1.3899999999999999E-2</v>
      </c>
      <c r="AA46" s="62">
        <f t="shared" si="33"/>
        <v>23.283200000000001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34"/>
        <v>0134-06</v>
      </c>
      <c r="AE46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46" s="82" t="str">
        <f t="shared" si="12"/>
        <v>"C:\Program Files (x86)\AstroGrep\AstroGrep.exe" /e /r /s /spath="%USERPROFILE%\AppData\Local\Temp\OnboardLogs" /stypes="app*4019*20170306*" /stext=" 16:.+((SYSTEM_STATE.+slice.+state.+changed )|(ment ac)|(multiple cpu faults)|(system.+state.+changed )|(\[timeout)|(PRM\|1\|D)|(kpr)|(kdp)|(\|lc)|(penalty))"</v>
      </c>
      <c r="AG46" s="1" t="str">
        <f t="shared" si="35"/>
        <v>EC</v>
      </c>
      <c r="AH46" s="86" t="str">
        <f t="shared" si="36"/>
        <v>"%USERPROFILE%\Documents\GitHub\eaglep3\Utilities\RefineRTDCRunTimes.py" --tripid 134-06 --locoid 4019 --swversion DE.1.0.9.0 --startMP 204:232971 --initTime 2017-03-06T08:36:18 --startdatetime 2017-03-06T08:41:15 --delay 2 --endMP 204:139 --enddatetime 2017-03-06T09:22:15 --enforcementcount 0 &gt;&gt;C:\Users\stu\Documents\GitHub\eaglep3-reporting\EC\2017-03-06-refined-times.txt</v>
      </c>
      <c r="AI46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{"issue":{"subject":"","project_id":79,"tracker_id":40,"status_id":1,"priority_id":2,"assigned_to_id":23,"start_date":"2017-03-06","description":"","custom_fields":[{"id":1,"name":"Subdivision","value":"EC"},{"id":4,"name":"Milepost","value":"0.0139"},{"id":17,"name":"Train ID","value":"134-06"},{"id":16,"name":"Locomotive ID","value":"4019"},{"id":130,"name":"Impact","value":""},{"id":150,"name":"Time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38"/>
        <v>start /low /b %USERPROFILE%\Documents\GitHub\eaglep3\Utilities\DownloadLogsFromS3.py --loco 4019 --day 2017-03-06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</row>
    <row r="47" spans="1:91" s="1" customFormat="1" x14ac:dyDescent="0.25">
      <c r="A47" s="33" t="s">
        <v>650</v>
      </c>
      <c r="B47" s="7">
        <v>4009</v>
      </c>
      <c r="C47" s="21" t="s">
        <v>245</v>
      </c>
      <c r="D47" s="21" t="s">
        <v>239</v>
      </c>
      <c r="E47" s="13">
        <v>42800.331678240742</v>
      </c>
      <c r="F47" s="13">
        <v>42800.333715277775</v>
      </c>
      <c r="G47" s="7">
        <v>1</v>
      </c>
      <c r="H47" s="21" t="s">
        <v>478</v>
      </c>
      <c r="I47" s="13">
        <v>42800.360648148147</v>
      </c>
      <c r="J47" s="7">
        <v>0</v>
      </c>
      <c r="K47" s="98" t="str">
        <f t="shared" si="24"/>
        <v>4009/4010</v>
      </c>
      <c r="L47" s="21" t="str">
        <f>VLOOKUP(A47,'Trips&amp;Operators'!$C$1:$G$99999,5,FALSE)</f>
        <v>BONDS REYNALDO</v>
      </c>
      <c r="M47" s="6">
        <f t="shared" si="25"/>
        <v>2.6932870372547768E-2</v>
      </c>
      <c r="N47" s="7">
        <f t="shared" si="26"/>
        <v>38.783333336468786</v>
      </c>
      <c r="O47" s="7"/>
      <c r="P47" s="7"/>
      <c r="Q47" s="22"/>
      <c r="R47" s="22"/>
      <c r="S47" s="31">
        <f t="shared" si="27"/>
        <v>1</v>
      </c>
      <c r="T47" s="46" t="str">
        <f t="shared" si="28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4"/>
        <v>https://d0f6bd738d7f1b3e5a7ca70fe4ff75f0.us-east-1.aws.found.io/app/kibana#/discover/Steve-Slow-Train-Analysis-(2080s-and-2083s)?_g=(refreshInterval:(display:Off,pause:!f,section:0,value:0),time:(from:'2017-03-06T06:57:37-0700',mode:absolute,to:'2017-03-06T09:39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7" s="187" t="str">
        <f t="shared" si="29"/>
        <v>N</v>
      </c>
      <c r="X47" s="187">
        <f t="shared" si="30"/>
        <v>1</v>
      </c>
      <c r="Y47" s="62">
        <f t="shared" si="31"/>
        <v>4.4699999999999997E-2</v>
      </c>
      <c r="Z47" s="62">
        <f t="shared" si="32"/>
        <v>23.332100000000001</v>
      </c>
      <c r="AA47" s="62">
        <f t="shared" si="33"/>
        <v>23.287400000000002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34"/>
        <v>0135-06</v>
      </c>
      <c r="AE47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47" s="82" t="str">
        <f t="shared" si="12"/>
        <v>"C:\Program Files (x86)\AstroGrep\AstroGrep.exe" /e /r /s /spath="%USERPROFILE%\AppData\Local\Temp\OnboardLogs" /stypes="app*4009*20170306*" /stext=" 15:.+((SYSTEM_STATE.+slice.+state.+changed )|(ment ac)|(multiple cpu faults)|(system.+state.+changed )|(\[timeout)|(PRM\|1\|D)|(kpr)|(kdp)|(\|lc)|(penalty))"</v>
      </c>
      <c r="AG47" s="1" t="str">
        <f t="shared" si="35"/>
        <v>EC</v>
      </c>
      <c r="AH47" s="86" t="str">
        <f t="shared" si="36"/>
        <v>"%USERPROFILE%\Documents\GitHub\eaglep3\Utilities\RefineRTDCRunTimes.py" --tripid 135-06 --locoid 4009 --swversion DE.1.0.9.0 --startMP 204:447 --initTime 2017-03-06T07:57:37 --startdatetime 2017-03-06T08:00:33 --delay 1 --endMP 204:233321 --enddatetime 2017-03-06T08:39:20 --enforcementcount 0 &gt;&gt;C:\Users\stu\Documents\GitHub\eaglep3-reporting\EC\2017-03-06-refined-times.txt</v>
      </c>
      <c r="AI47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{"issue":{"subject":"","project_id":79,"tracker_id":40,"status_id":1,"priority_id":2,"assigned_to_id":23,"start_date":"2017-03-06","description":"","custom_fields":[{"id":1,"name":"Subdivision","value":"EC"},{"id":4,"name":"Milepost","value":"23.3321"},{"id":17,"name":"Train ID","value":"135-06"},{"id":16,"name":"Locomotive ID","value":"4009"},{"id":130,"name":"Impact","value":""},{"id":150,"name":"Time of Event (Mountain Time)","value":"08:39:20"},{"id":151,"name":"Denver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38"/>
        <v>start /low /b %USERPROFILE%\Documents\GitHub\eaglep3\Utilities\DownloadLogsFromS3.py --loco 4009 --day 2017-03-06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</row>
    <row r="48" spans="1:91" s="1" customFormat="1" x14ac:dyDescent="0.25">
      <c r="A48" s="33" t="s">
        <v>659</v>
      </c>
      <c r="B48" s="7">
        <v>4010</v>
      </c>
      <c r="C48" s="21" t="s">
        <v>245</v>
      </c>
      <c r="D48" s="21" t="s">
        <v>318</v>
      </c>
      <c r="E48" s="13">
        <v>42800.367430555554</v>
      </c>
      <c r="F48" s="13">
        <v>42800.372395833336</v>
      </c>
      <c r="G48" s="7">
        <v>1</v>
      </c>
      <c r="H48" s="21" t="s">
        <v>845</v>
      </c>
      <c r="I48" s="13">
        <v>42800.401006944441</v>
      </c>
      <c r="J48" s="7">
        <v>0</v>
      </c>
      <c r="K48" s="98" t="str">
        <f t="shared" si="24"/>
        <v>4009/4010</v>
      </c>
      <c r="L48" s="21" t="str">
        <f>VLOOKUP(A48,'Trips&amp;Operators'!$C$1:$G$99999,5,FALSE)</f>
        <v>BONDS REYNALDO</v>
      </c>
      <c r="M48" s="6">
        <f t="shared" si="25"/>
        <v>2.8611111105419695E-2</v>
      </c>
      <c r="N48" s="7">
        <f t="shared" si="26"/>
        <v>41.199999991804361</v>
      </c>
      <c r="O48" s="7"/>
      <c r="P48" s="7"/>
      <c r="Q48" s="22"/>
      <c r="R48" s="22"/>
      <c r="S48" s="31">
        <f t="shared" si="27"/>
        <v>1</v>
      </c>
      <c r="T48" s="46" t="str">
        <f t="shared" si="28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4"/>
        <v>https://d0f6bd738d7f1b3e5a7ca70fe4ff75f0.us-east-1.aws.found.io/app/kibana#/discover/Steve-Slow-Train-Analysis-(2080s-and-2083s)?_g=(refreshInterval:(display:Off,pause:!f,section:0,value:0),time:(from:'2017-03-06T07:49:06-0700',mode:absolute,to:'2017-03-06T10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187" t="str">
        <f t="shared" si="29"/>
        <v>N</v>
      </c>
      <c r="X48" s="187">
        <f t="shared" si="30"/>
        <v>1</v>
      </c>
      <c r="Y48" s="62">
        <f t="shared" si="31"/>
        <v>23.300599999999999</v>
      </c>
      <c r="Z48" s="62">
        <f t="shared" si="32"/>
        <v>1.6299999999999999E-2</v>
      </c>
      <c r="AA48" s="62">
        <f t="shared" si="33"/>
        <v>23.284299999999998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34"/>
        <v>0136-06</v>
      </c>
      <c r="AE48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48" s="82" t="str">
        <f t="shared" si="12"/>
        <v>"C:\Program Files (x86)\AstroGrep\AstroGrep.exe" /e /r /s /spath="%USERPROFILE%\AppData\Local\Temp\OnboardLogs" /stypes="app*4010*20170306*" /stext=" 16:.+((SYSTEM_STATE.+slice.+state.+changed )|(ment ac)|(multiple cpu faults)|(system.+state.+changed )|(\[timeout)|(PRM\|1\|D)|(kpr)|(kdp)|(\|lc)|(penalty))"</v>
      </c>
      <c r="AG48" s="1" t="str">
        <f t="shared" si="35"/>
        <v>EC</v>
      </c>
      <c r="AH48" s="86" t="str">
        <f t="shared" si="36"/>
        <v>"%USERPROFILE%\Documents\GitHub\eaglep3\Utilities\RefineRTDCRunTimes.py" --tripid 136-06 --locoid 4010 --swversion DE.1.0.9.0 --startMP 204:233006 --initTime 2017-03-06T08:49:06 --startdatetime 2017-03-06T08:56:15 --delay 1 --endMP 204:163 --enddatetime 2017-03-06T09:37:27 --enforcementcount 0 &gt;&gt;C:\Users\stu\Documents\GitHub\eaglep3-reporting\EC\2017-03-06-refined-times.txt</v>
      </c>
      <c r="AI48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{"issue":{"subject":"","project_id":79,"tracker_id":40,"status_id":1,"priority_id":2,"assigned_to_id":23,"start_date":"2017-03-06","description":"","custom_fields":[{"id":1,"name":"Subdivision","value":"EC"},{"id":4,"name":"Milepost","value":"0.0163"},{"id":17,"name":"Train ID","value":"136-06"},{"id":16,"name":"Locomotive ID","value":"4010"},{"id":130,"name":"Impact","value":""},{"id":150,"name":"Time of Event (Mountain Time)","value":"09:37:27"},{"id":151,"name":"Denver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38"/>
        <v>start /low /b %USERPROFILE%\Documents\GitHub\eaglep3\Utilities\DownloadLogsFromS3.py --loco 4010 --day 2017-03-06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</row>
    <row r="49" spans="1:91" s="1" customFormat="1" x14ac:dyDescent="0.25">
      <c r="A49" s="33" t="s">
        <v>653</v>
      </c>
      <c r="B49" s="7">
        <v>4018</v>
      </c>
      <c r="C49" s="21" t="s">
        <v>245</v>
      </c>
      <c r="D49" s="21" t="s">
        <v>239</v>
      </c>
      <c r="E49" s="13">
        <v>42800.343807870369</v>
      </c>
      <c r="F49" s="13">
        <v>42800.346145833333</v>
      </c>
      <c r="G49" s="7">
        <v>2</v>
      </c>
      <c r="H49" s="21" t="s">
        <v>315</v>
      </c>
      <c r="I49" s="13">
        <v>42800.376226851855</v>
      </c>
      <c r="J49" s="7">
        <v>0</v>
      </c>
      <c r="K49" s="98" t="str">
        <f t="shared" si="24"/>
        <v>4017/4018</v>
      </c>
      <c r="L49" s="21" t="str">
        <f>VLOOKUP(A49,'Trips&amp;Operators'!$C$1:$G$99999,5,FALSE)</f>
        <v>SHOOK JOHN</v>
      </c>
      <c r="M49" s="6">
        <f t="shared" si="25"/>
        <v>3.0081018521741498E-2</v>
      </c>
      <c r="N49" s="7">
        <f t="shared" si="26"/>
        <v>43.316666671307757</v>
      </c>
      <c r="O49" s="7"/>
      <c r="P49" s="7"/>
      <c r="Q49" s="22"/>
      <c r="R49" s="22"/>
      <c r="S49" s="31">
        <f t="shared" si="27"/>
        <v>1</v>
      </c>
      <c r="T49" s="46" t="str">
        <f t="shared" si="28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4"/>
        <v>https://d0f6bd738d7f1b3e5a7ca70fe4ff75f0.us-east-1.aws.found.io/app/kibana#/discover/Steve-Slow-Train-Analysis-(2080s-and-2083s)?_g=(refreshInterval:(display:Off,pause:!f,section:0,value:0),time:(from:'2017-03-06T07:15:05-0700',mode:absolute,to:'2017-03-06T10:01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87" t="str">
        <f t="shared" si="29"/>
        <v>N</v>
      </c>
      <c r="X49" s="187">
        <f t="shared" si="30"/>
        <v>1</v>
      </c>
      <c r="Y49" s="62">
        <f t="shared" si="31"/>
        <v>4.4699999999999997E-2</v>
      </c>
      <c r="Z49" s="62">
        <f t="shared" si="32"/>
        <v>23.3291</v>
      </c>
      <c r="AA49" s="62">
        <f t="shared" si="33"/>
        <v>23.284400000000002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34"/>
        <v>0137-06</v>
      </c>
      <c r="AE49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49" s="82" t="str">
        <f t="shared" si="12"/>
        <v>"C:\Program Files (x86)\AstroGrep\AstroGrep.exe" /e /r /s /spath="%USERPROFILE%\AppData\Local\Temp\OnboardLogs" /stypes="app*4018*20170306*" /stext=" 16:.+((SYSTEM_STATE.+slice.+state.+changed )|(ment ac)|(multiple cpu faults)|(system.+state.+changed )|(\[timeout)|(PRM\|1\|D)|(kpr)|(kdp)|(\|lc)|(penalty))"</v>
      </c>
      <c r="AG49" s="1" t="str">
        <f t="shared" si="35"/>
        <v>EC</v>
      </c>
      <c r="AH49" s="86" t="str">
        <f t="shared" si="36"/>
        <v>"%USERPROFILE%\Documents\GitHub\eaglep3\Utilities\RefineRTDCRunTimes.py" --tripid 137-06 --locoid 4018 --swversion DE.1.0.9.0 --startMP 204:447 --initTime 2017-03-06T08:15:05 --startdatetime 2017-03-06T08:18:27 --delay 2 --endMP 204:233291 --enddatetime 2017-03-06T09:01:46 --enforcementcount 0 &gt;&gt;C:\Users\stu\Documents\GitHub\eaglep3-reporting\EC\2017-03-06-refined-times.txt</v>
      </c>
      <c r="AI49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{"issue":{"subject":"","project_id":79,"tracker_id":40,"status_id":1,"priority_id":2,"assigned_to_id":23,"start_date":"2017-03-06","description":"","custom_fields":[{"id":1,"name":"Subdivision","value":"EC"},{"id":4,"name":"Milepost","value":"23.3291"},{"id":17,"name":"Train ID","value":"137-06"},{"id":16,"name":"Locomotive ID","value":"4018"},{"id":130,"name":"Impact","value":""},{"id":150,"name":"Time of Event (Mountain Time)","value":"09:01:46"},{"id":151,"name":"Denver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38"/>
        <v>start /low /b %USERPROFILE%\Documents\GitHub\eaglep3\Utilities\DownloadLogsFromS3.py --loco 4018 --day 2017-03-06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</row>
    <row r="50" spans="1:91" s="1" customFormat="1" x14ac:dyDescent="0.25">
      <c r="A50" s="33" t="s">
        <v>661</v>
      </c>
      <c r="B50" s="7">
        <v>4017</v>
      </c>
      <c r="C50" s="21" t="s">
        <v>245</v>
      </c>
      <c r="D50" s="21" t="s">
        <v>317</v>
      </c>
      <c r="E50" s="13">
        <v>42800.379467592589</v>
      </c>
      <c r="F50" s="13">
        <v>42800.382835648146</v>
      </c>
      <c r="G50" s="7">
        <v>1</v>
      </c>
      <c r="H50" s="21" t="s">
        <v>203</v>
      </c>
      <c r="I50" s="13">
        <v>42800.412152777775</v>
      </c>
      <c r="J50" s="7">
        <v>0</v>
      </c>
      <c r="K50" s="98" t="str">
        <f t="shared" si="24"/>
        <v>4017/4018</v>
      </c>
      <c r="L50" s="21" t="str">
        <f>VLOOKUP(A50,'Trips&amp;Operators'!$C$1:$G$99999,5,FALSE)</f>
        <v>SHOOK JOHN</v>
      </c>
      <c r="M50" s="6">
        <f t="shared" si="25"/>
        <v>2.9317129628907423E-2</v>
      </c>
      <c r="N50" s="7">
        <f t="shared" si="26"/>
        <v>42.21666666562669</v>
      </c>
      <c r="O50" s="7"/>
      <c r="P50" s="7"/>
      <c r="Q50" s="22"/>
      <c r="R50" s="22"/>
      <c r="S50" s="31">
        <f t="shared" si="27"/>
        <v>1</v>
      </c>
      <c r="T50" s="46" t="str">
        <f t="shared" si="28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4"/>
        <v>https://d0f6bd738d7f1b3e5a7ca70fe4ff75f0.us-east-1.aws.found.io/app/kibana#/discover/Steve-Slow-Train-Analysis-(2080s-and-2083s)?_g=(refreshInterval:(display:Off,pause:!f,section:0,value:0),time:(from:'2017-03-06T08:06:26-0700',mode:absolute,to:'2017-03-06T10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87" t="str">
        <f t="shared" si="29"/>
        <v>N</v>
      </c>
      <c r="X50" s="187">
        <f t="shared" si="30"/>
        <v>1</v>
      </c>
      <c r="Y50" s="62">
        <f t="shared" si="31"/>
        <v>23.296700000000001</v>
      </c>
      <c r="Z50" s="62">
        <f t="shared" si="32"/>
        <v>1.52E-2</v>
      </c>
      <c r="AA50" s="62">
        <f t="shared" si="33"/>
        <v>23.281500000000001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34"/>
        <v>0138-06</v>
      </c>
      <c r="AE50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50" s="82" t="str">
        <f t="shared" si="12"/>
        <v>"C:\Program Files (x86)\AstroGrep\AstroGrep.exe" /e /r /s /spath="%USERPROFILE%\AppData\Local\Temp\OnboardLogs" /stypes="app*4017*20170306*" /stext=" 16:.+((SYSTEM_STATE.+slice.+state.+changed )|(ment ac)|(multiple cpu faults)|(system.+state.+changed )|(\[timeout)|(PRM\|1\|D)|(kpr)|(kdp)|(\|lc)|(penalty))"</v>
      </c>
      <c r="AG50" s="1" t="str">
        <f t="shared" si="35"/>
        <v>EC</v>
      </c>
      <c r="AH50" s="86" t="str">
        <f t="shared" si="36"/>
        <v>"%USERPROFILE%\Documents\GitHub\eaglep3\Utilities\RefineRTDCRunTimes.py" --tripid 138-06 --locoid 4017 --swversion DE.1.0.9.0 --startMP 204:232967 --initTime 2017-03-06T09:06:26 --startdatetime 2017-03-06T09:11:17 --delay 1 --endMP 204:152 --enddatetime 2017-03-06T09:53:30 --enforcementcount 0 &gt;&gt;C:\Users\stu\Documents\GitHub\eaglep3-reporting\EC\2017-03-06-refined-times.txt</v>
      </c>
      <c r="AI50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ID","value":"138-06"},{"id":16,"name":"Locomotive ID","value":"4017"},{"id":130,"name":"Impact","value":""},{"id":150,"name":"Time of Event (Mountain Time)","value":"09:53:30"},{"id":151,"name":"Denver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38"/>
        <v>start /low /b %USERPROFILE%\Documents\GitHub\eaglep3\Utilities\DownloadLogsFromS3.py --loco 4017 --day 2017-03-06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</row>
    <row r="51" spans="1:91" s="1" customFormat="1" x14ac:dyDescent="0.25">
      <c r="A51" s="33" t="s">
        <v>568</v>
      </c>
      <c r="B51" s="7">
        <v>4002</v>
      </c>
      <c r="C51" s="21" t="s">
        <v>245</v>
      </c>
      <c r="D51" s="21" t="s">
        <v>270</v>
      </c>
      <c r="E51" s="13">
        <v>42800.350648148145</v>
      </c>
      <c r="F51" s="13">
        <v>42800.354988425926</v>
      </c>
      <c r="G51" s="7">
        <v>1</v>
      </c>
      <c r="H51" s="21" t="s">
        <v>530</v>
      </c>
      <c r="I51" s="13">
        <v>42800.379513888889</v>
      </c>
      <c r="J51" s="7">
        <v>1</v>
      </c>
      <c r="K51" s="98" t="str">
        <f t="shared" si="24"/>
        <v>4001/4002</v>
      </c>
      <c r="L51" s="21" t="str">
        <f>VLOOKUP(A51,'Trips&amp;Operators'!$C$1:$G$99999,5,FALSE)</f>
        <v>YORK EDGAR</v>
      </c>
      <c r="M51" s="6">
        <f t="shared" si="25"/>
        <v>2.4525462962628808E-2</v>
      </c>
      <c r="N51" s="7">
        <f t="shared" si="26"/>
        <v>35.316666666185483</v>
      </c>
      <c r="O51" s="7"/>
      <c r="P51" s="7"/>
      <c r="Q51" s="22"/>
      <c r="R51" s="22"/>
      <c r="S51" s="31">
        <f t="shared" si="27"/>
        <v>1</v>
      </c>
      <c r="T51" s="46" t="str">
        <f t="shared" si="28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4"/>
        <v>https://d0f6bd738d7f1b3e5a7ca70fe4ff75f0.us-east-1.aws.found.io/app/kibana#/discover/Steve-Slow-Train-Analysis-(2080s-and-2083s)?_g=(refreshInterval:(display:Off,pause:!f,section:0,value:0),time:(from:'2017-03-06T07:24:56-0700',mode:absolute,to:'2017-03-06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87" t="str">
        <f t="shared" si="29"/>
        <v>N</v>
      </c>
      <c r="X51" s="187">
        <f t="shared" si="30"/>
        <v>1</v>
      </c>
      <c r="Y51" s="62">
        <f t="shared" si="31"/>
        <v>4.6699999999999998E-2</v>
      </c>
      <c r="Z51" s="62">
        <f t="shared" si="32"/>
        <v>23.33</v>
      </c>
      <c r="AA51" s="62">
        <f t="shared" si="33"/>
        <v>23.283299999999997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34"/>
        <v>0139-06</v>
      </c>
      <c r="AE51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51" s="82" t="str">
        <f t="shared" si="12"/>
        <v>"C:\Program Files (x86)\AstroGrep\AstroGrep.exe" /e /r /s /spath="%USERPROFILE%\AppData\Local\Temp\OnboardLogs" /stypes="app*4002*20170306*" /stext=" 16:.+((SYSTEM_STATE.+slice.+state.+changed )|(ment ac)|(multiple cpu faults)|(system.+state.+changed )|(\[timeout)|(PRM\|1\|D)|(kpr)|(kdp)|(\|lc)|(penalty))"</v>
      </c>
      <c r="AG51" s="1" t="str">
        <f t="shared" si="35"/>
        <v>EC</v>
      </c>
      <c r="AH51" s="86" t="str">
        <f t="shared" si="36"/>
        <v>"%USERPROFILE%\Documents\GitHub\eaglep3\Utilities\RefineRTDCRunTimes.py" --tripid 139-06 --locoid 4002 --swversion DE.1.0.9.0 --startMP 204:467 --initTime 2017-03-06T08:24:56 --startdatetime 2017-03-06T08:31:11 --delay 1 --endMP 204:233300 --enddatetime 2017-03-06T09:06:30 --enforcementcount 1 &gt;&gt;C:\Users\stu\Documents\GitHub\eaglep3-reporting\EC\2017-03-06-refined-times.txt</v>
      </c>
      <c r="AI51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{"issue":{"subject":"","project_id":79,"tracker_id":40,"status_id":1,"priority_id":2,"assigned_to_id":23,"start_date":"2017-03-06","description":"","custom_fields":[{"id":1,"name":"Subdivision","value":"EC"},{"id":4,"name":"Milepost","value":"23.33"},{"id":17,"name":"Train ID","value":"139-06"},{"id":16,"name":"Locomotive ID","value":"4002"},{"id":130,"name":"Impact","value":""},{"id":150,"name":"Time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38"/>
        <v>start /low /b %USERPROFILE%\Documents\GitHub\eaglep3\Utilities\DownloadLogsFromS3.py --loco 4002 --day 2017-03-06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</row>
    <row r="52" spans="1:91" s="1" customFormat="1" x14ac:dyDescent="0.25">
      <c r="A52" s="33" t="s">
        <v>570</v>
      </c>
      <c r="B52" s="7">
        <v>4001</v>
      </c>
      <c r="C52" s="21" t="s">
        <v>245</v>
      </c>
      <c r="D52" s="21" t="s">
        <v>269</v>
      </c>
      <c r="E52" s="13">
        <v>42800.380671296298</v>
      </c>
      <c r="F52" s="13">
        <v>42800.393391203703</v>
      </c>
      <c r="G52" s="7">
        <v>4</v>
      </c>
      <c r="H52" s="21" t="s">
        <v>209</v>
      </c>
      <c r="I52" s="13">
        <v>42800.4221412037</v>
      </c>
      <c r="J52" s="7">
        <v>1</v>
      </c>
      <c r="K52" s="98" t="str">
        <f t="shared" si="24"/>
        <v>4001/4002</v>
      </c>
      <c r="L52" s="21" t="str">
        <f>VLOOKUP(A52,'Trips&amp;Operators'!$C$1:$G$99999,5,FALSE)</f>
        <v>YORK EDGAR</v>
      </c>
      <c r="M52" s="6">
        <f t="shared" si="25"/>
        <v>2.8749999997671694E-2</v>
      </c>
      <c r="N52" s="7">
        <f t="shared" si="26"/>
        <v>41.399999996647239</v>
      </c>
      <c r="O52" s="7"/>
      <c r="P52" s="7"/>
      <c r="Q52" s="22"/>
      <c r="R52" s="22"/>
      <c r="S52" s="31">
        <f t="shared" si="27"/>
        <v>1</v>
      </c>
      <c r="T52" s="46" t="str">
        <f t="shared" si="28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4"/>
        <v>https://d0f6bd738d7f1b3e5a7ca70fe4ff75f0.us-east-1.aws.found.io/app/kibana#/discover/Steve-Slow-Train-Analysis-(2080s-and-2083s)?_g=(refreshInterval:(display:Off,pause:!f,section:0,value:0),time:(from:'2017-03-06T08:08:10-0700',mode:absolute,to:'2017-03-06T11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87" t="str">
        <f t="shared" si="29"/>
        <v>N</v>
      </c>
      <c r="X52" s="187">
        <f t="shared" si="30"/>
        <v>1</v>
      </c>
      <c r="Y52" s="62">
        <f t="shared" si="31"/>
        <v>23.297699999999999</v>
      </c>
      <c r="Z52" s="62">
        <f t="shared" si="32"/>
        <v>1.54E-2</v>
      </c>
      <c r="AA52" s="62">
        <f t="shared" si="33"/>
        <v>23.282299999999999</v>
      </c>
      <c r="AB52" s="59" t="str">
        <f>VLOOKUP(A52,Enforcements!$C$7:$K$13,8,0)</f>
        <v>Bulletin (2)</v>
      </c>
      <c r="AC52" s="55" t="str">
        <f>VLOOKUP(A52,Enforcements!$C$7:$E$13,3,0)</f>
        <v>GRADE CROSSING</v>
      </c>
      <c r="AD52" s="56" t="str">
        <f t="shared" si="34"/>
        <v>0140-06</v>
      </c>
      <c r="AE52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52" s="82" t="str">
        <f t="shared" si="12"/>
        <v>"C:\Program Files (x86)\AstroGrep\AstroGrep.exe" /e /r /s /spath="%USERPROFILE%\AppData\Local\Temp\OnboardLogs" /stypes="app*4001*20170306*" /stext=" 17:.+((SYSTEM_STATE.+slice.+state.+changed )|(ment ac)|(multiple cpu faults)|(system.+state.+changed )|(\[timeout)|(PRM\|1\|D)|(kpr)|(kdp)|(\|lc)|(penalty))"</v>
      </c>
      <c r="AG52" s="1" t="str">
        <f t="shared" si="35"/>
        <v>EC</v>
      </c>
      <c r="AH52" s="86" t="str">
        <f t="shared" si="36"/>
        <v>"%USERPROFILE%\Documents\GitHub\eaglep3\Utilities\RefineRTDCRunTimes.py" --tripid 140-06 --locoid 4001 --swversion DE.1.0.9.0 --startMP 204:232977 --initTime 2017-03-06T09:08:10 --startdatetime 2017-03-06T09:26:29 --delay 4 --endMP 204:154 --enddatetime 2017-03-06T10:07:53 --enforcementcount 1 &gt;&gt;C:\Users\stu\Documents\GitHub\eaglep3-reporting\EC\2017-03-06-refined-times.txt</v>
      </c>
      <c r="AI52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ID","value":"140-06"},{"id":16,"name":"Locomotive ID","value":"4001"},{"id":130,"name":"Impact","value":""},{"id":150,"name":"Time of Event (Mountain Time)","value":"10:07:53"},{"id":151,"name":"Denver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38"/>
        <v>start /low /b %USERPROFILE%\Documents\GitHub\eaglep3\Utilities\DownloadLogsFromS3.py --loco 4001 --day 2017-03-06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</row>
    <row r="53" spans="1:91" s="1" customFormat="1" x14ac:dyDescent="0.25">
      <c r="A53" s="33" t="s">
        <v>658</v>
      </c>
      <c r="B53" s="7">
        <v>4022</v>
      </c>
      <c r="C53" s="21" t="s">
        <v>245</v>
      </c>
      <c r="D53" s="21" t="s">
        <v>529</v>
      </c>
      <c r="E53" s="13">
        <v>42800.36314814815</v>
      </c>
      <c r="F53" s="13">
        <v>42800.364849537036</v>
      </c>
      <c r="G53" s="7">
        <v>1</v>
      </c>
      <c r="H53" s="21" t="s">
        <v>252</v>
      </c>
      <c r="I53" s="13">
        <v>42800.389641203707</v>
      </c>
      <c r="J53" s="7">
        <v>0</v>
      </c>
      <c r="K53" s="98" t="str">
        <f t="shared" si="24"/>
        <v>4021/4022</v>
      </c>
      <c r="L53" s="21" t="str">
        <f>VLOOKUP(A53,'Trips&amp;Operators'!$C$1:$G$99999,5,FALSE)</f>
        <v>SANTIZO D. EDY</v>
      </c>
      <c r="M53" s="6">
        <f t="shared" si="25"/>
        <v>2.4791666670353152E-2</v>
      </c>
      <c r="N53" s="7">
        <f t="shared" si="26"/>
        <v>35.700000005308539</v>
      </c>
      <c r="O53" s="7"/>
      <c r="P53" s="7"/>
      <c r="Q53" s="22"/>
      <c r="R53" s="22"/>
      <c r="S53" s="31">
        <f t="shared" si="27"/>
        <v>1</v>
      </c>
      <c r="T53" s="46" t="str">
        <f t="shared" si="28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4"/>
        <v>https://d0f6bd738d7f1b3e5a7ca70fe4ff75f0.us-east-1.aws.found.io/app/kibana#/discover/Steve-Slow-Train-Analysis-(2080s-and-2083s)?_g=(refreshInterval:(display:Off,pause:!f,section:0,value:0),time:(from:'2017-03-06T07:42:56-0700',mode:absolute,to:'2017-03-06T10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7" t="str">
        <f t="shared" si="29"/>
        <v>N</v>
      </c>
      <c r="X53" s="187">
        <f t="shared" si="30"/>
        <v>1</v>
      </c>
      <c r="Y53" s="62">
        <f t="shared" si="31"/>
        <v>4.2599999999999999E-2</v>
      </c>
      <c r="Z53" s="62">
        <f t="shared" si="32"/>
        <v>23.329699999999999</v>
      </c>
      <c r="AA53" s="62">
        <f t="shared" si="33"/>
        <v>23.287099999999999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34"/>
        <v>0141-06</v>
      </c>
      <c r="AE53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53" s="82" t="str">
        <f t="shared" si="12"/>
        <v>"C:\Program Files (x86)\AstroGrep\AstroGrep.exe" /e /r /s /spath="%USERPROFILE%\AppData\Local\Temp\OnboardLogs" /stypes="app*4022*20170306*" /stext=" 16:.+((SYSTEM_STATE.+slice.+state.+changed )|(ment ac)|(multiple cpu faults)|(system.+state.+changed )|(\[timeout)|(PRM\|1\|D)|(kpr)|(kdp)|(\|lc)|(penalty))"</v>
      </c>
      <c r="AG53" s="1" t="str">
        <f t="shared" si="35"/>
        <v>EC</v>
      </c>
      <c r="AH53" s="86" t="str">
        <f t="shared" si="36"/>
        <v>"%USERPROFILE%\Documents\GitHub\eaglep3\Utilities\RefineRTDCRunTimes.py" --tripid 141-06 --locoid 4022 --swversion DE.1.0.9.0 --startMP 204:426 --initTime 2017-03-06T08:42:56 --startdatetime 2017-03-06T08:45:23 --delay 1 --endMP 204:233297 --enddatetime 2017-03-06T09:21:05 --enforcementcount 0 &gt;&gt;C:\Users\stu\Documents\GitHub\eaglep3-reporting\EC\2017-03-06-refined-times.txt</v>
      </c>
      <c r="AI53" s="108" t="str">
        <f t="shared" si="37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ID","value":"141-06"},{"id":16,"name":"Locomotive ID","value":"4022"},{"id":130,"name":"Impact","value":""},{"id":150,"name":"Time of Event (Mountain Time)","value":"09:21:05"},{"id":151,"name":"Denver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38"/>
        <v>start /low /b %USERPROFILE%\Documents\GitHub\eaglep3\Utilities\DownloadLogsFromS3.py --loco 4022 --day 2017-03-06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</row>
    <row r="54" spans="1:91" s="1" customFormat="1" x14ac:dyDescent="0.25">
      <c r="A54" s="33" t="s">
        <v>664</v>
      </c>
      <c r="B54" s="7">
        <v>4021</v>
      </c>
      <c r="C54" s="21" t="s">
        <v>245</v>
      </c>
      <c r="D54" s="21" t="s">
        <v>310</v>
      </c>
      <c r="E54" s="13">
        <v>42800.390949074077</v>
      </c>
      <c r="F54" s="13">
        <v>42800.403773148151</v>
      </c>
      <c r="G54" s="7">
        <v>1</v>
      </c>
      <c r="H54" s="21" t="s">
        <v>285</v>
      </c>
      <c r="I54" s="13">
        <v>42800.431655092594</v>
      </c>
      <c r="J54" s="7">
        <v>0</v>
      </c>
      <c r="K54" s="98" t="str">
        <f t="shared" ref="K54:K85" si="39">IF(ISEVEN(B54),(B54-1)&amp;"/"&amp;B54,B54&amp;"/"&amp;(B54+1))</f>
        <v>4021/4022</v>
      </c>
      <c r="L54" s="21" t="str">
        <f>VLOOKUP(A54,'Trips&amp;Operators'!$C$1:$G$99999,5,FALSE)</f>
        <v>SANTIZO D. EDY</v>
      </c>
      <c r="M54" s="6">
        <f t="shared" ref="M54:M85" si="40">I54-F54</f>
        <v>2.7881944442924578E-2</v>
      </c>
      <c r="N54" s="7">
        <f t="shared" ref="N54:N92" si="41">24*60*SUM($M54:$M54)</f>
        <v>40.149999997811392</v>
      </c>
      <c r="O54" s="7"/>
      <c r="P54" s="7"/>
      <c r="Q54" s="22"/>
      <c r="R54" s="22"/>
      <c r="S54" s="31">
        <f t="shared" ref="S54:S92" si="42">SUM(U54:U54)/IF(AG54="EC",12,1)</f>
        <v>1</v>
      </c>
      <c r="T54" s="46" t="str">
        <f t="shared" ref="T54:T85" si="43">IF(ISEVEN(LEFT(AD54,4)),"Southbound","NorthBound")</f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4"/>
        <v>https://d0f6bd738d7f1b3e5a7ca70fe4ff75f0.us-east-1.aws.found.io/app/kibana#/discover/Steve-Slow-Train-Analysis-(2080s-and-2083s)?_g=(refreshInterval:(display:Off,pause:!f,section:0,value:0),time:(from:'2017-03-06T08:22:58-0700',mode:absolute,to:'2017-03-06T11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7" t="str">
        <f t="shared" ref="W54:W85" si="44">IF(AA54&lt;IF(AG54="EC",23,5.65),"Y","N")</f>
        <v>N</v>
      </c>
      <c r="X54" s="187">
        <f t="shared" si="30"/>
        <v>1</v>
      </c>
      <c r="Y54" s="62">
        <f t="shared" ref="Y54:Y85" si="45">RIGHT(D54,LEN(D54)-4)/10000</f>
        <v>23.2988</v>
      </c>
      <c r="Z54" s="62">
        <f t="shared" ref="Z54:Z85" si="46">RIGHT(H54,LEN(H54)-4)/10000</f>
        <v>1.61E-2</v>
      </c>
      <c r="AA54" s="62">
        <f t="shared" ref="AA54:AA85" si="47">ABS(Z54-Y54)</f>
        <v>23.282699999999998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ref="AD54:AD85" si="48">IF(LEN(A54)=6,"0"&amp;A54,A54)</f>
        <v>0142-06</v>
      </c>
      <c r="AE54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54" s="82" t="str">
        <f t="shared" si="12"/>
        <v>"C:\Program Files (x86)\AstroGrep\AstroGrep.exe" /e /r /s /spath="%USERPROFILE%\AppData\Local\Temp\OnboardLogs" /stypes="app*4021*20170306*" /stext=" 17:.+((SYSTEM_STATE.+slice.+state.+changed )|(ment ac)|(multiple cpu faults)|(system.+state.+changed )|(\[timeout)|(PRM\|1\|D)|(kpr)|(kdp)|(\|lc)|(penalty))"</v>
      </c>
      <c r="AG54" s="1" t="str">
        <f t="shared" ref="AG54:AG85" si="49">IFERROR(IF(VALUE(LEFT(AD54,2))&lt;=2,"EC",IF(OR(VALUE(LEFT(AD54,2))=8,VALUE(LEFT(AD54,2))=18),"NW","Other")),"Other")</f>
        <v>EC</v>
      </c>
      <c r="AH54" s="86" t="str">
        <f t="shared" si="17"/>
        <v>"%USERPROFILE%\Documents\GitHub\eaglep3\Utilities\RefineRTDCRunTimes.py" --tripid 142-06 --locoid 4021 --swversion DE.1.0.9.0 --startMP 204:232988 --initTime 2017-03-06T09:22:58 --startdatetime 2017-03-06T09:41:26 --delay 1 --endMP 204:161 --enddatetime 2017-03-06T10:21:35 --enforcementcount 0 &gt;&gt;C:\Users\stu\Documents\GitHub\eaglep3-reporting\EC\2017-03-06-refined-times.txt</v>
      </c>
      <c r="AI5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ID","value":"142-06"},{"id":16,"name":"Locomotive ID","value":"4021"},{"id":130,"name":"Impact","value":""},{"id":150,"name":"Time of Event (Mountain Time)","value":"10:21:35"},{"id":151,"name":"Denver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9"/>
        <v>start /low /b %USERPROFILE%\Documents\GitHub\eaglep3\Utilities\DownloadLogsFromS3.py --loco 4021 --day 2017-03-06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660</v>
      </c>
      <c r="B55" s="7">
        <v>4003</v>
      </c>
      <c r="C55" s="21" t="s">
        <v>245</v>
      </c>
      <c r="D55" s="21" t="s">
        <v>546</v>
      </c>
      <c r="E55" s="13">
        <v>42800.372627314813</v>
      </c>
      <c r="F55" s="13">
        <v>42800.378020833334</v>
      </c>
      <c r="G55" s="7">
        <v>1</v>
      </c>
      <c r="H55" s="21" t="s">
        <v>294</v>
      </c>
      <c r="I55" s="13">
        <v>42800.402951388889</v>
      </c>
      <c r="J55" s="7">
        <v>0</v>
      </c>
      <c r="K55" s="98" t="str">
        <f t="shared" si="39"/>
        <v>4003/4004</v>
      </c>
      <c r="L55" s="21" t="str">
        <f>VLOOKUP(A55,'Trips&amp;Operators'!$C$1:$G$99999,5,FALSE)</f>
        <v>ROBINSON KADDIBA</v>
      </c>
      <c r="M55" s="6">
        <f t="shared" si="40"/>
        <v>2.4930555555329192E-2</v>
      </c>
      <c r="N55" s="7">
        <f t="shared" si="41"/>
        <v>35.899999999674037</v>
      </c>
      <c r="O55" s="7"/>
      <c r="P55" s="7"/>
      <c r="Q55" s="22"/>
      <c r="R55" s="22"/>
      <c r="S55" s="31">
        <f t="shared" si="42"/>
        <v>1</v>
      </c>
      <c r="T55" s="46" t="str">
        <f t="shared" si="43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4"/>
        <v>https://d0f6bd738d7f1b3e5a7ca70fe4ff75f0.us-east-1.aws.found.io/app/kibana#/discover/Steve-Slow-Train-Analysis-(2080s-and-2083s)?_g=(refreshInterval:(display:Off,pause:!f,section:0,value:0),time:(from:'2017-03-06T07:56:35-0700',mode:absolute,to:'2017-03-06T10:40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5" s="187" t="str">
        <f t="shared" si="44"/>
        <v>N</v>
      </c>
      <c r="X55" s="187">
        <f t="shared" si="30"/>
        <v>1</v>
      </c>
      <c r="Y55" s="62">
        <f t="shared" si="45"/>
        <v>4.7100000000000003E-2</v>
      </c>
      <c r="Z55" s="62">
        <f t="shared" si="46"/>
        <v>23.329499999999999</v>
      </c>
      <c r="AA55" s="62">
        <f t="shared" si="47"/>
        <v>23.282399999999999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48"/>
        <v>0143-06</v>
      </c>
      <c r="AE55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55" s="82" t="str">
        <f t="shared" si="12"/>
        <v>"C:\Program Files (x86)\AstroGrep\AstroGrep.exe" /e /r /s /spath="%USERPROFILE%\AppData\Local\Temp\OnboardLogs" /stypes="app*4003*20170306*" /stext=" 16:.+((SYSTEM_STATE.+slice.+state.+changed )|(ment ac)|(multiple cpu faults)|(system.+state.+changed )|(\[timeout)|(PRM\|1\|D)|(kpr)|(kdp)|(\|lc)|(penalty))"</v>
      </c>
      <c r="AG55" s="1" t="str">
        <f t="shared" si="49"/>
        <v>EC</v>
      </c>
      <c r="AH55" s="86" t="str">
        <f t="shared" si="17"/>
        <v>"%USERPROFILE%\Documents\GitHub\eaglep3\Utilities\RefineRTDCRunTimes.py" --tripid 143-06 --locoid 4003 --swversion DE.1.0.9.0 --startMP 204:471 --initTime 2017-03-06T08:56:35 --startdatetime 2017-03-06T09:04:21 --delay 1 --endMP 204:233295 --enddatetime 2017-03-06T09:40:15 --enforcementcount 0 &gt;&gt;C:\Users\stu\Documents\GitHub\eaglep3-reporting\EC\2017-03-06-refined-times.txt</v>
      </c>
      <c r="AI5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{"issue":{"subject":"","project_id":79,"tracker_id":40,"status_id":1,"priority_id":2,"assigned_to_id":23,"start_date":"2017-03-06","description":"","custom_fields":[{"id":1,"name":"Subdivision","value":"EC"},{"id":4,"name":"Milepost","value":"23.3295"},{"id":17,"name":"Train ID","value":"143-06"},{"id":16,"name":"Locomotive ID","value":"4003"},{"id":130,"name":"Impact","value":""},{"id":150,"name":"Time of Event (Mountain Time)","value":"09:40:15"},{"id":151,"name":"Denver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9"/>
        <v>start /low /b %USERPROFILE%\Documents\GitHub\eaglep3\Utilities\DownloadLogsFromS3.py --loco 4003 --day 2017-03-06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667</v>
      </c>
      <c r="B56" s="7">
        <v>4004</v>
      </c>
      <c r="C56" s="21" t="s">
        <v>245</v>
      </c>
      <c r="D56" s="21" t="s">
        <v>534</v>
      </c>
      <c r="E56" s="13">
        <v>42800.40902777778</v>
      </c>
      <c r="F56" s="13">
        <v>42800.414039351854</v>
      </c>
      <c r="G56" s="7">
        <v>1</v>
      </c>
      <c r="H56" s="21" t="s">
        <v>204</v>
      </c>
      <c r="I56" s="13">
        <v>42800.44189814815</v>
      </c>
      <c r="J56" s="7">
        <v>0</v>
      </c>
      <c r="K56" s="98" t="str">
        <f t="shared" si="39"/>
        <v>4003/4004</v>
      </c>
      <c r="L56" s="21" t="str">
        <f>VLOOKUP(A56,'Trips&amp;Operators'!$C$1:$G$99999,5,FALSE)</f>
        <v>ROBINSON KADDIBA</v>
      </c>
      <c r="M56" s="6">
        <f t="shared" si="40"/>
        <v>2.7858796296641231E-2</v>
      </c>
      <c r="N56" s="7">
        <f t="shared" si="41"/>
        <v>40.116666667163372</v>
      </c>
      <c r="O56" s="7"/>
      <c r="P56" s="7"/>
      <c r="Q56" s="22"/>
      <c r="R56" s="22"/>
      <c r="S56" s="31">
        <f t="shared" si="42"/>
        <v>1</v>
      </c>
      <c r="T56" s="46" t="str">
        <f t="shared" si="43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4"/>
        <v>https://d0f6bd738d7f1b3e5a7ca70fe4ff75f0.us-east-1.aws.found.io/app/kibana#/discover/Steve-Slow-Train-Analysis-(2080s-and-2083s)?_g=(refreshInterval:(display:Off,pause:!f,section:0,value:0),time:(from:'2017-03-06T08:49:00-0700',mode:absolute,to:'2017-03-06T11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6" s="187" t="str">
        <f t="shared" si="44"/>
        <v>N</v>
      </c>
      <c r="X56" s="187">
        <f t="shared" si="30"/>
        <v>1</v>
      </c>
      <c r="Y56" s="62">
        <f t="shared" si="45"/>
        <v>23.2989</v>
      </c>
      <c r="Z56" s="62">
        <f t="shared" si="46"/>
        <v>1.5800000000000002E-2</v>
      </c>
      <c r="AA56" s="62">
        <f t="shared" si="47"/>
        <v>23.283100000000001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48"/>
        <v>0144-06</v>
      </c>
      <c r="AE56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56" s="82" t="str">
        <f t="shared" si="12"/>
        <v>"C:\Program Files (x86)\AstroGrep\AstroGrep.exe" /e /r /s /spath="%USERPROFILE%\AppData\Local\Temp\OnboardLogs" /stypes="app*4004*20170306*" /stext=" 17:.+((SYSTEM_STATE.+slice.+state.+changed )|(ment ac)|(multiple cpu faults)|(system.+state.+changed )|(\[timeout)|(PRM\|1\|D)|(kpr)|(kdp)|(\|lc)|(penalty))"</v>
      </c>
      <c r="AG56" s="1" t="str">
        <f t="shared" si="49"/>
        <v>EC</v>
      </c>
      <c r="AH56" s="86" t="str">
        <f t="shared" si="17"/>
        <v>"%USERPROFILE%\Documents\GitHub\eaglep3\Utilities\RefineRTDCRunTimes.py" --tripid 144-06 --locoid 4004 --swversion DE.1.0.9.0 --startMP 204:232989 --initTime 2017-03-06T09:49:00 --startdatetime 2017-03-06T09:56:13 --delay 1 --endMP 204:158 --enddatetime 2017-03-06T10:36:20 --enforcementcount 0 &gt;&gt;C:\Users\stu\Documents\GitHub\eaglep3-reporting\EC\2017-03-06-refined-times.txt</v>
      </c>
      <c r="AI5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{"issue":{"subject":"","project_id":79,"tracker_id":40,"status_id":1,"priority_id":2,"assigned_to_id":23,"start_date":"2017-03-06","description":"","custom_fields":[{"id":1,"name":"Subdivision","value":"EC"},{"id":4,"name":"Milepost","value":"0.0158"},{"id":17,"name":"Train ID","value":"144-06"},{"id":16,"name":"Locomotive ID","value":"4004"},{"id":130,"name":"Impact","value":""},{"id":150,"name":"Time of Event (Mountain Time)","value":"10:36:20"},{"id":151,"name":"Denver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9"/>
        <v>start /low /b %USERPROFILE%\Documents\GitHub\eaglep3\Utilities\DownloadLogsFromS3.py --loco 4004 --day 2017-03-06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662</v>
      </c>
      <c r="B57" s="7">
        <v>4046</v>
      </c>
      <c r="C57" s="21" t="s">
        <v>245</v>
      </c>
      <c r="D57" s="21" t="s">
        <v>228</v>
      </c>
      <c r="E57" s="13">
        <v>42800.383819444447</v>
      </c>
      <c r="F57" s="13">
        <v>42800.385671296295</v>
      </c>
      <c r="G57" s="7">
        <v>1</v>
      </c>
      <c r="H57" s="21" t="s">
        <v>252</v>
      </c>
      <c r="I57" s="13">
        <v>42800.410763888889</v>
      </c>
      <c r="J57" s="7">
        <v>0</v>
      </c>
      <c r="K57" s="98" t="str">
        <f t="shared" si="39"/>
        <v>4045/4046</v>
      </c>
      <c r="L57" s="21" t="str">
        <f>VLOOKUP(A57,'Trips&amp;Operators'!$C$1:$G$99999,5,FALSE)</f>
        <v>MAELZER KURT</v>
      </c>
      <c r="M57" s="6">
        <f t="shared" si="40"/>
        <v>2.5092592593864538E-2</v>
      </c>
      <c r="N57" s="7">
        <f t="shared" si="41"/>
        <v>36.133333335164934</v>
      </c>
      <c r="O57" s="7"/>
      <c r="P57" s="7"/>
      <c r="Q57" s="22"/>
      <c r="R57" s="22"/>
      <c r="S57" s="31">
        <f t="shared" si="42"/>
        <v>1</v>
      </c>
      <c r="T57" s="46" t="str">
        <f t="shared" si="43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4"/>
        <v>https://d0f6bd738d7f1b3e5a7ca70fe4ff75f0.us-east-1.aws.found.io/app/kibana#/discover/Steve-Slow-Train-Analysis-(2080s-and-2083s)?_g=(refreshInterval:(display:Off,pause:!f,section:0,value:0),time:(from:'2017-03-06T08:12:42-0700',mode:absolute,to:'2017-03-06T10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87" t="str">
        <f t="shared" si="44"/>
        <v>N</v>
      </c>
      <c r="X57" s="187">
        <f t="shared" ref="X57:X88" si="50">VALUE(LEFT(AD57,4))-VALUE(LEFT(AD56,4))</f>
        <v>1</v>
      </c>
      <c r="Y57" s="62">
        <f t="shared" si="45"/>
        <v>4.4600000000000001E-2</v>
      </c>
      <c r="Z57" s="62">
        <f t="shared" si="46"/>
        <v>23.329699999999999</v>
      </c>
      <c r="AA57" s="62">
        <f t="shared" si="47"/>
        <v>23.2851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48"/>
        <v>0145-06</v>
      </c>
      <c r="AE57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57" s="82" t="str">
        <f t="shared" si="12"/>
        <v>"C:\Program Files (x86)\AstroGrep\AstroGrep.exe" /e /r /s /spath="%USERPROFILE%\AppData\Local\Temp\OnboardLogs" /stypes="app*4046*20170306*" /stext=" 16:.+((SYSTEM_STATE.+slice.+state.+changed )|(ment ac)|(multiple cpu faults)|(system.+state.+changed )|(\[timeout)|(PRM\|1\|D)|(kpr)|(kdp)|(\|lc)|(penalty))"</v>
      </c>
      <c r="AG57" s="1" t="str">
        <f t="shared" si="49"/>
        <v>EC</v>
      </c>
      <c r="AH57" s="86" t="str">
        <f t="shared" si="17"/>
        <v>"%USERPROFILE%\Documents\GitHub\eaglep3\Utilities\RefineRTDCRunTimes.py" --tripid 145-06 --locoid 4046 --swversion DE.1.0.9.0 --startMP 204:446 --initTime 2017-03-06T09:12:42 --startdatetime 2017-03-06T09:15:22 --delay 1 --endMP 204:233297 --enddatetime 2017-03-06T09:51:30 --enforcementcount 0 &gt;&gt;C:\Users\stu\Documents\GitHub\eaglep3-reporting\EC\2017-03-06-refined-times.txt</v>
      </c>
      <c r="AI5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ID","value":"145-06"},{"id":16,"name":"Locomotive ID","value":"4046"},{"id":130,"name":"Impact","value":""},{"id":150,"name":"Time of Event (Mountain Time)","value":"09:51:30"},{"id":151,"name":"Denver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9"/>
        <v>start /low /b %USERPROFILE%\Documents\GitHub\eaglep3\Utilities\DownloadLogsFromS3.py --loco 4046 --day 2017-03-06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669</v>
      </c>
      <c r="B58" s="7">
        <v>4045</v>
      </c>
      <c r="C58" s="21" t="s">
        <v>245</v>
      </c>
      <c r="D58" s="21" t="s">
        <v>310</v>
      </c>
      <c r="E58" s="13">
        <v>42800.416180555556</v>
      </c>
      <c r="F58" s="13">
        <v>42800.424571759257</v>
      </c>
      <c r="G58" s="7">
        <v>1</v>
      </c>
      <c r="H58" s="21" t="s">
        <v>184</v>
      </c>
      <c r="I58" s="13">
        <v>42800.452581018515</v>
      </c>
      <c r="J58" s="7">
        <v>0</v>
      </c>
      <c r="K58" s="98" t="str">
        <f t="shared" si="39"/>
        <v>4045/4046</v>
      </c>
      <c r="L58" s="21" t="str">
        <f>VLOOKUP(A58,'Trips&amp;Operators'!$C$1:$G$99999,5,FALSE)</f>
        <v>MAELZER KURT</v>
      </c>
      <c r="M58" s="6">
        <f t="shared" si="40"/>
        <v>2.8009259258396924E-2</v>
      </c>
      <c r="N58" s="7">
        <f t="shared" si="41"/>
        <v>40.33333333209157</v>
      </c>
      <c r="O58" s="7"/>
      <c r="P58" s="7"/>
      <c r="Q58" s="22"/>
      <c r="R58" s="22"/>
      <c r="S58" s="31">
        <f t="shared" si="42"/>
        <v>1</v>
      </c>
      <c r="T58" s="46" t="str">
        <f t="shared" si="43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4"/>
        <v>https://d0f6bd738d7f1b3e5a7ca70fe4ff75f0.us-east-1.aws.found.io/app/kibana#/discover/Steve-Slow-Train-Analysis-(2080s-and-2083s)?_g=(refreshInterval:(display:Off,pause:!f,section:0,value:0),time:(from:'2017-03-06T08:59:18-0700',mode:absolute,to:'2017-03-06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87" t="str">
        <f t="shared" si="44"/>
        <v>N</v>
      </c>
      <c r="X58" s="187">
        <f t="shared" si="50"/>
        <v>1</v>
      </c>
      <c r="Y58" s="62">
        <f t="shared" si="45"/>
        <v>23.2988</v>
      </c>
      <c r="Z58" s="62">
        <f t="shared" si="46"/>
        <v>1.49E-2</v>
      </c>
      <c r="AA58" s="62">
        <f t="shared" si="47"/>
        <v>23.283899999999999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48"/>
        <v>0146-06</v>
      </c>
      <c r="AE58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58" s="82" t="str">
        <f t="shared" si="12"/>
        <v>"C:\Program Files (x86)\AstroGrep\AstroGrep.exe" /e /r /s /spath="%USERPROFILE%\AppData\Local\Temp\OnboardLogs" /stypes="app*4045*20170306*" /stext=" 17:.+((SYSTEM_STATE.+slice.+state.+changed )|(ment ac)|(multiple cpu faults)|(system.+state.+changed )|(\[timeout)|(PRM\|1\|D)|(kpr)|(kdp)|(\|lc)|(penalty))"</v>
      </c>
      <c r="AG58" s="1" t="str">
        <f t="shared" si="49"/>
        <v>EC</v>
      </c>
      <c r="AH58" s="86" t="str">
        <f t="shared" si="17"/>
        <v>"%USERPROFILE%\Documents\GitHub\eaglep3\Utilities\RefineRTDCRunTimes.py" --tripid 146-06 --locoid 4045 --swversion DE.1.0.9.0 --startMP 204:232988 --initTime 2017-03-06T09:59:18 --startdatetime 2017-03-06T10:11:23 --delay 1 --endMP 204:149 --enddatetime 2017-03-06T10:51:43 --enforcementcount 0 &gt;&gt;C:\Users\stu\Documents\GitHub\eaglep3-reporting\EC\2017-03-06-refined-times.txt</v>
      </c>
      <c r="AI5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ID","value":"146-06"},{"id":16,"name":"Locomotive ID","value":"4045"},{"id":130,"name":"Impact","value":""},{"id":150,"name":"Time of Event (Mountain Time)","value":"10:51:43"},{"id":151,"name":"Denver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9"/>
        <v>start /low /b %USERPROFILE%\Documents\GitHub\eaglep3\Utilities\DownloadLogsFromS3.py --loco 4045 --day 2017-03-06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569</v>
      </c>
      <c r="B59" s="7">
        <v>4020</v>
      </c>
      <c r="C59" s="21" t="s">
        <v>245</v>
      </c>
      <c r="D59" s="21" t="s">
        <v>474</v>
      </c>
      <c r="E59" s="13">
        <v>42800.391921296294</v>
      </c>
      <c r="F59" s="13">
        <v>42800.396261574075</v>
      </c>
      <c r="G59" s="7">
        <v>1</v>
      </c>
      <c r="H59" s="21" t="s">
        <v>252</v>
      </c>
      <c r="I59" s="13">
        <v>42800.422314814816</v>
      </c>
      <c r="J59" s="7">
        <v>0</v>
      </c>
      <c r="K59" s="98" t="str">
        <f t="shared" si="39"/>
        <v>4019/4020</v>
      </c>
      <c r="L59" s="21" t="str">
        <f>VLOOKUP(A59,'Trips&amp;Operators'!$C$1:$G$99999,5,FALSE)</f>
        <v>STARKS ANGELINA</v>
      </c>
      <c r="M59" s="6">
        <f t="shared" si="40"/>
        <v>2.6053240741021E-2</v>
      </c>
      <c r="N59" s="7">
        <f t="shared" si="41"/>
        <v>37.51666666707024</v>
      </c>
      <c r="O59" s="7"/>
      <c r="P59" s="7"/>
      <c r="Q59" s="22"/>
      <c r="R59" s="22"/>
      <c r="S59" s="31">
        <f t="shared" si="42"/>
        <v>1</v>
      </c>
      <c r="T59" s="46" t="str">
        <f t="shared" si="43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4"/>
        <v>https://d0f6bd738d7f1b3e5a7ca70fe4ff75f0.us-east-1.aws.found.io/app/kibana#/discover/Steve-Slow-Train-Analysis-(2080s-and-2083s)?_g=(refreshInterval:(display:Off,pause:!f,section:0,value:0),time:(from:'2017-03-06T08:24:22-0700',mode:absolute,to:'2017-03-06T11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87" t="str">
        <f t="shared" si="44"/>
        <v>N</v>
      </c>
      <c r="X59" s="187">
        <f t="shared" si="50"/>
        <v>1</v>
      </c>
      <c r="Y59" s="62">
        <f t="shared" si="45"/>
        <v>4.3499999999999997E-2</v>
      </c>
      <c r="Z59" s="62">
        <f t="shared" si="46"/>
        <v>23.329699999999999</v>
      </c>
      <c r="AA59" s="62">
        <f t="shared" si="47"/>
        <v>23.286199999999997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48"/>
        <v>0147-06</v>
      </c>
      <c r="AE59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59" s="82" t="str">
        <f t="shared" si="12"/>
        <v>"C:\Program Files (x86)\AstroGrep\AstroGrep.exe" /e /r /s /spath="%USERPROFILE%\AppData\Local\Temp\OnboardLogs" /stypes="app*4020*20170306*" /stext=" 17:.+((SYSTEM_STATE.+slice.+state.+changed )|(ment ac)|(multiple cpu faults)|(system.+state.+changed )|(\[timeout)|(PRM\|1\|D)|(kpr)|(kdp)|(\|lc)|(penalty))"</v>
      </c>
      <c r="AG59" s="1" t="str">
        <f t="shared" si="49"/>
        <v>EC</v>
      </c>
      <c r="AH59" s="86" t="str">
        <f t="shared" si="17"/>
        <v>"%USERPROFILE%\Documents\GitHub\eaglep3\Utilities\RefineRTDCRunTimes.py" --tripid 147-06 --locoid 4020 --swversion DE.1.0.9.0 --startMP 204:435 --initTime 2017-03-06T09:24:22 --startdatetime 2017-03-06T09:30:37 --delay 1 --endMP 204:233297 --enddatetime 2017-03-06T10:08:08 --enforcementcount 0 &gt;&gt;C:\Users\stu\Documents\GitHub\eaglep3-reporting\EC\2017-03-06-refined-times.txt</v>
      </c>
      <c r="AI5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ID","value":"147-06"},{"id":16,"name":"Locomotive ID","value":"4020"},{"id":130,"name":"Impact","value":""},{"id":150,"name":"Time of Event (Mountain Time)","value":"10:08:08"},{"id":151,"name":"Denver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9"/>
        <v>start /low /b %USERPROFILE%\Documents\GitHub\eaglep3\Utilities\DownloadLogsFromS3.py --loco 4020 --day 2017-03-06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572</v>
      </c>
      <c r="B60" s="7">
        <v>4019</v>
      </c>
      <c r="C60" s="21" t="s">
        <v>245</v>
      </c>
      <c r="D60" s="21" t="s">
        <v>316</v>
      </c>
      <c r="E60" s="13">
        <v>42800.432557870372</v>
      </c>
      <c r="F60" s="13">
        <v>42800.434907407405</v>
      </c>
      <c r="G60" s="7">
        <v>1</v>
      </c>
      <c r="H60" s="21" t="s">
        <v>194</v>
      </c>
      <c r="I60" s="13">
        <v>42800.463969907411</v>
      </c>
      <c r="J60" s="7">
        <v>0</v>
      </c>
      <c r="K60" s="98" t="str">
        <f t="shared" si="39"/>
        <v>4019/4020</v>
      </c>
      <c r="L60" s="21" t="str">
        <f>VLOOKUP(A60,'Trips&amp;Operators'!$C$1:$G$99999,5,FALSE)</f>
        <v>STARKS ANGELINA</v>
      </c>
      <c r="M60" s="6">
        <f t="shared" si="40"/>
        <v>2.9062500005238689E-2</v>
      </c>
      <c r="N60" s="7">
        <f t="shared" si="41"/>
        <v>41.850000007543713</v>
      </c>
      <c r="O60" s="7"/>
      <c r="P60" s="7"/>
      <c r="Q60" s="22"/>
      <c r="R60" s="22"/>
      <c r="S60" s="31">
        <f t="shared" si="42"/>
        <v>1</v>
      </c>
      <c r="T60" s="46" t="str">
        <f t="shared" si="43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4"/>
        <v>https://d0f6bd738d7f1b3e5a7ca70fe4ff75f0.us-east-1.aws.found.io/app/kibana#/discover/Steve-Slow-Train-Analysis-(2080s-and-2083s)?_g=(refreshInterval:(display:Off,pause:!f,section:0,value:0),time:(from:'2017-03-06T09:22:53-0700',mode:absolute,to:'2017-03-06T12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87" t="str">
        <f t="shared" si="44"/>
        <v>N</v>
      </c>
      <c r="X60" s="187">
        <f t="shared" si="50"/>
        <v>1</v>
      </c>
      <c r="Y60" s="62">
        <f t="shared" si="45"/>
        <v>23.298500000000001</v>
      </c>
      <c r="Z60" s="62">
        <f t="shared" si="46"/>
        <v>1.4500000000000001E-2</v>
      </c>
      <c r="AA60" s="62">
        <f t="shared" si="47"/>
        <v>23.283999999999999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48"/>
        <v>0148-06</v>
      </c>
      <c r="AE60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60" s="82" t="str">
        <f t="shared" si="12"/>
        <v>"C:\Program Files (x86)\AstroGrep\AstroGrep.exe" /e /r /s /spath="%USERPROFILE%\AppData\Local\Temp\OnboardLogs" /stypes="app*4019*20170306*" /stext=" 18:.+((SYSTEM_STATE.+slice.+state.+changed )|(ment ac)|(multiple cpu faults)|(system.+state.+changed )|(\[timeout)|(PRM\|1\|D)|(kpr)|(kdp)|(\|lc)|(penalty))"</v>
      </c>
      <c r="AG60" s="1" t="str">
        <f t="shared" si="49"/>
        <v>EC</v>
      </c>
      <c r="AH60" s="86" t="str">
        <f t="shared" si="17"/>
        <v>"%USERPROFILE%\Documents\GitHub\eaglep3\Utilities\RefineRTDCRunTimes.py" --tripid 148-06 --locoid 4019 --swversion DE.1.0.9.0 --startMP 204:232985 --initTime 2017-03-06T10:22:53 --startdatetime 2017-03-06T10:26:16 --delay 1 --endMP 204:145 --enddatetime 2017-03-06T11:08:07 --enforcementcount 0 &gt;&gt;C:\Users\stu\Documents\GitHub\eaglep3-reporting\EC\2017-03-06-refined-times.txt</v>
      </c>
      <c r="AI6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{"issue":{"subject":"","project_id":79,"tracker_id":40,"status_id":1,"priority_id":2,"assigned_to_id":23,"start_date":"2017-03-06","description":"","custom_fields":[{"id":1,"name":"Subdivision","value":"EC"},{"id":4,"name":"Milepost","value":"0.0145"},{"id":17,"name":"Train ID","value":"148-06"},{"id":16,"name":"Locomotive ID","value":"4019"},{"id":130,"name":"Impact","value":""},{"id":150,"name":"Time of Event (Mountain Time)","value":"11:08:07"},{"id":151,"name":"Denver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9"/>
        <v>start /low /b %USERPROFILE%\Documents\GitHub\eaglep3\Utilities\DownloadLogsFromS3.py --loco 4019 --day 2017-03-06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666</v>
      </c>
      <c r="B61" s="7">
        <v>4009</v>
      </c>
      <c r="C61" s="21" t="s">
        <v>245</v>
      </c>
      <c r="D61" s="21" t="s">
        <v>228</v>
      </c>
      <c r="E61" s="13">
        <v>42800.402604166666</v>
      </c>
      <c r="F61" s="13">
        <v>42800.406435185185</v>
      </c>
      <c r="G61" s="7">
        <v>1</v>
      </c>
      <c r="H61" s="21" t="s">
        <v>523</v>
      </c>
      <c r="I61" s="13">
        <v>42800.432164351849</v>
      </c>
      <c r="J61" s="7">
        <v>0</v>
      </c>
      <c r="K61" s="98" t="str">
        <f t="shared" si="39"/>
        <v>4009/4010</v>
      </c>
      <c r="L61" s="21" t="str">
        <f>VLOOKUP(A61,'Trips&amp;Operators'!$C$1:$G$99999,5,FALSE)</f>
        <v>BONDS REYNALDO</v>
      </c>
      <c r="M61" s="6">
        <f t="shared" si="40"/>
        <v>2.5729166663950309E-2</v>
      </c>
      <c r="N61" s="7">
        <f t="shared" si="41"/>
        <v>37.049999996088445</v>
      </c>
      <c r="O61" s="7"/>
      <c r="P61" s="7"/>
      <c r="Q61" s="22"/>
      <c r="R61" s="22"/>
      <c r="S61" s="31">
        <f t="shared" si="42"/>
        <v>1</v>
      </c>
      <c r="T61" s="46" t="str">
        <f t="shared" si="43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4"/>
        <v>https://d0f6bd738d7f1b3e5a7ca70fe4ff75f0.us-east-1.aws.found.io/app/kibana#/discover/Steve-Slow-Train-Analysis-(2080s-and-2083s)?_g=(refreshInterval:(display:Off,pause:!f,section:0,value:0),time:(from:'2017-03-06T08:39:45-0700',mode:absolute,to:'2017-03-06T11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187" t="str">
        <f t="shared" si="44"/>
        <v>N</v>
      </c>
      <c r="X61" s="187">
        <f t="shared" si="50"/>
        <v>1</v>
      </c>
      <c r="Y61" s="62">
        <f t="shared" si="45"/>
        <v>4.4600000000000001E-2</v>
      </c>
      <c r="Z61" s="62">
        <f t="shared" si="46"/>
        <v>23.327999999999999</v>
      </c>
      <c r="AA61" s="62">
        <f t="shared" si="47"/>
        <v>23.2834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48"/>
        <v>0149-06</v>
      </c>
      <c r="AE61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61" s="82" t="str">
        <f t="shared" si="12"/>
        <v>"C:\Program Files (x86)\AstroGrep\AstroGrep.exe" /e /r /s /spath="%USERPROFILE%\AppData\Local\Temp\OnboardLogs" /stypes="app*4009*20170306*" /stext=" 17:.+((SYSTEM_STATE.+slice.+state.+changed )|(ment ac)|(multiple cpu faults)|(system.+state.+changed )|(\[timeout)|(PRM\|1\|D)|(kpr)|(kdp)|(\|lc)|(penalty))"</v>
      </c>
      <c r="AG61" s="1" t="str">
        <f t="shared" si="49"/>
        <v>EC</v>
      </c>
      <c r="AH61" s="86" t="str">
        <f t="shared" si="17"/>
        <v>"%USERPROFILE%\Documents\GitHub\eaglep3\Utilities\RefineRTDCRunTimes.py" --tripid 149-06 --locoid 4009 --swversion DE.1.0.9.0 --startMP 204:446 --initTime 2017-03-06T09:39:45 --startdatetime 2017-03-06T09:45:16 --delay 1 --endMP 204:233280 --enddatetime 2017-03-06T10:22:19 --enforcementcount 0 &gt;&gt;C:\Users\stu\Documents\GitHub\eaglep3-reporting\EC\2017-03-06-refined-times.txt</v>
      </c>
      <c r="AI6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{"issue":{"subject":"","project_id":79,"tracker_id":40,"status_id":1,"priority_id":2,"assigned_to_id":23,"start_date":"2017-03-06","description":"","custom_fields":[{"id":1,"name":"Subdivision","value":"EC"},{"id":4,"name":"Milepost","value":"23.328"},{"id":17,"name":"Train ID","value":"149-06"},{"id":16,"name":"Locomotive ID","value":"4009"},{"id":130,"name":"Impact","value":""},{"id":150,"name":"Time of Event (Mountain Time)","value":"10:22:19"},{"id":151,"name":"Denver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9"/>
        <v>start /low /b %USERPROFILE%\Documents\GitHub\eaglep3\Utilities\DownloadLogsFromS3.py --loco 4009 --day 2017-03-06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673</v>
      </c>
      <c r="B62" s="7">
        <v>4010</v>
      </c>
      <c r="C62" s="21" t="s">
        <v>245</v>
      </c>
      <c r="D62" s="21" t="s">
        <v>810</v>
      </c>
      <c r="E62" s="13">
        <v>42800.441307870373</v>
      </c>
      <c r="F62" s="13">
        <v>42800.445428240739</v>
      </c>
      <c r="G62" s="7">
        <v>0</v>
      </c>
      <c r="H62" s="21" t="s">
        <v>235</v>
      </c>
      <c r="I62" s="13">
        <v>42800.474363425928</v>
      </c>
      <c r="J62" s="7">
        <v>0</v>
      </c>
      <c r="K62" s="98" t="str">
        <f t="shared" si="39"/>
        <v>4009/4010</v>
      </c>
      <c r="L62" s="21" t="str">
        <f>VLOOKUP(A62,'Trips&amp;Operators'!$C$1:$G$99999,5,FALSE)</f>
        <v>BONDS REYNALDO</v>
      </c>
      <c r="M62" s="6">
        <f t="shared" si="40"/>
        <v>2.8935185189766344E-2</v>
      </c>
      <c r="N62" s="7">
        <f t="shared" si="41"/>
        <v>41.666666673263535</v>
      </c>
      <c r="O62" s="7"/>
      <c r="P62" s="7"/>
      <c r="Q62" s="22"/>
      <c r="R62" s="22"/>
      <c r="S62" s="31">
        <f t="shared" si="42"/>
        <v>1</v>
      </c>
      <c r="T62" s="46" t="str">
        <f t="shared" si="43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4"/>
        <v>https://d0f6bd738d7f1b3e5a7ca70fe4ff75f0.us-east-1.aws.found.io/app/kibana#/discover/Steve-Slow-Train-Analysis-(2080s-and-2083s)?_g=(refreshInterval:(display:Off,pause:!f,section:0,value:0),time:(from:'2017-03-06T09:35:29-0700',mode:absolute,to:'2017-03-06T12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187" t="str">
        <f t="shared" si="44"/>
        <v>N</v>
      </c>
      <c r="X62" s="187">
        <f t="shared" si="50"/>
        <v>1</v>
      </c>
      <c r="Y62" s="62">
        <f t="shared" si="45"/>
        <v>23.2973</v>
      </c>
      <c r="Z62" s="62">
        <f t="shared" si="46"/>
        <v>1.5599999999999999E-2</v>
      </c>
      <c r="AA62" s="62">
        <f t="shared" si="47"/>
        <v>23.281700000000001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48"/>
        <v>0150-06</v>
      </c>
      <c r="AE62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62" s="82" t="str">
        <f t="shared" si="12"/>
        <v>"C:\Program Files (x86)\AstroGrep\AstroGrep.exe" /e /r /s /spath="%USERPROFILE%\AppData\Local\Temp\OnboardLogs" /stypes="app*4010*20170306*" /stext=" 18:.+((SYSTEM_STATE.+slice.+state.+changed )|(ment ac)|(multiple cpu faults)|(system.+state.+changed )|(\[timeout)|(PRM\|1\|D)|(kpr)|(kdp)|(\|lc)|(penalty))"</v>
      </c>
      <c r="AG62" s="1" t="str">
        <f t="shared" si="49"/>
        <v>EC</v>
      </c>
      <c r="AH62" s="86" t="str">
        <f t="shared" si="17"/>
        <v>"%USERPROFILE%\Documents\GitHub\eaglep3\Utilities\RefineRTDCRunTimes.py" --tripid 150-06 --locoid 4010 --swversion DE.1.0.9.0 --startMP 204:232973 --initTime 2017-03-06T10:35:29 --startdatetime 2017-03-06T10:41:25 --delay 0 --endMP 204:156 --enddatetime 2017-03-06T11:23:05 --enforcementcount 0 &gt;&gt;C:\Users\stu\Documents\GitHub\eaglep3-reporting\EC\2017-03-06-refined-times.txt</v>
      </c>
      <c r="AI6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{"issue":{"subject":"","project_id":79,"tracker_id":40,"status_id":1,"priority_id":2,"assigned_to_id":23,"start_date":"2017-03-06","description":"","custom_fields":[{"id":1,"name":"Subdivision","value":"EC"},{"id":4,"name":"Milepost","value":"0.0156"},{"id":17,"name":"Train ID","value":"150-06"},{"id":16,"name":"Locomotive ID","value":"4010"},{"id":130,"name":"Impact","value":""},{"id":150,"name":"Time of Event (Mountain Time)","value":"11:23:05"},{"id":151,"name":"Denver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9"/>
        <v>start /low /b %USERPROFILE%\Documents\GitHub\eaglep3\Utilities\DownloadLogsFromS3.py --loco 4010 --day 2017-03-06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668</v>
      </c>
      <c r="B63" s="7">
        <v>4018</v>
      </c>
      <c r="C63" s="21" t="s">
        <v>245</v>
      </c>
      <c r="D63" s="21" t="s">
        <v>299</v>
      </c>
      <c r="E63" s="13">
        <v>42800.413715277777</v>
      </c>
      <c r="F63" s="13">
        <v>42800.416921296295</v>
      </c>
      <c r="G63" s="7">
        <v>1</v>
      </c>
      <c r="H63" s="21" t="s">
        <v>274</v>
      </c>
      <c r="I63" s="13">
        <v>42800.443113425928</v>
      </c>
      <c r="J63" s="7">
        <v>0</v>
      </c>
      <c r="K63" s="98" t="str">
        <f t="shared" si="39"/>
        <v>4017/4018</v>
      </c>
      <c r="L63" s="21" t="str">
        <f>VLOOKUP(A63,'Trips&amp;Operators'!$C$1:$G$99999,5,FALSE)</f>
        <v>SHOOK JOHN</v>
      </c>
      <c r="M63" s="6">
        <f t="shared" si="40"/>
        <v>2.6192129633272998E-2</v>
      </c>
      <c r="N63" s="7">
        <f t="shared" si="41"/>
        <v>37.716666671913117</v>
      </c>
      <c r="O63" s="7"/>
      <c r="P63" s="7"/>
      <c r="Q63" s="22"/>
      <c r="R63" s="22"/>
      <c r="S63" s="31">
        <f t="shared" si="42"/>
        <v>1</v>
      </c>
      <c r="T63" s="46" t="str">
        <f t="shared" si="43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4"/>
        <v>https://d0f6bd738d7f1b3e5a7ca70fe4ff75f0.us-east-1.aws.found.io/app/kibana#/discover/Steve-Slow-Train-Analysis-(2080s-and-2083s)?_g=(refreshInterval:(display:Off,pause:!f,section:0,value:0),time:(from:'2017-03-06T08:55:45-0700',mode:absolute,to:'2017-03-06T11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187" t="str">
        <f t="shared" si="44"/>
        <v>N</v>
      </c>
      <c r="X63" s="187">
        <f t="shared" si="50"/>
        <v>1</v>
      </c>
      <c r="Y63" s="62">
        <f t="shared" si="45"/>
        <v>4.7699999999999999E-2</v>
      </c>
      <c r="Z63" s="62">
        <f t="shared" si="46"/>
        <v>23.331499999999998</v>
      </c>
      <c r="AA63" s="62">
        <f t="shared" si="47"/>
        <v>23.283799999999999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48"/>
        <v>0151-06</v>
      </c>
      <c r="AE63" s="85" t="str">
        <f t="shared" si="1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63" s="82" t="str">
        <f t="shared" si="12"/>
        <v>"C:\Program Files (x86)\AstroGrep\AstroGrep.exe" /e /r /s /spath="%USERPROFILE%\AppData\Local\Temp\OnboardLogs" /stypes="app*4018*20170306*" /stext=" 17:.+((SYSTEM_STATE.+slice.+state.+changed )|(ment ac)|(multiple cpu faults)|(system.+state.+changed )|(\[timeout)|(PRM\|1\|D)|(kpr)|(kdp)|(\|lc)|(penalty))"</v>
      </c>
      <c r="AG63" s="1" t="str">
        <f t="shared" si="49"/>
        <v>EC</v>
      </c>
      <c r="AH63" s="86" t="str">
        <f t="shared" si="17"/>
        <v>"%USERPROFILE%\Documents\GitHub\eaglep3\Utilities\RefineRTDCRunTimes.py" --tripid 151-06 --locoid 4018 --swversion DE.1.0.9.0 --startMP 204:477 --initTime 2017-03-06T09:55:45 --startdatetime 2017-03-06T10:00:22 --delay 1 --endMP 204:233315 --enddatetime 2017-03-06T10:38:05 --enforcementcount 0 &gt;&gt;C:\Users\stu\Documents\GitHub\eaglep3-reporting\EC\2017-03-06-refined-times.txt</v>
      </c>
      <c r="AI6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{"issue":{"subject":"","project_id":79,"tracker_id":40,"status_id":1,"priority_id":2,"assigned_to_id":23,"start_date":"2017-03-06","description":"","custom_fields":[{"id":1,"name":"Subdivision","value":"EC"},{"id":4,"name":"Milepost","value":"23.3315"},{"id":17,"name":"Train ID","value":"151-06"},{"id":16,"name":"Locomotive ID","value":"4018"},{"id":130,"name":"Impact","value":""},{"id":150,"name":"Time of Event (Mountain Time)","value":"10:38:05"},{"id":151,"name":"Denver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9"/>
        <v>start /low /b %USERPROFILE%\Documents\GitHub\eaglep3\Utilities\DownloadLogsFromS3.py --loco 4018 --day 2017-03-06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674</v>
      </c>
      <c r="B64" s="7">
        <v>4017</v>
      </c>
      <c r="C64" s="21" t="s">
        <v>245</v>
      </c>
      <c r="D64" s="21" t="s">
        <v>808</v>
      </c>
      <c r="E64" s="13">
        <v>42800.445925925924</v>
      </c>
      <c r="F64" s="13">
        <v>42800.455729166664</v>
      </c>
      <c r="G64" s="7">
        <v>1</v>
      </c>
      <c r="H64" s="21" t="s">
        <v>235</v>
      </c>
      <c r="I64" s="13">
        <v>42800.484942129631</v>
      </c>
      <c r="J64" s="7">
        <v>0</v>
      </c>
      <c r="K64" s="98" t="str">
        <f t="shared" si="39"/>
        <v>4017/4018</v>
      </c>
      <c r="L64" s="21" t="str">
        <f>VLOOKUP(A64,'Trips&amp;Operators'!$C$1:$G$99999,5,FALSE)</f>
        <v>SHOOK JOHN</v>
      </c>
      <c r="M64" s="6">
        <f t="shared" si="40"/>
        <v>2.9212962966994382E-2</v>
      </c>
      <c r="N64" s="7">
        <f t="shared" si="41"/>
        <v>42.066666672471911</v>
      </c>
      <c r="O64" s="7"/>
      <c r="P64" s="7"/>
      <c r="Q64" s="22"/>
      <c r="R64" s="22"/>
      <c r="S64" s="31">
        <f t="shared" si="42"/>
        <v>1</v>
      </c>
      <c r="T64" s="46" t="str">
        <f t="shared" si="43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4"/>
        <v>https://d0f6bd738d7f1b3e5a7ca70fe4ff75f0.us-east-1.aws.found.io/app/kibana#/discover/Steve-Slow-Train-Analysis-(2080s-and-2083s)?_g=(refreshInterval:(display:Off,pause:!f,section:0,value:0),time:(from:'2017-03-06T09:42:08-0700',mode:absolute,to:'2017-03-06T12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187" t="str">
        <f t="shared" si="44"/>
        <v>N</v>
      </c>
      <c r="X64" s="187">
        <f t="shared" si="50"/>
        <v>1</v>
      </c>
      <c r="Y64" s="62">
        <f t="shared" si="45"/>
        <v>23.2987</v>
      </c>
      <c r="Z64" s="62">
        <f t="shared" si="46"/>
        <v>1.5599999999999999E-2</v>
      </c>
      <c r="AA64" s="62">
        <f t="shared" si="47"/>
        <v>23.283100000000001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48"/>
        <v>0152-06</v>
      </c>
      <c r="AE64" s="85" t="str">
        <f t="shared" si="1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64" s="82" t="str">
        <f t="shared" si="12"/>
        <v>"C:\Program Files (x86)\AstroGrep\AstroGrep.exe" /e /r /s /spath="%USERPROFILE%\AppData\Local\Temp\OnboardLogs" /stypes="app*4017*20170306*" /stext=" 18:.+((SYSTEM_STATE.+slice.+state.+changed )|(ment ac)|(multiple cpu faults)|(system.+state.+changed )|(\[timeout)|(PRM\|1\|D)|(kpr)|(kdp)|(\|lc)|(penalty))"</v>
      </c>
      <c r="AG64" s="1" t="str">
        <f t="shared" si="49"/>
        <v>EC</v>
      </c>
      <c r="AH64" s="86" t="str">
        <f t="shared" si="17"/>
        <v>"%USERPROFILE%\Documents\GitHub\eaglep3\Utilities\RefineRTDCRunTimes.py" --tripid 152-06 --locoid 4017 --swversion DE.1.0.9.0 --startMP 204:232987 --initTime 2017-03-06T10:42:08 --startdatetime 2017-03-06T10:56:15 --delay 1 --endMP 204:156 --enddatetime 2017-03-06T11:38:19 --enforcementcount 0 &gt;&gt;C:\Users\stu\Documents\GitHub\eaglep3-reporting\EC\2017-03-06-refined-times.txt</v>
      </c>
      <c r="AI6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{"issue":{"subject":"","project_id":79,"tracker_id":40,"status_id":1,"priority_id":2,"assigned_to_id":23,"start_date":"2017-03-06","description":"","custom_fields":[{"id":1,"name":"Subdivision","value":"EC"},{"id":4,"name":"Milepost","value":"0.0156"},{"id":17,"name":"Train ID","value":"152-06"},{"id":16,"name":"Locomotive ID","value":"4017"},{"id":130,"name":"Impact","value":""},{"id":150,"name":"Time of Event (Mountain Time)","value":"11:38:19"},{"id":151,"name":"Denver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9"/>
        <v>start /low /b %USERPROFILE%\Documents\GitHub\eaglep3\Utilities\DownloadLogsFromS3.py --loco 4017 --day 2017-03-06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571</v>
      </c>
      <c r="B65" s="7">
        <v>4002</v>
      </c>
      <c r="C65" s="21" t="s">
        <v>245</v>
      </c>
      <c r="D65" s="21" t="s">
        <v>299</v>
      </c>
      <c r="E65" s="13">
        <v>42800.425497685188</v>
      </c>
      <c r="F65" s="13">
        <v>42800.427245370367</v>
      </c>
      <c r="G65" s="7">
        <v>1</v>
      </c>
      <c r="H65" s="21" t="s">
        <v>811</v>
      </c>
      <c r="I65" s="13">
        <v>42800.45171296296</v>
      </c>
      <c r="J65" s="7">
        <v>0</v>
      </c>
      <c r="K65" s="98" t="str">
        <f t="shared" si="39"/>
        <v>4001/4002</v>
      </c>
      <c r="L65" s="21" t="str">
        <f>VLOOKUP(A65,'Trips&amp;Operators'!$C$1:$G$99999,5,FALSE)</f>
        <v>YORK EDGAR</v>
      </c>
      <c r="M65" s="6">
        <f t="shared" si="40"/>
        <v>2.4467592593282461E-2</v>
      </c>
      <c r="N65" s="7">
        <f t="shared" si="41"/>
        <v>35.233333334326744</v>
      </c>
      <c r="O65" s="7"/>
      <c r="P65" s="7"/>
      <c r="Q65" s="22"/>
      <c r="R65" s="22"/>
      <c r="S65" s="31">
        <f t="shared" si="42"/>
        <v>1</v>
      </c>
      <c r="T65" s="46" t="str">
        <f t="shared" si="43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4"/>
        <v>https://d0f6bd738d7f1b3e5a7ca70fe4ff75f0.us-east-1.aws.found.io/app/kibana#/discover/Steve-Slow-Train-Analysis-(2080s-and-2083s)?_g=(refreshInterval:(display:Off,pause:!f,section:0,value:0),time:(from:'2017-03-06T09:12:43-0700',mode:absolute,to:'2017-03-06T11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87" t="str">
        <f t="shared" si="44"/>
        <v>N</v>
      </c>
      <c r="X65" s="187">
        <f t="shared" si="50"/>
        <v>1</v>
      </c>
      <c r="Y65" s="62">
        <f t="shared" si="45"/>
        <v>4.7699999999999999E-2</v>
      </c>
      <c r="Z65" s="62">
        <f t="shared" si="46"/>
        <v>23.330500000000001</v>
      </c>
      <c r="AA65" s="62">
        <f t="shared" si="47"/>
        <v>23.282800000000002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48"/>
        <v>0153-06</v>
      </c>
      <c r="AE65" s="85" t="str">
        <f t="shared" si="11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65" s="82" t="str">
        <f t="shared" si="12"/>
        <v>"C:\Program Files (x86)\AstroGrep\AstroGrep.exe" /e /r /s /spath="%USERPROFILE%\AppData\Local\Temp\OnboardLogs" /stypes="app*4002*20170306*" /stext=" 17:.+((SYSTEM_STATE.+slice.+state.+changed )|(ment ac)|(multiple cpu faults)|(system.+state.+changed )|(\[timeout)|(PRM\|1\|D)|(kpr)|(kdp)|(\|lc)|(penalty))"</v>
      </c>
      <c r="AG65" s="1" t="str">
        <f t="shared" si="49"/>
        <v>EC</v>
      </c>
      <c r="AH65" s="86" t="str">
        <f t="shared" si="17"/>
        <v>"%USERPROFILE%\Documents\GitHub\eaglep3\Utilities\RefineRTDCRunTimes.py" --tripid 153-06 --locoid 4002 --swversion DE.1.0.9.0 --startMP 204:477 --initTime 2017-03-06T10:12:43 --startdatetime 2017-03-06T10:15:14 --delay 1 --endMP 204:233305 --enddatetime 2017-03-06T10:50:28 --enforcementcount 0 &gt;&gt;C:\Users\stu\Documents\GitHub\eaglep3-reporting\EC\2017-03-06-refined-times.txt</v>
      </c>
      <c r="AI6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{"issue":{"subject":"","project_id":79,"tracker_id":40,"status_id":1,"priority_id":2,"assigned_to_id":23,"start_date":"2017-03-06","description":"","custom_fields":[{"id":1,"name":"Subdivision","value":"EC"},{"id":4,"name":"Milepost","value":"23.3305"},{"id":17,"name":"Train ID","value":"153-06"},{"id":16,"name":"Locomotive ID","value":"4002"},{"id":130,"name":"Impact","value":""},{"id":150,"name":"Time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9"/>
        <v>start /low /b %USERPROFILE%\Documents\GitHub\eaglep3\Utilities\DownloadLogsFromS3.py --loco 4002 --day 2017-03-06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576</v>
      </c>
      <c r="B66" s="7">
        <v>4001</v>
      </c>
      <c r="C66" s="21" t="s">
        <v>245</v>
      </c>
      <c r="D66" s="21" t="s">
        <v>275</v>
      </c>
      <c r="E66" s="13">
        <v>42800.452824074076</v>
      </c>
      <c r="F66" s="13">
        <v>42800.467094907406</v>
      </c>
      <c r="G66" s="7">
        <v>0</v>
      </c>
      <c r="H66" s="21" t="s">
        <v>192</v>
      </c>
      <c r="I66" s="13">
        <v>42800.496539351851</v>
      </c>
      <c r="J66" s="7">
        <v>0</v>
      </c>
      <c r="K66" s="98" t="str">
        <f t="shared" si="39"/>
        <v>4001/4002</v>
      </c>
      <c r="L66" s="21" t="str">
        <f>VLOOKUP(A66,'Trips&amp;Operators'!$C$1:$G$99999,5,FALSE)</f>
        <v>YORK EDGAR</v>
      </c>
      <c r="M66" s="6">
        <f t="shared" si="40"/>
        <v>2.9444444444379769E-2</v>
      </c>
      <c r="N66" s="7">
        <f t="shared" si="41"/>
        <v>42.399999999906868</v>
      </c>
      <c r="O66" s="7"/>
      <c r="P66" s="7"/>
      <c r="Q66" s="22"/>
      <c r="R66" s="22"/>
      <c r="S66" s="31">
        <f t="shared" si="42"/>
        <v>1</v>
      </c>
      <c r="T66" s="46" t="str">
        <f t="shared" si="43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4"/>
        <v>https://d0f6bd738d7f1b3e5a7ca70fe4ff75f0.us-east-1.aws.found.io/app/kibana#/discover/Steve-Slow-Train-Analysis-(2080s-and-2083s)?_g=(refreshInterval:(display:Off,pause:!f,section:0,value:0),time:(from:'2017-03-06T09:52:04-0700',mode:absolute,to:'2017-03-06T12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87" t="str">
        <f t="shared" si="44"/>
        <v>N</v>
      </c>
      <c r="X66" s="187">
        <f t="shared" si="50"/>
        <v>1</v>
      </c>
      <c r="Y66" s="62">
        <f t="shared" si="45"/>
        <v>23.297499999999999</v>
      </c>
      <c r="Z66" s="62">
        <f t="shared" si="46"/>
        <v>1.4999999999999999E-2</v>
      </c>
      <c r="AA66" s="62">
        <f t="shared" si="47"/>
        <v>23.282499999999999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48"/>
        <v>0154-06</v>
      </c>
      <c r="AE66" s="85" t="str">
        <f t="shared" si="11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66" s="82" t="str">
        <f t="shared" si="12"/>
        <v>"C:\Program Files (x86)\AstroGrep\AstroGrep.exe" /e /r /s /spath="%USERPROFILE%\AppData\Local\Temp\OnboardLogs" /stypes="app*4001*20170306*" /stext=" 18:.+((SYSTEM_STATE.+slice.+state.+changed )|(ment ac)|(multiple cpu faults)|(system.+state.+changed )|(\[timeout)|(PRM\|1\|D)|(kpr)|(kdp)|(\|lc)|(penalty))"</v>
      </c>
      <c r="AG66" s="1" t="str">
        <f t="shared" si="49"/>
        <v>EC</v>
      </c>
      <c r="AH66" s="86" t="str">
        <f t="shared" si="17"/>
        <v>"%USERPROFILE%\Documents\GitHub\eaglep3\Utilities\RefineRTDCRunTimes.py" --tripid 154-06 --locoid 4001 --swversion DE.1.0.9.0 --startMP 204:232975 --initTime 2017-03-06T10:52:04 --startdatetime 2017-03-06T11:12:37 --delay 0 --endMP 204:150 --enddatetime 2017-03-06T11:55:01 --enforcementcount 0 &gt;&gt;C:\Users\stu\Documents\GitHub\eaglep3-reporting\EC\2017-03-06-refined-times.txt</v>
      </c>
      <c r="AI6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ID","value":"154-06"},{"id":16,"name":"Locomotive ID","value":"4001"},{"id":130,"name":"Impact","value":""},{"id":150,"name":"Time of Event (Mountain Time)","value":"11:55:01"},{"id":151,"name":"Denver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9"/>
        <v>start /low /b %USERPROFILE%\Documents\GitHub\eaglep3\Utilities\DownloadLogsFromS3.py --loco 4001 --day 2017-03-06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671</v>
      </c>
      <c r="B67" s="7">
        <v>4022</v>
      </c>
      <c r="C67" s="21" t="s">
        <v>245</v>
      </c>
      <c r="D67" s="21" t="s">
        <v>220</v>
      </c>
      <c r="E67" s="13">
        <v>42800.434340277781</v>
      </c>
      <c r="F67" s="13">
        <v>42800.437708333331</v>
      </c>
      <c r="G67" s="7">
        <v>2</v>
      </c>
      <c r="H67" s="21" t="s">
        <v>268</v>
      </c>
      <c r="I67" s="13">
        <v>42800.463912037034</v>
      </c>
      <c r="J67" s="7">
        <v>0</v>
      </c>
      <c r="K67" s="98" t="str">
        <f t="shared" si="39"/>
        <v>4021/4022</v>
      </c>
      <c r="L67" s="21" t="str">
        <f>VLOOKUP(A67,'Trips&amp;Operators'!$C$1:$G$99999,5,FALSE)</f>
        <v>DAVIS WENDY</v>
      </c>
      <c r="M67" s="6">
        <f t="shared" si="40"/>
        <v>2.6203703702776693E-2</v>
      </c>
      <c r="N67" s="7">
        <f t="shared" si="41"/>
        <v>37.733333331998438</v>
      </c>
      <c r="O67" s="7"/>
      <c r="P67" s="7"/>
      <c r="Q67" s="22"/>
      <c r="R67" s="22"/>
      <c r="S67" s="31">
        <f t="shared" si="42"/>
        <v>1</v>
      </c>
      <c r="T67" s="46" t="str">
        <f t="shared" si="43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4"/>
        <v>https://d0f6bd738d7f1b3e5a7ca70fe4ff75f0.us-east-1.aws.found.io/app/kibana#/discover/Steve-Slow-Train-Analysis-(2080s-and-2083s)?_g=(refreshInterval:(display:Off,pause:!f,section:0,value:0),time:(from:'2017-03-06T09:25:27-0700',mode:absolute,to:'2017-03-06T12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87" t="str">
        <f t="shared" si="44"/>
        <v>N</v>
      </c>
      <c r="X67" s="187">
        <f t="shared" si="50"/>
        <v>1</v>
      </c>
      <c r="Y67" s="62">
        <f t="shared" si="45"/>
        <v>4.5999999999999999E-2</v>
      </c>
      <c r="Z67" s="62">
        <f t="shared" si="46"/>
        <v>23.331199999999999</v>
      </c>
      <c r="AA67" s="62">
        <f t="shared" si="47"/>
        <v>23.2852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48"/>
        <v>0155-06</v>
      </c>
      <c r="AE67" s="85" t="str">
        <f t="shared" si="1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67" s="82" t="str">
        <f t="shared" si="12"/>
        <v>"C:\Program Files (x86)\AstroGrep\AstroGrep.exe" /e /r /s /spath="%USERPROFILE%\AppData\Local\Temp\OnboardLogs" /stypes="app*4022*20170306*" /stext=" 18:.+((SYSTEM_STATE.+slice.+state.+changed )|(ment ac)|(multiple cpu faults)|(system.+state.+changed )|(\[timeout)|(PRM\|1\|D)|(kpr)|(kdp)|(\|lc)|(penalty))"</v>
      </c>
      <c r="AG67" s="1" t="str">
        <f t="shared" si="49"/>
        <v>EC</v>
      </c>
      <c r="AH67" s="86" t="str">
        <f t="shared" si="17"/>
        <v>"%USERPROFILE%\Documents\GitHub\eaglep3\Utilities\RefineRTDCRunTimes.py" --tripid 155-06 --locoid 4022 --swversion DE.1.0.9.0 --startMP 204:460 --initTime 2017-03-06T10:25:27 --startdatetime 2017-03-06T10:30:18 --delay 2 --endMP 204:233312 --enddatetime 2017-03-06T11:08:02 --enforcementcount 0 &gt;&gt;C:\Users\stu\Documents\GitHub\eaglep3-reporting\EC\2017-03-06-refined-times.txt</v>
      </c>
      <c r="AI6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{"issue":{"subject":"","project_id":79,"tracker_id":40,"status_id":1,"priority_id":2,"assigned_to_id":23,"start_date":"2017-03-06","description":"","custom_fields":[{"id":1,"name":"Subdivision","value":"EC"},{"id":4,"name":"Milepost","value":"23.3312"},{"id":17,"name":"Train ID","value":"155-06"},{"id":16,"name":"Locomotive ID","value":"4022"},{"id":130,"name":"Impact","value":""},{"id":150,"name":"Time of Event (Mountain Time)","value":"11:08:02"},{"id":151,"name":"Denver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9"/>
        <v>start /low /b %USERPROFILE%\Documents\GitHub\eaglep3\Utilities\DownloadLogsFromS3.py --loco 4022 --day 2017-03-06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677</v>
      </c>
      <c r="B68" s="7">
        <v>4021</v>
      </c>
      <c r="C68" s="21" t="s">
        <v>245</v>
      </c>
      <c r="D68" s="21" t="s">
        <v>812</v>
      </c>
      <c r="E68" s="13">
        <v>42800.473749999997</v>
      </c>
      <c r="F68" s="13">
        <v>42800.476574074077</v>
      </c>
      <c r="G68" s="7">
        <v>1</v>
      </c>
      <c r="H68" s="21" t="s">
        <v>526</v>
      </c>
      <c r="I68" s="13">
        <v>42800.508310185185</v>
      </c>
      <c r="J68" s="7">
        <v>0</v>
      </c>
      <c r="K68" s="98" t="str">
        <f t="shared" si="39"/>
        <v>4021/4022</v>
      </c>
      <c r="L68" s="21" t="str">
        <f>VLOOKUP(A68,'Trips&amp;Operators'!$C$1:$G$99999,5,FALSE)</f>
        <v>DAVIS WENDY</v>
      </c>
      <c r="M68" s="6">
        <f t="shared" si="40"/>
        <v>3.1736111108330078E-2</v>
      </c>
      <c r="N68" s="7">
        <f t="shared" si="41"/>
        <v>45.699999995995313</v>
      </c>
      <c r="O68" s="7"/>
      <c r="P68" s="7"/>
      <c r="Q68" s="22"/>
      <c r="R68" s="22"/>
      <c r="S68" s="31">
        <f t="shared" si="42"/>
        <v>1</v>
      </c>
      <c r="T68" s="46" t="str">
        <f t="shared" si="43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4"/>
        <v>https://d0f6bd738d7f1b3e5a7ca70fe4ff75f0.us-east-1.aws.found.io/app/kibana#/discover/Steve-Slow-Train-Analysis-(2080s-and-2083s)?_g=(refreshInterval:(display:Off,pause:!f,section:0,value:0),time:(from:'2017-03-06T10:22:12-0700',mode:absolute,to:'2017-03-06T13:11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87" t="str">
        <f t="shared" si="44"/>
        <v>N</v>
      </c>
      <c r="X68" s="187">
        <f t="shared" si="50"/>
        <v>1</v>
      </c>
      <c r="Y68" s="62">
        <f t="shared" si="45"/>
        <v>23.300999999999998</v>
      </c>
      <c r="Z68" s="62">
        <f t="shared" si="46"/>
        <v>1.6E-2</v>
      </c>
      <c r="AA68" s="62">
        <f t="shared" si="47"/>
        <v>23.285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48"/>
        <v>0156-06</v>
      </c>
      <c r="AE68" s="85" t="str">
        <f t="shared" si="1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68" s="82" t="str">
        <f t="shared" si="12"/>
        <v>"C:\Program Files (x86)\AstroGrep\AstroGrep.exe" /e /r /s /spath="%USERPROFILE%\AppData\Local\Temp\OnboardLogs" /stypes="app*4021*20170306*" /stext=" 19:.+((SYSTEM_STATE.+slice.+state.+changed )|(ment ac)|(multiple cpu faults)|(system.+state.+changed )|(\[timeout)|(PRM\|1\|D)|(kpr)|(kdp)|(\|lc)|(penalty))"</v>
      </c>
      <c r="AG68" s="1" t="str">
        <f t="shared" si="49"/>
        <v>EC</v>
      </c>
      <c r="AH68" s="86" t="str">
        <f t="shared" si="17"/>
        <v>"%USERPROFILE%\Documents\GitHub\eaglep3\Utilities\RefineRTDCRunTimes.py" --tripid 156-06 --locoid 4021 --swversion DE.1.0.9.0 --startMP 204:233010 --initTime 2017-03-06T11:22:12 --startdatetime 2017-03-06T11:26:16 --delay 1 --endMP 204:160 --enddatetime 2017-03-06T12:11:58 --enforcementcount 0 &gt;&gt;C:\Users\stu\Documents\GitHub\eaglep3-reporting\EC\2017-03-06-refined-times.txt</v>
      </c>
      <c r="AI6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ID","value":"156-06"},{"id":16,"name":"Locomotive ID","value":"4021"},{"id":130,"name":"Impact","value":""},{"id":150,"name":"Time of Event (Mountain Time)","value":"12:11:58"},{"id":151,"name":"Denver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9"/>
        <v>start /low /b %USERPROFILE%\Documents\GitHub\eaglep3\Utilities\DownloadLogsFromS3.py --loco 4021 --day 2017-03-06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574</v>
      </c>
      <c r="B69" s="7">
        <v>4003</v>
      </c>
      <c r="C69" s="21" t="s">
        <v>245</v>
      </c>
      <c r="D69" s="21" t="s">
        <v>813</v>
      </c>
      <c r="E69" s="13">
        <v>42800.443993055553</v>
      </c>
      <c r="F69" s="13">
        <v>42800.448067129626</v>
      </c>
      <c r="G69" s="7">
        <v>1</v>
      </c>
      <c r="H69" s="21" t="s">
        <v>814</v>
      </c>
      <c r="I69" s="13">
        <v>42800.473414351851</v>
      </c>
      <c r="J69" s="7">
        <v>0</v>
      </c>
      <c r="K69" s="98" t="str">
        <f t="shared" si="39"/>
        <v>4003/4004</v>
      </c>
      <c r="L69" s="21" t="str">
        <f>VLOOKUP(A69,'Trips&amp;Operators'!$C$1:$G$99999,5,FALSE)</f>
        <v>ROBINSON KADDIBA</v>
      </c>
      <c r="M69" s="6">
        <f t="shared" si="40"/>
        <v>2.5347222224809229E-2</v>
      </c>
      <c r="N69" s="7">
        <f t="shared" si="41"/>
        <v>36.50000000372529</v>
      </c>
      <c r="O69" s="7"/>
      <c r="P69" s="7"/>
      <c r="Q69" s="22"/>
      <c r="R69" s="22"/>
      <c r="S69" s="31">
        <f t="shared" si="42"/>
        <v>1</v>
      </c>
      <c r="T69" s="46" t="str">
        <f t="shared" si="43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4"/>
        <v>https://d0f6bd738d7f1b3e5a7ca70fe4ff75f0.us-east-1.aws.found.io/app/kibana#/discover/Steve-Slow-Train-Analysis-(2080s-and-2083s)?_g=(refreshInterval:(display:Off,pause:!f,section:0,value:0),time:(from:'2017-03-06T09:39:21-0700',mode:absolute,to:'2017-03-06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9" s="187" t="str">
        <f t="shared" si="44"/>
        <v>N</v>
      </c>
      <c r="X69" s="187">
        <f t="shared" si="50"/>
        <v>1</v>
      </c>
      <c r="Y69" s="62">
        <f t="shared" si="45"/>
        <v>4.7500000000000001E-2</v>
      </c>
      <c r="Z69" s="62">
        <f t="shared" si="46"/>
        <v>23.3278</v>
      </c>
      <c r="AA69" s="62">
        <f t="shared" si="47"/>
        <v>23.2803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48"/>
        <v>0157-06</v>
      </c>
      <c r="AE69" s="85" t="str">
        <f t="shared" si="11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69" s="82" t="str">
        <f t="shared" si="12"/>
        <v>"C:\Program Files (x86)\AstroGrep\AstroGrep.exe" /e /r /s /spath="%USERPROFILE%\AppData\Local\Temp\OnboardLogs" /stypes="app*4003*20170306*" /stext=" 18:.+((SYSTEM_STATE.+slice.+state.+changed )|(ment ac)|(multiple cpu faults)|(system.+state.+changed )|(\[timeout)|(PRM\|1\|D)|(kpr)|(kdp)|(\|lc)|(penalty))"</v>
      </c>
      <c r="AG69" s="1" t="str">
        <f t="shared" si="49"/>
        <v>EC</v>
      </c>
      <c r="AH69" s="86" t="str">
        <f t="shared" si="17"/>
        <v>"%USERPROFILE%\Documents\GitHub\eaglep3\Utilities\RefineRTDCRunTimes.py" --tripid 157-06 --locoid 4003 --swversion DE.1.0.9.0 --startMP 204:475 --initTime 2017-03-06T10:39:21 --startdatetime 2017-03-06T10:45:13 --delay 1 --endMP 204:233278 --enddatetime 2017-03-06T11:21:43 --enforcementcount 0 &gt;&gt;C:\Users\stu\Documents\GitHub\eaglep3-reporting\EC\2017-03-06-refined-times.txt</v>
      </c>
      <c r="AI6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{"issue":{"subject":"","project_id":79,"tracker_id":40,"status_id":1,"priority_id":2,"assigned_to_id":23,"start_date":"2017-03-06","description":"","custom_fields":[{"id":1,"name":"Subdivision","value":"EC"},{"id":4,"name":"Milepost","value":"23.3278"},{"id":17,"name":"Train ID","value":"157-06"},{"id":16,"name":"Locomotive ID","value":"4003"},{"id":130,"name":"Impact","value":""},{"id":150,"name":"Time of Event (Mountain Time)","value":"11:21:43"},{"id":151,"name":"Denver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19"/>
        <v>start /low /b %USERPROFILE%\Documents\GitHub\eaglep3\Utilities\DownloadLogsFromS3.py --loco 4003 --day 2017-03-06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680</v>
      </c>
      <c r="B70" s="7">
        <v>4004</v>
      </c>
      <c r="C70" s="21" t="s">
        <v>245</v>
      </c>
      <c r="D70" s="21" t="s">
        <v>295</v>
      </c>
      <c r="E70" s="13">
        <v>42800.48337962963</v>
      </c>
      <c r="F70" s="13">
        <v>42800.486666666664</v>
      </c>
      <c r="G70" s="7">
        <v>1</v>
      </c>
      <c r="H70" s="21" t="s">
        <v>235</v>
      </c>
      <c r="I70" s="13">
        <v>42800.518425925926</v>
      </c>
      <c r="J70" s="7">
        <v>0</v>
      </c>
      <c r="K70" s="98" t="str">
        <f t="shared" si="39"/>
        <v>4003/4004</v>
      </c>
      <c r="L70" s="21" t="str">
        <f>VLOOKUP(A70,'Trips&amp;Operators'!$C$1:$G$99999,5,FALSE)</f>
        <v>ROBINSON KADDIBA</v>
      </c>
      <c r="M70" s="6">
        <f t="shared" si="40"/>
        <v>3.1759259261889383E-2</v>
      </c>
      <c r="N70" s="7">
        <f t="shared" si="41"/>
        <v>45.733333337120712</v>
      </c>
      <c r="O70" s="7"/>
      <c r="P70" s="7"/>
      <c r="Q70" s="22"/>
      <c r="R70" s="22"/>
      <c r="S70" s="31">
        <f t="shared" si="42"/>
        <v>1</v>
      </c>
      <c r="T70" s="46" t="str">
        <f t="shared" si="43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4"/>
        <v>https://d0f6bd738d7f1b3e5a7ca70fe4ff75f0.us-east-1.aws.found.io/app/kibana#/discover/Steve-Slow-Train-Analysis-(2080s-and-2083s)?_g=(refreshInterval:(display:Off,pause:!f,section:0,value:0),time:(from:'2017-03-06T10:36:04-0700',mode:absolute,to:'2017-03-06T13:26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87" t="str">
        <f t="shared" si="44"/>
        <v>N</v>
      </c>
      <c r="X70" s="187">
        <f t="shared" si="50"/>
        <v>1</v>
      </c>
      <c r="Y70" s="62">
        <f t="shared" si="45"/>
        <v>23.2986</v>
      </c>
      <c r="Z70" s="62">
        <f t="shared" si="46"/>
        <v>1.5599999999999999E-2</v>
      </c>
      <c r="AA70" s="62">
        <f t="shared" si="47"/>
        <v>23.283000000000001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48"/>
        <v>0158-06</v>
      </c>
      <c r="AE70" s="85" t="str">
        <f t="shared" si="11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70" s="82" t="str">
        <f t="shared" si="12"/>
        <v>"C:\Program Files (x86)\AstroGrep\AstroGrep.exe" /e /r /s /spath="%USERPROFILE%\AppData\Local\Temp\OnboardLogs" /stypes="app*4004*20170306*" /stext=" 19:.+((SYSTEM_STATE.+slice.+state.+changed )|(ment ac)|(multiple cpu faults)|(system.+state.+changed )|(\[timeout)|(PRM\|1\|D)|(kpr)|(kdp)|(\|lc)|(penalty))"</v>
      </c>
      <c r="AG70" s="1" t="str">
        <f t="shared" si="49"/>
        <v>EC</v>
      </c>
      <c r="AH70" s="86" t="str">
        <f t="shared" si="17"/>
        <v>"%USERPROFILE%\Documents\GitHub\eaglep3\Utilities\RefineRTDCRunTimes.py" --tripid 158-06 --locoid 4004 --swversion DE.1.0.9.0 --startMP 204:232986 --initTime 2017-03-06T11:36:04 --startdatetime 2017-03-06T11:40:48 --delay 1 --endMP 204:156 --enddatetime 2017-03-06T12:26:32 --enforcementcount 0 &gt;&gt;C:\Users\stu\Documents\GitHub\eaglep3-reporting\EC\2017-03-06-refined-times.txt</v>
      </c>
      <c r="AI7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{"issue":{"subject":"","project_id":79,"tracker_id":40,"status_id":1,"priority_id":2,"assigned_to_id":23,"start_date":"2017-03-06","description":"","custom_fields":[{"id":1,"name":"Subdivision","value":"EC"},{"id":4,"name":"Milepost","value":"0.0156"},{"id":17,"name":"Train ID","value":"158-06"},{"id":16,"name":"Locomotive ID","value":"4004"},{"id":130,"name":"Impact","value":""},{"id":150,"name":"Time of Event (Mountain Time)","value":"12:26:32"},{"id":151,"name":"Denver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9"/>
        <v>start /low /b %USERPROFILE%\Documents\GitHub\eaglep3\Utilities\DownloadLogsFromS3.py --loco 4004 --day 2017-03-06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675</v>
      </c>
      <c r="B71" s="7">
        <v>4046</v>
      </c>
      <c r="C71" s="21" t="s">
        <v>245</v>
      </c>
      <c r="D71" s="21" t="s">
        <v>312</v>
      </c>
      <c r="E71" s="13">
        <v>42800.454884259256</v>
      </c>
      <c r="F71" s="13">
        <v>42800.458715277775</v>
      </c>
      <c r="G71" s="7">
        <v>2</v>
      </c>
      <c r="H71" s="21" t="s">
        <v>815</v>
      </c>
      <c r="I71" s="13">
        <v>42800.483958333331</v>
      </c>
      <c r="J71" s="7">
        <v>0</v>
      </c>
      <c r="K71" s="98" t="str">
        <f t="shared" si="39"/>
        <v>4045/4046</v>
      </c>
      <c r="L71" s="21" t="str">
        <f>VLOOKUP(A71,'Trips&amp;Operators'!$C$1:$G$99999,5,FALSE)</f>
        <v>STEWART MICHAEL</v>
      </c>
      <c r="M71" s="6">
        <f t="shared" si="40"/>
        <v>2.5243055555620231E-2</v>
      </c>
      <c r="N71" s="7">
        <f t="shared" si="41"/>
        <v>36.350000000093132</v>
      </c>
      <c r="O71" s="7"/>
      <c r="P71" s="7"/>
      <c r="Q71" s="22"/>
      <c r="R71" s="22"/>
      <c r="S71" s="31">
        <f t="shared" si="42"/>
        <v>1</v>
      </c>
      <c r="T71" s="46" t="str">
        <f t="shared" si="43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4"/>
        <v>https://d0f6bd738d7f1b3e5a7ca70fe4ff75f0.us-east-1.aws.found.io/app/kibana#/discover/Steve-Slow-Train-Analysis-(2080s-and-2083s)?_g=(refreshInterval:(display:Off,pause:!f,section:0,value:0),time:(from:'2017-03-06T09:55:02-0700',mode:absolute,to:'2017-03-06T12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87" t="str">
        <f t="shared" si="44"/>
        <v>N</v>
      </c>
      <c r="X71" s="187">
        <f t="shared" si="50"/>
        <v>1</v>
      </c>
      <c r="Y71" s="62">
        <f t="shared" si="45"/>
        <v>4.6899999999999997E-2</v>
      </c>
      <c r="Z71" s="62">
        <f t="shared" si="46"/>
        <v>23.330200000000001</v>
      </c>
      <c r="AA71" s="62">
        <f t="shared" si="47"/>
        <v>23.283300000000001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48"/>
        <v>0159-06</v>
      </c>
      <c r="AE71" s="85" t="str">
        <f t="shared" si="1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71" s="82" t="str">
        <f t="shared" si="12"/>
        <v>"C:\Program Files (x86)\AstroGrep\AstroGrep.exe" /e /r /s /spath="%USERPROFILE%\AppData\Local\Temp\OnboardLogs" /stypes="app*4046*20170306*" /stext=" 18:.+((SYSTEM_STATE.+slice.+state.+changed )|(ment ac)|(multiple cpu faults)|(system.+state.+changed )|(\[timeout)|(PRM\|1\|D)|(kpr)|(kdp)|(\|lc)|(penalty))"</v>
      </c>
      <c r="AG71" s="1" t="str">
        <f t="shared" si="49"/>
        <v>EC</v>
      </c>
      <c r="AH71" s="86" t="str">
        <f t="shared" si="17"/>
        <v>"%USERPROFILE%\Documents\GitHub\eaglep3\Utilities\RefineRTDCRunTimes.py" --tripid 159-06 --locoid 4046 --swversion DE.1.0.9.0 --startMP 204:469 --initTime 2017-03-06T10:55:02 --startdatetime 2017-03-06T11:00:33 --delay 2 --endMP 204:233302 --enddatetime 2017-03-06T11:36:54 --enforcementcount 0 &gt;&gt;C:\Users\stu\Documents\GitHub\eaglep3-reporting\EC\2017-03-06-refined-times.txt</v>
      </c>
      <c r="AI7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{"issue":{"subject":"","project_id":79,"tracker_id":40,"status_id":1,"priority_id":2,"assigned_to_id":23,"start_date":"2017-03-06","description":"","custom_fields":[{"id":1,"name":"Subdivision","value":"EC"},{"id":4,"name":"Milepost","value":"23.3302"},{"id":17,"name":"Train ID","value":"159-06"},{"id":16,"name":"Locomotive ID","value":"4046"},{"id":130,"name":"Impact","value":""},{"id":150,"name":"Time of Event (Mountain Time)","value":"11:36:54"},{"id":151,"name":"Denver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9"/>
        <v>start /low /b %USERPROFILE%\Documents\GitHub\eaglep3\Utilities\DownloadLogsFromS3.py --loco 4046 --day 2017-03-06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684</v>
      </c>
      <c r="B72" s="7">
        <v>4045</v>
      </c>
      <c r="C72" s="21" t="s">
        <v>245</v>
      </c>
      <c r="D72" s="21" t="s">
        <v>816</v>
      </c>
      <c r="E72" s="13">
        <v>42800.493807870371</v>
      </c>
      <c r="F72" s="13">
        <v>42800.497465277775</v>
      </c>
      <c r="G72" s="7">
        <v>2</v>
      </c>
      <c r="H72" s="21" t="s">
        <v>184</v>
      </c>
      <c r="I72" s="13">
        <v>42800.528773148151</v>
      </c>
      <c r="J72" s="7">
        <v>0</v>
      </c>
      <c r="K72" s="98" t="str">
        <f t="shared" si="39"/>
        <v>4045/4046</v>
      </c>
      <c r="L72" s="21" t="str">
        <f>VLOOKUP(A72,'Trips&amp;Operators'!$C$1:$G$99999,5,FALSE)</f>
        <v>STEWART MICHAEL</v>
      </c>
      <c r="M72" s="6">
        <f t="shared" si="40"/>
        <v>3.1307870376622304E-2</v>
      </c>
      <c r="N72" s="7">
        <f t="shared" si="41"/>
        <v>45.083333342336118</v>
      </c>
      <c r="O72" s="7"/>
      <c r="P72" s="7"/>
      <c r="Q72" s="22"/>
      <c r="R72" s="22"/>
      <c r="S72" s="31">
        <f t="shared" si="42"/>
        <v>1</v>
      </c>
      <c r="T72" s="46" t="str">
        <f t="shared" si="43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4"/>
        <v>https://d0f6bd738d7f1b3e5a7ca70fe4ff75f0.us-east-1.aws.found.io/app/kibana#/discover/Steve-Slow-Train-Analysis-(2080s-and-2083s)?_g=(refreshInterval:(display:Off,pause:!f,section:0,value:0),time:(from:'2017-03-06T10:51:05-0700',mode:absolute,to:'2017-03-06T13:41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87" t="str">
        <f t="shared" si="44"/>
        <v>N</v>
      </c>
      <c r="X72" s="187">
        <f t="shared" si="50"/>
        <v>1</v>
      </c>
      <c r="Y72" s="62">
        <f t="shared" si="45"/>
        <v>23.298100000000002</v>
      </c>
      <c r="Z72" s="62">
        <f t="shared" si="46"/>
        <v>1.49E-2</v>
      </c>
      <c r="AA72" s="62">
        <f t="shared" si="47"/>
        <v>23.283200000000001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48"/>
        <v>0160-06</v>
      </c>
      <c r="AE72" s="85" t="str">
        <f t="shared" si="1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72" s="82" t="str">
        <f t="shared" si="12"/>
        <v>"C:\Program Files (x86)\AstroGrep\AstroGrep.exe" /e /r /s /spath="%USERPROFILE%\AppData\Local\Temp\OnboardLogs" /stypes="app*4045*20170306*" /stext=" 19:.+((SYSTEM_STATE.+slice.+state.+changed )|(ment ac)|(multiple cpu faults)|(system.+state.+changed )|(\[timeout)|(PRM\|1\|D)|(kpr)|(kdp)|(\|lc)|(penalty))"</v>
      </c>
      <c r="AG72" s="1" t="str">
        <f t="shared" si="49"/>
        <v>EC</v>
      </c>
      <c r="AH72" s="86" t="str">
        <f t="shared" si="17"/>
        <v>"%USERPROFILE%\Documents\GitHub\eaglep3\Utilities\RefineRTDCRunTimes.py" --tripid 160-06 --locoid 4045 --swversion DE.1.0.9.0 --startMP 204:232981 --initTime 2017-03-06T11:51:05 --startdatetime 2017-03-06T11:56:21 --delay 2 --endMP 204:149 --enddatetime 2017-03-06T12:41:26 --enforcementcount 0 &gt;&gt;C:\Users\stu\Documents\GitHub\eaglep3-reporting\EC\2017-03-06-refined-times.txt</v>
      </c>
      <c r="AI7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ID","value":"160-06"},{"id":16,"name":"Locomotive ID","value":"4045"},{"id":130,"name":"Impact","value":""},{"id":150,"name":"Time of Event (Mountain Time)","value":"12:41:26"},{"id":151,"name":"Denver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9"/>
        <v>start /low /b %USERPROFILE%\Documents\GitHub\eaglep3\Utilities\DownloadLogsFromS3.py --loco 4045 --day 2017-03-06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676</v>
      </c>
      <c r="B73" s="7">
        <v>4020</v>
      </c>
      <c r="C73" s="21" t="s">
        <v>245</v>
      </c>
      <c r="D73" s="21" t="s">
        <v>309</v>
      </c>
      <c r="E73" s="13">
        <v>42800.467141203706</v>
      </c>
      <c r="F73" s="13">
        <v>42800.470347222225</v>
      </c>
      <c r="G73" s="7">
        <v>2</v>
      </c>
      <c r="H73" s="21" t="s">
        <v>817</v>
      </c>
      <c r="I73" s="13">
        <v>42800.497303240743</v>
      </c>
      <c r="J73" s="7">
        <v>0</v>
      </c>
      <c r="K73" s="98" t="str">
        <f t="shared" si="39"/>
        <v>4019/4020</v>
      </c>
      <c r="L73" s="21" t="str">
        <f>VLOOKUP(A73,'Trips&amp;Operators'!$C$1:$G$99999,5,FALSE)</f>
        <v>DAVIS MICHAEL</v>
      </c>
      <c r="M73" s="6">
        <f t="shared" si="40"/>
        <v>2.6956018518831115E-2</v>
      </c>
      <c r="N73" s="7">
        <f t="shared" si="41"/>
        <v>38.816666667116806</v>
      </c>
      <c r="O73" s="7"/>
      <c r="P73" s="7"/>
      <c r="Q73" s="22"/>
      <c r="R73" s="22"/>
      <c r="S73" s="31">
        <f t="shared" si="42"/>
        <v>1</v>
      </c>
      <c r="T73" s="46" t="str">
        <f t="shared" si="43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4"/>
        <v>https://d0f6bd738d7f1b3e5a7ca70fe4ff75f0.us-east-1.aws.found.io/app/kibana#/discover/Steve-Slow-Train-Analysis-(2080s-and-2083s)?_g=(refreshInterval:(display:Off,pause:!f,section:0,value:0),time:(from:'2017-03-06T10:12:41-0700',mode:absolute,to:'2017-03-06T12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87" t="str">
        <f t="shared" si="44"/>
        <v>N</v>
      </c>
      <c r="X73" s="187">
        <f t="shared" si="50"/>
        <v>1</v>
      </c>
      <c r="Y73" s="62">
        <f t="shared" si="45"/>
        <v>4.7800000000000002E-2</v>
      </c>
      <c r="Z73" s="62">
        <f t="shared" si="46"/>
        <v>23.332599999999999</v>
      </c>
      <c r="AA73" s="62">
        <f t="shared" si="47"/>
        <v>23.284800000000001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48"/>
        <v>0161-06</v>
      </c>
      <c r="AE73" s="85" t="str">
        <f t="shared" si="11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73" s="82" t="str">
        <f t="shared" si="12"/>
        <v>"C:\Program Files (x86)\AstroGrep\AstroGrep.exe" /e /r /s /spath="%USERPROFILE%\AppData\Local\Temp\OnboardLogs" /stypes="app*4020*20170306*" /stext=" 18:.+((SYSTEM_STATE.+slice.+state.+changed )|(ment ac)|(multiple cpu faults)|(system.+state.+changed )|(\[timeout)|(PRM\|1\|D)|(kpr)|(kdp)|(\|lc)|(penalty))"</v>
      </c>
      <c r="AG73" s="1" t="str">
        <f t="shared" si="49"/>
        <v>EC</v>
      </c>
      <c r="AH73" s="86" t="str">
        <f t="shared" si="17"/>
        <v>"%USERPROFILE%\Documents\GitHub\eaglep3\Utilities\RefineRTDCRunTimes.py" --tripid 161-06 --locoid 4020 --swversion DE.1.0.9.0 --startMP 204:478 --initTime 2017-03-06T11:12:41 --startdatetime 2017-03-06T11:17:18 --delay 2 --endMP 204:233326 --enddatetime 2017-03-06T11:56:07 --enforcementcount 0 &gt;&gt;C:\Users\stu\Documents\GitHub\eaglep3-reporting\EC\2017-03-06-refined-times.txt</v>
      </c>
      <c r="AI7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{"issue":{"subject":"","project_id":79,"tracker_id":40,"status_id":1,"priority_id":2,"assigned_to_id":23,"start_date":"2017-03-06","description":"","custom_fields":[{"id":1,"name":"Subdivision","value":"EC"},{"id":4,"name":"Milepost","value":"23.3326"},{"id":17,"name":"Train ID","value":"161-06"},{"id":16,"name":"Locomotive ID","value":"4020"},{"id":130,"name":"Impact","value":""},{"id":150,"name":"Time of Event (Mountain Time)","value":"11:56:07"},{"id":151,"name":"Denver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9"/>
        <v>start /low /b %USERPROFILE%\Documents\GitHub\eaglep3\Utilities\DownloadLogsFromS3.py --loco 4020 --day 2017-03-06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687</v>
      </c>
      <c r="B74" s="7">
        <v>4019</v>
      </c>
      <c r="C74" s="21" t="s">
        <v>245</v>
      </c>
      <c r="D74" s="21" t="s">
        <v>275</v>
      </c>
      <c r="E74" s="13">
        <v>42800.506145833337</v>
      </c>
      <c r="F74" s="13">
        <v>42800.508946759262</v>
      </c>
      <c r="G74" s="7">
        <v>1</v>
      </c>
      <c r="H74" s="21" t="s">
        <v>818</v>
      </c>
      <c r="I74" s="13">
        <v>42800.540497685186</v>
      </c>
      <c r="J74" s="7">
        <v>0</v>
      </c>
      <c r="K74" s="98" t="str">
        <f t="shared" si="39"/>
        <v>4019/4020</v>
      </c>
      <c r="L74" s="21" t="str">
        <f>VLOOKUP(A74,'Trips&amp;Operators'!$C$1:$G$99999,5,FALSE)</f>
        <v>DAVIS MICHAEL</v>
      </c>
      <c r="M74" s="6">
        <f t="shared" si="40"/>
        <v>3.1550925923511386E-2</v>
      </c>
      <c r="N74" s="7">
        <f t="shared" si="41"/>
        <v>45.433333329856396</v>
      </c>
      <c r="O74" s="7"/>
      <c r="P74" s="7"/>
      <c r="Q74" s="22"/>
      <c r="R74" s="22"/>
      <c r="S74" s="31">
        <f t="shared" si="42"/>
        <v>1</v>
      </c>
      <c r="T74" s="46" t="str">
        <f t="shared" si="43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4"/>
        <v>https://d0f6bd738d7f1b3e5a7ca70fe4ff75f0.us-east-1.aws.found.io/app/kibana#/discover/Steve-Slow-Train-Analysis-(2080s-and-2083s)?_g=(refreshInterval:(display:Off,pause:!f,section:0,value:0),time:(from:'2017-03-06T11:08:51-0700',mode:absolute,to:'2017-03-06T13:58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87" t="str">
        <f t="shared" si="44"/>
        <v>N</v>
      </c>
      <c r="X74" s="187">
        <f t="shared" si="50"/>
        <v>1</v>
      </c>
      <c r="Y74" s="62">
        <f t="shared" si="45"/>
        <v>23.297499999999999</v>
      </c>
      <c r="Z74" s="62">
        <f t="shared" si="46"/>
        <v>1.2999999999999999E-2</v>
      </c>
      <c r="AA74" s="62">
        <f t="shared" si="47"/>
        <v>23.284499999999998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48"/>
        <v>0162-06</v>
      </c>
      <c r="AE74" s="85" t="str">
        <f t="shared" si="11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74" s="82" t="str">
        <f t="shared" si="12"/>
        <v>"C:\Program Files (x86)\AstroGrep\AstroGrep.exe" /e /r /s /spath="%USERPROFILE%\AppData\Local\Temp\OnboardLogs" /stypes="app*4019*20170306*" /stext=" 19:.+((SYSTEM_STATE.+slice.+state.+changed )|(ment ac)|(multiple cpu faults)|(system.+state.+changed )|(\[timeout)|(PRM\|1\|D)|(kpr)|(kdp)|(\|lc)|(penalty))"</v>
      </c>
      <c r="AG74" s="1" t="str">
        <f t="shared" si="49"/>
        <v>EC</v>
      </c>
      <c r="AH74" s="86" t="str">
        <f t="shared" si="17"/>
        <v>"%USERPROFILE%\Documents\GitHub\eaglep3\Utilities\RefineRTDCRunTimes.py" --tripid 162-06 --locoid 4019 --swversion DE.1.0.9.0 --startMP 204:232975 --initTime 2017-03-06T12:08:51 --startdatetime 2017-03-06T12:12:53 --delay 1 --endMP 204:130 --enddatetime 2017-03-06T12:58:19 --enforcementcount 0 &gt;&gt;C:\Users\stu\Documents\GitHub\eaglep3-reporting\EC\2017-03-06-refined-times.txt</v>
      </c>
      <c r="AI7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{"issue":{"subject":"","project_id":79,"tracker_id":40,"status_id":1,"priority_id":2,"assigned_to_id":23,"start_date":"2017-03-06","description":"","custom_fields":[{"id":1,"name":"Subdivision","value":"EC"},{"id":4,"name":"Milepost","value":"0.013"},{"id":17,"name":"Train ID","value":"162-06"},{"id":16,"name":"Locomotive ID","value":"4019"},{"id":130,"name":"Impact","value":""},{"id":150,"name":"Time of Event (Mountain Time)","value":"12:58:19"},{"id":151,"name":"Denver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9"/>
        <v>start /low /b %USERPROFILE%\Documents\GitHub\eaglep3\Utilities\DownloadLogsFromS3.py --loco 4019 --day 2017-03-06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577</v>
      </c>
      <c r="B75" s="7">
        <v>4009</v>
      </c>
      <c r="C75" s="21" t="s">
        <v>245</v>
      </c>
      <c r="D75" s="21" t="s">
        <v>312</v>
      </c>
      <c r="E75" s="13">
        <v>42800.477685185186</v>
      </c>
      <c r="F75" s="13">
        <v>42800.479328703703</v>
      </c>
      <c r="G75" s="7">
        <v>1</v>
      </c>
      <c r="H75" s="21" t="s">
        <v>819</v>
      </c>
      <c r="I75" s="13">
        <v>42800.508576388886</v>
      </c>
      <c r="J75" s="7">
        <v>0</v>
      </c>
      <c r="K75" s="98" t="str">
        <f t="shared" si="39"/>
        <v>4009/4010</v>
      </c>
      <c r="L75" s="21" t="str">
        <f>VLOOKUP(A75,'Trips&amp;Operators'!$C$1:$G$99999,5,FALSE)</f>
        <v>CLARK KATHLEEN</v>
      </c>
      <c r="M75" s="6">
        <f t="shared" si="40"/>
        <v>2.9247685182781424E-2</v>
      </c>
      <c r="N75" s="7">
        <f t="shared" si="41"/>
        <v>42.116666663205251</v>
      </c>
      <c r="O75" s="7"/>
      <c r="P75" s="7"/>
      <c r="Q75" s="22"/>
      <c r="R75" s="22"/>
      <c r="S75" s="31">
        <f t="shared" si="42"/>
        <v>1</v>
      </c>
      <c r="T75" s="46" t="str">
        <f t="shared" si="43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4"/>
        <v>https://d0f6bd738d7f1b3e5a7ca70fe4ff75f0.us-east-1.aws.found.io/app/kibana#/discover/Steve-Slow-Train-Analysis-(2080s-and-2083s)?_g=(refreshInterval:(display:Off,pause:!f,section:0,value:0),time:(from:'2017-03-06T10:27:52-0700',mode:absolute,to:'2017-03-06T13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187" t="str">
        <f t="shared" si="44"/>
        <v>N</v>
      </c>
      <c r="X75" s="187">
        <f t="shared" si="50"/>
        <v>1</v>
      </c>
      <c r="Y75" s="62">
        <f t="shared" si="45"/>
        <v>4.6899999999999997E-2</v>
      </c>
      <c r="Z75" s="62">
        <f t="shared" si="46"/>
        <v>23.3308</v>
      </c>
      <c r="AA75" s="62">
        <f t="shared" si="47"/>
        <v>23.283899999999999</v>
      </c>
      <c r="AB75" s="59" t="str">
        <f>VLOOKUP(A75,Enforcements!$C$7:$K$13,8,0)</f>
        <v>Bulletin (2)</v>
      </c>
      <c r="AC75" s="55" t="str">
        <f>VLOOKUP(A75,Enforcements!$C$7:$E$13,3,0)</f>
        <v>GRADE CROSSING</v>
      </c>
      <c r="AD75" s="56" t="str">
        <f t="shared" si="48"/>
        <v>0163-06</v>
      </c>
      <c r="AE75" s="85" t="str">
        <f t="shared" si="11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75" s="82" t="str">
        <f t="shared" si="12"/>
        <v>"C:\Program Files (x86)\AstroGrep\AstroGrep.exe" /e /r /s /spath="%USERPROFILE%\AppData\Local\Temp\OnboardLogs" /stypes="app*4009*20170306*" /stext=" 19:.+((SYSTEM_STATE.+slice.+state.+changed )|(ment ac)|(multiple cpu faults)|(system.+state.+changed )|(\[timeout)|(PRM\|1\|D)|(kpr)|(kdp)|(\|lc)|(penalty))"</v>
      </c>
      <c r="AG75" s="1" t="str">
        <f t="shared" si="49"/>
        <v>EC</v>
      </c>
      <c r="AH75" s="86" t="str">
        <f t="shared" si="17"/>
        <v>"%USERPROFILE%\Documents\GitHub\eaglep3\Utilities\RefineRTDCRunTimes.py" --tripid 163-06 --locoid 4009 --swversion DE.1.0.9.0 --startMP 204:469 --initTime 2017-03-06T11:27:52 --startdatetime 2017-03-06T11:30:14 --delay 1 --endMP 204:233308 --enddatetime 2017-03-06T12:12:21 --enforcementcount 0 &gt;&gt;C:\Users\stu\Documents\GitHub\eaglep3-reporting\EC\2017-03-06-refined-times.txt</v>
      </c>
      <c r="AI7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{"issue":{"subject":"","project_id":79,"tracker_id":40,"status_id":1,"priority_id":2,"assigned_to_id":23,"start_date":"2017-03-06","description":"","custom_fields":[{"id":1,"name":"Subdivision","value":"EC"},{"id":4,"name":"Milepost","value":"23.3308"},{"id":17,"name":"Train ID","value":"163-06"},{"id":16,"name":"Locomotive ID","value":"4009"},{"id":130,"name":"Impact","value":""},{"id":150,"name":"Time of Event (Mountain Time)","value":"12:12:21"},{"id":151,"name":"Denver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9"/>
        <v>start /low /b %USERPROFILE%\Documents\GitHub\eaglep3\Utilities\DownloadLogsFromS3.py --loco 4009 --day 2017-03-06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691</v>
      </c>
      <c r="B76" s="7">
        <v>4010</v>
      </c>
      <c r="C76" s="21" t="s">
        <v>245</v>
      </c>
      <c r="D76" s="21" t="s">
        <v>316</v>
      </c>
      <c r="E76" s="13">
        <v>42800.514305555553</v>
      </c>
      <c r="F76" s="13">
        <v>42800.518217592595</v>
      </c>
      <c r="G76" s="7">
        <v>1</v>
      </c>
      <c r="H76" s="21" t="s">
        <v>820</v>
      </c>
      <c r="I76" s="13">
        <v>42800.557534722226</v>
      </c>
      <c r="J76" s="7">
        <v>0</v>
      </c>
      <c r="K76" s="98" t="str">
        <f t="shared" si="39"/>
        <v>4009/4010</v>
      </c>
      <c r="L76" s="21" t="str">
        <f>VLOOKUP(A76,'Trips&amp;Operators'!$C$1:$G$99999,5,FALSE)</f>
        <v>CLARK KATHLEEN</v>
      </c>
      <c r="M76" s="6">
        <f t="shared" si="40"/>
        <v>3.9317129630944692E-2</v>
      </c>
      <c r="N76" s="7">
        <f t="shared" si="41"/>
        <v>56.616666668560356</v>
      </c>
      <c r="O76" s="7"/>
      <c r="P76" s="7"/>
      <c r="Q76" s="22"/>
      <c r="R76" s="22"/>
      <c r="S76" s="31">
        <f t="shared" si="42"/>
        <v>1</v>
      </c>
      <c r="T76" s="46" t="str">
        <f t="shared" si="43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4"/>
        <v>https://d0f6bd738d7f1b3e5a7ca70fe4ff75f0.us-east-1.aws.found.io/app/kibana#/discover/Steve-Slow-Train-Analysis-(2080s-and-2083s)?_g=(refreshInterval:(display:Off,pause:!f,section:0,value:0),time:(from:'2017-03-06T11:20:36-0700',mode:absolute,to:'2017-03-06T14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187" t="str">
        <f t="shared" si="44"/>
        <v>N</v>
      </c>
      <c r="X76" s="187">
        <f t="shared" si="50"/>
        <v>1</v>
      </c>
      <c r="Y76" s="62">
        <f t="shared" si="45"/>
        <v>23.298500000000001</v>
      </c>
      <c r="Z76" s="62">
        <f t="shared" si="46"/>
        <v>0.1158</v>
      </c>
      <c r="AA76" s="62">
        <f t="shared" si="47"/>
        <v>23.182700000000001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48"/>
        <v>0164-06</v>
      </c>
      <c r="AE76" s="85" t="str">
        <f t="shared" si="1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76" s="82" t="str">
        <f t="shared" si="12"/>
        <v>"C:\Program Files (x86)\AstroGrep\AstroGrep.exe" /e /r /s /spath="%USERPROFILE%\AppData\Local\Temp\OnboardLogs" /stypes="app*4010*20170306*" /stext=" 20:.+((SYSTEM_STATE.+slice.+state.+changed )|(ment ac)|(multiple cpu faults)|(system.+state.+changed )|(\[timeout)|(PRM\|1\|D)|(kpr)|(kdp)|(\|lc)|(penalty))"</v>
      </c>
      <c r="AG76" s="1" t="str">
        <f t="shared" si="49"/>
        <v>EC</v>
      </c>
      <c r="AH76" s="86" t="str">
        <f t="shared" si="17"/>
        <v>"%USERPROFILE%\Documents\GitHub\eaglep3\Utilities\RefineRTDCRunTimes.py" --tripid 164-06 --locoid 4010 --swversion DE.1.0.9.0 --startMP 204:232985 --initTime 2017-03-06T12:20:36 --startdatetime 2017-03-06T12:26:14 --delay 1 --endMP 204:1158 --enddatetime 2017-03-06T13:22:51 --enforcementcount 0 &gt;&gt;C:\Users\stu\Documents\GitHub\eaglep3-reporting\EC\2017-03-06-refined-times.txt</v>
      </c>
      <c r="AI7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{"issue":{"subject":"","project_id":79,"tracker_id":40,"status_id":1,"priority_id":2,"assigned_to_id":23,"start_date":"2017-03-06","description":"","custom_fields":[{"id":1,"name":"Subdivision","value":"EC"},{"id":4,"name":"Milepost","value":"0.1158"},{"id":17,"name":"Train ID","value":"164-06"},{"id":16,"name":"Locomotive ID","value":"4010"},{"id":130,"name":"Impact","value":""},{"id":150,"name":"Time of Event (Mountain Time)","value":"13:22:51"},{"id":151,"name":"Denver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9"/>
        <v>start /low /b %USERPROFILE%\Documents\GitHub\eaglep3\Utilities\DownloadLogsFromS3.py --loco 4010 --day 2017-03-06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682</v>
      </c>
      <c r="B77" s="7">
        <v>4018</v>
      </c>
      <c r="C77" s="21" t="s">
        <v>245</v>
      </c>
      <c r="D77" s="21" t="s">
        <v>532</v>
      </c>
      <c r="E77" s="13">
        <v>42800.486597222225</v>
      </c>
      <c r="F77" s="13">
        <v>42800.490868055553</v>
      </c>
      <c r="G77" s="7">
        <v>2</v>
      </c>
      <c r="H77" s="21" t="s">
        <v>821</v>
      </c>
      <c r="I77" s="13">
        <v>42800.516724537039</v>
      </c>
      <c r="J77" s="7">
        <v>0</v>
      </c>
      <c r="K77" s="98" t="str">
        <f t="shared" si="39"/>
        <v>4017/4018</v>
      </c>
      <c r="L77" s="21" t="str">
        <f>VLOOKUP(A77,'Trips&amp;Operators'!$C$1:$G$99999,5,FALSE)</f>
        <v>ROMERO CHAD</v>
      </c>
      <c r="M77" s="6">
        <f t="shared" si="40"/>
        <v>2.5856481486698613E-2</v>
      </c>
      <c r="N77" s="7">
        <f t="shared" si="41"/>
        <v>37.233333340846002</v>
      </c>
      <c r="O77" s="7"/>
      <c r="P77" s="7"/>
      <c r="Q77" s="22"/>
      <c r="R77" s="22"/>
      <c r="S77" s="31">
        <f t="shared" si="42"/>
        <v>1</v>
      </c>
      <c r="T77" s="46" t="str">
        <f t="shared" si="43"/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5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-06T10:40:42-0700',mode:absolute,to:'2017-03-06T13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187" t="str">
        <f t="shared" si="44"/>
        <v>N</v>
      </c>
      <c r="X77" s="187">
        <f t="shared" si="50"/>
        <v>1</v>
      </c>
      <c r="Y77" s="62">
        <f t="shared" si="45"/>
        <v>4.3700000000000003E-2</v>
      </c>
      <c r="Z77" s="62">
        <f t="shared" si="46"/>
        <v>23.3401</v>
      </c>
      <c r="AA77" s="62">
        <f t="shared" si="47"/>
        <v>23.296399999999998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48"/>
        <v>0165-06</v>
      </c>
      <c r="AE77" s="85" t="str">
        <f t="shared" ref="AE77:AE140" si="5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77" s="82" t="str">
        <f t="shared" ref="AF77:AF140" si="5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/stypes="app*4018*20170306*" /stext=" 19:.+((SYSTEM_STATE.+slice.+state.+changed )|(ment ac)|(multiple cpu faults)|(system.+state.+changed )|(\[timeout)|(PRM\|1\|D)|(kpr)|(kdp)|(\|lc)|(penalty))"</v>
      </c>
      <c r="AG77" s="1" t="str">
        <f t="shared" si="49"/>
        <v>EC</v>
      </c>
      <c r="AH77" s="86" t="str">
        <f t="shared" si="17"/>
        <v>"%USERPROFILE%\Documents\GitHub\eaglep3\Utilities\RefineRTDCRunTimes.py" --tripid 165-06 --locoid 4018 --swversion DE.1.0.9.0 --startMP 204:437 --initTime 2017-03-06T11:40:42 --startdatetime 2017-03-06T11:46:51 --delay 2 --endMP 204:233401 --enddatetime 2017-03-06T12:24:05 --enforcementcount 0 &gt;&gt;C:\Users\stu\Documents\GitHub\eaglep3-reporting\EC\2017-03-06-refined-times.txt</v>
      </c>
      <c r="AI7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{"issue":{"subject":"","project_id":79,"tracker_id":40,"status_id":1,"priority_id":2,"assigned_to_id":23,"start_date":"2017-03-06","description":"","custom_fields":[{"id":1,"name":"Subdivision","value":"EC"},{"id":4,"name":"Milepost","value":"23.3401"},{"id":17,"name":"Train ID","value":"165-06"},{"id":16,"name":"Locomotive ID","value":"4018"},{"id":130,"name":"Impact","value":""},{"id":150,"name":"Time of Event (Mountain Time)","value":"12:24:05"},{"id":151,"name":"Denver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9"/>
        <v>start /low /b %USERPROFILE%\Documents\GitHub\eaglep3\Utilities\DownloadLogsFromS3.py --loco 4018 --day 2017-03-06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692</v>
      </c>
      <c r="B78" s="7">
        <v>4017</v>
      </c>
      <c r="C78" s="21" t="s">
        <v>245</v>
      </c>
      <c r="D78" s="21" t="s">
        <v>822</v>
      </c>
      <c r="E78" s="13">
        <v>42800.518634259257</v>
      </c>
      <c r="F78" s="13">
        <v>42800.528645833336</v>
      </c>
      <c r="G78" s="7">
        <v>1</v>
      </c>
      <c r="H78" s="21" t="s">
        <v>232</v>
      </c>
      <c r="I78" s="13">
        <v>42800.561840277776</v>
      </c>
      <c r="J78" s="7">
        <v>0</v>
      </c>
      <c r="K78" s="98" t="str">
        <f t="shared" si="39"/>
        <v>4017/4018</v>
      </c>
      <c r="L78" s="21" t="str">
        <f>VLOOKUP(A78,'Trips&amp;Operators'!$C$1:$G$99999,5,FALSE)</f>
        <v>ROMERO CHAD</v>
      </c>
      <c r="M78" s="6">
        <f t="shared" si="40"/>
        <v>3.3194444440596271E-2</v>
      </c>
      <c r="N78" s="7">
        <f t="shared" si="41"/>
        <v>47.799999994458631</v>
      </c>
      <c r="O78" s="7"/>
      <c r="P78" s="7"/>
      <c r="Q78" s="22"/>
      <c r="R78" s="22"/>
      <c r="S78" s="31">
        <f t="shared" si="42"/>
        <v>1</v>
      </c>
      <c r="T78" s="46" t="str">
        <f t="shared" si="43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51"/>
        <v>https://d0f6bd738d7f1b3e5a7ca70fe4ff75f0.us-east-1.aws.found.io/app/kibana#/discover/Steve-Slow-Train-Analysis-(2080s-and-2083s)?_g=(refreshInterval:(display:Off,pause:!f,section:0,value:0),time:(from:'2017-03-06T11:26:50-0700',mode:absolute,to:'2017-03-06T14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187" t="str">
        <f t="shared" si="44"/>
        <v>N</v>
      </c>
      <c r="X78" s="187">
        <f t="shared" si="50"/>
        <v>1</v>
      </c>
      <c r="Y78" s="62">
        <f t="shared" si="45"/>
        <v>23.307200000000002</v>
      </c>
      <c r="Z78" s="62">
        <f t="shared" si="46"/>
        <v>1.41E-2</v>
      </c>
      <c r="AA78" s="62">
        <f t="shared" si="47"/>
        <v>23.293100000000003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8"/>
        <v>0166-06</v>
      </c>
      <c r="AE78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78" s="82" t="str">
        <f t="shared" si="53"/>
        <v>"C:\Program Files (x86)\AstroGrep\AstroGrep.exe" /e /r /s /spath="%USERPROFILE%\AppData\Local\Temp\OnboardLogs" /stypes="app*4017*20170306*" /stext=" 20:.+((SYSTEM_STATE.+slice.+state.+changed )|(ment ac)|(multiple cpu faults)|(system.+state.+changed )|(\[timeout)|(PRM\|1\|D)|(kpr)|(kdp)|(\|lc)|(penalty))"</v>
      </c>
      <c r="AG78" s="1" t="str">
        <f t="shared" si="49"/>
        <v>EC</v>
      </c>
      <c r="AH78" s="86" t="str">
        <f t="shared" si="17"/>
        <v>"%USERPROFILE%\Documents\GitHub\eaglep3\Utilities\RefineRTDCRunTimes.py" --tripid 166-06 --locoid 4017 --swversion DE.1.0.9.0 --startMP 204:233072 --initTime 2017-03-06T12:26:50 --startdatetime 2017-03-06T12:41:15 --delay 1 --endMP 204:141 --enddatetime 2017-03-06T13:29:03 --enforcementcount 0 &gt;&gt;C:\Users\stu\Documents\GitHub\eaglep3-reporting\EC\2017-03-06-refined-times.txt</v>
      </c>
      <c r="AI7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ID","value":"166-06"},{"id":16,"name":"Locomotive ID","value":"4017"},{"id":130,"name":"Impact","value":""},{"id":150,"name":"Time of Event (Mountain Time)","value":"13:29:03"},{"id":151,"name":"Denver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19"/>
        <v>start /low /b %USERPROFILE%\Documents\GitHub\eaglep3\Utilities\DownloadLogsFromS3.py --loco 4017 --day 2017-03-06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686</v>
      </c>
      <c r="B79" s="7">
        <v>4002</v>
      </c>
      <c r="C79" s="21" t="s">
        <v>245</v>
      </c>
      <c r="D79" s="21" t="s">
        <v>220</v>
      </c>
      <c r="E79" s="13">
        <v>42800.498796296299</v>
      </c>
      <c r="F79" s="13">
        <v>42800.502129629633</v>
      </c>
      <c r="G79" s="7">
        <v>1</v>
      </c>
      <c r="H79" s="21" t="s">
        <v>823</v>
      </c>
      <c r="I79" s="13">
        <v>42800.528657407405</v>
      </c>
      <c r="J79" s="7">
        <v>0</v>
      </c>
      <c r="K79" s="98" t="str">
        <f t="shared" si="39"/>
        <v>4001/4002</v>
      </c>
      <c r="L79" s="21" t="str">
        <f>VLOOKUP(A79,'Trips&amp;Operators'!$C$1:$G$99999,5,FALSE)</f>
        <v>LOCKLEAR TRAVIS</v>
      </c>
      <c r="M79" s="6">
        <f t="shared" si="40"/>
        <v>2.6527777772571426E-2</v>
      </c>
      <c r="N79" s="7">
        <f t="shared" si="41"/>
        <v>38.199999992502853</v>
      </c>
      <c r="O79" s="7"/>
      <c r="P79" s="7"/>
      <c r="Q79" s="22"/>
      <c r="R79" s="22"/>
      <c r="S79" s="31">
        <f t="shared" si="42"/>
        <v>1</v>
      </c>
      <c r="T79" s="46" t="str">
        <f t="shared" si="43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51"/>
        <v>https://d0f6bd738d7f1b3e5a7ca70fe4ff75f0.us-east-1.aws.found.io/app/kibana#/discover/Steve-Slow-Train-Analysis-(2080s-and-2083s)?_g=(refreshInterval:(display:Off,pause:!f,section:0,value:0),time:(from:'2017-03-06T10:58:16-0700',mode:absolute,to:'2017-03-06T13:41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87" t="str">
        <f t="shared" si="44"/>
        <v>N</v>
      </c>
      <c r="X79" s="187">
        <f t="shared" si="50"/>
        <v>1</v>
      </c>
      <c r="Y79" s="62">
        <f t="shared" si="45"/>
        <v>4.5999999999999999E-2</v>
      </c>
      <c r="Z79" s="62">
        <f t="shared" si="46"/>
        <v>23.334900000000001</v>
      </c>
      <c r="AA79" s="62">
        <f t="shared" si="47"/>
        <v>23.288900000000002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8"/>
        <v>0167-06</v>
      </c>
      <c r="AE79" s="85" t="str">
        <f t="shared" si="52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79" s="82" t="str">
        <f t="shared" si="53"/>
        <v>"C:\Program Files (x86)\AstroGrep\AstroGrep.exe" /e /r /s /spath="%USERPROFILE%\AppData\Local\Temp\OnboardLogs" /stypes="app*4002*20170306*" /stext=" 19:.+((SYSTEM_STATE.+slice.+state.+changed )|(ment ac)|(multiple cpu faults)|(system.+state.+changed )|(\[timeout)|(PRM\|1\|D)|(kpr)|(kdp)|(\|lc)|(penalty))"</v>
      </c>
      <c r="AG79" s="1" t="str">
        <f t="shared" si="49"/>
        <v>EC</v>
      </c>
      <c r="AH79" s="86" t="str">
        <f t="shared" si="17"/>
        <v>"%USERPROFILE%\Documents\GitHub\eaglep3\Utilities\RefineRTDCRunTimes.py" --tripid 167-06 --locoid 4002 --swversion DE.1.0.9.0 --startMP 204:460 --initTime 2017-03-06T11:58:16 --startdatetime 2017-03-06T12:03:04 --delay 1 --endMP 204:233349 --enddatetime 2017-03-06T12:41:16 --enforcementcount 0 &gt;&gt;C:\Users\stu\Documents\GitHub\eaglep3-reporting\EC\2017-03-06-refined-times.txt</v>
      </c>
      <c r="AI79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{"issue":{"subject":"","project_id":79,"tracker_id":40,"status_id":1,"priority_id":2,"assigned_to_id":23,"start_date":"2017-03-06","description":"","custom_fields":[{"id":1,"name":"Subdivision","value":"EC"},{"id":4,"name":"Milepost","value":"23.3349"},{"id":17,"name":"Train ID","value":"167-06"},{"id":16,"name":"Locomotive ID","value":"4002"},{"id":130,"name":"Impact","value":""},{"id":150,"name":"Time of Event (Mountain Time)","value":"12:41:16"},{"id":151,"name":"Denver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19"/>
        <v>start /low /b %USERPROFILE%\Documents\GitHub\eaglep3\Utilities\DownloadLogsFromS3.py --loco 4002 --day 2017-03-06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580</v>
      </c>
      <c r="B80" s="7">
        <v>4001</v>
      </c>
      <c r="C80" s="21" t="s">
        <v>245</v>
      </c>
      <c r="D80" s="21" t="s">
        <v>824</v>
      </c>
      <c r="E80" s="13">
        <v>42800.534409722219</v>
      </c>
      <c r="F80" s="13">
        <v>42800.539293981485</v>
      </c>
      <c r="G80" s="7">
        <v>2</v>
      </c>
      <c r="H80" s="21" t="s">
        <v>526</v>
      </c>
      <c r="I80" s="13">
        <v>42800.569733796299</v>
      </c>
      <c r="J80" s="7">
        <v>0</v>
      </c>
      <c r="K80" s="98" t="str">
        <f t="shared" si="39"/>
        <v>4001/4002</v>
      </c>
      <c r="L80" s="21" t="str">
        <f>VLOOKUP(A80,'Trips&amp;Operators'!$C$1:$G$99999,5,FALSE)</f>
        <v>LOCKLEAR TRAVIS</v>
      </c>
      <c r="M80" s="6">
        <f t="shared" si="40"/>
        <v>3.0439814814599231E-2</v>
      </c>
      <c r="N80" s="7">
        <f t="shared" si="41"/>
        <v>43.833333333022892</v>
      </c>
      <c r="O80" s="7"/>
      <c r="P80" s="7"/>
      <c r="Q80" s="22"/>
      <c r="R80" s="22"/>
      <c r="S80" s="31">
        <f t="shared" si="42"/>
        <v>1</v>
      </c>
      <c r="T80" s="46" t="str">
        <f t="shared" si="43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51"/>
        <v>https://d0f6bd738d7f1b3e5a7ca70fe4ff75f0.us-east-1.aws.found.io/app/kibana#/discover/Steve-Slow-Train-Analysis-(2080s-and-2083s)?_g=(refreshInterval:(display:Off,pause:!f,section:0,value:0),time:(from:'2017-03-06T11:49:33-0700',mode:absolute,to:'2017-03-06T14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87" t="str">
        <f t="shared" si="44"/>
        <v>N</v>
      </c>
      <c r="X80" s="187">
        <f t="shared" si="50"/>
        <v>1</v>
      </c>
      <c r="Y80" s="62">
        <f t="shared" si="45"/>
        <v>23.304500000000001</v>
      </c>
      <c r="Z80" s="62">
        <f t="shared" si="46"/>
        <v>1.6E-2</v>
      </c>
      <c r="AA80" s="62">
        <f t="shared" si="47"/>
        <v>23.288500000000003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8"/>
        <v>0168-06</v>
      </c>
      <c r="AE80" s="85" t="str">
        <f t="shared" si="52"/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AF80" s="82" t="str">
        <f t="shared" si="53"/>
        <v>"C:\Program Files (x86)\AstroGrep\AstroGrep.exe" /e /r /s /spath="%USERPROFILE%\AppData\Local\Temp\OnboardLogs" /stypes="app*4001*20170306*" /stext=" 20:.+((SYSTEM_STATE.+slice.+state.+changed )|(ment ac)|(multiple cpu faults)|(system.+state.+changed )|(\[timeout)|(PRM\|1\|D)|(kpr)|(kdp)|(\|lc)|(penalty))"</v>
      </c>
      <c r="AG80" s="1" t="str">
        <f t="shared" si="49"/>
        <v>EC</v>
      </c>
      <c r="AH80" s="86" t="str">
        <f t="shared" si="17"/>
        <v>"%USERPROFILE%\Documents\GitHub\eaglep3\Utilities\RefineRTDCRunTimes.py" --tripid 168-06 --locoid 4001 --swversion DE.1.0.9.0 --startMP 204:233045 --initTime 2017-03-06T12:49:33 --startdatetime 2017-03-06T12:56:35 --delay 2 --endMP 204:160 --enddatetime 2017-03-06T13:40:25 --enforcementcount 0 &gt;&gt;C:\Users\stu\Documents\GitHub\eaglep3-reporting\EC\2017-03-06-refined-times.txt</v>
      </c>
      <c r="AI80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ID","value":"168-06"},{"id":16,"name":"Locomotive ID","value":"4001"},{"id":130,"name":"Impact","value":""},{"id":150,"name":"Time of Event (Mountain Time)","value":"13:40:25"},{"id":151,"name":"Denver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19"/>
        <v>start /low /b %USERPROFILE%\Documents\GitHub\eaglep3\Utilities\DownloadLogsFromS3.py --loco 4001 --day 2017-03-06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"%USERPROFILE%\AppData\Local\Temp\OnboardLogs"\RTDC4001\*4001*20170306* | grep -SE "(Enforcement Action)|(\[TIMEOUT)|(CHR.+\|PRM\|1\|D.+(SWITCH|SIGNAL).+UNKNOWN)" - &gt;&gt; 2017-03-06-UncaughtWiMAX.txt</v>
      </c>
    </row>
    <row r="81" spans="1:91" s="20" customFormat="1" x14ac:dyDescent="0.25">
      <c r="A81" s="33" t="s">
        <v>688</v>
      </c>
      <c r="B81" s="7">
        <v>4022</v>
      </c>
      <c r="C81" s="21" t="s">
        <v>245</v>
      </c>
      <c r="D81" s="21" t="s">
        <v>532</v>
      </c>
      <c r="E81" s="13">
        <v>42800.509942129633</v>
      </c>
      <c r="F81" s="13">
        <v>42800.511979166666</v>
      </c>
      <c r="G81" s="7">
        <v>1</v>
      </c>
      <c r="H81" s="21" t="s">
        <v>253</v>
      </c>
      <c r="I81" s="13">
        <v>42800.537349537037</v>
      </c>
      <c r="J81" s="7">
        <v>0</v>
      </c>
      <c r="K81" s="98" t="str">
        <f t="shared" si="39"/>
        <v>4021/4022</v>
      </c>
      <c r="L81" s="21" t="str">
        <f>VLOOKUP(A81,'Trips&amp;Operators'!$C$1:$G$99999,5,FALSE)</f>
        <v>LEVERE CRAIG</v>
      </c>
      <c r="M81" s="6">
        <f t="shared" si="40"/>
        <v>2.5370370371092577E-2</v>
      </c>
      <c r="N81" s="7">
        <f t="shared" si="41"/>
        <v>36.53333333437331</v>
      </c>
      <c r="O81" s="7"/>
      <c r="P81" s="7"/>
      <c r="Q81" s="22"/>
      <c r="R81" s="22"/>
      <c r="S81" s="31">
        <f t="shared" si="42"/>
        <v>1</v>
      </c>
      <c r="T81" s="46" t="str">
        <f t="shared" si="43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51"/>
        <v>https://d0f6bd738d7f1b3e5a7ca70fe4ff75f0.us-east-1.aws.found.io/app/kibana#/discover/Steve-Slow-Train-Analysis-(2080s-and-2083s)?_g=(refreshInterval:(display:Off,pause:!f,section:0,value:0),time:(from:'2017-03-06T11:14:19-0700',mode:absolute,to:'2017-03-06T13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87" t="str">
        <f t="shared" si="44"/>
        <v>N</v>
      </c>
      <c r="X81" s="187">
        <f t="shared" si="50"/>
        <v>1</v>
      </c>
      <c r="Y81" s="62">
        <f t="shared" si="45"/>
        <v>4.3700000000000003E-2</v>
      </c>
      <c r="Z81" s="62">
        <f t="shared" si="46"/>
        <v>23.328900000000001</v>
      </c>
      <c r="AA81" s="62">
        <f t="shared" si="47"/>
        <v>23.2852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8"/>
        <v>0169-06</v>
      </c>
      <c r="AE81" s="85" t="str">
        <f t="shared" si="52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81" s="82" t="str">
        <f t="shared" si="53"/>
        <v>"C:\Program Files (x86)\AstroGrep\AstroGrep.exe" /e /r /s /spath="%USERPROFILE%\AppData\Local\Temp\OnboardLogs" /stypes="app*4022*20170306*" /stext=" 19:.+((SYSTEM_STATE.+slice.+state.+changed )|(ment ac)|(multiple cpu faults)|(system.+state.+changed )|(\[timeout)|(PRM\|1\|D)|(kpr)|(kdp)|(\|lc)|(penalty))"</v>
      </c>
      <c r="AG81" s="1" t="str">
        <f t="shared" si="49"/>
        <v>EC</v>
      </c>
      <c r="AH81" s="86" t="str">
        <f t="shared" si="17"/>
        <v>"%USERPROFILE%\Documents\GitHub\eaglep3\Utilities\RefineRTDCRunTimes.py" --tripid 169-06 --locoid 4022 --swversion DE.1.0.9.0 --startMP 204:437 --initTime 2017-03-06T12:14:19 --startdatetime 2017-03-06T12:17:15 --delay 1 --endMP 204:233289 --enddatetime 2017-03-06T12:53:47 --enforcementcount 0 &gt;&gt;C:\Users\stu\Documents\GitHub\eaglep3-reporting\EC\2017-03-06-refined-times.txt</v>
      </c>
      <c r="AI81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{"issue":{"subject":"","project_id":79,"tracker_id":40,"status_id":1,"priority_id":2,"assigned_to_id":23,"start_date":"2017-03-06","description":"","custom_fields":[{"id":1,"name":"Subdivision","value":"EC"},{"id":4,"name":"Milepost","value":"23.3289"},{"id":17,"name":"Train ID","value":"169-06"},{"id":16,"name":"Locomotive ID","value":"4022"},{"id":130,"name":"Impact","value":""},{"id":150,"name":"Time of Event (Mountain Time)","value":"12:53:47"},{"id":151,"name":"Denver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19"/>
        <v>start /low /b %USERPROFILE%\Documents\GitHub\eaglep3\Utilities\DownloadLogsFromS3.py --loco 4022 --day 2017-03-06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694</v>
      </c>
      <c r="B82" s="7">
        <v>4021</v>
      </c>
      <c r="C82" s="21" t="s">
        <v>245</v>
      </c>
      <c r="D82" s="21" t="s">
        <v>273</v>
      </c>
      <c r="E82" s="13">
        <v>42800.542743055557</v>
      </c>
      <c r="F82" s="13">
        <v>42800.54954861111</v>
      </c>
      <c r="G82" s="7">
        <v>1</v>
      </c>
      <c r="H82" s="21" t="s">
        <v>825</v>
      </c>
      <c r="I82" s="13">
        <v>42800.587187500001</v>
      </c>
      <c r="J82" s="7">
        <v>0</v>
      </c>
      <c r="K82" s="98" t="str">
        <f t="shared" si="39"/>
        <v>4021/4022</v>
      </c>
      <c r="L82" s="21" t="str">
        <f>VLOOKUP(A82,'Trips&amp;Operators'!$C$1:$G$99999,5,FALSE)</f>
        <v>LEVERE CRAIG</v>
      </c>
      <c r="M82" s="6">
        <f t="shared" si="40"/>
        <v>3.7638888890796807E-2</v>
      </c>
      <c r="N82" s="7">
        <f t="shared" si="41"/>
        <v>54.200000002747402</v>
      </c>
      <c r="O82" s="7"/>
      <c r="P82" s="7"/>
      <c r="Q82" s="22"/>
      <c r="R82" s="22"/>
      <c r="S82" s="31">
        <f t="shared" si="42"/>
        <v>1</v>
      </c>
      <c r="T82" s="46" t="str">
        <f t="shared" si="43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51"/>
        <v>https://d0f6bd738d7f1b3e5a7ca70fe4ff75f0.us-east-1.aws.found.io/app/kibana#/discover/Steve-Slow-Train-Analysis-(2080s-and-2083s)?_g=(refreshInterval:(display:Off,pause:!f,section:0,value:0),time:(from:'2017-03-06T12:01:33-0700',mode:absolute,to:'2017-03-06T15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87" t="str">
        <f t="shared" si="44"/>
        <v>N</v>
      </c>
      <c r="X82" s="187">
        <f t="shared" si="50"/>
        <v>1</v>
      </c>
      <c r="Y82" s="62">
        <f t="shared" si="45"/>
        <v>23.3</v>
      </c>
      <c r="Z82" s="62">
        <f t="shared" si="46"/>
        <v>4.82E-2</v>
      </c>
      <c r="AA82" s="62">
        <f t="shared" si="47"/>
        <v>23.251799999999999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8"/>
        <v>0170-06</v>
      </c>
      <c r="AE82" s="85" t="str">
        <f t="shared" si="52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82" s="82" t="str">
        <f t="shared" si="53"/>
        <v>"C:\Program Files (x86)\AstroGrep\AstroGrep.exe" /e /r /s /spath="%USERPROFILE%\AppData\Local\Temp\OnboardLogs" /stypes="app*4021*20170306*" /stext=" 21:.+((SYSTEM_STATE.+slice.+state.+changed )|(ment ac)|(multiple cpu faults)|(system.+state.+changed )|(\[timeout)|(PRM\|1\|D)|(kpr)|(kdp)|(\|lc)|(penalty))"</v>
      </c>
      <c r="AG82" s="1" t="str">
        <f t="shared" si="49"/>
        <v>EC</v>
      </c>
      <c r="AH82" s="86" t="str">
        <f t="shared" si="17"/>
        <v>"%USERPROFILE%\Documents\GitHub\eaglep3\Utilities\RefineRTDCRunTimes.py" --tripid 170-06 --locoid 4021 --swversion DE.1.0.9.0 --startMP 204:233000 --initTime 2017-03-06T13:01:33 --startdatetime 2017-03-06T13:11:21 --delay 1 --endMP 204:482 --enddatetime 2017-03-06T14:05:33 --enforcementcount 0 &gt;&gt;C:\Users\stu\Documents\GitHub\eaglep3-reporting\EC\2017-03-06-refined-times.txt</v>
      </c>
      <c r="AI82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{"issue":{"subject":"","project_id":79,"tracker_id":40,"status_id":1,"priority_id":2,"assigned_to_id":23,"start_date":"2017-03-06","description":"","custom_fields":[{"id":1,"name":"Subdivision","value":"EC"},{"id":4,"name":"Milepost","value":"0.0482"},{"id":17,"name":"Train ID","value":"170-06"},{"id":16,"name":"Locomotive ID","value":"4021"},{"id":130,"name":"Impact","value":""},{"id":150,"name":"Time of Event (Mountain Time)","value":"14:05:33"},{"id":151,"name":"Denver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19"/>
        <v>start /low /b %USERPROFILE%\Documents\GitHub\eaglep3\Utilities\DownloadLogsFromS3.py --loco 4021 --day 2017-03-06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581</v>
      </c>
      <c r="B83" s="7">
        <v>4003</v>
      </c>
      <c r="C83" s="21" t="s">
        <v>245</v>
      </c>
      <c r="D83" s="21" t="s">
        <v>229</v>
      </c>
      <c r="E83" s="13">
        <v>42800.52138888889</v>
      </c>
      <c r="F83" s="13">
        <v>42800.524513888886</v>
      </c>
      <c r="G83" s="7">
        <v>3</v>
      </c>
      <c r="H83" s="21" t="s">
        <v>254</v>
      </c>
      <c r="I83" s="13">
        <v>42800.557673611111</v>
      </c>
      <c r="J83" s="7">
        <v>0</v>
      </c>
      <c r="K83" s="98" t="str">
        <f t="shared" si="39"/>
        <v>4003/4004</v>
      </c>
      <c r="L83" s="21" t="str">
        <f>VLOOKUP(A83,'Trips&amp;Operators'!$C$1:$G$99999,5,FALSE)</f>
        <v>DAVIDSON DAVID</v>
      </c>
      <c r="M83" s="6">
        <f t="shared" si="40"/>
        <v>3.3159722224809229E-2</v>
      </c>
      <c r="N83" s="7">
        <f t="shared" si="41"/>
        <v>47.75000000372529</v>
      </c>
      <c r="O83" s="7"/>
      <c r="P83" s="7"/>
      <c r="Q83" s="22"/>
      <c r="R83" s="22"/>
      <c r="S83" s="31">
        <f t="shared" si="42"/>
        <v>1</v>
      </c>
      <c r="T83" s="46" t="str">
        <f t="shared" si="43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51"/>
        <v>https://d0f6bd738d7f1b3e5a7ca70fe4ff75f0.us-east-1.aws.found.io/app/kibana#/discover/Steve-Slow-Train-Analysis-(2080s-and-2083s)?_g=(refreshInterval:(display:Off,pause:!f,section:0,value:0),time:(from:'2017-03-06T11:30:48-0700',mode:absolute,to:'2017-03-06T14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87" t="str">
        <f t="shared" si="44"/>
        <v>N</v>
      </c>
      <c r="X83" s="187">
        <f t="shared" si="50"/>
        <v>1</v>
      </c>
      <c r="Y83" s="62">
        <f t="shared" si="45"/>
        <v>4.5499999999999999E-2</v>
      </c>
      <c r="Z83" s="62">
        <f t="shared" si="46"/>
        <v>23.330400000000001</v>
      </c>
      <c r="AA83" s="62">
        <f t="shared" si="47"/>
        <v>23.2849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8"/>
        <v>0171-06</v>
      </c>
      <c r="AE83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83" s="82" t="str">
        <f t="shared" si="53"/>
        <v>"C:\Program Files (x86)\AstroGrep\AstroGrep.exe" /e /r /s /spath="%USERPROFILE%\AppData\Local\Temp\OnboardLogs" /stypes="app*4003*20170306*" /stext=" 20:.+((SYSTEM_STATE.+slice.+state.+changed )|(ment ac)|(multiple cpu faults)|(system.+state.+changed )|(\[timeout)|(PRM\|1\|D)|(kpr)|(kdp)|(\|lc)|(penalty))"</v>
      </c>
      <c r="AG83" s="1" t="str">
        <f t="shared" si="49"/>
        <v>EC</v>
      </c>
      <c r="AH83" s="86" t="str">
        <f t="shared" si="17"/>
        <v>"%USERPROFILE%\Documents\GitHub\eaglep3\Utilities\RefineRTDCRunTimes.py" --tripid 171-06 --locoid 4003 --swversion DE.1.0.9.0 --startMP 204:455 --initTime 2017-03-06T12:30:48 --startdatetime 2017-03-06T12:35:18 --delay 3 --endMP 204:233304 --enddatetime 2017-03-06T13:23:03 --enforcementcount 0 &gt;&gt;C:\Users\stu\Documents\GitHub\eaglep3-reporting\EC\2017-03-06-refined-times.txt</v>
      </c>
      <c r="AI83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{"issue":{"subject":"","project_id":79,"tracker_id":40,"status_id":1,"priority_id":2,"assigned_to_id":23,"start_date":"2017-03-06","description":"","custom_fields":[{"id":1,"name":"Subdivision","value":"EC"},{"id":4,"name":"Milepost","value":"23.3304"},{"id":17,"name":"Train ID","value":"171-06"},{"id":16,"name":"Locomotive ID","value":"4003"},{"id":130,"name":"Impact","value":""},{"id":150,"name":"Time of Event (Mountain Time)","value":"13:23:03"},{"id":151,"name":"Denver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19"/>
        <v>start /low /b %USERPROFILE%\Documents\GitHub\eaglep3\Utilities\DownloadLogsFromS3.py --loco 4003 --day 2017-03-06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697</v>
      </c>
      <c r="B84" s="7">
        <v>4004</v>
      </c>
      <c r="C84" s="21" t="s">
        <v>245</v>
      </c>
      <c r="D84" s="21" t="s">
        <v>826</v>
      </c>
      <c r="E84" s="13">
        <v>42800.558969907404</v>
      </c>
      <c r="F84" s="13">
        <v>42800.562291666669</v>
      </c>
      <c r="G84" s="7">
        <v>1</v>
      </c>
      <c r="H84" s="21" t="s">
        <v>285</v>
      </c>
      <c r="I84" s="13">
        <v>42800.593472222223</v>
      </c>
      <c r="J84" s="7">
        <v>0</v>
      </c>
      <c r="K84" s="98" t="str">
        <f t="shared" si="39"/>
        <v>4003/4004</v>
      </c>
      <c r="L84" s="21" t="str">
        <f>VLOOKUP(A84,'Trips&amp;Operators'!$C$1:$G$99999,5,FALSE)</f>
        <v>DAVIDSON DAVID</v>
      </c>
      <c r="M84" s="6">
        <f t="shared" si="40"/>
        <v>3.1180555553874001E-2</v>
      </c>
      <c r="N84" s="7">
        <f t="shared" si="41"/>
        <v>44.899999997578561</v>
      </c>
      <c r="O84" s="7"/>
      <c r="P84" s="7"/>
      <c r="Q84" s="22"/>
      <c r="R84" s="22"/>
      <c r="S84" s="31">
        <f t="shared" si="42"/>
        <v>1</v>
      </c>
      <c r="T84" s="46" t="str">
        <f t="shared" si="43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51"/>
        <v>https://d0f6bd738d7f1b3e5a7ca70fe4ff75f0.us-east-1.aws.found.io/app/kibana#/discover/Steve-Slow-Train-Analysis-(2080s-and-2083s)?_g=(refreshInterval:(display:Off,pause:!f,section:0,value:0),time:(from:'2017-03-06T12:24:55-0700',mode:absolute,to:'2017-03-06T15:14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87" t="str">
        <f t="shared" si="44"/>
        <v>N</v>
      </c>
      <c r="X84" s="187">
        <f t="shared" si="50"/>
        <v>1</v>
      </c>
      <c r="Y84" s="62">
        <f t="shared" si="45"/>
        <v>23.2974</v>
      </c>
      <c r="Z84" s="62">
        <f t="shared" si="46"/>
        <v>1.61E-2</v>
      </c>
      <c r="AA84" s="62">
        <f t="shared" si="47"/>
        <v>23.281299999999998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8"/>
        <v>0172-06</v>
      </c>
      <c r="AE84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84" s="82" t="str">
        <f t="shared" si="53"/>
        <v>"C:\Program Files (x86)\AstroGrep\AstroGrep.exe" /e /r /s /spath="%USERPROFILE%\AppData\Local\Temp\OnboardLogs" /stypes="app*4004*20170306*" /stext=" 21:.+((SYSTEM_STATE.+slice.+state.+changed )|(ment ac)|(multiple cpu faults)|(system.+state.+changed )|(\[timeout)|(PRM\|1\|D)|(kpr)|(kdp)|(\|lc)|(penalty))"</v>
      </c>
      <c r="AG84" s="1" t="str">
        <f t="shared" si="49"/>
        <v>EC</v>
      </c>
      <c r="AH84" s="86" t="str">
        <f t="shared" si="17"/>
        <v>"%USERPROFILE%\Documents\GitHub\eaglep3\Utilities\RefineRTDCRunTimes.py" --tripid 172-06 --locoid 4004 --swversion DE.1.0.9.0 --startMP 204:232974 --initTime 2017-03-06T13:24:55 --startdatetime 2017-03-06T13:29:42 --delay 1 --endMP 204:161 --enddatetime 2017-03-06T14:14:36 --enforcementcount 0 &gt;&gt;C:\Users\stu\Documents\GitHub\eaglep3-reporting\EC\2017-03-06-refined-times.txt</v>
      </c>
      <c r="AI84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ID","value":"172-06"},{"id":16,"name":"Locomotive ID","value":"4004"},{"id":130,"name":"Impact","value":""},{"id":150,"name":"Time of Event (Mountain Time)","value":"14:14:36"},{"id":151,"name":"Denver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19"/>
        <v>start /low /b %USERPROFILE%\Documents\GitHub\eaglep3\Utilities\DownloadLogsFromS3.py --loco 4004 --day 2017-03-06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579</v>
      </c>
      <c r="B85" s="7">
        <v>4046</v>
      </c>
      <c r="C85" s="21" t="s">
        <v>245</v>
      </c>
      <c r="D85" s="21" t="s">
        <v>219</v>
      </c>
      <c r="E85" s="13">
        <v>42800.530439814815</v>
      </c>
      <c r="F85" s="13">
        <v>42800.532118055555</v>
      </c>
      <c r="G85" s="7">
        <v>1</v>
      </c>
      <c r="H85" s="21" t="s">
        <v>827</v>
      </c>
      <c r="I85" s="13">
        <v>42800.56287037037</v>
      </c>
      <c r="J85" s="7">
        <v>0</v>
      </c>
      <c r="K85" s="98" t="str">
        <f t="shared" si="39"/>
        <v>4045/4046</v>
      </c>
      <c r="L85" s="21" t="str">
        <f>VLOOKUP(A85,'Trips&amp;Operators'!$C$1:$G$99999,5,FALSE)</f>
        <v>STEWART MICHAEL</v>
      </c>
      <c r="M85" s="6">
        <f t="shared" si="40"/>
        <v>3.0752314814890269E-2</v>
      </c>
      <c r="N85" s="7">
        <f t="shared" si="41"/>
        <v>44.283333333441988</v>
      </c>
      <c r="O85" s="7"/>
      <c r="P85" s="7"/>
      <c r="Q85" s="22"/>
      <c r="R85" s="22"/>
      <c r="S85" s="31">
        <f t="shared" si="42"/>
        <v>1</v>
      </c>
      <c r="T85" s="46" t="str">
        <f t="shared" si="43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51"/>
        <v>https://d0f6bd738d7f1b3e5a7ca70fe4ff75f0.us-east-1.aws.found.io/app/kibana#/discover/Steve-Slow-Train-Analysis-(2080s-and-2083s)?_g=(refreshInterval:(display:Off,pause:!f,section:0,value:0),time:(from:'2017-03-06T11:43:50-0700',mode:absolute,to:'2017-03-06T14:30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87" t="str">
        <f t="shared" si="44"/>
        <v>N</v>
      </c>
      <c r="X85" s="187">
        <f t="shared" si="50"/>
        <v>1</v>
      </c>
      <c r="Y85" s="62">
        <f t="shared" si="45"/>
        <v>4.5699999999999998E-2</v>
      </c>
      <c r="Z85" s="62">
        <f t="shared" si="46"/>
        <v>23.3261</v>
      </c>
      <c r="AA85" s="62">
        <f t="shared" si="47"/>
        <v>23.2804</v>
      </c>
      <c r="AB85" s="59" t="str">
        <f>VLOOKUP(A85,Enforcements!$C$7:$K$13,8,0)</f>
        <v>Bulletin (2)</v>
      </c>
      <c r="AC85" s="55" t="str">
        <f>VLOOKUP(A85,Enforcements!$C$7:$E$13,3,0)</f>
        <v>GRADE CROSSING</v>
      </c>
      <c r="AD85" s="56" t="str">
        <f t="shared" si="48"/>
        <v>0173-06</v>
      </c>
      <c r="AE85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85" s="82" t="str">
        <f t="shared" si="53"/>
        <v>"C:\Program Files (x86)\AstroGrep\AstroGrep.exe" /e /r /s /spath="%USERPROFILE%\AppData\Local\Temp\OnboardLogs" /stypes="app*4046*20170306*" /stext=" 20:.+((SYSTEM_STATE.+slice.+state.+changed )|(ment ac)|(multiple cpu faults)|(system.+state.+changed )|(\[timeout)|(PRM\|1\|D)|(kpr)|(kdp)|(\|lc)|(penalty))"</v>
      </c>
      <c r="AG85" s="1" t="str">
        <f t="shared" si="49"/>
        <v>EC</v>
      </c>
      <c r="AH85" s="86" t="str">
        <f t="shared" si="17"/>
        <v>"%USERPROFILE%\Documents\GitHub\eaglep3\Utilities\RefineRTDCRunTimes.py" --tripid 173-06 --locoid 4046 --swversion DE.1.0.9.0 --startMP 204:457 --initTime 2017-03-06T12:43:50 --startdatetime 2017-03-06T12:46:15 --delay 1 --endMP 204:233261 --enddatetime 2017-03-06T13:30:32 --enforcementcount 0 &gt;&gt;C:\Users\stu\Documents\GitHub\eaglep3-reporting\EC\2017-03-06-refined-times.txt</v>
      </c>
      <c r="AI85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{"issue":{"subject":"","project_id":79,"tracker_id":40,"status_id":1,"priority_id":2,"assigned_to_id":23,"start_date":"2017-03-06","description":"","custom_fields":[{"id":1,"name":"Subdivision","value":"EC"},{"id":4,"name":"Milepost","value":"23.3261"},{"id":17,"name":"Train ID","value":"173-06"},{"id":16,"name":"Locomotive ID","value":"4046"},{"id":130,"name":"Impact","value":""},{"id":150,"name":"Time of Event (Mountain Time)","value":"13:30:32"},{"id":151,"name":"Denver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19"/>
        <v>start /low /b %USERPROFILE%\Documents\GitHub\eaglep3\Utilities\DownloadLogsFromS3.py --loco 4046 --day 2017-03-06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</row>
    <row r="86" spans="1:91" s="20" customFormat="1" x14ac:dyDescent="0.25">
      <c r="A86" s="33" t="s">
        <v>699</v>
      </c>
      <c r="B86" s="7">
        <v>4045</v>
      </c>
      <c r="C86" s="21" t="s">
        <v>245</v>
      </c>
      <c r="D86" s="21" t="s">
        <v>828</v>
      </c>
      <c r="E86" s="13">
        <v>42800.565821759257</v>
      </c>
      <c r="F86" s="13">
        <v>42800.570648148147</v>
      </c>
      <c r="G86" s="7">
        <v>2</v>
      </c>
      <c r="H86" s="21" t="s">
        <v>829</v>
      </c>
      <c r="I86" s="13">
        <v>42800.601990740739</v>
      </c>
      <c r="J86" s="7">
        <v>0</v>
      </c>
      <c r="K86" s="98" t="str">
        <f t="shared" ref="K86:K117" si="54">IF(ISEVEN(B86),(B86-1)&amp;"/"&amp;B86,B86&amp;"/"&amp;(B86+1))</f>
        <v>4045/4046</v>
      </c>
      <c r="L86" s="21" t="str">
        <f>VLOOKUP(A86,'Trips&amp;Operators'!$C$1:$G$99999,5,FALSE)</f>
        <v>STEWART MICHAEL</v>
      </c>
      <c r="M86" s="6">
        <f t="shared" ref="M86:M117" si="55">I86-F86</f>
        <v>3.1342592592409346E-2</v>
      </c>
      <c r="N86" s="7">
        <f t="shared" si="41"/>
        <v>45.133333333069459</v>
      </c>
      <c r="O86" s="7"/>
      <c r="P86" s="7"/>
      <c r="Q86" s="22"/>
      <c r="R86" s="22"/>
      <c r="S86" s="31">
        <f t="shared" si="42"/>
        <v>1</v>
      </c>
      <c r="T86" s="46" t="str">
        <f t="shared" ref="T86:T117" si="56">IF(ISEVEN(LEFT(AD86,4)),"Southbound","NorthBound")</f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51"/>
        <v>https://d0f6bd738d7f1b3e5a7ca70fe4ff75f0.us-east-1.aws.found.io/app/kibana#/discover/Steve-Slow-Train-Analysis-(2080s-and-2083s)?_g=(refreshInterval:(display:Off,pause:!f,section:0,value:0),time:(from:'2017-03-06T12:34:47-0700',mode:absolute,to:'2017-03-06T15:26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87" t="str">
        <f t="shared" ref="W86:W117" si="57">IF(AA86&lt;IF(AG86="EC",23,5.65),"Y","N")</f>
        <v>N</v>
      </c>
      <c r="X86" s="187">
        <f t="shared" si="50"/>
        <v>1</v>
      </c>
      <c r="Y86" s="62">
        <f t="shared" ref="Y86:Y117" si="58">RIGHT(D86,LEN(D86)-4)/10000</f>
        <v>23.2942</v>
      </c>
      <c r="Z86" s="62">
        <f t="shared" ref="Z86:Z117" si="59">RIGHT(H86,LEN(H86)-4)/10000</f>
        <v>3.6400000000000002E-2</v>
      </c>
      <c r="AA86" s="62">
        <f t="shared" ref="AA86:AA117" si="60">ABS(Z86-Y86)</f>
        <v>23.2578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ref="AD86:AD117" si="61">IF(LEN(A86)=6,"0"&amp;A86,A86)</f>
        <v>0174-06</v>
      </c>
      <c r="AE86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86" s="82" t="str">
        <f t="shared" si="53"/>
        <v>"C:\Program Files (x86)\AstroGrep\AstroGrep.exe" /e /r /s /spath="%USERPROFILE%\AppData\Local\Temp\OnboardLogs" /stypes="app*4045*20170306*" /stext=" 21:.+((SYSTEM_STATE.+slice.+state.+changed )|(ment ac)|(multiple cpu faults)|(system.+state.+changed )|(\[timeout)|(PRM\|1\|D)|(kpr)|(kdp)|(\|lc)|(penalty))"</v>
      </c>
      <c r="AG86" s="1" t="str">
        <f t="shared" ref="AG86:AG117" si="62">IFERROR(IF(VALUE(LEFT(AD86,2))&lt;=2,"EC",IF(OR(VALUE(LEFT(AD86,2))=8,VALUE(LEFT(AD86,2))=18),"NW","Other")),"Other")</f>
        <v>EC</v>
      </c>
      <c r="AH86" s="86" t="str">
        <f t="shared" si="17"/>
        <v>"%USERPROFILE%\Documents\GitHub\eaglep3\Utilities\RefineRTDCRunTimes.py" --tripid 174-06 --locoid 4045 --swversion DE.1.0.9.0 --startMP 204:232942 --initTime 2017-03-06T13:34:47 --startdatetime 2017-03-06T13:41:44 --delay 2 --endMP 204:364 --enddatetime 2017-03-06T14:26:52 --enforcementcount 0 &gt;&gt;C:\Users\stu\Documents\GitHub\eaglep3-reporting\EC\2017-03-06-refined-times.txt</v>
      </c>
      <c r="AI86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{"issue":{"subject":"","project_id":79,"tracker_id":40,"status_id":1,"priority_id":2,"assigned_to_id":23,"start_date":"2017-03-06","description":"","custom_fields":[{"id":1,"name":"Subdivision","value":"EC"},{"id":4,"name":"Milepost","value":"0.0364"},{"id":17,"name":"Train ID","value":"174-06"},{"id":16,"name":"Locomotive ID","value":"4045"},{"id":130,"name":"Impact","value":""},{"id":150,"name":"Time of Event (Mountain Time)","value":"14:26:52"},{"id":151,"name":"Denver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19"/>
        <v>start /low /b %USERPROFILE%\Documents\GitHub\eaglep3\Utilities\DownloadLogsFromS3.py --loco 4045 --day 2017-03-06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693</v>
      </c>
      <c r="B87" s="7">
        <v>4020</v>
      </c>
      <c r="C87" s="21" t="s">
        <v>245</v>
      </c>
      <c r="D87" s="21" t="s">
        <v>229</v>
      </c>
      <c r="E87" s="13">
        <v>42800.541944444441</v>
      </c>
      <c r="F87" s="13">
        <v>42800.543599537035</v>
      </c>
      <c r="G87" s="7">
        <v>1</v>
      </c>
      <c r="H87" s="21" t="s">
        <v>294</v>
      </c>
      <c r="I87" s="13">
        <v>42800.57707175926</v>
      </c>
      <c r="J87" s="7">
        <v>0</v>
      </c>
      <c r="K87" s="98" t="str">
        <f t="shared" si="54"/>
        <v>4019/4020</v>
      </c>
      <c r="L87" s="21" t="str">
        <f>VLOOKUP(A87,'Trips&amp;Operators'!$C$1:$G$99999,5,FALSE)</f>
        <v>DAVIS MICHAEL</v>
      </c>
      <c r="M87" s="6">
        <f t="shared" si="55"/>
        <v>3.3472222225100268E-2</v>
      </c>
      <c r="N87" s="7">
        <f t="shared" si="41"/>
        <v>48.200000004144385</v>
      </c>
      <c r="O87" s="7"/>
      <c r="P87" s="7"/>
      <c r="Q87" s="22"/>
      <c r="R87" s="22"/>
      <c r="S87" s="31">
        <f t="shared" si="42"/>
        <v>1</v>
      </c>
      <c r="T87" s="46" t="str">
        <f t="shared" si="56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51"/>
        <v>https://d0f6bd738d7f1b3e5a7ca70fe4ff75f0.us-east-1.aws.found.io/app/kibana#/discover/Steve-Slow-Train-Analysis-(2080s-and-2083s)?_g=(refreshInterval:(display:Off,pause:!f,section:0,value:0),time:(from:'2017-03-06T12:00:24-0700',mode:absolute,to:'2017-03-06T14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87" t="str">
        <f t="shared" si="57"/>
        <v>N</v>
      </c>
      <c r="X87" s="187">
        <f t="shared" si="50"/>
        <v>1</v>
      </c>
      <c r="Y87" s="62">
        <f t="shared" si="58"/>
        <v>4.5499999999999999E-2</v>
      </c>
      <c r="Z87" s="62">
        <f t="shared" si="59"/>
        <v>23.329499999999999</v>
      </c>
      <c r="AA87" s="62">
        <f t="shared" si="60"/>
        <v>23.283999999999999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1"/>
        <v>0175-06</v>
      </c>
      <c r="AE87" s="85" t="str">
        <f t="shared" si="52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87" s="82" t="str">
        <f t="shared" si="53"/>
        <v>"C:\Program Files (x86)\AstroGrep\AstroGrep.exe" /e /r /s /spath="%USERPROFILE%\AppData\Local\Temp\OnboardLogs" /stypes="app*4020*20170306*" /stext=" 20:.+((SYSTEM_STATE.+slice.+state.+changed )|(ment ac)|(multiple cpu faults)|(system.+state.+changed )|(\[timeout)|(PRM\|1\|D)|(kpr)|(kdp)|(\|lc)|(penalty))"</v>
      </c>
      <c r="AG87" s="1" t="str">
        <f t="shared" si="62"/>
        <v>EC</v>
      </c>
      <c r="AH87" s="86" t="str">
        <f t="shared" si="17"/>
        <v>"%USERPROFILE%\Documents\GitHub\eaglep3\Utilities\RefineRTDCRunTimes.py" --tripid 175-06 --locoid 4020 --swversion DE.1.0.9.0 --startMP 204:455 --initTime 2017-03-06T13:00:24 --startdatetime 2017-03-06T13:02:47 --delay 1 --endMP 204:233295 --enddatetime 2017-03-06T13:50:59 --enforcementcount 0 &gt;&gt;C:\Users\stu\Documents\GitHub\eaglep3-reporting\EC\2017-03-06-refined-times.txt</v>
      </c>
      <c r="AI87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{"issue":{"subject":"","project_id":79,"tracker_id":40,"status_id":1,"priority_id":2,"assigned_to_id":23,"start_date":"2017-03-06","description":"","custom_fields":[{"id":1,"name":"Subdivision","value":"EC"},{"id":4,"name":"Milepost","value":"23.3295"},{"id":17,"name":"Train ID","value":"175-06"},{"id":16,"name":"Locomotive ID","value":"4020"},{"id":130,"name":"Impact","value":""},{"id":150,"name":"Time of Event (Mountain Time)","value":"13:50:59"},{"id":151,"name":"Denver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19"/>
        <v>start /low /b %USERPROFILE%\Documents\GitHub\eaglep3\Utilities\DownloadLogsFromS3.py --loco 4020 --day 2017-03-06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701</v>
      </c>
      <c r="B88" s="7">
        <v>4019</v>
      </c>
      <c r="C88" s="21" t="s">
        <v>245</v>
      </c>
      <c r="D88" s="21" t="s">
        <v>296</v>
      </c>
      <c r="E88" s="13">
        <v>42800.580520833333</v>
      </c>
      <c r="F88" s="13">
        <v>42800.585289351853</v>
      </c>
      <c r="G88" s="7">
        <v>1</v>
      </c>
      <c r="H88" s="21" t="s">
        <v>818</v>
      </c>
      <c r="I88" s="13">
        <v>42800.618379629632</v>
      </c>
      <c r="J88" s="7">
        <v>0</v>
      </c>
      <c r="K88" s="98" t="str">
        <f t="shared" si="54"/>
        <v>4019/4020</v>
      </c>
      <c r="L88" s="21" t="str">
        <f>VLOOKUP(A88,'Trips&amp;Operators'!$C$1:$G$99999,5,FALSE)</f>
        <v>DAVIS MICHAEL</v>
      </c>
      <c r="M88" s="6">
        <f t="shared" si="55"/>
        <v>3.309027777868323E-2</v>
      </c>
      <c r="N88" s="7">
        <f t="shared" si="41"/>
        <v>47.650000001303852</v>
      </c>
      <c r="O88" s="7"/>
      <c r="P88" s="7"/>
      <c r="Q88" s="22"/>
      <c r="R88" s="22"/>
      <c r="S88" s="31">
        <f t="shared" si="42"/>
        <v>1</v>
      </c>
      <c r="T88" s="46" t="str">
        <f t="shared" si="56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51"/>
        <v>https://d0f6bd738d7f1b3e5a7ca70fe4ff75f0.us-east-1.aws.found.io/app/kibana#/discover/Steve-Slow-Train-Analysis-(2080s-and-2083s)?_g=(refreshInterval:(display:Off,pause:!f,section:0,value:0),time:(from:'2017-03-06T12:55:57-0700',mode:absolute,to:'2017-03-06T15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87" t="str">
        <f t="shared" si="57"/>
        <v>N</v>
      </c>
      <c r="X88" s="187">
        <f t="shared" si="50"/>
        <v>1</v>
      </c>
      <c r="Y88" s="62">
        <f t="shared" si="58"/>
        <v>23.299099999999999</v>
      </c>
      <c r="Z88" s="62">
        <f t="shared" si="59"/>
        <v>1.2999999999999999E-2</v>
      </c>
      <c r="AA88" s="62">
        <f t="shared" si="60"/>
        <v>23.286099999999998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61"/>
        <v>0176-06</v>
      </c>
      <c r="AE88" s="85" t="str">
        <f t="shared" si="52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88" s="82" t="str">
        <f t="shared" si="53"/>
        <v>"C:\Program Files (x86)\AstroGrep\AstroGrep.exe" /e /r /s /spath="%USERPROFILE%\AppData\Local\Temp\OnboardLogs" /stypes="app*4019*20170306*" /stext=" 21:.+((SYSTEM_STATE.+slice.+state.+changed )|(ment ac)|(multiple cpu faults)|(system.+state.+changed )|(\[timeout)|(PRM\|1\|D)|(kpr)|(kdp)|(\|lc)|(penalty))"</v>
      </c>
      <c r="AG88" s="1" t="str">
        <f t="shared" si="62"/>
        <v>EC</v>
      </c>
      <c r="AH88" s="86" t="str">
        <f t="shared" si="17"/>
        <v>"%USERPROFILE%\Documents\GitHub\eaglep3\Utilities\RefineRTDCRunTimes.py" --tripid 176-06 --locoid 4019 --swversion DE.1.0.9.0 --startMP 204:232991 --initTime 2017-03-06T13:55:57 --startdatetime 2017-03-06T14:02:49 --delay 1 --endMP 204:130 --enddatetime 2017-03-06T14:50:28 --enforcementcount 0 &gt;&gt;C:\Users\stu\Documents\GitHub\eaglep3-reporting\EC\2017-03-06-refined-times.txt</v>
      </c>
      <c r="AI88" s="108" t="str">
        <f t="shared" si="18"/>
        <v>echo {"issue":{"subject":"","project_id":79,"tracker_id":40,"status_id":1,"priority_id":2,"assigned_to_id":23,"start_date":"2017-03-06","description":"","custom_fields":[{"id":1,"name":"Subdivision","value":"EC"},{"id":4,"name":"Milepost","value":"0.013"},{"id":17,"name":"Train ID","value":"176-06"},{"id":16,"name":"Locomotive ID","value":"4019"},{"id":130,"name":"Impact","value":""},{"id":150,"name":"Time of Event (Mountain Time)","value":"14:50:28"},{"id":151,"name":"Denver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19"/>
        <v>start /low /b %USERPROFILE%\Documents\GitHub\eaglep3\Utilities\DownloadLogsFromS3.py --loco 4019 --day 2017-03-06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695</v>
      </c>
      <c r="B89" s="7">
        <v>4053</v>
      </c>
      <c r="C89" s="21" t="s">
        <v>245</v>
      </c>
      <c r="D89" s="21" t="s">
        <v>547</v>
      </c>
      <c r="E89" s="13">
        <v>42800.549872685187</v>
      </c>
      <c r="F89" s="13">
        <v>42800.552893518521</v>
      </c>
      <c r="G89" s="7">
        <v>2</v>
      </c>
      <c r="H89" s="21" t="s">
        <v>830</v>
      </c>
      <c r="I89" s="13">
        <v>42800.583495370367</v>
      </c>
      <c r="J89" s="7">
        <v>0</v>
      </c>
      <c r="K89" s="98" t="str">
        <f t="shared" si="54"/>
        <v>4053/4054</v>
      </c>
      <c r="L89" s="21" t="str">
        <f>VLOOKUP(A89,'Trips&amp;Operators'!$C$1:$G$99999,5,FALSE)</f>
        <v>LALONDE GREGORY</v>
      </c>
      <c r="M89" s="6">
        <f t="shared" si="55"/>
        <v>3.0601851845858619E-2</v>
      </c>
      <c r="N89" s="7">
        <f t="shared" si="41"/>
        <v>44.066666658036411</v>
      </c>
      <c r="O89" s="7"/>
      <c r="P89" s="7"/>
      <c r="Q89" s="22"/>
      <c r="R89" s="22"/>
      <c r="S89" s="31">
        <f t="shared" si="42"/>
        <v>1</v>
      </c>
      <c r="T89" s="46" t="str">
        <f t="shared" si="56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51"/>
        <v>https://d0f6bd738d7f1b3e5a7ca70fe4ff75f0.us-east-1.aws.found.io/app/kibana#/discover/Steve-Slow-Train-Analysis-(2080s-and-2083s)?_g=(refreshInterval:(display:Off,pause:!f,section:0,value:0),time:(from:'2017-03-06T12:11:49-0700',mode:absolute,to:'2017-03-06T15:00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9" s="187" t="str">
        <f t="shared" si="57"/>
        <v>N</v>
      </c>
      <c r="X89" s="187">
        <f t="shared" ref="X89:X120" si="63">VALUE(LEFT(AD89,4))-VALUE(LEFT(AD88,4))</f>
        <v>1</v>
      </c>
      <c r="Y89" s="62">
        <f t="shared" si="58"/>
        <v>0.14860000000000001</v>
      </c>
      <c r="Z89" s="62">
        <f t="shared" si="59"/>
        <v>23.330100000000002</v>
      </c>
      <c r="AA89" s="62">
        <f t="shared" si="60"/>
        <v>23.181500000000003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61"/>
        <v>0177-06</v>
      </c>
      <c r="AE89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89" s="82" t="str">
        <f t="shared" si="53"/>
        <v>"C:\Program Files (x86)\AstroGrep\AstroGrep.exe" /e /r /s /spath="%USERPROFILE%\AppData\Local\Temp\OnboardLogs" /stypes="app*4053*20170306*" /stext=" 21:.+((SYSTEM_STATE.+slice.+state.+changed )|(ment ac)|(multiple cpu faults)|(system.+state.+changed )|(\[timeout)|(PRM\|1\|D)|(kpr)|(kdp)|(\|lc)|(penalty))"</v>
      </c>
      <c r="AG89" s="1" t="str">
        <f t="shared" si="62"/>
        <v>EC</v>
      </c>
      <c r="AH89" s="86" t="str">
        <f t="shared" ref="AH89:AH153" si="64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177-06 --locoid 4053 --swversion DE.1.0.9.0 --startMP 204:1486 --initTime 2017-03-06T13:11:49 --startdatetime 2017-03-06T13:16:10 --delay 2 --endMP 204:233301 --enddatetime 2017-03-06T14:00:14 --enforcementcount 0 &gt;&gt;C:\Users\stu\Documents\GitHub\eaglep3-reporting\EC\2017-03-06-refined-times.txt</v>
      </c>
      <c r="AI89" s="108" t="str">
        <f t="shared" ref="AI89:AI153" si="65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{"issue":{"subject":"","project_id":79,"tracker_id":40,"status_id":1,"priority_id":2,"assigned_to_id":23,"start_date":"2017-03-06","description":"","custom_fields":[{"id":1,"name":"Subdivision","value":"EC"},{"id":4,"name":"Milepost","value":"23.3301"},{"id":17,"name":"Train ID","value":"177-06"},{"id":16,"name":"Locomotive ID","value":"4053"},{"id":130,"name":"Impact","value":""},{"id":150,"name":"Time of Event (Mountain Time)","value":"14:00:14"},{"id":151,"name":"Denver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ref="AM89:AM153" si="66">"start /low /b "&amp;dls3logs&amp;" --loco "&amp;B89&amp;" --day "&amp;TEXT(F89,"YYYY-MM-DD")</f>
        <v>start /low /b %USERPROFILE%\Documents\GitHub\eaglep3\Utilities\DownloadLogsFromS3.py --loco 4053 --day 2017-03-06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"%USERPROFILE%\AppData\Local\Temp\OnboardLogs"\RTDC4053\*4053*20170306* | grep -SE "(Enforcement Action)|(\[TIMEOUT)|(CHR.+\|PRM\|1\|D.+(SWITCH|SIGNAL).+UNKNOWN)" - &gt;&gt; 2017-03-06-UncaughtWiMAX.txt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702</v>
      </c>
      <c r="B90" s="7">
        <v>4054</v>
      </c>
      <c r="C90" s="21" t="s">
        <v>245</v>
      </c>
      <c r="D90" s="21" t="s">
        <v>248</v>
      </c>
      <c r="E90" s="13">
        <v>42800.585902777777</v>
      </c>
      <c r="F90" s="13">
        <v>42800.591805555552</v>
      </c>
      <c r="G90" s="7">
        <v>1</v>
      </c>
      <c r="H90" s="21" t="s">
        <v>831</v>
      </c>
      <c r="I90" s="13">
        <v>42800.620520833334</v>
      </c>
      <c r="J90" s="7">
        <v>0</v>
      </c>
      <c r="K90" s="98" t="str">
        <f t="shared" si="54"/>
        <v>4053/4054</v>
      </c>
      <c r="L90" s="21" t="str">
        <f>VLOOKUP(A90,'Trips&amp;Operators'!$C$1:$G$99999,5,FALSE)</f>
        <v>LALONDE GREGORY</v>
      </c>
      <c r="M90" s="6">
        <f t="shared" si="55"/>
        <v>2.8715277781884652E-2</v>
      </c>
      <c r="N90" s="7">
        <f t="shared" si="41"/>
        <v>41.350000005913898</v>
      </c>
      <c r="O90" s="7"/>
      <c r="P90" s="7"/>
      <c r="Q90" s="22"/>
      <c r="R90" s="22"/>
      <c r="S90" s="31">
        <f t="shared" si="42"/>
        <v>1</v>
      </c>
      <c r="T90" s="46" t="str">
        <f t="shared" si="56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51"/>
        <v>https://d0f6bd738d7f1b3e5a7ca70fe4ff75f0.us-east-1.aws.found.io/app/kibana#/discover/Steve-Slow-Train-Analysis-(2080s-and-2083s)?_g=(refreshInterval:(display:Off,pause:!f,section:0,value:0),time:(from:'2017-03-06T13:03:42-0700',mode:absolute,to:'2017-03-06T15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0" s="187" t="str">
        <f t="shared" si="57"/>
        <v>N</v>
      </c>
      <c r="X90" s="187">
        <f t="shared" si="63"/>
        <v>1</v>
      </c>
      <c r="Y90" s="62">
        <f t="shared" si="58"/>
        <v>23.299399999999999</v>
      </c>
      <c r="Z90" s="62">
        <f t="shared" si="59"/>
        <v>3.56E-2</v>
      </c>
      <c r="AA90" s="62">
        <f t="shared" si="60"/>
        <v>23.2638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61"/>
        <v>0178-06</v>
      </c>
      <c r="AE90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90" s="82" t="str">
        <f t="shared" si="53"/>
        <v>"C:\Program Files (x86)\AstroGrep\AstroGrep.exe" /e /r /s /spath="%USERPROFILE%\AppData\Local\Temp\OnboardLogs" /stypes="app*4054*20170306*" /stext=" 21:.+((SYSTEM_STATE.+slice.+state.+changed )|(ment ac)|(multiple cpu faults)|(system.+state.+changed )|(\[timeout)|(PRM\|1\|D)|(kpr)|(kdp)|(\|lc)|(penalty))"</v>
      </c>
      <c r="AG90" s="1" t="str">
        <f t="shared" si="62"/>
        <v>EC</v>
      </c>
      <c r="AH90" s="86" t="str">
        <f t="shared" si="64"/>
        <v>"%USERPROFILE%\Documents\GitHub\eaglep3\Utilities\RefineRTDCRunTimes.py" --tripid 178-06 --locoid 4054 --swversion DE.1.0.9.0 --startMP 204:232994 --initTime 2017-03-06T14:03:42 --startdatetime 2017-03-06T14:12:12 --delay 1 --endMP 204:356 --enddatetime 2017-03-06T14:53:33 --enforcementcount 0 &gt;&gt;C:\Users\stu\Documents\GitHub\eaglep3-reporting\EC\2017-03-06-refined-times.txt</v>
      </c>
      <c r="AI9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{"issue":{"subject":"","project_id":79,"tracker_id":40,"status_id":1,"priority_id":2,"assigned_to_id":23,"start_date":"2017-03-06","description":"","custom_fields":[{"id":1,"name":"Subdivision","value":"EC"},{"id":4,"name":"Milepost","value":"0.0356"},{"id":17,"name":"Train ID","value":"178-06"},{"id":16,"name":"Locomotive ID","value":"4054"},{"id":130,"name":"Impact","value":""},{"id":150,"name":"Time of Event (Mountain Time)","value":"14:53:33"},{"id":151,"name":"Denver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66"/>
        <v>start /low /b %USERPROFILE%\Documents\GitHub\eaglep3\Utilities\DownloadLogsFromS3.py --loco 4054 --day 2017-03-06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698</v>
      </c>
      <c r="B91" s="7">
        <v>4018</v>
      </c>
      <c r="C91" s="21" t="s">
        <v>245</v>
      </c>
      <c r="D91" s="21" t="s">
        <v>284</v>
      </c>
      <c r="E91" s="13">
        <v>42800.563622685186</v>
      </c>
      <c r="F91" s="13">
        <v>42800.565486111111</v>
      </c>
      <c r="G91" s="7">
        <v>1</v>
      </c>
      <c r="H91" s="21" t="s">
        <v>832</v>
      </c>
      <c r="I91" s="13">
        <v>42800.591944444444</v>
      </c>
      <c r="J91" s="7">
        <v>0</v>
      </c>
      <c r="K91" s="98" t="str">
        <f t="shared" si="54"/>
        <v>4017/4018</v>
      </c>
      <c r="L91" s="21" t="str">
        <f>VLOOKUP(A91,'Trips&amp;Operators'!$C$1:$G$99999,5,FALSE)</f>
        <v>ROMERO CHAD</v>
      </c>
      <c r="M91" s="6">
        <f t="shared" si="55"/>
        <v>2.6458333333721384E-2</v>
      </c>
      <c r="N91" s="7">
        <f t="shared" si="41"/>
        <v>38.100000000558794</v>
      </c>
      <c r="O91" s="7"/>
      <c r="P91" s="7"/>
      <c r="Q91" s="22"/>
      <c r="R91" s="22"/>
      <c r="S91" s="31">
        <f t="shared" si="42"/>
        <v>1</v>
      </c>
      <c r="T91" s="46" t="str">
        <f t="shared" si="56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51"/>
        <v>https://d0f6bd738d7f1b3e5a7ca70fe4ff75f0.us-east-1.aws.found.io/app/kibana#/discover/Steve-Slow-Train-Analysis-(2080s-and-2083s)?_g=(refreshInterval:(display:Off,pause:!f,section:0,value:0),time:(from:'2017-03-06T12:31:37-0700',mode:absolute,to:'2017-03-06T15:12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187" t="str">
        <f t="shared" si="57"/>
        <v>N</v>
      </c>
      <c r="X91" s="187">
        <f t="shared" si="63"/>
        <v>1</v>
      </c>
      <c r="Y91" s="62">
        <f t="shared" si="58"/>
        <v>4.4200000000000003E-2</v>
      </c>
      <c r="Z91" s="62">
        <f t="shared" si="59"/>
        <v>23.333100000000002</v>
      </c>
      <c r="AA91" s="62">
        <f t="shared" si="60"/>
        <v>23.288900000000002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61"/>
        <v>0179-06</v>
      </c>
      <c r="AE91" s="85" t="str">
        <f t="shared" si="52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91" s="82" t="str">
        <f t="shared" si="53"/>
        <v>"C:\Program Files (x86)\AstroGrep\AstroGrep.exe" /e /r /s /spath="%USERPROFILE%\AppData\Local\Temp\OnboardLogs" /stypes="app*4018*20170306*" /stext=" 21:.+((SYSTEM_STATE.+slice.+state.+changed )|(ment ac)|(multiple cpu faults)|(system.+state.+changed )|(\[timeout)|(PRM\|1\|D)|(kpr)|(kdp)|(\|lc)|(penalty))"</v>
      </c>
      <c r="AG91" s="1" t="str">
        <f t="shared" si="62"/>
        <v>EC</v>
      </c>
      <c r="AH91" s="86" t="str">
        <f t="shared" si="64"/>
        <v>"%USERPROFILE%\Documents\GitHub\eaglep3\Utilities\RefineRTDCRunTimes.py" --tripid 179-06 --locoid 4018 --swversion DE.1.0.9.0 --startMP 204:442 --initTime 2017-03-06T13:31:37 --startdatetime 2017-03-06T13:34:18 --delay 1 --endMP 204:233331 --enddatetime 2017-03-06T14:12:24 --enforcementcount 0 &gt;&gt;C:\Users\stu\Documents\GitHub\eaglep3-reporting\EC\2017-03-06-refined-times.txt</v>
      </c>
      <c r="AI9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{"issue":{"subject":"","project_id":79,"tracker_id":40,"status_id":1,"priority_id":2,"assigned_to_id":23,"start_date":"2017-03-06","description":"","custom_fields":[{"id":1,"name":"Subdivision","value":"EC"},{"id":4,"name":"Milepost","value":"23.3331"},{"id":17,"name":"Train ID","value":"179-06"},{"id":16,"name":"Locomotive ID","value":"4018"},{"id":130,"name":"Impact","value":""},{"id":150,"name":"Time of Event (Mountain Time)","value":"14:12:24"},{"id":151,"name":"Denver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66"/>
        <v>start /low /b %USERPROFILE%\Documents\GitHub\eaglep3\Utilities\DownloadLogsFromS3.py --loco 4018 --day 2017-03-06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705</v>
      </c>
      <c r="B92" s="7">
        <v>4017</v>
      </c>
      <c r="C92" s="21" t="s">
        <v>245</v>
      </c>
      <c r="D92" s="21" t="s">
        <v>833</v>
      </c>
      <c r="E92" s="13">
        <v>42800.598217592589</v>
      </c>
      <c r="F92" s="13">
        <v>42800.602430555555</v>
      </c>
      <c r="G92" s="7">
        <v>3</v>
      </c>
      <c r="H92" s="21" t="s">
        <v>203</v>
      </c>
      <c r="I92" s="13">
        <v>42800.63113425926</v>
      </c>
      <c r="J92" s="7">
        <v>0</v>
      </c>
      <c r="K92" s="98" t="str">
        <f t="shared" si="54"/>
        <v>4017/4018</v>
      </c>
      <c r="L92" s="21" t="str">
        <f>VLOOKUP(A92,'Trips&amp;Operators'!$C$1:$G$99999,5,FALSE)</f>
        <v>ROMERO CHAD</v>
      </c>
      <c r="M92" s="6">
        <f t="shared" si="55"/>
        <v>2.8703703705104999E-2</v>
      </c>
      <c r="N92" s="7">
        <f t="shared" si="41"/>
        <v>41.333333335351199</v>
      </c>
      <c r="O92" s="7"/>
      <c r="P92" s="7"/>
      <c r="Q92" s="22"/>
      <c r="R92" s="22"/>
      <c r="S92" s="31">
        <f t="shared" si="42"/>
        <v>1</v>
      </c>
      <c r="T92" s="46" t="str">
        <f t="shared" si="56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51"/>
        <v>https://d0f6bd738d7f1b3e5a7ca70fe4ff75f0.us-east-1.aws.found.io/app/kibana#/discover/Steve-Slow-Train-Analysis-(2080s-and-2083s)?_g=(refreshInterval:(display:Off,pause:!f,section:0,value:0),time:(from:'2017-03-06T13:21:26-0700',mode:absolute,to:'2017-03-06T16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187" t="str">
        <f t="shared" si="57"/>
        <v>N</v>
      </c>
      <c r="X92" s="187">
        <f t="shared" si="63"/>
        <v>1</v>
      </c>
      <c r="Y92" s="62">
        <f t="shared" si="58"/>
        <v>23.3019</v>
      </c>
      <c r="Z92" s="62">
        <f t="shared" si="59"/>
        <v>1.52E-2</v>
      </c>
      <c r="AA92" s="62">
        <f t="shared" si="60"/>
        <v>23.2867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61"/>
        <v>0180-06</v>
      </c>
      <c r="AE92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92" s="82" t="str">
        <f t="shared" si="53"/>
        <v>"C:\Program Files (x86)\AstroGrep\AstroGrep.exe" /e /r /s /spath="%USERPROFILE%\AppData\Local\Temp\OnboardLogs" /stypes="app*4017*20170306*" /stext=" 22:.+((SYSTEM_STATE.+slice.+state.+changed )|(ment ac)|(multiple cpu faults)|(system.+state.+changed )|(\[timeout)|(PRM\|1\|D)|(kpr)|(kdp)|(\|lc)|(penalty))"</v>
      </c>
      <c r="AG92" s="1" t="str">
        <f t="shared" si="62"/>
        <v>EC</v>
      </c>
      <c r="AH92" s="86" t="str">
        <f t="shared" si="64"/>
        <v>"%USERPROFILE%\Documents\GitHub\eaglep3\Utilities\RefineRTDCRunTimes.py" --tripid 180-06 --locoid 4017 --swversion DE.1.0.9.0 --startMP 204:233019 --initTime 2017-03-06T14:21:26 --startdatetime 2017-03-06T14:27:30 --delay 3 --endMP 204:152 --enddatetime 2017-03-06T15:08:50 --enforcementcount 0 &gt;&gt;C:\Users\stu\Documents\GitHub\eaglep3-reporting\EC\2017-03-06-refined-times.txt</v>
      </c>
      <c r="AI9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ID","value":"180-06"},{"id":16,"name":"Locomotive ID","value":"4017"},{"id":130,"name":"Impact","value":""},{"id":150,"name":"Time of Event (Mountain Time)","value":"15:08:50"},{"id":151,"name":"Denver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66"/>
        <v>start /low /b %USERPROFILE%\Documents\GitHub\eaglep3\Utilities\DownloadLogsFromS3.py --loco 4017 --day 2017-03-06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582</v>
      </c>
      <c r="B93" s="7">
        <v>4002</v>
      </c>
      <c r="C93" s="21" t="s">
        <v>245</v>
      </c>
      <c r="D93" s="21" t="s">
        <v>220</v>
      </c>
      <c r="E93" s="13">
        <v>42800.571122685185</v>
      </c>
      <c r="F93" s="13">
        <v>42800.572083333333</v>
      </c>
      <c r="G93" s="7">
        <v>1</v>
      </c>
      <c r="H93" s="21" t="s">
        <v>270</v>
      </c>
      <c r="I93" s="13">
        <v>42800.575277777774</v>
      </c>
      <c r="J93" s="7">
        <v>0</v>
      </c>
      <c r="K93" s="98" t="str">
        <f t="shared" si="54"/>
        <v>4001/4002</v>
      </c>
      <c r="L93" s="21" t="str">
        <f>VLOOKUP(A93,'Trips&amp;Operators'!$C$1:$G$99999,5,FALSE)</f>
        <v>LOCKLEAR TRAVIS</v>
      </c>
      <c r="M93" s="6">
        <f t="shared" si="55"/>
        <v>3.1944444417604245E-3</v>
      </c>
      <c r="N93" s="7"/>
      <c r="O93" s="7"/>
      <c r="P93" s="7"/>
      <c r="Q93" s="22"/>
      <c r="R93" s="22"/>
      <c r="S93" s="31"/>
      <c r="T93" s="46" t="str">
        <f t="shared" si="56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186" t="str">
        <f t="shared" si="51"/>
        <v>https://d0f6bd738d7f1b3e5a7ca70fe4ff75f0.us-east-1.aws.found.io/app/kibana#/discover/Steve-Slow-Train-Analysis-(2080s-and-2083s)?_g=(refreshInterval:(display:Off,pause:!f,section:0,value:0),time:(from:'2017-03-06T12:42:25-0700',mode:absolute,to:'2017-03-06T14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87" t="str">
        <f t="shared" si="57"/>
        <v>Y</v>
      </c>
      <c r="X93" s="187">
        <f t="shared" si="63"/>
        <v>1</v>
      </c>
      <c r="Y93" s="62">
        <f t="shared" si="58"/>
        <v>4.5999999999999999E-2</v>
      </c>
      <c r="Z93" s="62">
        <f t="shared" si="59"/>
        <v>4.6699999999999998E-2</v>
      </c>
      <c r="AA93" s="62">
        <f t="shared" si="60"/>
        <v>6.9999999999999923E-4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61"/>
        <v>0181-06</v>
      </c>
      <c r="AE93" s="85" t="str">
        <f t="shared" si="52"/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AF93" s="82" t="str">
        <f t="shared" si="53"/>
        <v>"C:\Program Files (x86)\AstroGrep\AstroGrep.exe" /e /r /s /spath="%USERPROFILE%\AppData\Local\Temp\OnboardLogs" /stypes="app*4002*20170306*" /stext=" 20:.+((SYSTEM_STATE.+slice.+state.+changed )|(ment ac)|(multiple cpu faults)|(system.+state.+changed )|(\[timeout)|(PRM\|1\|D)|(kpr)|(kdp)|(\|lc)|(penalty))"</v>
      </c>
      <c r="AG93" s="1" t="str">
        <f t="shared" si="62"/>
        <v>EC</v>
      </c>
      <c r="AH93" s="86" t="str">
        <f t="shared" si="64"/>
        <v>"%USERPROFILE%\Documents\GitHub\eaglep3\Utilities\RefineRTDCRunTimes.py" --tripid 181-06 --locoid 4002 --swversion DE.1.0.9.0 --startMP 204:460 --initTime 2017-03-06T13:42:25 --startdatetime 2017-03-06T13:43:48 --delay 1 --endMP 204:467 --enddatetime 2017-03-06T13:48:24 --enforcementcount 0 &gt;&gt;C:\Users\stu\Documents\GitHub\eaglep3-reporting\EC\2017-03-06-refined-times.txt</v>
      </c>
      <c r="AI9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{"issue":{"subject":"","project_id":79,"tracker_id":40,"status_id":1,"priority_id":2,"assigned_to_id":23,"start_date":"2017-03-06","description":"","custom_fields":[{"id":1,"name":"Subdivision","value":"EC"},{"id":4,"name":"Milepost","value":"0.0467"},{"id":17,"name":"Train ID","value":"181-06"},{"id":16,"name":"Locomotive ID","value":"4002"},{"id":130,"name":"Impact","value":""},{"id":150,"name":"Time of Event (Mountain Time)","value":"13:48:24"},{"id":151,"name":"Denver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66"/>
        <v>start /low /b %USERPROFILE%\Documents\GitHub\eaglep3\Utilities\DownloadLogsFromS3.py --loco 4002 --day 2017-03-06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"%USERPROFILE%\AppData\Local\Temp\OnboardLogs"\RTDC4002\*4002*20170306* | grep -SE "(Enforcement Action)|(\[TIMEOUT)|(CHR.+\|PRM\|1\|D.+(SWITCH|SIGNAL).+UNKNOWN)" - &gt;&gt; 2017-03-06-UncaughtWiMAX.txt</v>
      </c>
    </row>
    <row r="94" spans="1:91" s="20" customFormat="1" x14ac:dyDescent="0.25">
      <c r="A94" s="33" t="s">
        <v>582</v>
      </c>
      <c r="B94" s="7">
        <v>4009</v>
      </c>
      <c r="C94" s="21" t="s">
        <v>245</v>
      </c>
      <c r="D94" s="21" t="s">
        <v>834</v>
      </c>
      <c r="E94" s="13">
        <v>42800.576122685183</v>
      </c>
      <c r="F94" s="13">
        <v>42800.578564814816</v>
      </c>
      <c r="G94" s="7">
        <v>3</v>
      </c>
      <c r="H94" s="21" t="s">
        <v>835</v>
      </c>
      <c r="I94" s="13">
        <v>42800.579560185186</v>
      </c>
      <c r="J94" s="7">
        <v>1</v>
      </c>
      <c r="K94" s="98" t="str">
        <f t="shared" si="54"/>
        <v>4009/4010</v>
      </c>
      <c r="L94" s="21" t="str">
        <f>VLOOKUP(A94,'Trips&amp;Operators'!$C$1:$G$99999,5,FALSE)</f>
        <v>LOCKLEAR TRAVIS</v>
      </c>
      <c r="M94" s="6">
        <f t="shared" si="55"/>
        <v>9.9537037021946162E-4</v>
      </c>
      <c r="N94" s="7"/>
      <c r="O94" s="7"/>
      <c r="P94" s="7"/>
      <c r="Q94" s="22"/>
      <c r="R94" s="22"/>
      <c r="S94" s="31"/>
      <c r="T94" s="46" t="str">
        <f t="shared" si="56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186" t="str">
        <f t="shared" si="51"/>
        <v>https://d0f6bd738d7f1b3e5a7ca70fe4ff75f0.us-east-1.aws.found.io/app/kibana#/discover/Steve-Slow-Train-Analysis-(2080s-and-2083s)?_g=(refreshInterval:(display:Off,pause:!f,section:0,value:0),time:(from:'2017-03-06T12:49:37-0700',mode:absolute,to:'2017-03-06T14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4" s="187" t="str">
        <f t="shared" si="57"/>
        <v>Y</v>
      </c>
      <c r="X94" s="187">
        <f t="shared" si="63"/>
        <v>0</v>
      </c>
      <c r="Y94" s="62">
        <f t="shared" si="58"/>
        <v>0.14940000000000001</v>
      </c>
      <c r="Z94" s="62">
        <f t="shared" si="59"/>
        <v>0.2167</v>
      </c>
      <c r="AA94" s="62">
        <f t="shared" si="60"/>
        <v>6.7299999999999999E-2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61"/>
        <v>0181-06</v>
      </c>
      <c r="AE94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94" s="82" t="str">
        <f t="shared" si="53"/>
        <v>"C:\Program Files (x86)\AstroGrep\AstroGrep.exe" /e /r /s /spath="%USERPROFILE%\AppData\Local\Temp\OnboardLogs" /stypes="app*4009*20170306*" /stext=" 20:.+((SYSTEM_STATE.+slice.+state.+changed )|(ment ac)|(multiple cpu faults)|(system.+state.+changed )|(\[timeout)|(PRM\|1\|D)|(kpr)|(kdp)|(\|lc)|(penalty))"</v>
      </c>
      <c r="AG94" s="1" t="str">
        <f t="shared" si="62"/>
        <v>EC</v>
      </c>
      <c r="AH94" s="86" t="str">
        <f t="shared" si="64"/>
        <v>"%USERPROFILE%\Documents\GitHub\eaglep3\Utilities\RefineRTDCRunTimes.py" --tripid 181-06 --locoid 4009 --swversion DE.1.0.9.0 --startMP 204:1494 --initTime 2017-03-06T13:49:37 --startdatetime 2017-03-06T13:53:08 --delay 3 --endMP 204:2167 --enddatetime 2017-03-06T13:54:34 --enforcementcount 1 &gt;&gt;C:\Users\stu\Documents\GitHub\eaglep3-reporting\EC\2017-03-06-refined-times.txt</v>
      </c>
      <c r="AI9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{"issue":{"subject":"","project_id":79,"tracker_id":40,"status_id":1,"priority_id":2,"assigned_to_id":23,"start_date":"2017-03-06","description":"","custom_fields":[{"id":1,"name":"Subdivision","value":"EC"},{"id":4,"name":"Milepost","value":"0.2167"},{"id":17,"name":"Train ID","value":"181-06"},{"id":16,"name":"Locomotive ID","value":"4009"},{"id":130,"name":"Impact","value":""},{"id":150,"name":"Time of Event (Mountain Time)","value":"13:54:34"},{"id":151,"name":"Denver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66"/>
        <v>start /low /b %USERPROFILE%\Documents\GitHub\eaglep3\Utilities\DownloadLogsFromS3.py --loco 4009 --day 2017-03-06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582</v>
      </c>
      <c r="B95" s="7">
        <v>4009</v>
      </c>
      <c r="C95" s="21" t="s">
        <v>245</v>
      </c>
      <c r="D95" s="21" t="s">
        <v>836</v>
      </c>
      <c r="E95" s="13">
        <v>42800.582187499997</v>
      </c>
      <c r="F95" s="13">
        <v>42800.582928240743</v>
      </c>
      <c r="G95" s="7">
        <v>1</v>
      </c>
      <c r="H95" s="21" t="s">
        <v>319</v>
      </c>
      <c r="I95" s="13">
        <v>42800.606666666667</v>
      </c>
      <c r="J95" s="7">
        <v>0</v>
      </c>
      <c r="K95" s="98" t="str">
        <f t="shared" si="54"/>
        <v>4009/4010</v>
      </c>
      <c r="L95" s="21" t="str">
        <f>VLOOKUP(A95,'Trips&amp;Operators'!$C$1:$G$99999,5,FALSE)</f>
        <v>LOCKLEAR TRAVIS</v>
      </c>
      <c r="M95" s="6">
        <f t="shared" si="55"/>
        <v>2.3738425923511386E-2</v>
      </c>
      <c r="N95" s="7"/>
      <c r="O95" s="7"/>
      <c r="P95" s="7">
        <f>24*60*SUM($M95:$M95)</f>
        <v>34.183333329856396</v>
      </c>
      <c r="Q95" s="22"/>
      <c r="R95" s="22" t="s">
        <v>987</v>
      </c>
      <c r="S95" s="31">
        <f t="shared" ref="S95:S142" si="67">SUM(U95:U95)/IF(AG95="EC",12,1)</f>
        <v>1</v>
      </c>
      <c r="T95" s="46" t="str">
        <f t="shared" si="56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51"/>
        <v>https://d0f6bd738d7f1b3e5a7ca70fe4ff75f0.us-east-1.aws.found.io/app/kibana#/discover/Steve-Slow-Train-Analysis-(2080s-and-2083s)?_g=(refreshInterval:(display:Off,pause:!f,section:0,value:0),time:(from:'2017-03-06T12:58:21-0700',mode:absolute,to:'2017-03-06T15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87" t="str">
        <f t="shared" si="57"/>
        <v>Y</v>
      </c>
      <c r="X95" s="187">
        <f t="shared" si="63"/>
        <v>0</v>
      </c>
      <c r="Y95" s="62">
        <f t="shared" si="58"/>
        <v>2.0238</v>
      </c>
      <c r="Z95" s="62">
        <f t="shared" si="59"/>
        <v>23.332899999999999</v>
      </c>
      <c r="AA95" s="62">
        <f t="shared" si="60"/>
        <v>21.309099999999997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61"/>
        <v>0181-06</v>
      </c>
      <c r="AE95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95" s="82" t="str">
        <f t="shared" si="53"/>
        <v>"C:\Program Files (x86)\AstroGrep\AstroGrep.exe" /e /r /s /spath="%USERPROFILE%\AppData\Local\Temp\OnboardLogs" /stypes="app*4009*20170306*" /stext=" 21:.+((SYSTEM_STATE.+slice.+state.+changed )|(ment ac)|(multiple cpu faults)|(system.+state.+changed )|(\[timeout)|(PRM\|1\|D)|(kpr)|(kdp)|(\|lc)|(penalty))"</v>
      </c>
      <c r="AG95" s="1" t="str">
        <f t="shared" si="62"/>
        <v>EC</v>
      </c>
      <c r="AH95" s="86" t="str">
        <f t="shared" si="64"/>
        <v>"%USERPROFILE%\Documents\GitHub\eaglep3\Utilities\RefineRTDCRunTimes.py" --tripid 181-06 --locoid 4009 --swversion DE.1.0.9.0 --startMP 204:20238 --initTime 2017-03-06T13:58:21 --startdatetime 2017-03-06T13:59:25 --delay 1 --endMP 204:233329 --enddatetime 2017-03-06T14:33:36 --enforcementcount 0 &gt;&gt;C:\Users\stu\Documents\GitHub\eaglep3-reporting\EC\2017-03-06-refined-times.txt</v>
      </c>
      <c r="AI95" s="108" t="str">
        <f t="shared" si="65"/>
        <v>echo {"issue":{"subject":"Main 3 departure","project_id":79,"tracker_id":40,"status_id":1,"priority_id":2,"assigned_to_id":23,"start_date":"2017-03-06","description":"","custom_fields":[{"id":1,"name":"Subdivision","value":"EC"},{"id":4,"name":"Milepost","value":"23.3329"},{"id":17,"name":"Train ID","value":"181-06"},{"id":16,"name":"Locomotive ID","value":"4009"},{"id":130,"name":"Impact","value":""},{"id":150,"name":"Time of Event (Mountain Time)","value":"14:33:36"},{"id":151,"name":"Denver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66"/>
        <v>start /low /b %USERPROFILE%\Documents\GitHub\eaglep3\Utilities\DownloadLogsFromS3.py --loco 4009 --day 2017-03-06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708</v>
      </c>
      <c r="B96" s="7">
        <v>4010</v>
      </c>
      <c r="C96" s="21" t="s">
        <v>245</v>
      </c>
      <c r="D96" s="21" t="s">
        <v>287</v>
      </c>
      <c r="E96" s="13">
        <v>42800.608344907407</v>
      </c>
      <c r="F96" s="13">
        <v>42800.612002314818</v>
      </c>
      <c r="G96" s="7">
        <v>1</v>
      </c>
      <c r="H96" s="21" t="s">
        <v>192</v>
      </c>
      <c r="I96" s="13">
        <v>42800.641226851854</v>
      </c>
      <c r="J96" s="7">
        <v>0</v>
      </c>
      <c r="K96" s="98" t="str">
        <f t="shared" si="54"/>
        <v>4009/4010</v>
      </c>
      <c r="L96" s="21" t="str">
        <f>VLOOKUP(A96,'Trips&amp;Operators'!$C$1:$G$99999,5,FALSE)</f>
        <v>LOCKLEAR TRAVIS</v>
      </c>
      <c r="M96" s="6">
        <f t="shared" si="55"/>
        <v>2.9224537036498077E-2</v>
      </c>
      <c r="N96" s="7">
        <f>24*60*SUM($M96:$M96)</f>
        <v>42.083333332557231</v>
      </c>
      <c r="O96" s="7"/>
      <c r="P96" s="7"/>
      <c r="Q96" s="22"/>
      <c r="R96" s="22"/>
      <c r="S96" s="31">
        <f t="shared" si="67"/>
        <v>1</v>
      </c>
      <c r="T96" s="46" t="str">
        <f t="shared" si="56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51"/>
        <v>https://d0f6bd738d7f1b3e5a7ca70fe4ff75f0.us-east-1.aws.found.io/app/kibana#/discover/Steve-Slow-Train-Analysis-(2080s-and-2083s)?_g=(refreshInterval:(display:Off,pause:!f,section:0,value:0),time:(from:'2017-03-06T13:36:01-0700',mode:absolute,to:'2017-03-06T16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6" s="187" t="str">
        <f t="shared" si="57"/>
        <v>N</v>
      </c>
      <c r="X96" s="187">
        <f t="shared" si="63"/>
        <v>1</v>
      </c>
      <c r="Y96" s="62">
        <f t="shared" si="58"/>
        <v>23.300799999999999</v>
      </c>
      <c r="Z96" s="62">
        <f t="shared" si="59"/>
        <v>1.4999999999999999E-2</v>
      </c>
      <c r="AA96" s="62">
        <f t="shared" si="60"/>
        <v>23.285799999999998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61"/>
        <v>0182-06</v>
      </c>
      <c r="AE96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96" s="82" t="str">
        <f t="shared" si="53"/>
        <v>"C:\Program Files (x86)\AstroGrep\AstroGrep.exe" /e /r /s /spath="%USERPROFILE%\AppData\Local\Temp\OnboardLogs" /stypes="app*4010*20170306*" /stext=" 22:.+((SYSTEM_STATE.+slice.+state.+changed )|(ment ac)|(multiple cpu faults)|(system.+state.+changed )|(\[timeout)|(PRM\|1\|D)|(kpr)|(kdp)|(\|lc)|(penalty))"</v>
      </c>
      <c r="AG96" s="1" t="str">
        <f t="shared" si="62"/>
        <v>EC</v>
      </c>
      <c r="AH96" s="86" t="str">
        <f t="shared" si="64"/>
        <v>"%USERPROFILE%\Documents\GitHub\eaglep3\Utilities\RefineRTDCRunTimes.py" --tripid 182-06 --locoid 4010 --swversion DE.1.0.9.0 --startMP 204:233008 --initTime 2017-03-06T14:36:01 --startdatetime 2017-03-06T14:41:17 --delay 1 --endMP 204:150 --enddatetime 2017-03-06T15:23:22 --enforcementcount 0 &gt;&gt;C:\Users\stu\Documents\GitHub\eaglep3-reporting\EC\2017-03-06-refined-times.txt</v>
      </c>
      <c r="AI9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ID","value":"182-06"},{"id":16,"name":"Locomotive ID","value":"4010"},{"id":130,"name":"Impact","value":""},{"id":150,"name":"Time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66"/>
        <v>start /low /b %USERPROFILE%\Documents\GitHub\eaglep3\Utilities\DownloadLogsFromS3.py --loco 4010 --day 2017-03-06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584</v>
      </c>
      <c r="B97" s="7">
        <v>4051</v>
      </c>
      <c r="C97" s="21" t="s">
        <v>245</v>
      </c>
      <c r="D97" s="21" t="s">
        <v>837</v>
      </c>
      <c r="E97" s="13">
        <v>42800.578912037039</v>
      </c>
      <c r="F97" s="13">
        <v>42800.586759259262</v>
      </c>
      <c r="G97" s="7">
        <v>1</v>
      </c>
      <c r="H97" s="21" t="s">
        <v>838</v>
      </c>
      <c r="I97" s="13">
        <v>42800.607002314813</v>
      </c>
      <c r="J97" s="7">
        <v>0</v>
      </c>
      <c r="K97" s="98" t="str">
        <f t="shared" si="54"/>
        <v>4051/4052</v>
      </c>
      <c r="L97" s="21" t="str">
        <f>VLOOKUP(A97,'Trips&amp;Operators'!$C$1:$G$99999,5,FALSE)</f>
        <v>HOLCOMB KAMDEN</v>
      </c>
      <c r="M97" s="6">
        <f t="shared" si="55"/>
        <v>2.0243055550963618E-2</v>
      </c>
      <c r="N97" s="7"/>
      <c r="O97" s="7"/>
      <c r="P97" s="7">
        <f>24*60*SUM($M97:$M97)</f>
        <v>29.14999999338761</v>
      </c>
      <c r="Q97" s="22"/>
      <c r="R97" s="22" t="s">
        <v>992</v>
      </c>
      <c r="S97" s="31">
        <f t="shared" si="67"/>
        <v>1</v>
      </c>
      <c r="T97" s="46" t="str">
        <f t="shared" si="56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51"/>
        <v>https://d0f6bd738d7f1b3e5a7ca70fe4ff75f0.us-east-1.aws.found.io/app/kibana#/discover/Steve-Slow-Train-Analysis-(2080s-and-2083s)?_g=(refreshInterval:(display:Off,pause:!f,section:0,value:0),time:(from:'2017-03-06T12:53:38-0700',mode:absolute,to:'2017-03-06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7" s="187" t="str">
        <f t="shared" si="57"/>
        <v>Y</v>
      </c>
      <c r="X97" s="187">
        <f t="shared" si="63"/>
        <v>1</v>
      </c>
      <c r="Y97" s="62">
        <f t="shared" si="58"/>
        <v>0.115</v>
      </c>
      <c r="Z97" s="62">
        <f t="shared" si="59"/>
        <v>12.8278</v>
      </c>
      <c r="AA97" s="62">
        <f t="shared" si="60"/>
        <v>12.7128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61"/>
        <v>0183-06</v>
      </c>
      <c r="AE97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97" s="82" t="str">
        <f t="shared" si="53"/>
        <v>"C:\Program Files (x86)\AstroGrep\AstroGrep.exe" /e /r /s /spath="%USERPROFILE%\AppData\Local\Temp\OnboardLogs" /stypes="app*4051*20170306*" /stext=" 21:.+((SYSTEM_STATE.+slice.+state.+changed )|(ment ac)|(multiple cpu faults)|(system.+state.+changed )|(\[timeout)|(PRM\|1\|D)|(kpr)|(kdp)|(\|lc)|(penalty))"</v>
      </c>
      <c r="AG97" s="1" t="str">
        <f t="shared" si="62"/>
        <v>EC</v>
      </c>
      <c r="AH97" s="86" t="str">
        <f t="shared" si="64"/>
        <v>"%USERPROFILE%\Documents\GitHub\eaglep3\Utilities\RefineRTDCRunTimes.py" --tripid 183-06 --locoid 4051 --swversion DE.1.0.9.0 --startMP 204:1150 --initTime 2017-03-06T13:53:38 --startdatetime 2017-03-06T14:04:56 --delay 1 --endMP 204:128278 --enddatetime 2017-03-06T14:34:05 --enforcementcount 0 &gt;&gt;C:\Users\stu\Documents\GitHub\eaglep3-reporting\EC\2017-03-06-refined-times.txt</v>
      </c>
      <c r="AI97" s="108" t="str">
        <f t="shared" si="65"/>
        <v>echo {"issue":{"subject":"Hard cut out due to xing wind issues?","project_id":79,"tracker_id":40,"status_id":1,"priority_id":2,"assigned_to_id":23,"start_date":"2017-03-06","description":"","custom_fields":[{"id":1,"name":"Subdivision","value":"EC"},{"id":4,"name":"Milepost","value":"12.8278"},{"id":17,"name":"Train ID","value":"183-06"},{"id":16,"name":"Locomotive ID","value":"4051"},{"id":130,"name":"Impact","value":""},{"id":150,"name":"Time of Event (Mountain Time)","value":"14:34:05"},{"id":151,"name":"Denver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66"/>
        <v>start /low /b %USERPROFILE%\Documents\GitHub\eaglep3\Utilities\DownloadLogsFromS3.py --loco 4051 --day 2017-03-06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"%USERPROFILE%\AppData\Local\Temp\OnboardLogs"\RTDC4051\*4051*20170306* | grep -SE "(Enforcement Action)|(\[TIMEOUT)|(CHR.+\|PRM\|1\|D.+(SWITCH|SIGNAL).+UNKNOWN)" - &gt;&gt; 2017-03-06-UncaughtWiMAX.txt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586</v>
      </c>
      <c r="B98" s="7">
        <v>4052</v>
      </c>
      <c r="C98" s="21" t="s">
        <v>245</v>
      </c>
      <c r="D98" s="21" t="s">
        <v>273</v>
      </c>
      <c r="E98" s="13">
        <v>42800.619363425925</v>
      </c>
      <c r="F98" s="13">
        <v>42800.624085648145</v>
      </c>
      <c r="G98" s="7">
        <v>2</v>
      </c>
      <c r="H98" s="21" t="s">
        <v>839</v>
      </c>
      <c r="I98" s="13">
        <v>42800.654282407406</v>
      </c>
      <c r="J98" s="7">
        <v>0</v>
      </c>
      <c r="K98" s="98" t="str">
        <f t="shared" si="54"/>
        <v>4051/4052</v>
      </c>
      <c r="L98" s="21" t="str">
        <f>VLOOKUP(A98,'Trips&amp;Operators'!$C$1:$G$99999,5,FALSE)</f>
        <v>HOLCOMB KAMDEN</v>
      </c>
      <c r="M98" s="6">
        <f t="shared" si="55"/>
        <v>3.0196759260434192E-2</v>
      </c>
      <c r="N98" s="7">
        <f t="shared" ref="N98:N142" si="68">24*60*SUM($M98:$M98)</f>
        <v>43.483333335025236</v>
      </c>
      <c r="O98" s="7"/>
      <c r="P98" s="7"/>
      <c r="Q98" s="22"/>
      <c r="R98" s="22"/>
      <c r="S98" s="31">
        <f t="shared" si="67"/>
        <v>1</v>
      </c>
      <c r="T98" s="46" t="str">
        <f t="shared" si="56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51"/>
        <v>https://d0f6bd738d7f1b3e5a7ca70fe4ff75f0.us-east-1.aws.found.io/app/kibana#/discover/Steve-Slow-Train-Analysis-(2080s-and-2083s)?_g=(refreshInterval:(display:Off,pause:!f,section:0,value:0),time:(from:'2017-03-06T13:51:53-0700',mode:absolute,to:'2017-03-06T16:42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8" s="187" t="str">
        <f t="shared" si="57"/>
        <v>N</v>
      </c>
      <c r="X98" s="187">
        <f t="shared" si="63"/>
        <v>1</v>
      </c>
      <c r="Y98" s="62">
        <f t="shared" si="58"/>
        <v>23.3</v>
      </c>
      <c r="Z98" s="62">
        <f t="shared" si="59"/>
        <v>0.18049999999999999</v>
      </c>
      <c r="AA98" s="62">
        <f t="shared" si="60"/>
        <v>23.119500000000002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61"/>
        <v>0184-06</v>
      </c>
      <c r="AE98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98" s="82" t="str">
        <f t="shared" si="53"/>
        <v>"C:\Program Files (x86)\AstroGrep\AstroGrep.exe" /e /r /s /spath="%USERPROFILE%\AppData\Local\Temp\OnboardLogs" /stypes="app*4052*20170306*" /stext=" 22:.+((SYSTEM_STATE.+slice.+state.+changed )|(ment ac)|(multiple cpu faults)|(system.+state.+changed )|(\[timeout)|(PRM\|1\|D)|(kpr)|(kdp)|(\|lc)|(penalty))"</v>
      </c>
      <c r="AG98" s="1" t="str">
        <f t="shared" si="62"/>
        <v>EC</v>
      </c>
      <c r="AH98" s="86" t="str">
        <f t="shared" si="64"/>
        <v>"%USERPROFILE%\Documents\GitHub\eaglep3\Utilities\RefineRTDCRunTimes.py" --tripid 184-06 --locoid 4052 --swversion DE.1.0.9.0 --startMP 204:233000 --initTime 2017-03-06T14:51:53 --startdatetime 2017-03-06T14:58:41 --delay 2 --endMP 204:1805 --enddatetime 2017-03-06T15:42:10 --enforcementcount 0 &gt;&gt;C:\Users\stu\Documents\GitHub\eaglep3-reporting\EC\2017-03-06-refined-times.txt</v>
      </c>
      <c r="AI9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{"issue":{"subject":"","project_id":79,"tracker_id":40,"status_id":1,"priority_id":2,"assigned_to_id":23,"start_date":"2017-03-06","description":"","custom_fields":[{"id":1,"name":"Subdivision","value":"EC"},{"id":4,"name":"Milepost","value":"0.1805"},{"id":17,"name":"Train ID","value":"184-06"},{"id":16,"name":"Locomotive ID","value":"4052"},{"id":130,"name":"Impact","value":""},{"id":150,"name":"Time of Event (Mountain Time)","value":"15:42:10"},{"id":151,"name":"Denver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66"/>
        <v>start /low /b %USERPROFILE%\Documents\GitHub\eaglep3\Utilities\DownloadLogsFromS3.py --loco 4052 --day 2017-03-06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"%USERPROFILE%\AppData\Local\Temp\OnboardLogs"\RTDC4052\*4052*20170306* | grep -SE "(Enforcement Action)|(\[TIMEOUT)|(CHR.+\|PRM\|1\|D.+(SWITCH|SIGNAL).+UNKNOWN)" - &gt;&gt; 2017-03-06-UncaughtWiMAX.txt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703</v>
      </c>
      <c r="B99" s="7">
        <v>4003</v>
      </c>
      <c r="C99" s="21" t="s">
        <v>245</v>
      </c>
      <c r="D99" s="21" t="s">
        <v>246</v>
      </c>
      <c r="E99" s="13">
        <v>42800.594733796293</v>
      </c>
      <c r="F99" s="13">
        <v>42800.596493055556</v>
      </c>
      <c r="G99" s="7">
        <v>1</v>
      </c>
      <c r="H99" s="21" t="s">
        <v>313</v>
      </c>
      <c r="I99" s="13">
        <v>42800.625949074078</v>
      </c>
      <c r="J99" s="7">
        <v>0</v>
      </c>
      <c r="K99" s="98" t="str">
        <f t="shared" si="54"/>
        <v>4003/4004</v>
      </c>
      <c r="L99" s="21" t="str">
        <f>VLOOKUP(A99,'Trips&amp;Operators'!$C$1:$G$99999,5,FALSE)</f>
        <v>DAVIDSON DAVID</v>
      </c>
      <c r="M99" s="6">
        <f t="shared" si="55"/>
        <v>2.9456018521159422E-2</v>
      </c>
      <c r="N99" s="7">
        <f t="shared" si="68"/>
        <v>42.416666670469567</v>
      </c>
      <c r="O99" s="7"/>
      <c r="P99" s="7"/>
      <c r="Q99" s="22"/>
      <c r="R99" s="22"/>
      <c r="S99" s="31">
        <f t="shared" si="67"/>
        <v>1</v>
      </c>
      <c r="T99" s="46" t="str">
        <f t="shared" si="56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51"/>
        <v>https://d0f6bd738d7f1b3e5a7ca70fe4ff75f0.us-east-1.aws.found.io/app/kibana#/discover/Steve-Slow-Train-Analysis-(2080s-and-2083s)?_g=(refreshInterval:(display:Off,pause:!f,section:0,value:0),time:(from:'2017-03-06T13:16:25-0700',mode:absolute,to:'2017-03-06T16:01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7" t="str">
        <f t="shared" si="57"/>
        <v>N</v>
      </c>
      <c r="X99" s="187">
        <f t="shared" si="63"/>
        <v>1</v>
      </c>
      <c r="Y99" s="62">
        <f t="shared" si="58"/>
        <v>4.58E-2</v>
      </c>
      <c r="Z99" s="62">
        <f t="shared" si="59"/>
        <v>23.330300000000001</v>
      </c>
      <c r="AA99" s="62">
        <f t="shared" si="60"/>
        <v>23.284500000000001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61"/>
        <v>0185-06</v>
      </c>
      <c r="AE99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99" s="82" t="str">
        <f t="shared" si="53"/>
        <v>"C:\Program Files (x86)\AstroGrep\AstroGrep.exe" /e /r /s /spath="%USERPROFILE%\AppData\Local\Temp\OnboardLogs" /stypes="app*4003*20170306*" /stext=" 22:.+((SYSTEM_STATE.+slice.+state.+changed )|(ment ac)|(multiple cpu faults)|(system.+state.+changed )|(\[timeout)|(PRM\|1\|D)|(kpr)|(kdp)|(\|lc)|(penalty))"</v>
      </c>
      <c r="AG99" s="1" t="str">
        <f t="shared" si="62"/>
        <v>EC</v>
      </c>
      <c r="AH99" s="86" t="str">
        <f t="shared" si="64"/>
        <v>"%USERPROFILE%\Documents\GitHub\eaglep3\Utilities\RefineRTDCRunTimes.py" --tripid 185-06 --locoid 4003 --swversion DE.1.0.9.0 --startMP 204:458 --initTime 2017-03-06T14:16:25 --startdatetime 2017-03-06T14:18:57 --delay 1 --endMP 204:233303 --enddatetime 2017-03-06T15:01:22 --enforcementcount 0 &gt;&gt;C:\Users\stu\Documents\GitHub\eaglep3-reporting\EC\2017-03-06-refined-times.txt</v>
      </c>
      <c r="AI9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{"issue":{"subject":"","project_id":79,"tracker_id":40,"status_id":1,"priority_id":2,"assigned_to_id":23,"start_date":"2017-03-06","description":"","custom_fields":[{"id":1,"name":"Subdivision","value":"EC"},{"id":4,"name":"Milepost","value":"23.3303"},{"id":17,"name":"Train ID","value":"185-06"},{"id":16,"name":"Locomotive ID","value":"4003"},{"id":130,"name":"Impact","value":""},{"id":150,"name":"Time of Event (Mountain Time)","value":"15:01:22"},{"id":151,"name":"Denver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66"/>
        <v>start /low /b %USERPROFILE%\Documents\GitHub\eaglep3\Utilities\DownloadLogsFromS3.py --loco 4003 --day 2017-03-06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587</v>
      </c>
      <c r="B100" s="7">
        <v>4004</v>
      </c>
      <c r="C100" s="21" t="s">
        <v>245</v>
      </c>
      <c r="D100" s="21" t="s">
        <v>533</v>
      </c>
      <c r="E100" s="13">
        <v>42800.629212962966</v>
      </c>
      <c r="F100" s="13">
        <v>42800.633032407408</v>
      </c>
      <c r="G100" s="7">
        <v>1</v>
      </c>
      <c r="H100" s="21" t="s">
        <v>285</v>
      </c>
      <c r="I100" s="13">
        <v>42800.663981481484</v>
      </c>
      <c r="J100" s="7">
        <v>0</v>
      </c>
      <c r="K100" s="98" t="str">
        <f t="shared" si="54"/>
        <v>4003/4004</v>
      </c>
      <c r="L100" s="21" t="str">
        <f>VLOOKUP(A100,'Trips&amp;Operators'!$C$1:$G$99999,5,FALSE)</f>
        <v>DAVIDSON DAVID</v>
      </c>
      <c r="M100" s="6">
        <f t="shared" si="55"/>
        <v>3.0949074076488614E-2</v>
      </c>
      <c r="N100" s="7">
        <f t="shared" si="68"/>
        <v>44.566666670143604</v>
      </c>
      <c r="O100" s="7"/>
      <c r="P100" s="7"/>
      <c r="Q100" s="22"/>
      <c r="R100" s="22"/>
      <c r="S100" s="31">
        <f t="shared" si="67"/>
        <v>1</v>
      </c>
      <c r="T100" s="46" t="str">
        <f t="shared" si="56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51"/>
        <v>https://d0f6bd738d7f1b3e5a7ca70fe4ff75f0.us-east-1.aws.found.io/app/kibana#/discover/Steve-Slow-Train-Analysis-(2080s-and-2083s)?_g=(refreshInterval:(display:Off,pause:!f,section:0,value:0),time:(from:'2017-03-06T14:06:04-0700',mode:absolute,to:'2017-03-06T16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0" s="187" t="str">
        <f t="shared" si="57"/>
        <v>N</v>
      </c>
      <c r="X100" s="187">
        <f t="shared" si="63"/>
        <v>1</v>
      </c>
      <c r="Y100" s="62">
        <f t="shared" si="58"/>
        <v>23.297999999999998</v>
      </c>
      <c r="Z100" s="62">
        <f t="shared" si="59"/>
        <v>1.61E-2</v>
      </c>
      <c r="AA100" s="62">
        <f t="shared" si="60"/>
        <v>23.281899999999997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1"/>
        <v>0186-06</v>
      </c>
      <c r="AE100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00" s="82" t="str">
        <f t="shared" si="53"/>
        <v>"C:\Program Files (x86)\AstroGrep\AstroGrep.exe" /e /r /s /spath="%USERPROFILE%\AppData\Local\Temp\OnboardLogs" /stypes="app*4004*20170306*" /stext=" 22:.+((SYSTEM_STATE.+slice.+state.+changed )|(ment ac)|(multiple cpu faults)|(system.+state.+changed )|(\[timeout)|(PRM\|1\|D)|(kpr)|(kdp)|(\|lc)|(penalty))"</v>
      </c>
      <c r="AG100" s="1" t="str">
        <f t="shared" si="62"/>
        <v>EC</v>
      </c>
      <c r="AH100" s="86" t="str">
        <f t="shared" si="64"/>
        <v>"%USERPROFILE%\Documents\GitHub\eaglep3\Utilities\RefineRTDCRunTimes.py" --tripid 186-06 --locoid 4004 --swversion DE.1.0.9.0 --startMP 204:232980 --initTime 2017-03-06T15:06:04 --startdatetime 2017-03-06T15:11:34 --delay 1 --endMP 204:161 --enddatetime 2017-03-06T15:56:08 --enforcementcount 0 &gt;&gt;C:\Users\stu\Documents\GitHub\eaglep3-reporting\EC\2017-03-06-refined-times.txt</v>
      </c>
      <c r="AI10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ID","value":"186-06"},{"id":16,"name":"Locomotive ID","value":"4004"},{"id":130,"name":"Impact","value":""},{"id":150,"name":"Time of Event (Mountain Time)","value":"15:56:08"},{"id":151,"name":"Denver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66"/>
        <v>start /low /b %USERPROFILE%\Documents\GitHub\eaglep3\Utilities\DownloadLogsFromS3.py --loco 4004 --day 2017-03-06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"%USERPROFILE%\AppData\Local\Temp\OnboardLogs"\RTDC4004\*4004*20170306* | grep -SE "(Enforcement Action)|(\[TIMEOUT)|(CHR.+\|PRM\|1\|D.+(SWITCH|SIGNAL).+UNKNOWN)" - &gt;&gt; 2017-03-06-UncaughtWiMAX.txt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706</v>
      </c>
      <c r="B101" s="7">
        <v>4046</v>
      </c>
      <c r="C101" s="21" t="s">
        <v>245</v>
      </c>
      <c r="D101" s="21" t="s">
        <v>840</v>
      </c>
      <c r="E101" s="13">
        <v>42800.604155092595</v>
      </c>
      <c r="F101" s="13">
        <v>42800.60596064815</v>
      </c>
      <c r="G101" s="7">
        <v>1</v>
      </c>
      <c r="H101" s="21" t="s">
        <v>530</v>
      </c>
      <c r="I101" s="13">
        <v>42800.632430555554</v>
      </c>
      <c r="J101" s="7">
        <v>0</v>
      </c>
      <c r="K101" s="98" t="str">
        <f t="shared" si="54"/>
        <v>4045/4046</v>
      </c>
      <c r="L101" s="21" t="str">
        <f>VLOOKUP(A101,'Trips&amp;Operators'!$C$1:$G$99999,5,FALSE)</f>
        <v>STEWART MICHAEL</v>
      </c>
      <c r="M101" s="6">
        <f t="shared" si="55"/>
        <v>2.6469907403225079E-2</v>
      </c>
      <c r="N101" s="7">
        <f t="shared" si="68"/>
        <v>38.116666660644114</v>
      </c>
      <c r="O101" s="7"/>
      <c r="P101" s="7"/>
      <c r="Q101" s="22"/>
      <c r="R101" s="22"/>
      <c r="S101" s="31">
        <f t="shared" si="67"/>
        <v>1</v>
      </c>
      <c r="T101" s="46" t="str">
        <f t="shared" si="56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51"/>
        <v>https://d0f6bd738d7f1b3e5a7ca70fe4ff75f0.us-east-1.aws.found.io/app/kibana#/discover/Steve-Slow-Train-Analysis-(2080s-and-2083s)?_g=(refreshInterval:(display:Off,pause:!f,section:0,value:0),time:(from:'2017-03-06T13:29:59-0700',mode:absolute,to:'2017-03-06T16:10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1" s="187" t="str">
        <f t="shared" si="57"/>
        <v>N</v>
      </c>
      <c r="X101" s="187">
        <f t="shared" si="63"/>
        <v>1</v>
      </c>
      <c r="Y101" s="62">
        <f t="shared" si="58"/>
        <v>6.6199999999999995E-2</v>
      </c>
      <c r="Z101" s="62">
        <f t="shared" si="59"/>
        <v>23.33</v>
      </c>
      <c r="AA101" s="62">
        <f t="shared" si="60"/>
        <v>23.2638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61"/>
        <v>0187-06</v>
      </c>
      <c r="AE101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101" s="82" t="str">
        <f t="shared" si="53"/>
        <v>"C:\Program Files (x86)\AstroGrep\AstroGrep.exe" /e /r /s /spath="%USERPROFILE%\AppData\Local\Temp\OnboardLogs" /stypes="app*4046*20170306*" /stext=" 22:.+((SYSTEM_STATE.+slice.+state.+changed )|(ment ac)|(multiple cpu faults)|(system.+state.+changed )|(\[timeout)|(PRM\|1\|D)|(kpr)|(kdp)|(\|lc)|(penalty))"</v>
      </c>
      <c r="AG101" s="1" t="str">
        <f t="shared" si="62"/>
        <v>EC</v>
      </c>
      <c r="AH101" s="86" t="str">
        <f t="shared" si="64"/>
        <v>"%USERPROFILE%\Documents\GitHub\eaglep3\Utilities\RefineRTDCRunTimes.py" --tripid 187-06 --locoid 4046 --swversion DE.1.0.9.0 --startMP 204:662 --initTime 2017-03-06T14:29:59 --startdatetime 2017-03-06T14:32:35 --delay 1 --endMP 204:233300 --enddatetime 2017-03-06T15:10:42 --enforcementcount 0 &gt;&gt;C:\Users\stu\Documents\GitHub\eaglep3-reporting\EC\2017-03-06-refined-times.txt</v>
      </c>
      <c r="AI10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{"issue":{"subject":"","project_id":79,"tracker_id":40,"status_id":1,"priority_id":2,"assigned_to_id":23,"start_date":"2017-03-06","description":"","custom_fields":[{"id":1,"name":"Subdivision","value":"EC"},{"id":4,"name":"Milepost","value":"23.33"},{"id":17,"name":"Train ID","value":"187-06"},{"id":16,"name":"Locomotive ID","value":"4046"},{"id":130,"name":"Impact","value":""},{"id":150,"name":"Time of Event (Mountain Time)","value":"15:10:42"},{"id":151,"name":"Denver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66"/>
        <v>start /low /b %USERPROFILE%\Documents\GitHub\eaglep3\Utilities\DownloadLogsFromS3.py --loco 4046 --day 2017-03-06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713</v>
      </c>
      <c r="B102" s="7">
        <v>4045</v>
      </c>
      <c r="C102" s="21" t="s">
        <v>245</v>
      </c>
      <c r="D102" s="21" t="s">
        <v>534</v>
      </c>
      <c r="E102" s="13">
        <v>42800.639293981483</v>
      </c>
      <c r="F102" s="13">
        <v>42800.643379629626</v>
      </c>
      <c r="G102" s="7">
        <v>3</v>
      </c>
      <c r="H102" s="21" t="s">
        <v>209</v>
      </c>
      <c r="I102" s="13">
        <v>42800.673078703701</v>
      </c>
      <c r="J102" s="7">
        <v>0</v>
      </c>
      <c r="K102" s="98" t="str">
        <f t="shared" si="54"/>
        <v>4045/4046</v>
      </c>
      <c r="L102" s="21" t="str">
        <f>VLOOKUP(A102,'Trips&amp;Operators'!$C$1:$G$99999,5,FALSE)</f>
        <v>STEWART MICHAEL</v>
      </c>
      <c r="M102" s="6">
        <f t="shared" si="55"/>
        <v>2.9699074075324461E-2</v>
      </c>
      <c r="N102" s="7">
        <f t="shared" si="68"/>
        <v>42.766666668467224</v>
      </c>
      <c r="O102" s="7"/>
      <c r="P102" s="7"/>
      <c r="Q102" s="22"/>
      <c r="R102" s="22"/>
      <c r="S102" s="31">
        <f t="shared" si="67"/>
        <v>1</v>
      </c>
      <c r="T102" s="46" t="str">
        <f t="shared" si="56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51"/>
        <v>https://d0f6bd738d7f1b3e5a7ca70fe4ff75f0.us-east-1.aws.found.io/app/kibana#/discover/Steve-Slow-Train-Analysis-(2080s-and-2083s)?_g=(refreshInterval:(display:Off,pause:!f,section:0,value:0),time:(from:'2017-03-06T14:20:35-0700',mode:absolute,to:'2017-03-06T17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187" t="str">
        <f t="shared" si="57"/>
        <v>N</v>
      </c>
      <c r="X102" s="187">
        <f t="shared" si="63"/>
        <v>1</v>
      </c>
      <c r="Y102" s="62">
        <f t="shared" si="58"/>
        <v>23.2989</v>
      </c>
      <c r="Z102" s="62">
        <f t="shared" si="59"/>
        <v>1.54E-2</v>
      </c>
      <c r="AA102" s="62">
        <f t="shared" si="60"/>
        <v>23.2835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1"/>
        <v>0188-06</v>
      </c>
      <c r="AE102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102" s="82" t="str">
        <f t="shared" si="53"/>
        <v>"C:\Program Files (x86)\AstroGrep\AstroGrep.exe" /e /r /s /spath="%USERPROFILE%\AppData\Local\Temp\OnboardLogs" /stypes="app*4045*20170306*" /stext=" 23:.+((SYSTEM_STATE.+slice.+state.+changed )|(ment ac)|(multiple cpu faults)|(system.+state.+changed )|(\[timeout)|(PRM\|1\|D)|(kpr)|(kdp)|(\|lc)|(penalty))"</v>
      </c>
      <c r="AG102" s="1" t="str">
        <f t="shared" si="62"/>
        <v>EC</v>
      </c>
      <c r="AH102" s="86" t="str">
        <f t="shared" si="64"/>
        <v>"%USERPROFILE%\Documents\GitHub\eaglep3\Utilities\RefineRTDCRunTimes.py" --tripid 188-06 --locoid 4045 --swversion DE.1.0.9.0 --startMP 204:232989 --initTime 2017-03-06T15:20:35 --startdatetime 2017-03-06T15:26:28 --delay 3 --endMP 204:154 --enddatetime 2017-03-06T16:09:14 --enforcementcount 0 &gt;&gt;C:\Users\stu\Documents\GitHub\eaglep3-reporting\EC\2017-03-06-refined-times.txt</v>
      </c>
      <c r="AI10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ID","value":"188-06"},{"id":16,"name":"Locomotive ID","value":"4045"},{"id":130,"name":"Impact","value":""},{"id":150,"name":"Time of Event (Mountain Time)","value":"16:09:14"},{"id":151,"name":"Denver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66"/>
        <v>start /low /b %USERPROFILE%\Documents\GitHub\eaglep3\Utilities\DownloadLogsFromS3.py --loco 4045 --day 2017-03-06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585</v>
      </c>
      <c r="B103" s="7">
        <v>4020</v>
      </c>
      <c r="C103" s="21" t="s">
        <v>245</v>
      </c>
      <c r="D103" s="21" t="s">
        <v>297</v>
      </c>
      <c r="E103" s="13">
        <v>42800.620451388888</v>
      </c>
      <c r="F103" s="13">
        <v>42800.622835648152</v>
      </c>
      <c r="G103" s="7">
        <v>1</v>
      </c>
      <c r="H103" s="21" t="s">
        <v>841</v>
      </c>
      <c r="I103" s="13">
        <v>42800.65215277778</v>
      </c>
      <c r="J103" s="7">
        <v>0</v>
      </c>
      <c r="K103" s="98" t="str">
        <f t="shared" si="54"/>
        <v>4019/4020</v>
      </c>
      <c r="L103" s="21" t="str">
        <f>VLOOKUP(A103,'Trips&amp;Operators'!$C$1:$G$99999,5,FALSE)</f>
        <v>DAVIS MICHAEL</v>
      </c>
      <c r="M103" s="6">
        <f t="shared" si="55"/>
        <v>2.9317129628907423E-2</v>
      </c>
      <c r="N103" s="7">
        <f t="shared" si="68"/>
        <v>42.21666666562669</v>
      </c>
      <c r="O103" s="7"/>
      <c r="P103" s="7"/>
      <c r="Q103" s="22"/>
      <c r="R103" s="22"/>
      <c r="S103" s="31">
        <f t="shared" si="67"/>
        <v>1</v>
      </c>
      <c r="T103" s="46" t="str">
        <f t="shared" si="56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51"/>
        <v>https://d0f6bd738d7f1b3e5a7ca70fe4ff75f0.us-east-1.aws.found.io/app/kibana#/discover/Steve-Slow-Train-Analysis-(2080s-and-2083s)?_g=(refreshInterval:(display:Off,pause:!f,section:0,value:0),time:(from:'2017-03-06T13:53:27-0700',mode:absolute,to:'2017-03-06T16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87" t="str">
        <f t="shared" si="57"/>
        <v>N</v>
      </c>
      <c r="X103" s="187">
        <f t="shared" si="63"/>
        <v>1</v>
      </c>
      <c r="Y103" s="62">
        <f t="shared" si="58"/>
        <v>4.4900000000000002E-2</v>
      </c>
      <c r="Z103" s="62">
        <f t="shared" si="59"/>
        <v>23.335899999999999</v>
      </c>
      <c r="AA103" s="62">
        <f t="shared" si="60"/>
        <v>23.291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1"/>
        <v>0189-06</v>
      </c>
      <c r="AE103" s="85" t="str">
        <f t="shared" si="52"/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AF103" s="82" t="str">
        <f t="shared" si="53"/>
        <v>"C:\Program Files (x86)\AstroGrep\AstroGrep.exe" /e /r /s /spath="%USERPROFILE%\AppData\Local\Temp\OnboardLogs" /stypes="app*4020*20170306*" /stext=" 22:.+((SYSTEM_STATE.+slice.+state.+changed )|(ment ac)|(multiple cpu faults)|(system.+state.+changed )|(\[timeout)|(PRM\|1\|D)|(kpr)|(kdp)|(\|lc)|(penalty))"</v>
      </c>
      <c r="AG103" s="1" t="str">
        <f t="shared" si="62"/>
        <v>EC</v>
      </c>
      <c r="AH103" s="86" t="str">
        <f t="shared" si="64"/>
        <v>"%USERPROFILE%\Documents\GitHub\eaglep3\Utilities\RefineRTDCRunTimes.py" --tripid 189-06 --locoid 4020 --swversion DE.1.0.9.0 --startMP 204:449 --initTime 2017-03-06T14:53:27 --startdatetime 2017-03-06T14:56:53 --delay 1 --endMP 204:233359 --enddatetime 2017-03-06T15:39:06 --enforcementcount 0 &gt;&gt;C:\Users\stu\Documents\GitHub\eaglep3-reporting\EC\2017-03-06-refined-times.txt</v>
      </c>
      <c r="AI10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{"issue":{"subject":"","project_id":79,"tracker_id":40,"status_id":1,"priority_id":2,"assigned_to_id":23,"start_date":"2017-03-06","description":"","custom_fields":[{"id":1,"name":"Subdivision","value":"EC"},{"id":4,"name":"Milepost","value":"23.3359"},{"id":17,"name":"Train ID","value":"189-06"},{"id":16,"name":"Locomotive ID","value":"4020"},{"id":130,"name":"Impact","value":""},{"id":150,"name":"Time of Event (Mountain Time)","value":"15:39:06"},{"id":151,"name":"Denver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66"/>
        <v>start /low /b %USERPROFILE%\Documents\GitHub\eaglep3\Utilities\DownloadLogsFromS3.py --loco 4020 --day 2017-03-06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"%USERPROFILE%\AppData\Local\Temp\OnboardLogs"\RTDC4020\*4020*20170306* | grep -SE "(Enforcement Action)|(\[TIMEOUT)|(CHR.+\|PRM\|1\|D.+(SWITCH|SIGNAL).+UNKNOWN)" - &gt;&gt; 2017-03-06-UncaughtWiMAX.txt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591</v>
      </c>
      <c r="B104" s="7">
        <v>4019</v>
      </c>
      <c r="C104" s="21" t="s">
        <v>245</v>
      </c>
      <c r="D104" s="21" t="s">
        <v>475</v>
      </c>
      <c r="E104" s="13">
        <v>42800.656331018516</v>
      </c>
      <c r="F104" s="13">
        <v>42800.66134259259</v>
      </c>
      <c r="G104" s="7">
        <v>1</v>
      </c>
      <c r="H104" s="21" t="s">
        <v>842</v>
      </c>
      <c r="I104" s="13">
        <v>42800.697546296295</v>
      </c>
      <c r="J104" s="7">
        <v>0</v>
      </c>
      <c r="K104" s="98" t="str">
        <f t="shared" si="54"/>
        <v>4019/4020</v>
      </c>
      <c r="L104" s="21" t="str">
        <f>VLOOKUP(A104,'Trips&amp;Operators'!$C$1:$G$99999,5,FALSE)</f>
        <v>DAVIS MICHAEL</v>
      </c>
      <c r="M104" s="6">
        <f t="shared" si="55"/>
        <v>3.6203703704813961E-2</v>
      </c>
      <c r="N104" s="7">
        <f t="shared" si="68"/>
        <v>52.133333334932104</v>
      </c>
      <c r="O104" s="7"/>
      <c r="P104" s="7"/>
      <c r="Q104" s="22"/>
      <c r="R104" s="22"/>
      <c r="S104" s="31">
        <f t="shared" si="67"/>
        <v>1</v>
      </c>
      <c r="T104" s="46" t="str">
        <f t="shared" si="56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51"/>
        <v>https://d0f6bd738d7f1b3e5a7ca70fe4ff75f0.us-east-1.aws.found.io/app/kibana#/discover/Steve-Slow-Train-Analysis-(2080s-and-2083s)?_g=(refreshInterval:(display:Off,pause:!f,section:0,value:0),time:(from:'2017-03-06T14:45:07-0700',mode:absolute,to:'2017-03-06T17:44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87" t="str">
        <f t="shared" si="57"/>
        <v>N</v>
      </c>
      <c r="X104" s="187">
        <f t="shared" si="63"/>
        <v>1</v>
      </c>
      <c r="Y104" s="62">
        <f t="shared" si="58"/>
        <v>23.298300000000001</v>
      </c>
      <c r="Z104" s="62">
        <f t="shared" si="59"/>
        <v>9.0499999999999997E-2</v>
      </c>
      <c r="AA104" s="62">
        <f t="shared" si="60"/>
        <v>23.207800000000002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1"/>
        <v>0190-06</v>
      </c>
      <c r="AE104" s="85" t="str">
        <f t="shared" si="52"/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AF104" s="82" t="str">
        <f t="shared" si="53"/>
        <v>"C:\Program Files (x86)\AstroGrep\AstroGrep.exe" /e /r /s /spath="%USERPROFILE%\AppData\Local\Temp\OnboardLogs" /stypes="app*4019*20170306*" /stext=" 23:.+((SYSTEM_STATE.+slice.+state.+changed )|(ment ac)|(multiple cpu faults)|(system.+state.+changed )|(\[timeout)|(PRM\|1\|D)|(kpr)|(kdp)|(\|lc)|(penalty))"</v>
      </c>
      <c r="AG104" s="1" t="str">
        <f t="shared" si="62"/>
        <v>EC</v>
      </c>
      <c r="AH104" s="86" t="str">
        <f t="shared" si="64"/>
        <v>"%USERPROFILE%\Documents\GitHub\eaglep3\Utilities\RefineRTDCRunTimes.py" --tripid 190-06 --locoid 4019 --swversion DE.1.0.9.0 --startMP 204:232983 --initTime 2017-03-06T15:45:07 --startdatetime 2017-03-06T15:52:20 --delay 1 --endMP 204:905 --enddatetime 2017-03-06T16:44:28 --enforcementcount 0 &gt;&gt;C:\Users\stu\Documents\GitHub\eaglep3-reporting\EC\2017-03-06-refined-times.txt</v>
      </c>
      <c r="AI10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{"issue":{"subject":"","project_id":79,"tracker_id":40,"status_id":1,"priority_id":2,"assigned_to_id":23,"start_date":"2017-03-06","description":"","custom_fields":[{"id":1,"name":"Subdivision","value":"EC"},{"id":4,"name":"Milepost","value":"0.0905"},{"id":17,"name":"Train ID","value":"190-06"},{"id":16,"name":"Locomotive ID","value":"4019"},{"id":130,"name":"Impact","value":""},{"id":150,"name":"Time of Event (Mountain Time)","value":"16:44:28"},{"id":151,"name":"Denver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66"/>
        <v>start /low /b %USERPROFILE%\Documents\GitHub\eaglep3\Utilities\DownloadLogsFromS3.py --loco 4019 --day 2017-03-06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"%USERPROFILE%\AppData\Local\Temp\OnboardLogs"\RTDC4019\*4019*20170306* | grep -SE "(Enforcement Action)|(\[TIMEOUT)|(CHR.+\|PRM\|1\|D.+(SWITCH|SIGNAL).+UNKNOWN)" - &gt;&gt; 2017-03-06-UncaughtWiMAX.txt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709</v>
      </c>
      <c r="B105" s="7">
        <v>4053</v>
      </c>
      <c r="C105" s="21" t="s">
        <v>245</v>
      </c>
      <c r="D105" s="21" t="s">
        <v>843</v>
      </c>
      <c r="E105" s="13">
        <v>42800.621921296297</v>
      </c>
      <c r="F105" s="13">
        <v>42800.626585648148</v>
      </c>
      <c r="G105" s="7">
        <v>1</v>
      </c>
      <c r="H105" s="21" t="s">
        <v>473</v>
      </c>
      <c r="I105" s="13">
        <v>42800.660810185182</v>
      </c>
      <c r="J105" s="7">
        <v>0</v>
      </c>
      <c r="K105" s="98" t="str">
        <f t="shared" si="54"/>
        <v>4053/4054</v>
      </c>
      <c r="L105" s="21" t="str">
        <f>VLOOKUP(A105,'Trips&amp;Operators'!$C$1:$G$99999,5,FALSE)</f>
        <v>CLARK KATHLEEN</v>
      </c>
      <c r="M105" s="6">
        <f t="shared" si="55"/>
        <v>3.4224537033878732E-2</v>
      </c>
      <c r="N105" s="7">
        <f t="shared" si="68"/>
        <v>49.283333328785375</v>
      </c>
      <c r="O105" s="7"/>
      <c r="P105" s="7"/>
      <c r="Q105" s="22"/>
      <c r="R105" s="22"/>
      <c r="S105" s="31">
        <f t="shared" si="67"/>
        <v>1</v>
      </c>
      <c r="T105" s="46" t="str">
        <f t="shared" si="56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51"/>
        <v>https://d0f6bd738d7f1b3e5a7ca70fe4ff75f0.us-east-1.aws.found.io/app/kibana#/discover/Steve-Slow-Train-Analysis-(2080s-and-2083s)?_g=(refreshInterval:(display:Off,pause:!f,section:0,value:0),time:(from:'2017-03-06T13:55:34-0700',mode:absolute,to:'2017-03-06T16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5" s="187" t="str">
        <f t="shared" si="57"/>
        <v>N</v>
      </c>
      <c r="X105" s="187">
        <f t="shared" si="63"/>
        <v>1</v>
      </c>
      <c r="Y105" s="62">
        <f t="shared" si="58"/>
        <v>6.7299999999999999E-2</v>
      </c>
      <c r="Z105" s="62">
        <f t="shared" si="59"/>
        <v>23.328199999999999</v>
      </c>
      <c r="AA105" s="62">
        <f t="shared" si="60"/>
        <v>23.260899999999999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1"/>
        <v>0191-06</v>
      </c>
      <c r="AE105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05" s="82" t="str">
        <f t="shared" si="53"/>
        <v>"C:\Program Files (x86)\AstroGrep\AstroGrep.exe" /e /r /s /spath="%USERPROFILE%\AppData\Local\Temp\OnboardLogs" /stypes="app*4053*20170306*" /stext=" 22:.+((SYSTEM_STATE.+slice.+state.+changed )|(ment ac)|(multiple cpu faults)|(system.+state.+changed )|(\[timeout)|(PRM\|1\|D)|(kpr)|(kdp)|(\|lc)|(penalty))"</v>
      </c>
      <c r="AG105" s="1" t="str">
        <f t="shared" si="62"/>
        <v>EC</v>
      </c>
      <c r="AH105" s="86" t="str">
        <f t="shared" si="64"/>
        <v>"%USERPROFILE%\Documents\GitHub\eaglep3\Utilities\RefineRTDCRunTimes.py" --tripid 191-06 --locoid 4053 --swversion DE.1.0.9.0 --startMP 204:673 --initTime 2017-03-06T14:55:34 --startdatetime 2017-03-06T15:02:17 --delay 1 --endMP 204:233282 --enddatetime 2017-03-06T15:51:34 --enforcementcount 0 &gt;&gt;C:\Users\stu\Documents\GitHub\eaglep3-reporting\EC\2017-03-06-refined-times.txt</v>
      </c>
      <c r="AI10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{"issue":{"subject":"","project_id":79,"tracker_id":40,"status_id":1,"priority_id":2,"assigned_to_id":23,"start_date":"2017-03-06","description":"","custom_fields":[{"id":1,"name":"Subdivision","value":"EC"},{"id":4,"name":"Milepost","value":"23.3282"},{"id":17,"name":"Train ID","value":"191-06"},{"id":16,"name":"Locomotive ID","value":"4053"},{"id":130,"name":"Impact","value":""},{"id":150,"name":"Time of Event (Mountain Time)","value":"15:51:34"},{"id":151,"name":"Denver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66"/>
        <v>start /low /b %USERPROFILE%\Documents\GitHub\eaglep3\Utilities\DownloadLogsFromS3.py --loco 4053 --day 2017-03-06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"%USERPROFILE%\AppData\Local\Temp\OnboardLogs"\RTDC4053\*4053*20170306* | grep -SE "(Enforcement Action)|(\[TIMEOUT)|(CHR.+\|PRM\|1\|D.+(SWITCH|SIGNAL).+UNKNOWN)" - &gt;&gt; 2017-03-06-UncaughtWiMAX.txt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589</v>
      </c>
      <c r="B106" s="7">
        <v>4054</v>
      </c>
      <c r="C106" s="21" t="s">
        <v>245</v>
      </c>
      <c r="D106" s="21" t="s">
        <v>844</v>
      </c>
      <c r="E106" s="13">
        <v>42800.663761574076</v>
      </c>
      <c r="F106" s="13">
        <v>42800.665486111109</v>
      </c>
      <c r="G106" s="7">
        <v>1</v>
      </c>
      <c r="H106" s="21" t="s">
        <v>845</v>
      </c>
      <c r="I106" s="13">
        <v>42800.7028125</v>
      </c>
      <c r="J106" s="7">
        <v>0</v>
      </c>
      <c r="K106" s="98" t="str">
        <f t="shared" si="54"/>
        <v>4053/4054</v>
      </c>
      <c r="L106" s="21" t="str">
        <f>VLOOKUP(A106,'Trips&amp;Operators'!$C$1:$G$99999,5,FALSE)</f>
        <v>CLARK KATHLEEN</v>
      </c>
      <c r="M106" s="6">
        <f t="shared" si="55"/>
        <v>3.7326388890505768E-2</v>
      </c>
      <c r="N106" s="7">
        <f t="shared" si="68"/>
        <v>53.750000002328306</v>
      </c>
      <c r="O106" s="7"/>
      <c r="P106" s="7"/>
      <c r="Q106" s="22"/>
      <c r="R106" s="22"/>
      <c r="S106" s="31">
        <f t="shared" si="67"/>
        <v>1</v>
      </c>
      <c r="T106" s="46" t="str">
        <f t="shared" si="56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51"/>
        <v>https://d0f6bd738d7f1b3e5a7ca70fe4ff75f0.us-east-1.aws.found.io/app/kibana#/discover/Steve-Slow-Train-Analysis-(2080s-and-2083s)?_g=(refreshInterval:(display:Off,pause:!f,section:0,value:0),time:(from:'2017-03-06T14:55:49-0700',mode:absolute,to:'2017-03-06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87" t="str">
        <f t="shared" si="57"/>
        <v>N</v>
      </c>
      <c r="X106" s="187">
        <f t="shared" si="63"/>
        <v>1</v>
      </c>
      <c r="Y106" s="62">
        <f t="shared" si="58"/>
        <v>23.296299999999999</v>
      </c>
      <c r="Z106" s="62">
        <f t="shared" si="59"/>
        <v>1.6299999999999999E-2</v>
      </c>
      <c r="AA106" s="62">
        <f t="shared" si="60"/>
        <v>23.279999999999998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1"/>
        <v>0192-06</v>
      </c>
      <c r="AE106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06" s="82" t="str">
        <f t="shared" si="53"/>
        <v>"C:\Program Files (x86)\AstroGrep\AstroGrep.exe" /e /r /s /spath="%USERPROFILE%\AppData\Local\Temp\OnboardLogs" /stypes="app*4054*20170306*" /stext=" 23:.+((SYSTEM_STATE.+slice.+state.+changed )|(ment ac)|(multiple cpu faults)|(system.+state.+changed )|(\[timeout)|(PRM\|1\|D)|(kpr)|(kdp)|(\|lc)|(penalty))"</v>
      </c>
      <c r="AG106" s="1" t="str">
        <f t="shared" si="62"/>
        <v>EC</v>
      </c>
      <c r="AH106" s="86" t="str">
        <f t="shared" si="64"/>
        <v>"%USERPROFILE%\Documents\GitHub\eaglep3\Utilities\RefineRTDCRunTimes.py" --tripid 192-06 --locoid 4054 --swversion DE.1.0.9.0 --startMP 204:232963 --initTime 2017-03-06T15:55:49 --startdatetime 2017-03-06T15:58:18 --delay 1 --endMP 204:163 --enddatetime 2017-03-06T16:52:03 --enforcementcount 0 &gt;&gt;C:\Users\stu\Documents\GitHub\eaglep3-reporting\EC\2017-03-06-refined-times.txt</v>
      </c>
      <c r="AI10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{"issue":{"subject":"","project_id":79,"tracker_id":40,"status_id":1,"priority_id":2,"assigned_to_id":23,"start_date":"2017-03-06","description":"","custom_fields":[{"id":1,"name":"Subdivision","value":"EC"},{"id":4,"name":"Milepost","value":"0.0163"},{"id":17,"name":"Train ID","value":"192-06"},{"id":16,"name":"Locomotive ID","value":"4054"},{"id":130,"name":"Impact","value":""},{"id":150,"name":"Time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66"/>
        <v>start /low /b %USERPROFILE%\Documents\GitHub\eaglep3\Utilities\DownloadLogsFromS3.py --loco 4054 --day 2017-03-06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710</v>
      </c>
      <c r="B107" s="7">
        <v>4018</v>
      </c>
      <c r="C107" s="21" t="s">
        <v>245</v>
      </c>
      <c r="D107" s="21" t="s">
        <v>474</v>
      </c>
      <c r="E107" s="13">
        <v>42800.632743055554</v>
      </c>
      <c r="F107" s="13">
        <v>42800.635740740741</v>
      </c>
      <c r="G107" s="7">
        <v>0</v>
      </c>
      <c r="H107" s="21" t="s">
        <v>846</v>
      </c>
      <c r="I107" s="13">
        <v>42800.664571759262</v>
      </c>
      <c r="J107" s="7">
        <v>0</v>
      </c>
      <c r="K107" s="98" t="str">
        <f t="shared" si="54"/>
        <v>4017/4018</v>
      </c>
      <c r="L107" s="21" t="str">
        <f>VLOOKUP(A107,'Trips&amp;Operators'!$C$1:$G$99999,5,FALSE)</f>
        <v>ROMERO CHAD</v>
      </c>
      <c r="M107" s="6">
        <f t="shared" si="55"/>
        <v>2.8831018520577345E-2</v>
      </c>
      <c r="N107" s="7">
        <f t="shared" si="68"/>
        <v>41.516666669631377</v>
      </c>
      <c r="O107" s="7"/>
      <c r="P107" s="7"/>
      <c r="Q107" s="22"/>
      <c r="R107" s="22"/>
      <c r="S107" s="31">
        <f t="shared" si="67"/>
        <v>1</v>
      </c>
      <c r="T107" s="46" t="str">
        <f t="shared" si="56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51"/>
        <v>https://d0f6bd738d7f1b3e5a7ca70fe4ff75f0.us-east-1.aws.found.io/app/kibana#/discover/Steve-Slow-Train-Analysis-(2080s-and-2083s)?_g=(refreshInterval:(display:Off,pause:!f,section:0,value:0),time:(from:'2017-03-06T14:11:09-0700',mode:absolute,to:'2017-03-06T16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187" t="str">
        <f t="shared" si="57"/>
        <v>N</v>
      </c>
      <c r="X107" s="187">
        <f t="shared" si="63"/>
        <v>1</v>
      </c>
      <c r="Y107" s="62">
        <f t="shared" si="58"/>
        <v>4.3499999999999997E-2</v>
      </c>
      <c r="Z107" s="62">
        <f t="shared" si="59"/>
        <v>23.3355</v>
      </c>
      <c r="AA107" s="62">
        <f t="shared" si="60"/>
        <v>23.291999999999998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1"/>
        <v>0193-06</v>
      </c>
      <c r="AE107" s="85" t="str">
        <f t="shared" si="52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107" s="82" t="str">
        <f t="shared" si="53"/>
        <v>"C:\Program Files (x86)\AstroGrep\AstroGrep.exe" /e /r /s /spath="%USERPROFILE%\AppData\Local\Temp\OnboardLogs" /stypes="app*4018*20170306*" /stext=" 22:.+((SYSTEM_STATE.+slice.+state.+changed )|(ment ac)|(multiple cpu faults)|(system.+state.+changed )|(\[timeout)|(PRM\|1\|D)|(kpr)|(kdp)|(\|lc)|(penalty))"</v>
      </c>
      <c r="AG107" s="1" t="str">
        <f t="shared" si="62"/>
        <v>EC</v>
      </c>
      <c r="AH107" s="86" t="str">
        <f t="shared" si="64"/>
        <v>"%USERPROFILE%\Documents\GitHub\eaglep3\Utilities\RefineRTDCRunTimes.py" --tripid 193-06 --locoid 4018 --swversion DE.1.0.9.0 --startMP 204:435 --initTime 2017-03-06T15:11:09 --startdatetime 2017-03-06T15:15:28 --delay 0 --endMP 204:233355 --enddatetime 2017-03-06T15:56:59 --enforcementcount 0 &gt;&gt;C:\Users\stu\Documents\GitHub\eaglep3-reporting\EC\2017-03-06-refined-times.txt</v>
      </c>
      <c r="AI10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{"issue":{"subject":"","project_id":79,"tracker_id":40,"status_id":1,"priority_id":2,"assigned_to_id":23,"start_date":"2017-03-06","description":"","custom_fields":[{"id":1,"name":"Subdivision","value":"EC"},{"id":4,"name":"Milepost","value":"23.3355"},{"id":17,"name":"Train ID","value":"193-06"},{"id":16,"name":"Locomotive ID","value":"4018"},{"id":130,"name":"Impact","value":""},{"id":150,"name":"Time of Event (Mountain Time)","value":"15:56:59"},{"id":151,"name":"Denver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66"/>
        <v>start /low /b %USERPROFILE%\Documents\GitHub\eaglep3\Utilities\DownloadLogsFromS3.py --loco 4018 --day 2017-03-06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"%USERPROFILE%\AppData\Local\Temp\OnboardLogs"\RTDC4018\*4018*20170306* | grep -SE "(Enforcement Action)|(\[TIMEOUT)|(CHR.+\|PRM\|1\|D.+(SWITCH|SIGNAL).+UNKNOWN)" - &gt;&gt; 2017-03-06-UncaughtWiMAX.txt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590</v>
      </c>
      <c r="B108" s="7">
        <v>4017</v>
      </c>
      <c r="C108" s="21" t="s">
        <v>245</v>
      </c>
      <c r="D108" s="21" t="s">
        <v>314</v>
      </c>
      <c r="E108" s="13">
        <v>42800.667488425926</v>
      </c>
      <c r="F108" s="13">
        <v>42800.674456018518</v>
      </c>
      <c r="G108" s="7">
        <v>1</v>
      </c>
      <c r="H108" s="21" t="s">
        <v>285</v>
      </c>
      <c r="I108" s="13">
        <v>42800.70521990741</v>
      </c>
      <c r="J108" s="7">
        <v>0</v>
      </c>
      <c r="K108" s="98" t="str">
        <f t="shared" si="54"/>
        <v>4017/4018</v>
      </c>
      <c r="L108" s="21" t="str">
        <f>VLOOKUP(A108,'Trips&amp;Operators'!$C$1:$G$99999,5,FALSE)</f>
        <v>ROMERO CHAD</v>
      </c>
      <c r="M108" s="6">
        <f t="shared" si="55"/>
        <v>3.0763888891669922E-2</v>
      </c>
      <c r="N108" s="7">
        <f t="shared" si="68"/>
        <v>44.300000004004687</v>
      </c>
      <c r="O108" s="7"/>
      <c r="P108" s="7"/>
      <c r="Q108" s="22"/>
      <c r="R108" s="22"/>
      <c r="S108" s="31">
        <f t="shared" si="67"/>
        <v>1</v>
      </c>
      <c r="T108" s="46" t="str">
        <f t="shared" si="56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51"/>
        <v>https://d0f6bd738d7f1b3e5a7ca70fe4ff75f0.us-east-1.aws.found.io/app/kibana#/discover/Steve-Slow-Train-Analysis-(2080s-and-2083s)?_g=(refreshInterval:(display:Off,pause:!f,section:0,value:0),time:(from:'2017-03-06T15:01:11-0700',mode:absolute,to:'2017-03-06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187" t="str">
        <f t="shared" si="57"/>
        <v>N</v>
      </c>
      <c r="X108" s="187">
        <f t="shared" si="63"/>
        <v>1</v>
      </c>
      <c r="Y108" s="62">
        <f t="shared" si="58"/>
        <v>23.302499999999998</v>
      </c>
      <c r="Z108" s="62">
        <f t="shared" si="59"/>
        <v>1.61E-2</v>
      </c>
      <c r="AA108" s="62">
        <f t="shared" si="60"/>
        <v>23.286399999999997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61"/>
        <v>0194-06</v>
      </c>
      <c r="AE108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108" s="82" t="str">
        <f t="shared" si="53"/>
        <v>"C:\Program Files (x86)\AstroGrep\AstroGrep.exe" /e /r /s /spath="%USERPROFILE%\AppData\Local\Temp\OnboardLogs" /stypes="app*4017*20170306*" /stext=" 23:.+((SYSTEM_STATE.+slice.+state.+changed )|(ment ac)|(multiple cpu faults)|(system.+state.+changed )|(\[timeout)|(PRM\|1\|D)|(kpr)|(kdp)|(\|lc)|(penalty))"</v>
      </c>
      <c r="AG108" s="1" t="str">
        <f t="shared" si="62"/>
        <v>EC</v>
      </c>
      <c r="AH108" s="86" t="str">
        <f t="shared" si="64"/>
        <v>"%USERPROFILE%\Documents\GitHub\eaglep3\Utilities\RefineRTDCRunTimes.py" --tripid 194-06 --locoid 4017 --swversion DE.1.0.9.0 --startMP 204:233025 --initTime 2017-03-06T16:01:11 --startdatetime 2017-03-06T16:11:13 --delay 1 --endMP 204:161 --enddatetime 2017-03-06T16:55:31 --enforcementcount 0 &gt;&gt;C:\Users\stu\Documents\GitHub\eaglep3-reporting\EC\2017-03-06-refined-times.txt</v>
      </c>
      <c r="AI10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{"issue":{"subject":"","project_id":79,"tracker_id":40,"status_id":1,"priority_id":2,"assigned_to_id":23,"start_date":"2017-03-06","description":"","custom_fields":[{"id":1,"name":"Subdivision","value":"EC"},{"id":4,"name":"Milepost","value":"0.0161"},{"id":17,"name":"Train ID","value":"194-06"},{"id":16,"name":"Locomotive ID","value":"4017"},{"id":130,"name":"Impact","value":""},{"id":150,"name":"Time of Event (Mountain Time)","value":"16:55:31"},{"id":151,"name":"Denver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66"/>
        <v>start /low /b %USERPROFILE%\Documents\GitHub\eaglep3\Utilities\DownloadLogsFromS3.py --loco 4017 --day 2017-03-06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3" t="s">
        <v>714</v>
      </c>
      <c r="B109" s="7">
        <v>4009</v>
      </c>
      <c r="C109" s="21" t="s">
        <v>245</v>
      </c>
      <c r="D109" s="21" t="s">
        <v>312</v>
      </c>
      <c r="E109" s="13">
        <v>42800.643240740741</v>
      </c>
      <c r="F109" s="13">
        <v>42800.646249999998</v>
      </c>
      <c r="G109" s="7">
        <v>2</v>
      </c>
      <c r="H109" s="21" t="s">
        <v>847</v>
      </c>
      <c r="I109" s="13">
        <v>42800.672847222224</v>
      </c>
      <c r="J109" s="7">
        <v>0</v>
      </c>
      <c r="K109" s="98" t="str">
        <f t="shared" si="54"/>
        <v>4009/4010</v>
      </c>
      <c r="L109" s="21" t="str">
        <f>VLOOKUP(A109,'Trips&amp;Operators'!$C$1:$G$99999,5,FALSE)</f>
        <v>LOCKLEAR TRAVIS</v>
      </c>
      <c r="M109" s="6">
        <f t="shared" si="55"/>
        <v>2.6597222225973383E-2</v>
      </c>
      <c r="N109" s="7">
        <f t="shared" si="68"/>
        <v>38.300000005401671</v>
      </c>
      <c r="O109" s="7"/>
      <c r="P109" s="7"/>
      <c r="Q109" s="22"/>
      <c r="R109" s="22"/>
      <c r="S109" s="31">
        <f t="shared" si="67"/>
        <v>1</v>
      </c>
      <c r="T109" s="46" t="str">
        <f t="shared" si="56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51"/>
        <v>https://d0f6bd738d7f1b3e5a7ca70fe4ff75f0.us-east-1.aws.found.io/app/kibana#/discover/Steve-Slow-Train-Analysis-(2080s-and-2083s)?_g=(refreshInterval:(display:Off,pause:!f,section:0,value:0),time:(from:'2017-03-06T14:26:16-0700',mode:absolute,to:'2017-03-06T17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87" t="str">
        <f t="shared" si="57"/>
        <v>N</v>
      </c>
      <c r="X109" s="187">
        <f t="shared" si="63"/>
        <v>1</v>
      </c>
      <c r="Y109" s="62">
        <f t="shared" si="58"/>
        <v>4.6899999999999997E-2</v>
      </c>
      <c r="Z109" s="62">
        <f t="shared" si="59"/>
        <v>23.333600000000001</v>
      </c>
      <c r="AA109" s="62">
        <f t="shared" si="60"/>
        <v>23.2867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61"/>
        <v>0195-06</v>
      </c>
      <c r="AE109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09" s="82" t="str">
        <f t="shared" si="53"/>
        <v>"C:\Program Files (x86)\AstroGrep\AstroGrep.exe" /e /r /s /spath="%USERPROFILE%\AppData\Local\Temp\OnboardLogs" /stypes="app*4009*20170306*" /stext=" 23:.+((SYSTEM_STATE.+slice.+state.+changed )|(ment ac)|(multiple cpu faults)|(system.+state.+changed )|(\[timeout)|(PRM\|1\|D)|(kpr)|(kdp)|(\|lc)|(penalty))"</v>
      </c>
      <c r="AG109" s="1" t="str">
        <f t="shared" si="62"/>
        <v>EC</v>
      </c>
      <c r="AH109" s="86" t="str">
        <f t="shared" si="64"/>
        <v>"%USERPROFILE%\Documents\GitHub\eaglep3\Utilities\RefineRTDCRunTimes.py" --tripid 195-06 --locoid 4009 --swversion DE.1.0.9.0 --startMP 204:469 --initTime 2017-03-06T15:26:16 --startdatetime 2017-03-06T15:30:36 --delay 2 --endMP 204:233336 --enddatetime 2017-03-06T16:08:54 --enforcementcount 0 &gt;&gt;C:\Users\stu\Documents\GitHub\eaglep3-reporting\EC\2017-03-06-refined-times.txt</v>
      </c>
      <c r="AI10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{"issue":{"subject":"","project_id":79,"tracker_id":40,"status_id":1,"priority_id":2,"assigned_to_id":23,"start_date":"2017-03-06","description":"","custom_fields":[{"id":1,"name":"Subdivision","value":"EC"},{"id":4,"name":"Milepost","value":"23.3336"},{"id":17,"name":"Train ID","value":"195-06"},{"id":16,"name":"Locomotive ID","value":"4009"},{"id":130,"name":"Impact","value":""},{"id":150,"name":"Time of Event (Mountain Time)","value":"16:08:54"},{"id":151,"name":"Denver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66"/>
        <v>start /low /b %USERPROFILE%\Documents\GitHub\eaglep3\Utilities\DownloadLogsFromS3.py --loco 4009 --day 2017-03-06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"%USERPROFILE%\AppData\Local\Temp\OnboardLogs"\RTDC4009\*4009*20170306* | grep -SE "(Enforcement Action)|(\[TIMEOUT)|(CHR.+\|PRM\|1\|D.+(SWITCH|SIGNAL).+UNKNOWN)" - &gt;&gt; 2017-03-06-UncaughtWiMAX.txt</v>
      </c>
    </row>
    <row r="110" spans="1:91" s="20" customFormat="1" x14ac:dyDescent="0.25">
      <c r="A110" s="33" t="s">
        <v>592</v>
      </c>
      <c r="B110" s="7">
        <v>4010</v>
      </c>
      <c r="C110" s="21" t="s">
        <v>245</v>
      </c>
      <c r="D110" s="21" t="s">
        <v>848</v>
      </c>
      <c r="E110" s="13">
        <v>42800.682314814818</v>
      </c>
      <c r="F110" s="13">
        <v>42800.688402777778</v>
      </c>
      <c r="G110" s="7">
        <v>1</v>
      </c>
      <c r="H110" s="21" t="s">
        <v>849</v>
      </c>
      <c r="I110" s="13">
        <v>42800.716168981482</v>
      </c>
      <c r="J110" s="7">
        <v>0</v>
      </c>
      <c r="K110" s="98" t="str">
        <f t="shared" si="54"/>
        <v>4009/4010</v>
      </c>
      <c r="L110" s="21" t="str">
        <f>VLOOKUP(A110,'Trips&amp;Operators'!$C$1:$G$99999,5,FALSE)</f>
        <v>LOCKLEAR TRAVIS</v>
      </c>
      <c r="M110" s="6">
        <f t="shared" si="55"/>
        <v>2.7766203704231884E-2</v>
      </c>
      <c r="N110" s="7">
        <f t="shared" si="68"/>
        <v>39.983333334093913</v>
      </c>
      <c r="O110" s="7"/>
      <c r="P110" s="7"/>
      <c r="Q110" s="22"/>
      <c r="R110" s="22"/>
      <c r="S110" s="31">
        <f t="shared" si="67"/>
        <v>1</v>
      </c>
      <c r="T110" s="46" t="str">
        <f t="shared" si="56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51"/>
        <v>https://d0f6bd738d7f1b3e5a7ca70fe4ff75f0.us-east-1.aws.found.io/app/kibana#/discover/Steve-Slow-Train-Analysis-(2080s-and-2083s)?_g=(refreshInterval:(display:Off,pause:!f,section:0,value:0),time:(from:'2017-03-06T15:22:32-0700',mode:absolute,to:'2017-03-06T18:11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187" t="str">
        <f t="shared" si="57"/>
        <v>N</v>
      </c>
      <c r="X110" s="187">
        <f t="shared" si="63"/>
        <v>1</v>
      </c>
      <c r="Y110" s="62">
        <f t="shared" si="58"/>
        <v>23.303000000000001</v>
      </c>
      <c r="Z110" s="62">
        <f t="shared" si="59"/>
        <v>1.72E-2</v>
      </c>
      <c r="AA110" s="62">
        <f t="shared" si="60"/>
        <v>23.285800000000002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61"/>
        <v>0196-06</v>
      </c>
      <c r="AE110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10" s="82" t="str">
        <f t="shared" si="53"/>
        <v>"C:\Program Files (x86)\AstroGrep\AstroGrep.exe" /e /r /s /spath="%USERPROFILE%\AppData\Local\Temp\OnboardLogs" /stypes="app*4010*20170307*" /stext=" 00:.+((SYSTEM_STATE.+slice.+state.+changed )|(ment ac)|(multiple cpu faults)|(system.+state.+changed )|(\[timeout)|(PRM\|1\|D)|(kpr)|(kdp)|(\|lc)|(penalty))"</v>
      </c>
      <c r="AG110" s="1" t="str">
        <f t="shared" si="62"/>
        <v>EC</v>
      </c>
      <c r="AH110" s="86" t="str">
        <f t="shared" si="64"/>
        <v>"%USERPROFILE%\Documents\GitHub\eaglep3\Utilities\RefineRTDCRunTimes.py" --tripid 196-06 --locoid 4010 --swversion DE.1.0.9.0 --startMP 204:233030 --initTime 2017-03-06T16:22:32 --startdatetime 2017-03-06T16:31:18 --delay 1 --endMP 204:172 --enddatetime 2017-03-06T17:11:17 --enforcementcount 0 &gt;&gt;C:\Users\stu\Documents\GitHub\eaglep3-reporting\EC\2017-03-06-refined-times.txt</v>
      </c>
      <c r="AI11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{"issue":{"subject":"","project_id":79,"tracker_id":40,"status_id":1,"priority_id":2,"assigned_to_id":23,"start_date":"2017-03-06","description":"","custom_fields":[{"id":1,"name":"Subdivision","value":"EC"},{"id":4,"name":"Milepost","value":"0.0172"},{"id":17,"name":"Train ID","value":"196-06"},{"id":16,"name":"Locomotive ID","value":"4010"},{"id":130,"name":"Impact","value":""},{"id":150,"name":"Time of Event (Mountain Time)","value":"17:11:17"},{"id":151,"name":"Denver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66"/>
        <v>start /low /b %USERPROFILE%\Documents\GitHub\eaglep3\Utilities\DownloadLogsFromS3.py --loco 4010 --day 2017-03-06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717</v>
      </c>
      <c r="B111" s="7">
        <v>4022</v>
      </c>
      <c r="C111" s="21" t="s">
        <v>245</v>
      </c>
      <c r="D111" s="21" t="s">
        <v>270</v>
      </c>
      <c r="E111" s="13">
        <v>42800.650034722225</v>
      </c>
      <c r="F111" s="13">
        <v>42800.656493055554</v>
      </c>
      <c r="G111" s="7">
        <v>1</v>
      </c>
      <c r="H111" s="21" t="s">
        <v>819</v>
      </c>
      <c r="I111" s="13">
        <v>42800.683692129627</v>
      </c>
      <c r="J111" s="7">
        <v>0</v>
      </c>
      <c r="K111" s="98" t="str">
        <f t="shared" si="54"/>
        <v>4021/4022</v>
      </c>
      <c r="L111" s="21" t="str">
        <f>VLOOKUP(A111,'Trips&amp;Operators'!$C$1:$G$99999,5,FALSE)</f>
        <v>LEVERE CRAIG</v>
      </c>
      <c r="M111" s="6">
        <f t="shared" si="55"/>
        <v>2.7199074072996154E-2</v>
      </c>
      <c r="N111" s="7">
        <f t="shared" si="68"/>
        <v>39.166666665114462</v>
      </c>
      <c r="O111" s="7"/>
      <c r="P111" s="7"/>
      <c r="Q111" s="22"/>
      <c r="R111" s="22"/>
      <c r="S111" s="31">
        <f t="shared" si="67"/>
        <v>1</v>
      </c>
      <c r="T111" s="46" t="str">
        <f t="shared" si="56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51"/>
        <v>https://d0f6bd738d7f1b3e5a7ca70fe4ff75f0.us-east-1.aws.found.io/app/kibana#/discover/Steve-Slow-Train-Analysis-(2080s-and-2083s)?_g=(refreshInterval:(display:Off,pause:!f,section:0,value:0),time:(from:'2017-03-06T14:36:03-0700',mode:absolute,to:'2017-03-06T17:24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187" t="str">
        <f t="shared" si="57"/>
        <v>N</v>
      </c>
      <c r="X111" s="187">
        <f t="shared" si="63"/>
        <v>1</v>
      </c>
      <c r="Y111" s="62">
        <f t="shared" si="58"/>
        <v>4.6699999999999998E-2</v>
      </c>
      <c r="Z111" s="62">
        <f t="shared" si="59"/>
        <v>23.3308</v>
      </c>
      <c r="AA111" s="62">
        <f t="shared" si="60"/>
        <v>23.284099999999999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61"/>
        <v>0197-06</v>
      </c>
      <c r="AE111" s="85" t="str">
        <f t="shared" si="52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111" s="82" t="str">
        <f t="shared" si="53"/>
        <v>"C:\Program Files (x86)\AstroGrep\AstroGrep.exe" /e /r /s /spath="%USERPROFILE%\AppData\Local\Temp\OnboardLogs" /stypes="app*4022*20170306*" /stext=" 23:.+((SYSTEM_STATE.+slice.+state.+changed )|(ment ac)|(multiple cpu faults)|(system.+state.+changed )|(\[timeout)|(PRM\|1\|D)|(kpr)|(kdp)|(\|lc)|(penalty))"</v>
      </c>
      <c r="AG111" s="1" t="str">
        <f t="shared" si="62"/>
        <v>EC</v>
      </c>
      <c r="AH111" s="86" t="str">
        <f t="shared" si="64"/>
        <v>"%USERPROFILE%\Documents\GitHub\eaglep3\Utilities\RefineRTDCRunTimes.py" --tripid 197-06 --locoid 4022 --swversion DE.1.0.9.0 --startMP 204:467 --initTime 2017-03-06T15:36:03 --startdatetime 2017-03-06T15:45:21 --delay 1 --endMP 204:233308 --enddatetime 2017-03-06T16:24:31 --enforcementcount 0 &gt;&gt;C:\Users\stu\Documents\GitHub\eaglep3-reporting\EC\2017-03-06-refined-times.txt</v>
      </c>
      <c r="AI11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{"issue":{"subject":"","project_id":79,"tracker_id":40,"status_id":1,"priority_id":2,"assigned_to_id":23,"start_date":"2017-03-06","description":"","custom_fields":[{"id":1,"name":"Subdivision","value":"EC"},{"id":4,"name":"Milepost","value":"23.3308"},{"id":17,"name":"Train ID","value":"197-06"},{"id":16,"name":"Locomotive ID","value":"4022"},{"id":130,"name":"Impact","value":""},{"id":150,"name":"Time of Event (Mountain Time)","value":"16:24:31"},{"id":151,"name":"Denver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66"/>
        <v>start /low /b %USERPROFILE%\Documents\GitHub\eaglep3\Utilities\DownloadLogsFromS3.py --loco 4022 --day 2017-03-06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"%USERPROFILE%\AppData\Local\Temp\OnboardLogs"\RTDC4022\*4022*20170306* | grep -SE "(Enforcement Action)|(\[TIMEOUT)|(CHR.+\|PRM\|1\|D.+(SWITCH|SIGNAL).+UNKNOWN)" - &gt;&gt; 2017-03-06-UncaughtWiMAX.txt</v>
      </c>
    </row>
    <row r="112" spans="1:91" s="20" customFormat="1" x14ac:dyDescent="0.25">
      <c r="A112" s="33" t="s">
        <v>724</v>
      </c>
      <c r="B112" s="7">
        <v>4021</v>
      </c>
      <c r="C112" s="21" t="s">
        <v>245</v>
      </c>
      <c r="D112" s="21" t="s">
        <v>273</v>
      </c>
      <c r="E112" s="13">
        <v>42800.690775462965</v>
      </c>
      <c r="F112" s="13">
        <v>42800.696932870371</v>
      </c>
      <c r="G112" s="7">
        <v>0</v>
      </c>
      <c r="H112" s="21" t="s">
        <v>203</v>
      </c>
      <c r="I112" s="13">
        <v>42800.729062500002</v>
      </c>
      <c r="J112" s="7">
        <v>0</v>
      </c>
      <c r="K112" s="98" t="str">
        <f t="shared" si="54"/>
        <v>4021/4022</v>
      </c>
      <c r="L112" s="21" t="str">
        <f>VLOOKUP(A112,'Trips&amp;Operators'!$C$1:$G$99999,5,FALSE)</f>
        <v>LEVERE CRAIG</v>
      </c>
      <c r="M112" s="6">
        <f t="shared" si="55"/>
        <v>3.2129629631526768E-2</v>
      </c>
      <c r="N112" s="7">
        <f t="shared" si="68"/>
        <v>46.266666669398546</v>
      </c>
      <c r="O112" s="7"/>
      <c r="P112" s="7"/>
      <c r="Q112" s="22"/>
      <c r="R112" s="22" t="s">
        <v>999</v>
      </c>
      <c r="S112" s="31">
        <f t="shared" si="67"/>
        <v>1</v>
      </c>
      <c r="T112" s="46" t="str">
        <f t="shared" si="56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51"/>
        <v>https://d0f6bd738d7f1b3e5a7ca70fe4ff75f0.us-east-1.aws.found.io/app/kibana#/discover/Steve-Slow-Train-Analysis-(2080s-and-2083s)?_g=(refreshInterval:(display:Off,pause:!f,section:0,value:0),time:(from:'2017-03-06T15:34:43-0700',mode:absolute,to:'2017-03-06T18:29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187" t="str">
        <f t="shared" si="57"/>
        <v>N</v>
      </c>
      <c r="X112" s="187">
        <f t="shared" si="63"/>
        <v>1</v>
      </c>
      <c r="Y112" s="62">
        <f t="shared" si="58"/>
        <v>23.3</v>
      </c>
      <c r="Z112" s="62">
        <f t="shared" si="59"/>
        <v>1.52E-2</v>
      </c>
      <c r="AA112" s="62">
        <f t="shared" si="60"/>
        <v>23.284800000000001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61"/>
        <v>0198-06</v>
      </c>
      <c r="AE112" s="85" t="str">
        <f t="shared" si="52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112" s="82" t="str">
        <f t="shared" si="53"/>
        <v>"C:\Program Files (x86)\AstroGrep\AstroGrep.exe" /e /r /s /spath="%USERPROFILE%\AppData\Local\Temp\OnboardLogs" /stypes="app*4021*20170307*" /stext=" 00:.+((SYSTEM_STATE.+slice.+state.+changed )|(ment ac)|(multiple cpu faults)|(system.+state.+changed )|(\[timeout)|(PRM\|1\|D)|(kpr)|(kdp)|(\|lc)|(penalty))"</v>
      </c>
      <c r="AG112" s="1" t="str">
        <f t="shared" si="62"/>
        <v>EC</v>
      </c>
      <c r="AH112" s="86" t="str">
        <f t="shared" si="64"/>
        <v>"%USERPROFILE%\Documents\GitHub\eaglep3\Utilities\RefineRTDCRunTimes.py" --tripid 198-06 --locoid 4021 --swversion DE.1.0.9.0 --startMP 204:233000 --initTime 2017-03-06T16:34:43 --startdatetime 2017-03-06T16:43:35 --delay 0 --endMP 204:152 --enddatetime 2017-03-06T17:29:51 --enforcementcount 0 &gt;&gt;C:\Users\stu\Documents\GitHub\eaglep3-reporting\EC\2017-03-06-refined-times.txt</v>
      </c>
      <c r="AI112" s="108" t="str">
        <f t="shared" si="65"/>
        <v>echo {"issue":{"subject":"Delayed by CCROC/crew/equipment mismatch","project_id":79,"tracker_id":40,"status_id":1,"priority_id":2,"assigned_to_id":23,"start_date":"2017-03-06","description":"","custom_fields":[{"id":1,"name":"Subdivision","value":"EC"},{"id":4,"name":"Milepost","value":"0.0152"},{"id":17,"name":"Train ID","value":"198-06"},{"id":16,"name":"Locomotive ID","value":"4021"},{"id":130,"name":"Impact","value":""},{"id":150,"name":"Time of Event (Mountain Time)","value":"17:29:51"},{"id":151,"name":"Denver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66"/>
        <v>start /low /b %USERPROFILE%\Documents\GitHub\eaglep3\Utilities\DownloadLogsFromS3.py --loco 4021 --day 2017-03-06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719</v>
      </c>
      <c r="B113" s="7">
        <v>4003</v>
      </c>
      <c r="C113" s="21" t="s">
        <v>245</v>
      </c>
      <c r="D113" s="21" t="s">
        <v>297</v>
      </c>
      <c r="E113" s="13">
        <v>42800.665625000001</v>
      </c>
      <c r="F113" s="13">
        <v>42800.667847222219</v>
      </c>
      <c r="G113" s="7">
        <v>1</v>
      </c>
      <c r="H113" s="21" t="s">
        <v>804</v>
      </c>
      <c r="I113" s="13">
        <v>42800.697025462963</v>
      </c>
      <c r="J113" s="7">
        <v>0</v>
      </c>
      <c r="K113" s="98" t="str">
        <f t="shared" si="54"/>
        <v>4003/4004</v>
      </c>
      <c r="L113" s="21" t="str">
        <f>VLOOKUP(A113,'Trips&amp;Operators'!$C$1:$G$99999,5,FALSE)</f>
        <v>DAVIDSON DAVID</v>
      </c>
      <c r="M113" s="6">
        <f t="shared" si="55"/>
        <v>2.9178240743931383E-2</v>
      </c>
      <c r="N113" s="7">
        <f t="shared" si="68"/>
        <v>42.016666671261191</v>
      </c>
      <c r="O113" s="7"/>
      <c r="P113" s="7"/>
      <c r="Q113" s="22"/>
      <c r="R113" s="22"/>
      <c r="S113" s="31">
        <f t="shared" si="67"/>
        <v>1</v>
      </c>
      <c r="T113" s="46" t="str">
        <f t="shared" si="56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51"/>
        <v>https://d0f6bd738d7f1b3e5a7ca70fe4ff75f0.us-east-1.aws.found.io/app/kibana#/discover/Steve-Slow-Train-Analysis-(2080s-and-2083s)?_g=(refreshInterval:(display:Off,pause:!f,section:0,value:0),time:(from:'2017-03-06T14:58:30-0700',mode:absolute,to:'2017-03-06T17:43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7" t="str">
        <f t="shared" si="57"/>
        <v>N</v>
      </c>
      <c r="X113" s="187">
        <f t="shared" si="63"/>
        <v>1</v>
      </c>
      <c r="Y113" s="62">
        <f t="shared" si="58"/>
        <v>4.4900000000000002E-2</v>
      </c>
      <c r="Z113" s="62">
        <f t="shared" si="59"/>
        <v>23.328600000000002</v>
      </c>
      <c r="AA113" s="62">
        <f t="shared" si="60"/>
        <v>23.283700000000003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61"/>
        <v>0199-06</v>
      </c>
      <c r="AE113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13" s="82" t="str">
        <f t="shared" si="53"/>
        <v>"C:\Program Files (x86)\AstroGrep\AstroGrep.exe" /e /r /s /spath="%USERPROFILE%\AppData\Local\Temp\OnboardLogs" /stypes="app*4003*20170306*" /stext=" 23:.+((SYSTEM_STATE.+slice.+state.+changed )|(ment ac)|(multiple cpu faults)|(system.+state.+changed )|(\[timeout)|(PRM\|1\|D)|(kpr)|(kdp)|(\|lc)|(penalty))"</v>
      </c>
      <c r="AG113" s="1" t="str">
        <f t="shared" si="62"/>
        <v>EC</v>
      </c>
      <c r="AH113" s="86" t="str">
        <f t="shared" si="64"/>
        <v>"%USERPROFILE%\Documents\GitHub\eaglep3\Utilities\RefineRTDCRunTimes.py" --tripid 199-06 --locoid 4003 --swversion DE.1.0.9.0 --startMP 204:449 --initTime 2017-03-06T15:58:30 --startdatetime 2017-03-06T16:01:42 --delay 1 --endMP 204:233286 --enddatetime 2017-03-06T16:43:43 --enforcementcount 0 &gt;&gt;C:\Users\stu\Documents\GitHub\eaglep3-reporting\EC\2017-03-06-refined-times.txt</v>
      </c>
      <c r="AI11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{"issue":{"subject":"","project_id":79,"tracker_id":40,"status_id":1,"priority_id":2,"assigned_to_id":23,"start_date":"2017-03-06","description":"","custom_fields":[{"id":1,"name":"Subdivision","value":"EC"},{"id":4,"name":"Milepost","value":"23.3286"},{"id":17,"name":"Train ID","value":"199-06"},{"id":16,"name":"Locomotive ID","value":"4003"},{"id":130,"name":"Impact","value":""},{"id":150,"name":"Time of Event (Mountain Time)","value":"16:43:43"},{"id":151,"name":"Denver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66"/>
        <v>start /low /b %USERPROFILE%\Documents\GitHub\eaglep3\Utilities\DownloadLogsFromS3.py --loco 4003 --day 2017-03-06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"%USERPROFILE%\AppData\Local\Temp\OnboardLogs"\RTDC4003\*4003*20170306* | grep -SE "(Enforcement Action)|(\[TIMEOUT)|(CHR.+\|PRM\|1\|D.+(SWITCH|SIGNAL).+UNKNOWN)" - &gt;&gt; 2017-03-06-UncaughtWiMAX.txt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727</v>
      </c>
      <c r="B114" s="7">
        <v>4004</v>
      </c>
      <c r="C114" s="21" t="s">
        <v>245</v>
      </c>
      <c r="D114" s="21" t="s">
        <v>533</v>
      </c>
      <c r="E114" s="13">
        <v>42800.699490740742</v>
      </c>
      <c r="F114" s="13">
        <v>42800.706099537034</v>
      </c>
      <c r="G114" s="7">
        <v>1</v>
      </c>
      <c r="H114" s="21" t="s">
        <v>209</v>
      </c>
      <c r="I114" s="13">
        <v>42800.739328703705</v>
      </c>
      <c r="J114" s="7">
        <v>0</v>
      </c>
      <c r="K114" s="98" t="str">
        <f t="shared" si="54"/>
        <v>4003/4004</v>
      </c>
      <c r="L114" s="21" t="str">
        <f>VLOOKUP(A114,'Trips&amp;Operators'!$C$1:$G$99999,5,FALSE)</f>
        <v>DAVIDSON DAVID</v>
      </c>
      <c r="M114" s="6">
        <f t="shared" si="55"/>
        <v>3.3229166670935228E-2</v>
      </c>
      <c r="N114" s="7">
        <f t="shared" si="68"/>
        <v>47.850000006146729</v>
      </c>
      <c r="O114" s="7"/>
      <c r="P114" s="7"/>
      <c r="Q114" s="22"/>
      <c r="R114" s="22"/>
      <c r="S114" s="31">
        <f t="shared" si="67"/>
        <v>1</v>
      </c>
      <c r="T114" s="46" t="str">
        <f t="shared" si="56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51"/>
        <v>https://d0f6bd738d7f1b3e5a7ca70fe4ff75f0.us-east-1.aws.found.io/app/kibana#/discover/Steve-Slow-Train-Analysis-(2080s-and-2083s)?_g=(refreshInterval:(display:Off,pause:!f,section:0,value:0),time:(from:'2017-03-06T15:47:16-0700',mode:absolute,to:'2017-03-06T18:44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187" t="str">
        <f t="shared" si="57"/>
        <v>N</v>
      </c>
      <c r="X114" s="187">
        <f t="shared" si="63"/>
        <v>1</v>
      </c>
      <c r="Y114" s="62">
        <f t="shared" si="58"/>
        <v>23.297999999999998</v>
      </c>
      <c r="Z114" s="62">
        <f t="shared" si="59"/>
        <v>1.54E-2</v>
      </c>
      <c r="AA114" s="62">
        <f t="shared" si="60"/>
        <v>23.282599999999999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61"/>
        <v>0200-06</v>
      </c>
      <c r="AE114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14" s="82" t="str">
        <f t="shared" si="53"/>
        <v>"C:\Program Files (x86)\AstroGrep\AstroGrep.exe" /e /r /s /spath="%USERPROFILE%\AppData\Local\Temp\OnboardLogs" /stypes="app*4004*20170307*" /stext=" 00:.+((SYSTEM_STATE.+slice.+state.+changed )|(ment ac)|(multiple cpu faults)|(system.+state.+changed )|(\[timeout)|(PRM\|1\|D)|(kpr)|(kdp)|(\|lc)|(penalty))"</v>
      </c>
      <c r="AG114" s="1" t="str">
        <f t="shared" si="62"/>
        <v>EC</v>
      </c>
      <c r="AH114" s="86" t="str">
        <f t="shared" si="64"/>
        <v>"%USERPROFILE%\Documents\GitHub\eaglep3\Utilities\RefineRTDCRunTimes.py" --tripid 200-06 --locoid 4004 --swversion DE.1.0.9.0 --startMP 204:232980 --initTime 2017-03-06T16:47:16 --startdatetime 2017-03-06T16:56:47 --delay 1 --endMP 204:154 --enddatetime 2017-03-06T17:44:38 --enforcementcount 0 &gt;&gt;C:\Users\stu\Documents\GitHub\eaglep3-reporting\EC\2017-03-06-refined-times.txt</v>
      </c>
      <c r="AI11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ID","value":"200-06"},{"id":16,"name":"Locomotive ID","value":"4004"},{"id":130,"name":"Impact","value":""},{"id":150,"name":"Time of Event (Mountain Time)","value":"17:44:38"},{"id":151,"name":"Denver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66"/>
        <v>start /low /b %USERPROFILE%\Documents\GitHub\eaglep3\Utilities\DownloadLogsFromS3.py --loco 4004 --day 2017-03-06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721</v>
      </c>
      <c r="B115" s="7">
        <v>4046</v>
      </c>
      <c r="C115" s="21" t="s">
        <v>245</v>
      </c>
      <c r="D115" s="21" t="s">
        <v>201</v>
      </c>
      <c r="E115" s="13">
        <v>42800.675578703704</v>
      </c>
      <c r="F115" s="13">
        <v>42800.67759259259</v>
      </c>
      <c r="G115" s="7">
        <v>2</v>
      </c>
      <c r="H115" s="21" t="s">
        <v>523</v>
      </c>
      <c r="I115" s="13">
        <v>42800.706145833334</v>
      </c>
      <c r="J115" s="7">
        <v>0</v>
      </c>
      <c r="K115" s="98" t="str">
        <f t="shared" si="54"/>
        <v>4045/4046</v>
      </c>
      <c r="L115" s="21" t="str">
        <f>VLOOKUP(A115,'Trips&amp;Operators'!$C$1:$G$99999,5,FALSE)</f>
        <v>STEWART MICHAEL</v>
      </c>
      <c r="M115" s="6">
        <f t="shared" si="55"/>
        <v>2.8553240743349306E-2</v>
      </c>
      <c r="N115" s="7">
        <f t="shared" si="68"/>
        <v>41.116666670423001</v>
      </c>
      <c r="O115" s="7"/>
      <c r="P115" s="7"/>
      <c r="Q115" s="22"/>
      <c r="R115" s="22"/>
      <c r="S115" s="31">
        <f t="shared" si="67"/>
        <v>1</v>
      </c>
      <c r="T115" s="46" t="str">
        <f t="shared" si="56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51"/>
        <v>https://d0f6bd738d7f1b3e5a7ca70fe4ff75f0.us-east-1.aws.found.io/app/kibana#/discover/Steve-Slow-Train-Analysis-(2080s-and-2083s)?_g=(refreshInterval:(display:Off,pause:!f,section:0,value:0),time:(from:'2017-03-06T15:12:50-0700',mode:absolute,to:'2017-03-06T17:56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187" t="str">
        <f t="shared" si="57"/>
        <v>N</v>
      </c>
      <c r="X115" s="187">
        <f t="shared" si="63"/>
        <v>1</v>
      </c>
      <c r="Y115" s="62">
        <f t="shared" si="58"/>
        <v>4.6199999999999998E-2</v>
      </c>
      <c r="Z115" s="62">
        <f t="shared" si="59"/>
        <v>23.327999999999999</v>
      </c>
      <c r="AA115" s="62">
        <f t="shared" si="60"/>
        <v>23.2818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61"/>
        <v>0201-06</v>
      </c>
      <c r="AE115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115" s="82" t="str">
        <f t="shared" si="53"/>
        <v>"C:\Program Files (x86)\AstroGrep\AstroGrep.exe" /e /r /s /spath="%USERPROFILE%\AppData\Local\Temp\OnboardLogs" /stypes="app*4046*20170306*" /stext=" 23:.+((SYSTEM_STATE.+slice.+state.+changed )|(ment ac)|(multiple cpu faults)|(system.+state.+changed )|(\[timeout)|(PRM\|1\|D)|(kpr)|(kdp)|(\|lc)|(penalty))"</v>
      </c>
      <c r="AG115" s="1" t="str">
        <f t="shared" si="62"/>
        <v>EC</v>
      </c>
      <c r="AH115" s="86" t="str">
        <f t="shared" si="64"/>
        <v>"%USERPROFILE%\Documents\GitHub\eaglep3\Utilities\RefineRTDCRunTimes.py" --tripid 201-06 --locoid 4046 --swversion DE.1.0.9.0 --startMP 204:462 --initTime 2017-03-06T16:12:50 --startdatetime 2017-03-06T16:15:44 --delay 2 --endMP 204:233280 --enddatetime 2017-03-06T16:56:51 --enforcementcount 0 &gt;&gt;C:\Users\stu\Documents\GitHub\eaglep3-reporting\EC\2017-03-06-refined-times.txt</v>
      </c>
      <c r="AI11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{"issue":{"subject":"","project_id":79,"tracker_id":40,"status_id":1,"priority_id":2,"assigned_to_id":23,"start_date":"2017-03-06","description":"","custom_fields":[{"id":1,"name":"Subdivision","value":"EC"},{"id":4,"name":"Milepost","value":"23.328"},{"id":17,"name":"Train ID","value":"201-06"},{"id":16,"name":"Locomotive ID","value":"4046"},{"id":130,"name":"Impact","value":""},{"id":150,"name":"Time of Event (Mountain Time)","value":"16:56:51"},{"id":151,"name":"Denver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66"/>
        <v>start /low /b %USERPROFILE%\Documents\GitHub\eaglep3\Utilities\DownloadLogsFromS3.py --loco 4046 --day 2017-03-06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"%USERPROFILE%\AppData\Local\Temp\OnboardLogs"\RTDC4046\*4046*20170306* | grep -SE "(Enforcement Action)|(\[TIMEOUT)|(CHR.+\|PRM\|1\|D.+(SWITCH|SIGNAL).+UNKNOWN)" - &gt;&gt; 2017-03-06-UncaughtWiMAX.txt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595</v>
      </c>
      <c r="B116" s="7">
        <v>4045</v>
      </c>
      <c r="C116" s="21" t="s">
        <v>245</v>
      </c>
      <c r="D116" s="21" t="s">
        <v>545</v>
      </c>
      <c r="E116" s="13">
        <v>42800.71334490741</v>
      </c>
      <c r="F116" s="13">
        <v>42800.716203703705</v>
      </c>
      <c r="G116" s="7">
        <v>1</v>
      </c>
      <c r="H116" s="21" t="s">
        <v>850</v>
      </c>
      <c r="I116" s="13">
        <v>42800.744687500002</v>
      </c>
      <c r="J116" s="7">
        <v>0</v>
      </c>
      <c r="K116" s="98" t="str">
        <f t="shared" si="54"/>
        <v>4045/4046</v>
      </c>
      <c r="L116" s="21" t="str">
        <f>VLOOKUP(A116,'Trips&amp;Operators'!$C$1:$G$99999,5,FALSE)</f>
        <v>STEWART MICHAEL</v>
      </c>
      <c r="M116" s="6">
        <f t="shared" si="55"/>
        <v>2.8483796297223307E-2</v>
      </c>
      <c r="N116" s="7">
        <f t="shared" si="68"/>
        <v>41.016666668001562</v>
      </c>
      <c r="O116" s="7"/>
      <c r="P116" s="7"/>
      <c r="Q116" s="22"/>
      <c r="R116" s="22"/>
      <c r="S116" s="31">
        <f t="shared" si="67"/>
        <v>1</v>
      </c>
      <c r="T116" s="46" t="str">
        <f t="shared" si="56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51"/>
        <v>https://d0f6bd738d7f1b3e5a7ca70fe4ff75f0.us-east-1.aws.found.io/app/kibana#/discover/Steve-Slow-Train-Analysis-(2080s-and-2083s)?_g=(refreshInterval:(display:Off,pause:!f,section:0,value:0),time:(from:'2017-03-06T16:07:13-0700',mode:absolute,to:'2017-03-06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187" t="str">
        <f t="shared" si="57"/>
        <v>N</v>
      </c>
      <c r="X116" s="187">
        <f t="shared" si="63"/>
        <v>1</v>
      </c>
      <c r="Y116" s="62">
        <f t="shared" si="58"/>
        <v>23.297599999999999</v>
      </c>
      <c r="Z116" s="62">
        <f t="shared" si="59"/>
        <v>1.9099999999999999E-2</v>
      </c>
      <c r="AA116" s="62">
        <f t="shared" si="60"/>
        <v>23.278499999999998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61"/>
        <v>0202-06</v>
      </c>
      <c r="AE116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116" s="82" t="str">
        <f t="shared" si="53"/>
        <v>"C:\Program Files (x86)\AstroGrep\AstroGrep.exe" /e /r /s /spath="%USERPROFILE%\AppData\Local\Temp\OnboardLogs" /stypes="app*4045*20170307*" /stext=" 00:.+((SYSTEM_STATE.+slice.+state.+changed )|(ment ac)|(multiple cpu faults)|(system.+state.+changed )|(\[timeout)|(PRM\|1\|D)|(kpr)|(kdp)|(\|lc)|(penalty))"</v>
      </c>
      <c r="AG116" s="1" t="str">
        <f t="shared" si="62"/>
        <v>EC</v>
      </c>
      <c r="AH116" s="86" t="str">
        <f t="shared" si="64"/>
        <v>"%USERPROFILE%\Documents\GitHub\eaglep3\Utilities\RefineRTDCRunTimes.py" --tripid 202-06 --locoid 4045 --swversion DE.1.0.9.0 --startMP 204:232976 --initTime 2017-03-06T17:07:13 --startdatetime 2017-03-06T17:11:20 --delay 1 --endMP 204:191 --enddatetime 2017-03-06T17:52:21 --enforcementcount 0 &gt;&gt;C:\Users\stu\Documents\GitHub\eaglep3-reporting\EC\2017-03-06-refined-times.txt</v>
      </c>
      <c r="AI11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{"issue":{"subject":"","project_id":79,"tracker_id":40,"status_id":1,"priority_id":2,"assigned_to_id":23,"start_date":"2017-03-06","description":"","custom_fields":[{"id":1,"name":"Subdivision","value":"EC"},{"id":4,"name":"Milepost","value":"0.0191"},{"id":17,"name":"Train ID","value":"202-06"},{"id":16,"name":"Locomotive ID","value":"4045"},{"id":130,"name":"Impact","value":""},{"id":150,"name":"Time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66"/>
        <v>start /low /b %USERPROFILE%\Documents\GitHub\eaglep3\Utilities\DownloadLogsFromS3.py --loco 4045 --day 2017-03-06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"%USERPROFILE%\AppData\Local\Temp\OnboardLogs"\RTDC4045\*4045*20170307* | grep -SE "(Enforcement Action)|(\[TIMEOUT)|(CHR.+\|PRM\|1\|D.+(SWITCH|SIGNAL).+UNKNOWN)" - &gt;&gt; 2017-03-06-UncaughtWiMAX.txt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723</v>
      </c>
      <c r="B117" s="7">
        <v>4051</v>
      </c>
      <c r="C117" s="21" t="s">
        <v>245</v>
      </c>
      <c r="D117" s="21" t="s">
        <v>851</v>
      </c>
      <c r="E117" s="13">
        <v>42800.681458333333</v>
      </c>
      <c r="F117" s="13">
        <v>42800.687997685185</v>
      </c>
      <c r="G117" s="7">
        <v>1</v>
      </c>
      <c r="H117" s="21" t="s">
        <v>251</v>
      </c>
      <c r="I117" s="13">
        <v>42800.715775462966</v>
      </c>
      <c r="J117" s="7">
        <v>0</v>
      </c>
      <c r="K117" s="98" t="str">
        <f t="shared" si="54"/>
        <v>4051/4052</v>
      </c>
      <c r="L117" s="21" t="str">
        <f>VLOOKUP(A117,'Trips&amp;Operators'!$C$1:$G$99999,5,FALSE)</f>
        <v>HOLCOMB KAMDEN</v>
      </c>
      <c r="M117" s="6">
        <f t="shared" si="55"/>
        <v>2.7777777781011537E-2</v>
      </c>
      <c r="N117" s="7">
        <f t="shared" si="68"/>
        <v>40.000000004656613</v>
      </c>
      <c r="O117" s="7"/>
      <c r="P117" s="7"/>
      <c r="Q117" s="22"/>
      <c r="R117" s="22"/>
      <c r="S117" s="31">
        <f t="shared" si="67"/>
        <v>1</v>
      </c>
      <c r="T117" s="46" t="str">
        <f t="shared" si="56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51"/>
        <v>https://d0f6bd738d7f1b3e5a7ca70fe4ff75f0.us-east-1.aws.found.io/app/kibana#/discover/Steve-Slow-Train-Analysis-(2080s-and-2083s)?_g=(refreshInterval:(display:Off,pause:!f,section:0,value:0),time:(from:'2017-03-06T15:21:18-0700',mode:absolute,to:'2017-03-06T18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7" s="187" t="str">
        <f t="shared" si="57"/>
        <v>N</v>
      </c>
      <c r="X117" s="187">
        <f t="shared" si="63"/>
        <v>1</v>
      </c>
      <c r="Y117" s="62">
        <f t="shared" si="58"/>
        <v>4.1799999999999997E-2</v>
      </c>
      <c r="Z117" s="62">
        <f t="shared" si="59"/>
        <v>23.331399999999999</v>
      </c>
      <c r="AA117" s="62">
        <f t="shared" si="60"/>
        <v>23.2896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61"/>
        <v>0203-06</v>
      </c>
      <c r="AE117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17" s="82" t="str">
        <f t="shared" si="53"/>
        <v>"C:\Program Files (x86)\AstroGrep\AstroGrep.exe" /e /r /s /spath="%USERPROFILE%\AppData\Local\Temp\OnboardLogs" /stypes="app*4051*20170307*" /stext=" 00:.+((SYSTEM_STATE.+slice.+state.+changed )|(ment ac)|(multiple cpu faults)|(system.+state.+changed )|(\[timeout)|(PRM\|1\|D)|(kpr)|(kdp)|(\|lc)|(penalty))"</v>
      </c>
      <c r="AG117" s="1" t="str">
        <f t="shared" si="62"/>
        <v>EC</v>
      </c>
      <c r="AH117" s="86" t="str">
        <f t="shared" si="64"/>
        <v>"%USERPROFILE%\Documents\GitHub\eaglep3\Utilities\RefineRTDCRunTimes.py" --tripid 203-06 --locoid 4051 --swversion DE.1.0.9.0 --startMP 204:418 --initTime 2017-03-06T16:21:18 --startdatetime 2017-03-06T16:30:43 --delay 1 --endMP 204:233314 --enddatetime 2017-03-06T17:10:43 --enforcementcount 0 &gt;&gt;C:\Users\stu\Documents\GitHub\eaglep3-reporting\EC\2017-03-06-refined-times.txt</v>
      </c>
      <c r="AI11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{"issue":{"subject":"","project_id":79,"tracker_id":40,"status_id":1,"priority_id":2,"assigned_to_id":23,"start_date":"2017-03-06","description":"","custom_fields":[{"id":1,"name":"Subdivision","value":"EC"},{"id":4,"name":"Milepost","value":"23.3314"},{"id":17,"name":"Train ID","value":"203-06"},{"id":16,"name":"Locomotive ID","value":"4051"},{"id":130,"name":"Impact","value":""},{"id":150,"name":"Time of Event (Mountain Time)","value":"17:10:43"},{"id":151,"name":"Denver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66"/>
        <v>start /low /b %USERPROFILE%\Documents\GitHub\eaglep3\Utilities\DownloadLogsFromS3.py --loco 4051 --day 2017-03-06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"%USERPROFILE%\AppData\Local\Temp\OnboardLogs"\RTDC4051\*4051*20170306* | grep -SE "(Enforcement Action)|(\[TIMEOUT)|(CHR.+\|PRM\|1\|D.+(SWITCH|SIGNAL).+UNKNOWN)" - &gt;&gt; 2017-03-06-UncaughtWiMAX.txt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730</v>
      </c>
      <c r="B118" s="7">
        <v>4052</v>
      </c>
      <c r="C118" s="21" t="s">
        <v>245</v>
      </c>
      <c r="D118" s="21" t="s">
        <v>248</v>
      </c>
      <c r="E118" s="13">
        <v>42800.717835648145</v>
      </c>
      <c r="F118" s="13">
        <v>42800.728645833333</v>
      </c>
      <c r="G118" s="7">
        <v>1</v>
      </c>
      <c r="H118" s="21" t="s">
        <v>194</v>
      </c>
      <c r="I118" s="13">
        <v>42800.760416666664</v>
      </c>
      <c r="J118" s="7">
        <v>0</v>
      </c>
      <c r="K118" s="98" t="str">
        <f t="shared" ref="K118:K149" si="69">IF(ISEVEN(B118),(B118-1)&amp;"/"&amp;B118,B118&amp;"/"&amp;(B118+1))</f>
        <v>4051/4052</v>
      </c>
      <c r="L118" s="21" t="str">
        <f>VLOOKUP(A118,'Trips&amp;Operators'!$C$1:$G$99999,5,FALSE)</f>
        <v>HOLCOMB KAMDEN</v>
      </c>
      <c r="M118" s="6">
        <f t="shared" ref="M118:M149" si="70">I118-F118</f>
        <v>3.1770833331393078E-2</v>
      </c>
      <c r="N118" s="7">
        <f t="shared" si="68"/>
        <v>45.749999997206032</v>
      </c>
      <c r="O118" s="7"/>
      <c r="P118" s="7"/>
      <c r="Q118" s="22"/>
      <c r="R118" s="22"/>
      <c r="S118" s="31">
        <f t="shared" si="67"/>
        <v>1</v>
      </c>
      <c r="T118" s="46" t="str">
        <f t="shared" ref="T118:T149" si="71">IF(ISEVEN(LEFT(AD118,4)),"Southbound","NorthBound")</f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51"/>
        <v>https://d0f6bd738d7f1b3e5a7ca70fe4ff75f0.us-east-1.aws.found.io/app/kibana#/discover/Steve-Slow-Train-Analysis-(2080s-and-2083s)?_g=(refreshInterval:(display:Off,pause:!f,section:0,value:0),time:(from:'2017-03-06T16:13:41-0700',mode:absolute,to:'2017-03-06T19:15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187" t="str">
        <f t="shared" ref="W118:W149" si="72">IF(AA118&lt;IF(AG118="EC",23,5.65),"Y","N")</f>
        <v>N</v>
      </c>
      <c r="X118" s="187">
        <f t="shared" si="63"/>
        <v>1</v>
      </c>
      <c r="Y118" s="62">
        <f t="shared" ref="Y118:Y144" si="73">RIGHT(D118,LEN(D118)-4)/10000</f>
        <v>23.299399999999999</v>
      </c>
      <c r="Z118" s="62">
        <f t="shared" ref="Z118:Z144" si="74">RIGHT(H118,LEN(H118)-4)/10000</f>
        <v>1.4500000000000001E-2</v>
      </c>
      <c r="AA118" s="62">
        <f t="shared" ref="AA118:AA149" si="75">ABS(Z118-Y118)</f>
        <v>23.284899999999997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ref="AD118:AD149" si="76">IF(LEN(A118)=6,"0"&amp;A118,A118)</f>
        <v>0204-06</v>
      </c>
      <c r="AE118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18" s="82" t="str">
        <f t="shared" si="53"/>
        <v>"C:\Program Files (x86)\AstroGrep\AstroGrep.exe" /e /r /s /spath="%USERPROFILE%\AppData\Local\Temp\OnboardLogs" /stypes="app*4052*20170307*" /stext=" 01:.+((SYSTEM_STATE.+slice.+state.+changed )|(ment ac)|(multiple cpu faults)|(system.+state.+changed )|(\[timeout)|(PRM\|1\|D)|(kpr)|(kdp)|(\|lc)|(penalty))"</v>
      </c>
      <c r="AG118" s="1" t="str">
        <f t="shared" ref="AG118:AG149" si="77">IFERROR(IF(VALUE(LEFT(AD118,2))&lt;=2,"EC",IF(OR(VALUE(LEFT(AD118,2))=8,VALUE(LEFT(AD118,2))=18),"NW","Other")),"Other")</f>
        <v>EC</v>
      </c>
      <c r="AH118" s="86" t="str">
        <f t="shared" si="64"/>
        <v>"%USERPROFILE%\Documents\GitHub\eaglep3\Utilities\RefineRTDCRunTimes.py" --tripid 204-06 --locoid 4052 --swversion DE.1.0.9.0 --startMP 204:232994 --initTime 2017-03-06T17:13:41 --startdatetime 2017-03-06T17:29:15 --delay 1 --endMP 204:145 --enddatetime 2017-03-06T18:15:00 --enforcementcount 0 &gt;&gt;C:\Users\stu\Documents\GitHub\eaglep3-reporting\EC\2017-03-06-refined-times.txt</v>
      </c>
      <c r="AI11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{"issue":{"subject":"","project_id":79,"tracker_id":40,"status_id":1,"priority_id":2,"assigned_to_id":23,"start_date":"2017-03-06","description":"","custom_fields":[{"id":1,"name":"Subdivision","value":"EC"},{"id":4,"name":"Milepost","value":"0.0145"},{"id":17,"name":"Train ID","value":"204-06"},{"id":16,"name":"Locomotive ID","value":"4052"},{"id":130,"name":"Impact","value":""},{"id":150,"name":"Time of Event (Mountain Time)","value":"18:15:00"},{"id":151,"name":"Denver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66"/>
        <v>start /low /b %USERPROFILE%\Documents\GitHub\eaglep3\Utilities\DownloadLogsFromS3.py --loco 4052 --day 2017-03-06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728</v>
      </c>
      <c r="B119" s="7">
        <v>4053</v>
      </c>
      <c r="C119" s="21" t="s">
        <v>245</v>
      </c>
      <c r="D119" s="21" t="s">
        <v>271</v>
      </c>
      <c r="E119" s="13">
        <v>42800.706655092596</v>
      </c>
      <c r="F119" s="13">
        <v>42800.708425925928</v>
      </c>
      <c r="G119" s="7">
        <v>1</v>
      </c>
      <c r="H119" s="21" t="s">
        <v>852</v>
      </c>
      <c r="I119" s="13">
        <v>42800.735578703701</v>
      </c>
      <c r="J119" s="7">
        <v>0</v>
      </c>
      <c r="K119" s="98" t="str">
        <f t="shared" si="69"/>
        <v>4053/4054</v>
      </c>
      <c r="L119" s="21" t="str">
        <f>VLOOKUP(A119,'Trips&amp;Operators'!$C$1:$G$99999,5,FALSE)</f>
        <v>CLARK KATHLEEN</v>
      </c>
      <c r="M119" s="6">
        <f t="shared" si="70"/>
        <v>2.7152777773153502E-2</v>
      </c>
      <c r="N119" s="7">
        <f t="shared" si="68"/>
        <v>39.099999993341044</v>
      </c>
      <c r="O119" s="7"/>
      <c r="P119" s="7"/>
      <c r="Q119" s="22"/>
      <c r="R119" s="22"/>
      <c r="S119" s="31">
        <f t="shared" si="67"/>
        <v>1</v>
      </c>
      <c r="T119" s="46" t="str">
        <f t="shared" si="71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51"/>
        <v>https://d0f6bd738d7f1b3e5a7ca70fe4ff75f0.us-east-1.aws.found.io/app/kibana#/discover/Steve-Slow-Train-Analysis-(2080s-and-2083s)?_g=(refreshInterval:(display:Off,pause:!f,section:0,value:0),time:(from:'2017-03-06T15:57:35-0700',mode:absolute,to:'2017-03-06T18:39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187" t="str">
        <f t="shared" si="72"/>
        <v>N</v>
      </c>
      <c r="X119" s="187">
        <f t="shared" si="63"/>
        <v>1</v>
      </c>
      <c r="Y119" s="62">
        <f t="shared" si="73"/>
        <v>4.7300000000000002E-2</v>
      </c>
      <c r="Z119" s="62">
        <f t="shared" si="74"/>
        <v>23.3264</v>
      </c>
      <c r="AA119" s="62">
        <f t="shared" si="75"/>
        <v>23.2791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76"/>
        <v>0205-06</v>
      </c>
      <c r="AE119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19" s="82" t="str">
        <f t="shared" si="53"/>
        <v>"C:\Program Files (x86)\AstroGrep\AstroGrep.exe" /e /r /s /spath="%USERPROFILE%\AppData\Local\Temp\OnboardLogs" /stypes="app*4053*20170307*" /stext=" 00:.+((SYSTEM_STATE.+slice.+state.+changed )|(ment ac)|(multiple cpu faults)|(system.+state.+changed )|(\[timeout)|(PRM\|1\|D)|(kpr)|(kdp)|(\|lc)|(penalty))"</v>
      </c>
      <c r="AG119" s="1" t="str">
        <f t="shared" si="77"/>
        <v>EC</v>
      </c>
      <c r="AH119" s="86" t="str">
        <f t="shared" si="64"/>
        <v>"%USERPROFILE%\Documents\GitHub\eaglep3\Utilities\RefineRTDCRunTimes.py" --tripid 205-06 --locoid 4053 --swversion DE.1.0.9.0 --startMP 204:473 --initTime 2017-03-06T16:57:35 --startdatetime 2017-03-06T17:00:08 --delay 1 --endMP 204:233264 --enddatetime 2017-03-06T17:39:14 --enforcementcount 0 &gt;&gt;C:\Users\stu\Documents\GitHub\eaglep3-reporting\EC\2017-03-06-refined-times.txt</v>
      </c>
      <c r="AI11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{"issue":{"subject":"","project_id":79,"tracker_id":40,"status_id":1,"priority_id":2,"assigned_to_id":23,"start_date":"2017-03-06","description":"","custom_fields":[{"id":1,"name":"Subdivision","value":"EC"},{"id":4,"name":"Milepost","value":"23.3264"},{"id":17,"name":"Train ID","value":"205-06"},{"id":16,"name":"Locomotive ID","value":"4053"},{"id":130,"name":"Impact","value":""},{"id":150,"name":"Time of Event (Mountain Time)","value":"17:39:14"},{"id":151,"name":"Denver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66"/>
        <v>start /low /b %USERPROFILE%\Documents\GitHub\eaglep3\Utilities\DownloadLogsFromS3.py --loco 4053 --day 2017-03-06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737</v>
      </c>
      <c r="B120" s="7">
        <v>4054</v>
      </c>
      <c r="C120" s="21" t="s">
        <v>245</v>
      </c>
      <c r="D120" s="21" t="s">
        <v>853</v>
      </c>
      <c r="E120" s="13">
        <v>42800.737314814818</v>
      </c>
      <c r="F120" s="13">
        <v>42800.738877314812</v>
      </c>
      <c r="G120" s="7">
        <v>0</v>
      </c>
      <c r="H120" s="21" t="s">
        <v>524</v>
      </c>
      <c r="I120" s="13">
        <v>42800.775335648148</v>
      </c>
      <c r="J120" s="7">
        <v>0</v>
      </c>
      <c r="K120" s="98" t="str">
        <f t="shared" si="69"/>
        <v>4053/4054</v>
      </c>
      <c r="L120" s="21" t="str">
        <f>VLOOKUP(A120,'Trips&amp;Operators'!$C$1:$G$99999,5,FALSE)</f>
        <v>CLARK KATHLEEN</v>
      </c>
      <c r="M120" s="6">
        <f t="shared" si="70"/>
        <v>3.6458333335758653E-2</v>
      </c>
      <c r="N120" s="7">
        <f t="shared" si="68"/>
        <v>52.50000000349246</v>
      </c>
      <c r="O120" s="7"/>
      <c r="P120" s="7"/>
      <c r="Q120" s="22"/>
      <c r="R120" s="22"/>
      <c r="S120" s="31">
        <f t="shared" si="67"/>
        <v>1</v>
      </c>
      <c r="T120" s="46" t="str">
        <f t="shared" si="71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51"/>
        <v>https://d0f6bd738d7f1b3e5a7ca70fe4ff75f0.us-east-1.aws.found.io/app/kibana#/discover/Steve-Slow-Train-Analysis-(2080s-and-2083s)?_g=(refreshInterval:(display:Off,pause:!f,section:0,value:0),time:(from:'2017-03-06T16:41:44-0700',mode:absolute,to:'2017-03-06T19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87" t="str">
        <f t="shared" si="72"/>
        <v>N</v>
      </c>
      <c r="X120" s="187">
        <f t="shared" si="63"/>
        <v>1</v>
      </c>
      <c r="Y120" s="62">
        <f t="shared" si="73"/>
        <v>23.2943</v>
      </c>
      <c r="Z120" s="62">
        <f t="shared" si="74"/>
        <v>1.7399999999999999E-2</v>
      </c>
      <c r="AA120" s="62">
        <f t="shared" si="75"/>
        <v>23.276900000000001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76"/>
        <v>0206-06</v>
      </c>
      <c r="AE120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20" s="82" t="str">
        <f t="shared" si="53"/>
        <v>"C:\Program Files (x86)\AstroGrep\AstroGrep.exe" /e /r /s /spath="%USERPROFILE%\AppData\Local\Temp\OnboardLogs" /stypes="app*4054*20170307*" /stext=" 01:.+((SYSTEM_STATE.+slice.+state.+changed )|(ment ac)|(multiple cpu faults)|(system.+state.+changed )|(\[timeout)|(PRM\|1\|D)|(kpr)|(kdp)|(\|lc)|(penalty))"</v>
      </c>
      <c r="AG120" s="1" t="str">
        <f t="shared" si="77"/>
        <v>EC</v>
      </c>
      <c r="AH120" s="86" t="str">
        <f t="shared" si="64"/>
        <v>"%USERPROFILE%\Documents\GitHub\eaglep3\Utilities\RefineRTDCRunTimes.py" --tripid 206-06 --locoid 4054 --swversion DE.1.0.9.0 --startMP 204:232943 --initTime 2017-03-06T17:41:44 --startdatetime 2017-03-06T17:43:59 --delay 0 --endMP 204:174 --enddatetime 2017-03-06T18:36:29 --enforcementcount 0 &gt;&gt;C:\Users\stu\Documents\GitHub\eaglep3-reporting\EC\2017-03-06-refined-times.txt</v>
      </c>
      <c r="AI12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{"issue":{"subject":"","project_id":79,"tracker_id":40,"status_id":1,"priority_id":2,"assigned_to_id":23,"start_date":"2017-03-06","description":"","custom_fields":[{"id":1,"name":"Subdivision","value":"EC"},{"id":4,"name":"Milepost","value":"0.0174"},{"id":17,"name":"Train ID","value":"206-06"},{"id":16,"name":"Locomotive ID","value":"4054"},{"id":130,"name":"Impact","value":""},{"id":150,"name":"Time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66"/>
        <v>start /low /b %USERPROFILE%\Documents\GitHub\eaglep3\Utilities\DownloadLogsFromS3.py --loco 4054 --day 2017-03-06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594</v>
      </c>
      <c r="B121" s="7">
        <v>4018</v>
      </c>
      <c r="C121" s="21" t="s">
        <v>245</v>
      </c>
      <c r="D121" s="21" t="s">
        <v>219</v>
      </c>
      <c r="E121" s="13">
        <v>42800.708564814813</v>
      </c>
      <c r="F121" s="13">
        <v>42800.711134259262</v>
      </c>
      <c r="G121" s="7">
        <v>2</v>
      </c>
      <c r="H121" s="21" t="s">
        <v>531</v>
      </c>
      <c r="I121" s="13">
        <v>42800.742951388886</v>
      </c>
      <c r="J121" s="7">
        <v>0</v>
      </c>
      <c r="K121" s="98" t="str">
        <f t="shared" si="69"/>
        <v>4017/4018</v>
      </c>
      <c r="L121" s="21" t="str">
        <f>VLOOKUP(A121,'Trips&amp;Operators'!$C$1:$G$99999,5,FALSE)</f>
        <v>ROMERO CHAD</v>
      </c>
      <c r="M121" s="6">
        <f t="shared" si="70"/>
        <v>3.1817129623959772E-2</v>
      </c>
      <c r="N121" s="7">
        <f t="shared" si="68"/>
        <v>45.816666658502072</v>
      </c>
      <c r="O121" s="7"/>
      <c r="P121" s="7"/>
      <c r="Q121" s="22"/>
      <c r="R121" s="22"/>
      <c r="S121" s="31">
        <f t="shared" si="67"/>
        <v>1</v>
      </c>
      <c r="T121" s="46" t="str">
        <f t="shared" si="71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51"/>
        <v>https://d0f6bd738d7f1b3e5a7ca70fe4ff75f0.us-east-1.aws.found.io/app/kibana#/discover/Steve-Slow-Train-Analysis-(2080s-and-2083s)?_g=(refreshInterval:(display:Off,pause:!f,section:0,value:0),time:(from:'2017-03-06T16:00:20-0700',mode:absolute,to:'2017-03-06T18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87" t="str">
        <f t="shared" si="72"/>
        <v>N</v>
      </c>
      <c r="X121" s="187">
        <f t="shared" ref="X121:X142" si="78">VALUE(LEFT(AD121,4))-VALUE(LEFT(AD120,4))</f>
        <v>1</v>
      </c>
      <c r="Y121" s="62">
        <f t="shared" si="73"/>
        <v>4.5699999999999998E-2</v>
      </c>
      <c r="Z121" s="62">
        <f t="shared" si="74"/>
        <v>23.338000000000001</v>
      </c>
      <c r="AA121" s="62">
        <f t="shared" si="75"/>
        <v>23.292300000000001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76"/>
        <v>0207-06</v>
      </c>
      <c r="AE121" s="85" t="str">
        <f t="shared" si="52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121" s="82" t="str">
        <f t="shared" si="53"/>
        <v>"C:\Program Files (x86)\AstroGrep\AstroGrep.exe" /e /r /s /spath="%USERPROFILE%\AppData\Local\Temp\OnboardLogs" /stypes="app*4018*20170307*" /stext=" 00:.+((SYSTEM_STATE.+slice.+state.+changed )|(ment ac)|(multiple cpu faults)|(system.+state.+changed )|(\[timeout)|(PRM\|1\|D)|(kpr)|(kdp)|(\|lc)|(penalty))"</v>
      </c>
      <c r="AG121" s="1" t="str">
        <f t="shared" si="77"/>
        <v>EC</v>
      </c>
      <c r="AH121" s="86" t="str">
        <f t="shared" si="64"/>
        <v>"%USERPROFILE%\Documents\GitHub\eaglep3\Utilities\RefineRTDCRunTimes.py" --tripid 207-06 --locoid 4018 --swversion DE.1.0.9.0 --startMP 204:457 --initTime 2017-03-06T17:00:20 --startdatetime 2017-03-06T17:04:02 --delay 2 --endMP 204:233380 --enddatetime 2017-03-06T17:49:51 --enforcementcount 0 &gt;&gt;C:\Users\stu\Documents\GitHub\eaglep3-reporting\EC\2017-03-06-refined-times.txt</v>
      </c>
      <c r="AI12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{"issue":{"subject":"","project_id":79,"tracker_id":40,"status_id":1,"priority_id":2,"assigned_to_id":23,"start_date":"2017-03-06","description":"","custom_fields":[{"id":1,"name":"Subdivision","value":"EC"},{"id":4,"name":"Milepost","value":"23.338"},{"id":17,"name":"Train ID","value":"207-06"},{"id":16,"name":"Locomotive ID","value":"4018"},{"id":130,"name":"Impact","value":""},{"id":150,"name":"Time of Event (Mountain Time)","value":"17:49:51"},{"id":151,"name":"Denver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66"/>
        <v>start /low /b %USERPROFILE%\Documents\GitHub\eaglep3\Utilities\DownloadLogsFromS3.py --loco 4018 --day 2017-03-06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739</v>
      </c>
      <c r="B122" s="7">
        <v>4017</v>
      </c>
      <c r="C122" s="21" t="s">
        <v>245</v>
      </c>
      <c r="D122" s="21" t="s">
        <v>854</v>
      </c>
      <c r="E122" s="13">
        <v>42800.744467592594</v>
      </c>
      <c r="F122" s="13">
        <v>42800.747534722221</v>
      </c>
      <c r="G122" s="7">
        <v>1</v>
      </c>
      <c r="H122" s="21" t="s">
        <v>184</v>
      </c>
      <c r="I122" s="13">
        <v>42800.777662037035</v>
      </c>
      <c r="J122" s="7">
        <v>0</v>
      </c>
      <c r="K122" s="98" t="str">
        <f t="shared" si="69"/>
        <v>4017/4018</v>
      </c>
      <c r="L122" s="21" t="str">
        <f>VLOOKUP(A122,'Trips&amp;Operators'!$C$1:$G$99999,5,FALSE)</f>
        <v>ROMERO CHAD</v>
      </c>
      <c r="M122" s="6">
        <f t="shared" si="70"/>
        <v>3.0127314814308193E-2</v>
      </c>
      <c r="N122" s="7">
        <f t="shared" si="68"/>
        <v>43.383333332603797</v>
      </c>
      <c r="O122" s="7"/>
      <c r="P122" s="7"/>
      <c r="Q122" s="22"/>
      <c r="R122" s="22"/>
      <c r="S122" s="31">
        <f t="shared" si="67"/>
        <v>1</v>
      </c>
      <c r="T122" s="46" t="str">
        <f t="shared" si="71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51"/>
        <v>https://d0f6bd738d7f1b3e5a7ca70fe4ff75f0.us-east-1.aws.found.io/app/kibana#/discover/Steve-Slow-Train-Analysis-(2080s-and-2083s)?_g=(refreshInterval:(display:Off,pause:!f,section:0,value:0),time:(from:'2017-03-06T16:52:02-0700',mode:absolute,to:'2017-03-06T19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87" t="str">
        <f t="shared" si="72"/>
        <v>N</v>
      </c>
      <c r="X122" s="187">
        <f t="shared" si="78"/>
        <v>1</v>
      </c>
      <c r="Y122" s="62">
        <f t="shared" si="73"/>
        <v>23.305499999999999</v>
      </c>
      <c r="Z122" s="62">
        <f t="shared" si="74"/>
        <v>1.49E-2</v>
      </c>
      <c r="AA122" s="62">
        <f t="shared" si="75"/>
        <v>23.290599999999998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76"/>
        <v>0208-06</v>
      </c>
      <c r="AE122" s="85" t="str">
        <f t="shared" si="52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122" s="82" t="str">
        <f t="shared" si="53"/>
        <v>"C:\Program Files (x86)\AstroGrep\AstroGrep.exe" /e /r /s /spath="%USERPROFILE%\AppData\Local\Temp\OnboardLogs" /stypes="app*4017*20170307*" /stext=" 01:.+((SYSTEM_STATE.+slice.+state.+changed )|(ment ac)|(multiple cpu faults)|(system.+state.+changed )|(\[timeout)|(PRM\|1\|D)|(kpr)|(kdp)|(\|lc)|(penalty))"</v>
      </c>
      <c r="AG122" s="1" t="str">
        <f t="shared" si="77"/>
        <v>EC</v>
      </c>
      <c r="AH122" s="86" t="str">
        <f t="shared" si="64"/>
        <v>"%USERPROFILE%\Documents\GitHub\eaglep3\Utilities\RefineRTDCRunTimes.py" --tripid 208-06 --locoid 4017 --swversion DE.1.0.9.0 --startMP 204:233055 --initTime 2017-03-06T17:52:02 --startdatetime 2017-03-06T17:56:27 --delay 1 --endMP 204:149 --enddatetime 2017-03-06T18:39:50 --enforcementcount 0 &gt;&gt;C:\Users\stu\Documents\GitHub\eaglep3-reporting\EC\2017-03-06-refined-times.txt</v>
      </c>
      <c r="AI12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{"issue":{"subject":"","project_id":79,"tracker_id":40,"status_id":1,"priority_id":2,"assigned_to_id":23,"start_date":"2017-03-06","description":"","custom_fields":[{"id":1,"name":"Subdivision","value":"EC"},{"id":4,"name":"Milepost","value":"0.0149"},{"id":17,"name":"Train ID","value":"208-06"},{"id":16,"name":"Locomotive ID","value":"4017"},{"id":130,"name":"Impact","value":""},{"id":150,"name":"Time of Event (Mountain Time)","value":"18:39:50"},{"id":151,"name":"Denver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66"/>
        <v>start /low /b %USERPROFILE%\Documents\GitHub\eaglep3\Utilities\DownloadLogsFromS3.py --loco 4017 --day 2017-03-06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"%USERPROFILE%\AppData\Local\Temp\OnboardLogs"\RTDC4017\*4017*20170307* | grep -SE "(Enforcement Action)|(\[TIMEOUT)|(CHR.+\|PRM\|1\|D.+(SWITCH|SIGNAL).+UNKNOWN)" - &gt;&gt; 2017-03-06-UncaughtWiMAX.txt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732</v>
      </c>
      <c r="B123" s="7">
        <v>4009</v>
      </c>
      <c r="C123" s="21" t="s">
        <v>245</v>
      </c>
      <c r="D123" s="21" t="s">
        <v>855</v>
      </c>
      <c r="E123" s="13">
        <v>42800.719930555555</v>
      </c>
      <c r="F123" s="13">
        <v>42800.721006944441</v>
      </c>
      <c r="G123" s="7">
        <v>1</v>
      </c>
      <c r="H123" s="21" t="s">
        <v>252</v>
      </c>
      <c r="I123" s="13">
        <v>42800.747499999998</v>
      </c>
      <c r="J123" s="7">
        <v>0</v>
      </c>
      <c r="K123" s="98" t="str">
        <f t="shared" si="69"/>
        <v>4009/4010</v>
      </c>
      <c r="L123" s="21" t="str">
        <f>VLOOKUP(A123,'Trips&amp;Operators'!$C$1:$G$99999,5,FALSE)</f>
        <v>CHANDLER KELVIN</v>
      </c>
      <c r="M123" s="6">
        <f t="shared" si="70"/>
        <v>2.6493055556784384E-2</v>
      </c>
      <c r="N123" s="7">
        <f t="shared" si="68"/>
        <v>38.150000001769513</v>
      </c>
      <c r="O123" s="7"/>
      <c r="P123" s="7"/>
      <c r="Q123" s="22"/>
      <c r="R123" s="22"/>
      <c r="S123" s="31">
        <f t="shared" si="67"/>
        <v>1</v>
      </c>
      <c r="T123" s="46" t="str">
        <f t="shared" si="71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51"/>
        <v>https://d0f6bd738d7f1b3e5a7ca70fe4ff75f0.us-east-1.aws.found.io/app/kibana#/discover/Steve-Slow-Train-Analysis-(2080s-and-2083s)?_g=(refreshInterval:(display:Off,pause:!f,section:0,value:0),time:(from:'2017-03-06T16:16:42-0700',mode:absolute,to:'2017-03-06T18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87" t="str">
        <f t="shared" si="72"/>
        <v>N</v>
      </c>
      <c r="X123" s="187">
        <f t="shared" si="78"/>
        <v>1</v>
      </c>
      <c r="Y123" s="62">
        <f t="shared" si="73"/>
        <v>4.8000000000000001E-2</v>
      </c>
      <c r="Z123" s="62">
        <f t="shared" si="74"/>
        <v>23.329699999999999</v>
      </c>
      <c r="AA123" s="62">
        <f t="shared" si="75"/>
        <v>23.281700000000001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76"/>
        <v>0209-06</v>
      </c>
      <c r="AE123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23" s="82" t="str">
        <f t="shared" si="53"/>
        <v>"C:\Program Files (x86)\AstroGrep\AstroGrep.exe" /e /r /s /spath="%USERPROFILE%\AppData\Local\Temp\OnboardLogs" /stypes="app*4009*20170307*" /stext=" 00:.+((SYSTEM_STATE.+slice.+state.+changed )|(ment ac)|(multiple cpu faults)|(system.+state.+changed )|(\[timeout)|(PRM\|1\|D)|(kpr)|(kdp)|(\|lc)|(penalty))"</v>
      </c>
      <c r="AG123" s="1" t="str">
        <f t="shared" si="77"/>
        <v>EC</v>
      </c>
      <c r="AH123" s="86" t="str">
        <f t="shared" si="64"/>
        <v>"%USERPROFILE%\Documents\GitHub\eaglep3\Utilities\RefineRTDCRunTimes.py" --tripid 209-06 --locoid 4009 --swversion DE.1.0.9.0 --startMP 204:480 --initTime 2017-03-06T17:16:42 --startdatetime 2017-03-06T17:18:15 --delay 1 --endMP 204:233297 --enddatetime 2017-03-06T17:56:24 --enforcementcount 0 &gt;&gt;C:\Users\stu\Documents\GitHub\eaglep3-reporting\EC\2017-03-06-refined-times.txt</v>
      </c>
      <c r="AI12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ID","value":"209-06"},{"id":16,"name":"Locomotive ID","value":"4009"},{"id":130,"name":"Impact","value":""},{"id":150,"name":"Time of Event (Mountain Time)","value":"17:56:24"},{"id":151,"name":"Denver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66"/>
        <v>start /low /b %USERPROFILE%\Documents\GitHub\eaglep3\Utilities\DownloadLogsFromS3.py --loco 4009 --day 2017-03-06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597</v>
      </c>
      <c r="B124" s="7">
        <v>4010</v>
      </c>
      <c r="C124" s="21" t="s">
        <v>245</v>
      </c>
      <c r="D124" s="21" t="s">
        <v>527</v>
      </c>
      <c r="E124" s="13">
        <v>42800.753564814811</v>
      </c>
      <c r="F124" s="13">
        <v>42800.757974537039</v>
      </c>
      <c r="G124" s="7">
        <v>1</v>
      </c>
      <c r="H124" s="21" t="s">
        <v>209</v>
      </c>
      <c r="I124" s="13">
        <v>42800.793738425928</v>
      </c>
      <c r="J124" s="7">
        <v>0</v>
      </c>
      <c r="K124" s="98" t="str">
        <f t="shared" si="69"/>
        <v>4009/4010</v>
      </c>
      <c r="L124" s="21" t="str">
        <f>VLOOKUP(A124,'Trips&amp;Operators'!$C$1:$G$99999,5,FALSE)</f>
        <v>CHANDLER KELVIN</v>
      </c>
      <c r="M124" s="6">
        <f t="shared" si="70"/>
        <v>3.5763888889050577E-2</v>
      </c>
      <c r="N124" s="7">
        <f t="shared" si="68"/>
        <v>51.500000000232831</v>
      </c>
      <c r="O124" s="7"/>
      <c r="P124" s="7"/>
      <c r="Q124" s="22"/>
      <c r="R124" s="22"/>
      <c r="S124" s="31">
        <f t="shared" si="67"/>
        <v>1</v>
      </c>
      <c r="T124" s="46" t="str">
        <f t="shared" si="71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51"/>
        <v>https://d0f6bd738d7f1b3e5a7ca70fe4ff75f0.us-east-1.aws.found.io/app/kibana#/discover/Steve-Slow-Train-Analysis-(2080s-and-2083s)?_g=(refreshInterval:(display:Off,pause:!f,section:0,value:0),time:(from:'2017-03-06T17:05:08-0700',mode:absolute,to:'2017-03-06T20:02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187" t="str">
        <f t="shared" si="72"/>
        <v>N</v>
      </c>
      <c r="X124" s="187">
        <f t="shared" si="78"/>
        <v>1</v>
      </c>
      <c r="Y124" s="62">
        <f t="shared" si="73"/>
        <v>23.299299999999999</v>
      </c>
      <c r="Z124" s="62">
        <f t="shared" si="74"/>
        <v>1.54E-2</v>
      </c>
      <c r="AA124" s="62">
        <f t="shared" si="75"/>
        <v>23.283899999999999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76"/>
        <v>0210-06</v>
      </c>
      <c r="AE124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24" s="82" t="str">
        <f t="shared" si="53"/>
        <v>"C:\Program Files (x86)\AstroGrep\AstroGrep.exe" /e /r /s /spath="%USERPROFILE%\AppData\Local\Temp\OnboardLogs" /stypes="app*4010*20170307*" /stext=" 02:.+((SYSTEM_STATE.+slice.+state.+changed )|(ment ac)|(multiple cpu faults)|(system.+state.+changed )|(\[timeout)|(PRM\|1\|D)|(kpr)|(kdp)|(\|lc)|(penalty))"</v>
      </c>
      <c r="AG124" s="1" t="str">
        <f t="shared" si="77"/>
        <v>EC</v>
      </c>
      <c r="AH124" s="86" t="str">
        <f t="shared" si="64"/>
        <v>"%USERPROFILE%\Documents\GitHub\eaglep3\Utilities\RefineRTDCRunTimes.py" --tripid 210-06 --locoid 4010 --swversion DE.1.0.9.0 --startMP 204:232993 --initTime 2017-03-06T18:05:08 --startdatetime 2017-03-06T18:11:29 --delay 1 --endMP 204:154 --enddatetime 2017-03-06T19:02:59 --enforcementcount 0 &gt;&gt;C:\Users\stu\Documents\GitHub\eaglep3-reporting\EC\2017-03-06-refined-times.txt</v>
      </c>
      <c r="AI12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{"issue":{"subject":"","project_id":79,"tracker_id":40,"status_id":1,"priority_id":2,"assigned_to_id":23,"start_date":"2017-03-06","description":"","custom_fields":[{"id":1,"name":"Subdivision","value":"EC"},{"id":4,"name":"Milepost","value":"0.0154"},{"id":17,"name":"Train ID","value":"210-06"},{"id":16,"name":"Locomotive ID","value":"4010"},{"id":130,"name":"Impact","value":""},{"id":150,"name":"Time of Event (Mountain Time)","value":"19:02:59"},{"id":151,"name":"Denver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66"/>
        <v>start /low /b %USERPROFILE%\Documents\GitHub\eaglep3\Utilities\DownloadLogsFromS3.py --loco 4010 --day 2017-03-06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"%USERPROFILE%\AppData\Local\Temp\OnboardLogs"\RTDC4010\*4010*20170307* | grep -SE "(Enforcement Action)|(\[TIMEOUT)|(CHR.+\|PRM\|1\|D.+(SWITCH|SIGNAL).+UNKNOWN)" - &gt;&gt; 2017-03-06-UncaughtWiMAX.txt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734</v>
      </c>
      <c r="B125" s="7">
        <v>4022</v>
      </c>
      <c r="C125" s="21" t="s">
        <v>245</v>
      </c>
      <c r="D125" s="21" t="s">
        <v>201</v>
      </c>
      <c r="E125" s="13">
        <v>42800.730185185188</v>
      </c>
      <c r="F125" s="13">
        <v>42800.731874999998</v>
      </c>
      <c r="G125" s="7">
        <v>1</v>
      </c>
      <c r="H125" s="21" t="s">
        <v>856</v>
      </c>
      <c r="I125" s="13">
        <v>42800.761874999997</v>
      </c>
      <c r="J125" s="7">
        <v>0</v>
      </c>
      <c r="K125" s="98" t="str">
        <f t="shared" si="69"/>
        <v>4021/4022</v>
      </c>
      <c r="L125" s="21" t="str">
        <f>VLOOKUP(A125,'Trips&amp;Operators'!$C$1:$G$99999,5,FALSE)</f>
        <v>LOCKLEAR TRAVIS</v>
      </c>
      <c r="M125" s="6">
        <f t="shared" si="70"/>
        <v>2.9999999998835847E-2</v>
      </c>
      <c r="N125" s="7">
        <f t="shared" si="68"/>
        <v>43.199999998323619</v>
      </c>
      <c r="O125" s="7"/>
      <c r="P125" s="7"/>
      <c r="Q125" s="22"/>
      <c r="R125" s="22"/>
      <c r="S125" s="31">
        <f t="shared" si="67"/>
        <v>1</v>
      </c>
      <c r="T125" s="46" t="str">
        <f t="shared" si="71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51"/>
        <v>https://d0f6bd738d7f1b3e5a7ca70fe4ff75f0.us-east-1.aws.found.io/app/kibana#/discover/Steve-Slow-Train-Analysis-(2080s-and-2083s)?_g=(refreshInterval:(display:Off,pause:!f,section:0,value:0),time:(from:'2017-03-06T16:31:28-0700',mode:absolute,to:'2017-03-06T19:17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187" t="str">
        <f t="shared" si="72"/>
        <v>N</v>
      </c>
      <c r="X125" s="187">
        <f t="shared" si="78"/>
        <v>1</v>
      </c>
      <c r="Y125" s="62">
        <f t="shared" si="73"/>
        <v>4.6199999999999998E-2</v>
      </c>
      <c r="Z125" s="62">
        <f t="shared" si="74"/>
        <v>23.334599999999998</v>
      </c>
      <c r="AA125" s="62">
        <f t="shared" si="75"/>
        <v>23.288399999999999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76"/>
        <v>0211-06</v>
      </c>
      <c r="AE125" s="85" t="str">
        <f t="shared" si="52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125" s="82" t="str">
        <f t="shared" si="53"/>
        <v>"C:\Program Files (x86)\AstroGrep\AstroGrep.exe" /e /r /s /spath="%USERPROFILE%\AppData\Local\Temp\OnboardLogs" /stypes="app*4022*20170307*" /stext=" 01:.+((SYSTEM_STATE.+slice.+state.+changed )|(ment ac)|(multiple cpu faults)|(system.+state.+changed )|(\[timeout)|(PRM\|1\|D)|(kpr)|(kdp)|(\|lc)|(penalty))"</v>
      </c>
      <c r="AG125" s="1" t="str">
        <f t="shared" si="77"/>
        <v>EC</v>
      </c>
      <c r="AH125" s="86" t="str">
        <f t="shared" si="64"/>
        <v>"%USERPROFILE%\Documents\GitHub\eaglep3\Utilities\RefineRTDCRunTimes.py" --tripid 211-06 --locoid 4022 --swversion DE.1.0.9.0 --startMP 204:462 --initTime 2017-03-06T17:31:28 --startdatetime 2017-03-06T17:33:54 --delay 1 --endMP 204:233346 --enddatetime 2017-03-06T18:17:06 --enforcementcount 0 &gt;&gt;C:\Users\stu\Documents\GitHub\eaglep3-reporting\EC\2017-03-06-refined-times.txt</v>
      </c>
      <c r="AI12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{"issue":{"subject":"","project_id":79,"tracker_id":40,"status_id":1,"priority_id":2,"assigned_to_id":23,"start_date":"2017-03-06","description":"","custom_fields":[{"id":1,"name":"Subdivision","value":"EC"},{"id":4,"name":"Milepost","value":"23.3346"},{"id":17,"name":"Train ID","value":"211-06"},{"id":16,"name":"Locomotive ID","value":"4022"},{"id":130,"name":"Impact","value":""},{"id":150,"name":"Time of Event (Mountain Time)","value":"18:17:06"},{"id":151,"name":"Denver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66"/>
        <v>start /low /b %USERPROFILE%\Documents\GitHub\eaglep3\Utilities\DownloadLogsFromS3.py --loco 4022 --day 2017-03-06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743</v>
      </c>
      <c r="B126" s="7">
        <v>4021</v>
      </c>
      <c r="C126" s="21" t="s">
        <v>245</v>
      </c>
      <c r="D126" s="21" t="s">
        <v>528</v>
      </c>
      <c r="E126" s="13">
        <v>42800.763518518521</v>
      </c>
      <c r="F126" s="13">
        <v>42800.768206018518</v>
      </c>
      <c r="G126" s="7">
        <v>2</v>
      </c>
      <c r="H126" s="21" t="s">
        <v>288</v>
      </c>
      <c r="I126" s="13">
        <v>42800.797291666669</v>
      </c>
      <c r="J126" s="7">
        <v>0</v>
      </c>
      <c r="K126" s="98" t="str">
        <f t="shared" si="69"/>
        <v>4021/4022</v>
      </c>
      <c r="L126" s="21" t="str">
        <f>VLOOKUP(A126,'Trips&amp;Operators'!$C$1:$G$99999,5,FALSE)</f>
        <v>LOCKLEAR TRAVIS</v>
      </c>
      <c r="M126" s="6">
        <f t="shared" si="70"/>
        <v>2.9085648151522037E-2</v>
      </c>
      <c r="N126" s="7">
        <f t="shared" si="68"/>
        <v>41.883333338191733</v>
      </c>
      <c r="O126" s="7"/>
      <c r="P126" s="7"/>
      <c r="Q126" s="22"/>
      <c r="R126" s="22"/>
      <c r="S126" s="31">
        <f t="shared" si="67"/>
        <v>1</v>
      </c>
      <c r="T126" s="46" t="str">
        <f t="shared" si="71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51"/>
        <v>https://d0f6bd738d7f1b3e5a7ca70fe4ff75f0.us-east-1.aws.found.io/app/kibana#/discover/Steve-Slow-Train-Analysis-(2080s-and-2083s)?_g=(refreshInterval:(display:Off,pause:!f,section:0,value:0),time:(from:'2017-03-06T17:19:28-0700',mode:absolute,to:'2017-03-06T20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187" t="str">
        <f t="shared" si="72"/>
        <v>N</v>
      </c>
      <c r="X126" s="187">
        <f t="shared" si="78"/>
        <v>1</v>
      </c>
      <c r="Y126" s="62">
        <f t="shared" si="73"/>
        <v>23.301300000000001</v>
      </c>
      <c r="Z126" s="62">
        <f t="shared" si="74"/>
        <v>1.67E-2</v>
      </c>
      <c r="AA126" s="62">
        <f t="shared" si="75"/>
        <v>23.284600000000001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76"/>
        <v>0212-06</v>
      </c>
      <c r="AE126" s="85" t="str">
        <f t="shared" si="52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126" s="82" t="str">
        <f t="shared" si="53"/>
        <v>"C:\Program Files (x86)\AstroGrep\AstroGrep.exe" /e /r /s /spath="%USERPROFILE%\AppData\Local\Temp\OnboardLogs" /stypes="app*4021*20170307*" /stext=" 02:.+((SYSTEM_STATE.+slice.+state.+changed )|(ment ac)|(multiple cpu faults)|(system.+state.+changed )|(\[timeout)|(PRM\|1\|D)|(kpr)|(kdp)|(\|lc)|(penalty))"</v>
      </c>
      <c r="AG126" s="1" t="str">
        <f t="shared" si="77"/>
        <v>EC</v>
      </c>
      <c r="AH126" s="86" t="str">
        <f t="shared" si="64"/>
        <v>"%USERPROFILE%\Documents\GitHub\eaglep3\Utilities\RefineRTDCRunTimes.py" --tripid 212-06 --locoid 4021 --swversion DE.1.0.9.0 --startMP 204:233013 --initTime 2017-03-06T18:19:28 --startdatetime 2017-03-06T18:26:13 --delay 2 --endMP 204:167 --enddatetime 2017-03-06T19:08:06 --enforcementcount 0 &gt;&gt;C:\Users\stu\Documents\GitHub\eaglep3-reporting\EC\2017-03-06-refined-times.txt</v>
      </c>
      <c r="AI12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{"issue":{"subject":"","project_id":79,"tracker_id":40,"status_id":1,"priority_id":2,"assigned_to_id":23,"start_date":"2017-03-06","description":"","custom_fields":[{"id":1,"name":"Subdivision","value":"EC"},{"id":4,"name":"Milepost","value":"0.0167"},{"id":17,"name":"Train ID","value":"212-06"},{"id":16,"name":"Locomotive ID","value":"4021"},{"id":130,"name":"Impact","value":""},{"id":150,"name":"Time of Event (Mountain Time)","value":"19:08:06"},{"id":151,"name":"Denver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66"/>
        <v>start /low /b %USERPROFILE%\Documents\GitHub\eaglep3\Utilities\DownloadLogsFromS3.py --loco 4021 --day 2017-03-06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"%USERPROFILE%\AppData\Local\Temp\OnboardLogs"\RTDC4021\*4021*20170307* | grep -SE "(Enforcement Action)|(\[TIMEOUT)|(CHR.+\|PRM\|1\|D.+(SWITCH|SIGNAL).+UNKNOWN)" - &gt;&gt; 2017-03-06-UncaughtWiMAX.txt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738</v>
      </c>
      <c r="B127" s="7">
        <v>4003</v>
      </c>
      <c r="C127" s="21" t="s">
        <v>245</v>
      </c>
      <c r="D127" s="21" t="s">
        <v>229</v>
      </c>
      <c r="E127" s="13">
        <v>42800.740937499999</v>
      </c>
      <c r="F127" s="13">
        <v>42800.742754629631</v>
      </c>
      <c r="G127" s="7">
        <v>1</v>
      </c>
      <c r="H127" s="21" t="s">
        <v>254</v>
      </c>
      <c r="I127" s="13">
        <v>42800.774097222224</v>
      </c>
      <c r="J127" s="7">
        <v>0</v>
      </c>
      <c r="K127" s="98" t="str">
        <f t="shared" si="69"/>
        <v>4003/4004</v>
      </c>
      <c r="L127" s="21" t="str">
        <f>VLOOKUP(A127,'Trips&amp;Operators'!$C$1:$G$99999,5,FALSE)</f>
        <v>SMITH MICHAEL</v>
      </c>
      <c r="M127" s="6">
        <f t="shared" si="70"/>
        <v>3.1342592592409346E-2</v>
      </c>
      <c r="N127" s="7">
        <f t="shared" si="68"/>
        <v>45.133333333069459</v>
      </c>
      <c r="O127" s="7"/>
      <c r="P127" s="7"/>
      <c r="Q127" s="22"/>
      <c r="R127" s="22"/>
      <c r="S127" s="31">
        <f t="shared" si="67"/>
        <v>1</v>
      </c>
      <c r="T127" s="46" t="str">
        <f t="shared" si="71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51"/>
        <v>https://d0f6bd738d7f1b3e5a7ca70fe4ff75f0.us-east-1.aws.found.io/app/kibana#/discover/Steve-Slow-Train-Analysis-(2080s-and-2083s)?_g=(refreshInterval:(display:Off,pause:!f,section:0,value:0),time:(from:'2017-03-06T16:46:57-0700',mode:absolute,to:'2017-03-06T19:34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7" t="str">
        <f t="shared" si="72"/>
        <v>N</v>
      </c>
      <c r="X127" s="187">
        <f t="shared" si="78"/>
        <v>1</v>
      </c>
      <c r="Y127" s="62">
        <f t="shared" si="73"/>
        <v>4.5499999999999999E-2</v>
      </c>
      <c r="Z127" s="62">
        <f t="shared" si="74"/>
        <v>23.330400000000001</v>
      </c>
      <c r="AA127" s="62">
        <f t="shared" si="75"/>
        <v>23.2849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76"/>
        <v>0213-06</v>
      </c>
      <c r="AE127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27" s="82" t="str">
        <f t="shared" si="53"/>
        <v>"C:\Program Files (x86)\AstroGrep\AstroGrep.exe" /e /r /s /spath="%USERPROFILE%\AppData\Local\Temp\OnboardLogs" /stypes="app*4003*20170307*" /stext=" 01:.+((SYSTEM_STATE.+slice.+state.+changed )|(ment ac)|(multiple cpu faults)|(system.+state.+changed )|(\[timeout)|(PRM\|1\|D)|(kpr)|(kdp)|(\|lc)|(penalty))"</v>
      </c>
      <c r="AG127" s="1" t="str">
        <f t="shared" si="77"/>
        <v>EC</v>
      </c>
      <c r="AH127" s="86" t="str">
        <f t="shared" si="64"/>
        <v>"%USERPROFILE%\Documents\GitHub\eaglep3\Utilities\RefineRTDCRunTimes.py" --tripid 213-06 --locoid 4003 --swversion DE.1.0.9.0 --startMP 204:455 --initTime 2017-03-06T17:46:57 --startdatetime 2017-03-06T17:49:34 --delay 1 --endMP 204:233304 --enddatetime 2017-03-06T18:34:42 --enforcementcount 0 &gt;&gt;C:\Users\stu\Documents\GitHub\eaglep3-reporting\EC\2017-03-06-refined-times.txt</v>
      </c>
      <c r="AI12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{"issue":{"subject":"","project_id":79,"tracker_id":40,"status_id":1,"priority_id":2,"assigned_to_id":23,"start_date":"2017-03-06","description":"","custom_fields":[{"id":1,"name":"Subdivision","value":"EC"},{"id":4,"name":"Milepost","value":"23.3304"},{"id":17,"name":"Train ID","value":"213-06"},{"id":16,"name":"Locomotive ID","value":"4003"},{"id":130,"name":"Impact","value":""},{"id":150,"name":"Time of Event (Mountain Time)","value":"18:34:42"},{"id":151,"name":"Denver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66"/>
        <v>start /low /b %USERPROFILE%\Documents\GitHub\eaglep3\Utilities\DownloadLogsFromS3.py --loco 4003 --day 2017-03-06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748</v>
      </c>
      <c r="B128" s="7">
        <v>4004</v>
      </c>
      <c r="C128" s="21" t="s">
        <v>245</v>
      </c>
      <c r="D128" s="21" t="s">
        <v>316</v>
      </c>
      <c r="E128" s="13">
        <v>42800.775636574072</v>
      </c>
      <c r="F128" s="13">
        <v>42800.778912037036</v>
      </c>
      <c r="G128" s="7">
        <v>1</v>
      </c>
      <c r="H128" s="21" t="s">
        <v>232</v>
      </c>
      <c r="I128" s="13">
        <v>42800.811076388891</v>
      </c>
      <c r="J128" s="7">
        <v>0</v>
      </c>
      <c r="K128" s="98" t="str">
        <f t="shared" si="69"/>
        <v>4003/4004</v>
      </c>
      <c r="L128" s="21" t="str">
        <f>VLOOKUP(A128,'Trips&amp;Operators'!$C$1:$G$99999,5,FALSE)</f>
        <v>SMITH MICHAEL</v>
      </c>
      <c r="M128" s="6">
        <f t="shared" si="70"/>
        <v>3.2164351854589768E-2</v>
      </c>
      <c r="N128" s="7">
        <f t="shared" si="68"/>
        <v>46.316666670609266</v>
      </c>
      <c r="O128" s="7"/>
      <c r="P128" s="7"/>
      <c r="Q128" s="22"/>
      <c r="R128" s="22"/>
      <c r="S128" s="31">
        <f t="shared" si="67"/>
        <v>1</v>
      </c>
      <c r="T128" s="46" t="str">
        <f t="shared" si="71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51"/>
        <v>https://d0f6bd738d7f1b3e5a7ca70fe4ff75f0.us-east-1.aws.found.io/app/kibana#/discover/Steve-Slow-Train-Analysis-(2080s-and-2083s)?_g=(refreshInterval:(display:Off,pause:!f,section:0,value:0),time:(from:'2017-03-06T17:36:55-0700',mode:absolute,to:'2017-03-06T20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8" s="187" t="str">
        <f t="shared" si="72"/>
        <v>N</v>
      </c>
      <c r="X128" s="187">
        <f t="shared" si="78"/>
        <v>1</v>
      </c>
      <c r="Y128" s="62">
        <f t="shared" si="73"/>
        <v>23.298500000000001</v>
      </c>
      <c r="Z128" s="62">
        <f t="shared" si="74"/>
        <v>1.41E-2</v>
      </c>
      <c r="AA128" s="62">
        <f t="shared" si="75"/>
        <v>23.284400000000002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76"/>
        <v>0214-06</v>
      </c>
      <c r="AE128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28" s="82" t="str">
        <f t="shared" si="53"/>
        <v>"C:\Program Files (x86)\AstroGrep\AstroGrep.exe" /e /r /s /spath="%USERPROFILE%\AppData\Local\Temp\OnboardLogs" /stypes="app*4004*20170307*" /stext=" 02:.+((SYSTEM_STATE.+slice.+state.+changed )|(ment ac)|(multiple cpu faults)|(system.+state.+changed )|(\[timeout)|(PRM\|1\|D)|(kpr)|(kdp)|(\|lc)|(penalty))"</v>
      </c>
      <c r="AG128" s="1" t="str">
        <f t="shared" si="77"/>
        <v>EC</v>
      </c>
      <c r="AH128" s="86" t="str">
        <f t="shared" si="64"/>
        <v>"%USERPROFILE%\Documents\GitHub\eaglep3\Utilities\RefineRTDCRunTimes.py" --tripid 214-06 --locoid 4004 --swversion DE.1.0.9.0 --startMP 204:232985 --initTime 2017-03-06T18:36:55 --startdatetime 2017-03-06T18:41:38 --delay 1 --endMP 204:141 --enddatetime 2017-03-06T19:27:57 --enforcementcount 0 &gt;&gt;C:\Users\stu\Documents\GitHub\eaglep3-reporting\EC\2017-03-06-refined-times.txt</v>
      </c>
      <c r="AI12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ID","value":"214-06"},{"id":16,"name":"Locomotive ID","value":"4004"},{"id":130,"name":"Impact","value":""},{"id":150,"name":"Time of Event (Mountain Time)","value":"19:27:57"},{"id":151,"name":"Denver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66"/>
        <v>start /low /b %USERPROFILE%\Documents\GitHub\eaglep3\Utilities\DownloadLogsFromS3.py --loco 4004 --day 2017-03-06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740</v>
      </c>
      <c r="B129" s="7">
        <v>4046</v>
      </c>
      <c r="C129" s="21" t="s">
        <v>245</v>
      </c>
      <c r="D129" s="21" t="s">
        <v>857</v>
      </c>
      <c r="E129" s="13">
        <v>42800.747685185182</v>
      </c>
      <c r="F129" s="13">
        <v>42800.750659722224</v>
      </c>
      <c r="G129" s="7">
        <v>1</v>
      </c>
      <c r="H129" s="21" t="s">
        <v>253</v>
      </c>
      <c r="I129" s="13">
        <v>42800.78665509259</v>
      </c>
      <c r="J129" s="7">
        <v>0</v>
      </c>
      <c r="K129" s="98" t="str">
        <f t="shared" si="69"/>
        <v>4045/4046</v>
      </c>
      <c r="L129" s="21" t="str">
        <f>VLOOKUP(A129,'Trips&amp;Operators'!$C$1:$G$99999,5,FALSE)</f>
        <v>DAVIDSON DAVID</v>
      </c>
      <c r="M129" s="6">
        <f t="shared" si="70"/>
        <v>3.5995370366435964E-2</v>
      </c>
      <c r="N129" s="7">
        <f t="shared" si="68"/>
        <v>51.833333327667788</v>
      </c>
      <c r="O129" s="7"/>
      <c r="P129" s="7"/>
      <c r="Q129" s="22"/>
      <c r="R129" s="22"/>
      <c r="S129" s="31">
        <f t="shared" si="67"/>
        <v>1</v>
      </c>
      <c r="T129" s="46" t="str">
        <f t="shared" si="71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51"/>
        <v>https://d0f6bd738d7f1b3e5a7ca70fe4ff75f0.us-east-1.aws.found.io/app/kibana#/discover/Steve-Slow-Train-Analysis-(2080s-and-2083s)?_g=(refreshInterval:(display:Off,pause:!f,section:0,value:0),time:(from:'2017-03-06T16:56:40-0700',mode:absolute,to:'2017-03-06T19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87" t="str">
        <f t="shared" si="72"/>
        <v>N</v>
      </c>
      <c r="X129" s="187">
        <f t="shared" si="78"/>
        <v>1</v>
      </c>
      <c r="Y129" s="62">
        <f t="shared" si="73"/>
        <v>5.11E-2</v>
      </c>
      <c r="Z129" s="62">
        <f t="shared" si="74"/>
        <v>23.328900000000001</v>
      </c>
      <c r="AA129" s="62">
        <f t="shared" si="75"/>
        <v>23.277799999999999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76"/>
        <v>0215-06</v>
      </c>
      <c r="AE129" s="85" t="str">
        <f t="shared" si="52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129" s="82" t="str">
        <f t="shared" si="53"/>
        <v>"C:\Program Files (x86)\AstroGrep\AstroGrep.exe" /e /r /s /spath="%USERPROFILE%\AppData\Local\Temp\OnboardLogs" /stypes="app*4046*20170307*" /stext=" 01:.+((SYSTEM_STATE.+slice.+state.+changed )|(ment ac)|(multiple cpu faults)|(system.+state.+changed )|(\[timeout)|(PRM\|1\|D)|(kpr)|(kdp)|(\|lc)|(penalty))"</v>
      </c>
      <c r="AG129" s="1" t="str">
        <f t="shared" si="77"/>
        <v>EC</v>
      </c>
      <c r="AH129" s="86" t="str">
        <f t="shared" si="64"/>
        <v>"%USERPROFILE%\Documents\GitHub\eaglep3\Utilities\RefineRTDCRunTimes.py" --tripid 215-06 --locoid 4046 --swversion DE.1.0.9.0 --startMP 204:511 --initTime 2017-03-06T17:56:40 --startdatetime 2017-03-06T18:00:57 --delay 1 --endMP 204:233289 --enddatetime 2017-03-06T18:52:47 --enforcementcount 0 &gt;&gt;C:\Users\stu\Documents\GitHub\eaglep3-reporting\EC\2017-03-06-refined-times.txt</v>
      </c>
      <c r="AI12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{"issue":{"subject":"","project_id":79,"tracker_id":40,"status_id":1,"priority_id":2,"assigned_to_id":23,"start_date":"2017-03-06","description":"","custom_fields":[{"id":1,"name":"Subdivision","value":"EC"},{"id":4,"name":"Milepost","value":"23.3289"},{"id":17,"name":"Train ID","value":"215-06"},{"id":16,"name":"Locomotive ID","value":"4046"},{"id":130,"name":"Impact","value":""},{"id":150,"name":"Time of Event (Mountain Time)","value":"18:52:47"},{"id":151,"name":"Denver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66"/>
        <v>start /low /b %USERPROFILE%\Documents\GitHub\eaglep3\Utilities\DownloadLogsFromS3.py --loco 4046 --day 2017-03-06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"%USERPROFILE%\AppData\Local\Temp\OnboardLogs"\RTDC4046\*4046*20170307* | grep -SE "(Enforcement Action)|(\[TIMEOUT)|(CHR.+\|PRM\|1\|D.+(SWITCH|SIGNAL).+UNKNOWN)" - &gt;&gt; 2017-03-06-UncaughtWiMAX.txt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751</v>
      </c>
      <c r="B130" s="7">
        <v>4045</v>
      </c>
      <c r="C130" s="21" t="s">
        <v>245</v>
      </c>
      <c r="D130" s="21" t="s">
        <v>816</v>
      </c>
      <c r="E130" s="13">
        <v>42800.788055555553</v>
      </c>
      <c r="F130" s="13">
        <v>42800.792488425926</v>
      </c>
      <c r="G130" s="7">
        <v>2</v>
      </c>
      <c r="H130" s="21" t="s">
        <v>203</v>
      </c>
      <c r="I130" s="13">
        <v>42800.827719907407</v>
      </c>
      <c r="J130" s="7">
        <v>0</v>
      </c>
      <c r="K130" s="98" t="str">
        <f t="shared" si="69"/>
        <v>4045/4046</v>
      </c>
      <c r="L130" s="21" t="str">
        <f>VLOOKUP(A130,'Trips&amp;Operators'!$C$1:$G$99999,5,FALSE)</f>
        <v>DAVIDSON DAVID</v>
      </c>
      <c r="M130" s="6">
        <f t="shared" si="70"/>
        <v>3.5231481480877846E-2</v>
      </c>
      <c r="N130" s="7">
        <f t="shared" si="68"/>
        <v>50.733333332464099</v>
      </c>
      <c r="O130" s="7"/>
      <c r="P130" s="7"/>
      <c r="Q130" s="22"/>
      <c r="R130" s="22"/>
      <c r="S130" s="31">
        <f t="shared" si="67"/>
        <v>1</v>
      </c>
      <c r="T130" s="46" t="str">
        <f t="shared" si="71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51"/>
        <v>https://d0f6bd738d7f1b3e5a7ca70fe4ff75f0.us-east-1.aws.found.io/app/kibana#/discover/Steve-Slow-Train-Analysis-(2080s-and-2083s)?_g=(refreshInterval:(display:Off,pause:!f,section:0,value:0),time:(from:'2017-03-06T17:54:48-0700',mode:absolute,to:'2017-03-06T20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187" t="str">
        <f t="shared" si="72"/>
        <v>N</v>
      </c>
      <c r="X130" s="187">
        <f t="shared" si="78"/>
        <v>1</v>
      </c>
      <c r="Y130" s="62">
        <f t="shared" si="73"/>
        <v>23.298100000000002</v>
      </c>
      <c r="Z130" s="62">
        <f t="shared" si="74"/>
        <v>1.52E-2</v>
      </c>
      <c r="AA130" s="62">
        <f t="shared" si="75"/>
        <v>23.282900000000001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76"/>
        <v>0216-06</v>
      </c>
      <c r="AE130" s="85" t="str">
        <f t="shared" si="52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130" s="82" t="str">
        <f t="shared" si="53"/>
        <v>"C:\Program Files (x86)\AstroGrep\AstroGrep.exe" /e /r /s /spath="%USERPROFILE%\AppData\Local\Temp\OnboardLogs" /stypes="app*4045*20170307*" /stext=" 02:.+((SYSTEM_STATE.+slice.+state.+changed )|(ment ac)|(multiple cpu faults)|(system.+state.+changed )|(\[timeout)|(PRM\|1\|D)|(kpr)|(kdp)|(\|lc)|(penalty))"</v>
      </c>
      <c r="AG130" s="1" t="str">
        <f t="shared" si="77"/>
        <v>EC</v>
      </c>
      <c r="AH130" s="86" t="str">
        <f t="shared" si="64"/>
        <v>"%USERPROFILE%\Documents\GitHub\eaglep3\Utilities\RefineRTDCRunTimes.py" --tripid 216-06 --locoid 4045 --swversion DE.1.0.9.0 --startMP 204:232981 --initTime 2017-03-06T18:54:48 --startdatetime 2017-03-06T19:01:11 --delay 2 --endMP 204:152 --enddatetime 2017-03-06T19:51:55 --enforcementcount 0 &gt;&gt;C:\Users\stu\Documents\GitHub\eaglep3-reporting\EC\2017-03-06-refined-times.txt</v>
      </c>
      <c r="AI13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ID","value":"216-06"},{"id":16,"name":"Locomotive ID","value":"4045"},{"id":130,"name":"Impact","value":""},{"id":150,"name":"Time of Event (Mountain Time)","value":"19:51:55"},{"id":151,"name":"Denver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66"/>
        <v>start /low /b %USERPROFILE%\Documents\GitHub\eaglep3\Utilities\DownloadLogsFromS3.py --loco 4045 --day 2017-03-06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"%USERPROFILE%\AppData\Local\Temp\OnboardLogs"\RTDC4045\*4045*20170307* | grep -SE "(Enforcement Action)|(\[TIMEOUT)|(CHR.+\|PRM\|1\|D.+(SWITCH|SIGNAL).+UNKNOWN)" - &gt;&gt; 2017-03-06-UncaughtWiMAX.txt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596</v>
      </c>
      <c r="B131" s="7">
        <v>4051</v>
      </c>
      <c r="C131" s="21" t="s">
        <v>245</v>
      </c>
      <c r="D131" s="21" t="s">
        <v>229</v>
      </c>
      <c r="E131" s="13">
        <v>42800.762685185182</v>
      </c>
      <c r="F131" s="13">
        <v>42800.763865740744</v>
      </c>
      <c r="G131" s="7">
        <v>1</v>
      </c>
      <c r="H131" s="21" t="s">
        <v>247</v>
      </c>
      <c r="I131" s="13">
        <v>42800.793252314812</v>
      </c>
      <c r="J131" s="7">
        <v>0</v>
      </c>
      <c r="K131" s="98" t="str">
        <f t="shared" si="69"/>
        <v>4051/4052</v>
      </c>
      <c r="L131" s="21" t="str">
        <f>VLOOKUP(A131,'Trips&amp;Operators'!$C$1:$G$99999,5,FALSE)</f>
        <v>STAMBAUGH JAMES</v>
      </c>
      <c r="M131" s="6">
        <f t="shared" si="70"/>
        <v>2.9386574067757465E-2</v>
      </c>
      <c r="N131" s="7">
        <f t="shared" si="68"/>
        <v>42.31666665757075</v>
      </c>
      <c r="O131" s="7"/>
      <c r="P131" s="7"/>
      <c r="Q131" s="22"/>
      <c r="R131" s="22"/>
      <c r="S131" s="31">
        <f t="shared" si="67"/>
        <v>1</v>
      </c>
      <c r="T131" s="46" t="str">
        <f t="shared" si="71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51"/>
        <v>https://d0f6bd738d7f1b3e5a7ca70fe4ff75f0.us-east-1.aws.found.io/app/kibana#/discover/Steve-Slow-Train-Analysis-(2080s-and-2083s)?_g=(refreshInterval:(display:Off,pause:!f,section:0,value:0),time:(from:'2017-03-06T17:18:16-0700',mode:absolute,to:'2017-03-06T20:02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1" s="187" t="str">
        <f t="shared" si="72"/>
        <v>N</v>
      </c>
      <c r="X131" s="187">
        <f t="shared" si="78"/>
        <v>1</v>
      </c>
      <c r="Y131" s="62">
        <f t="shared" si="73"/>
        <v>4.5499999999999999E-2</v>
      </c>
      <c r="Z131" s="62">
        <f t="shared" si="74"/>
        <v>23.333200000000001</v>
      </c>
      <c r="AA131" s="62">
        <f t="shared" si="75"/>
        <v>23.287700000000001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76"/>
        <v>0217-06</v>
      </c>
      <c r="AE131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31" s="82" t="str">
        <f t="shared" si="53"/>
        <v>"C:\Program Files (x86)\AstroGrep\AstroGrep.exe" /e /r /s /spath="%USERPROFILE%\AppData\Local\Temp\OnboardLogs" /stypes="app*4051*20170307*" /stext=" 02:.+((SYSTEM_STATE.+slice.+state.+changed )|(ment ac)|(multiple cpu faults)|(system.+state.+changed )|(\[timeout)|(PRM\|1\|D)|(kpr)|(kdp)|(\|lc)|(penalty))"</v>
      </c>
      <c r="AG131" s="1" t="str">
        <f t="shared" si="77"/>
        <v>EC</v>
      </c>
      <c r="AH131" s="86" t="str">
        <f t="shared" si="64"/>
        <v>"%USERPROFILE%\Documents\GitHub\eaglep3\Utilities\RefineRTDCRunTimes.py" --tripid 217-06 --locoid 4051 --swversion DE.1.0.9.0 --startMP 204:455 --initTime 2017-03-06T18:18:16 --startdatetime 2017-03-06T18:19:58 --delay 1 --endMP 204:233332 --enddatetime 2017-03-06T19:02:17 --enforcementcount 0 &gt;&gt;C:\Users\stu\Documents\GitHub\eaglep3-reporting\EC\2017-03-06-refined-times.txt</v>
      </c>
      <c r="AI13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{"issue":{"subject":"","project_id":79,"tracker_id":40,"status_id":1,"priority_id":2,"assigned_to_id":23,"start_date":"2017-03-06","description":"","custom_fields":[{"id":1,"name":"Subdivision","value":"EC"},{"id":4,"name":"Milepost","value":"23.3332"},{"id":17,"name":"Train ID","value":"217-06"},{"id":16,"name":"Locomotive ID","value":"4051"},{"id":130,"name":"Impact","value":""},{"id":150,"name":"Time of Event (Mountain Time)","value":"19:02:17"},{"id":151,"name":"Denver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66"/>
        <v>start /low /b %USERPROFILE%\Documents\GitHub\eaglep3\Utilities\DownloadLogsFromS3.py --loco 4051 --day 2017-03-06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599</v>
      </c>
      <c r="B132" s="7">
        <v>4052</v>
      </c>
      <c r="C132" s="21" t="s">
        <v>245</v>
      </c>
      <c r="D132" s="21" t="s">
        <v>858</v>
      </c>
      <c r="E132" s="13">
        <v>42800.796307870369</v>
      </c>
      <c r="F132" s="13">
        <v>42800.799768518518</v>
      </c>
      <c r="G132" s="7">
        <v>2</v>
      </c>
      <c r="H132" s="21" t="s">
        <v>203</v>
      </c>
      <c r="I132" s="13">
        <v>42800.83421296296</v>
      </c>
      <c r="J132" s="7">
        <v>0</v>
      </c>
      <c r="K132" s="98" t="str">
        <f t="shared" si="69"/>
        <v>4051/4052</v>
      </c>
      <c r="L132" s="21" t="str">
        <f>VLOOKUP(A132,'Trips&amp;Operators'!$C$1:$G$99999,5,FALSE)</f>
        <v>STAMBAUGH JAMES</v>
      </c>
      <c r="M132" s="6">
        <f t="shared" si="70"/>
        <v>3.4444444441760425E-2</v>
      </c>
      <c r="N132" s="7">
        <f t="shared" si="68"/>
        <v>49.599999996135011</v>
      </c>
      <c r="O132" s="7"/>
      <c r="P132" s="7"/>
      <c r="Q132" s="22"/>
      <c r="R132" s="22"/>
      <c r="S132" s="31">
        <f t="shared" si="67"/>
        <v>1</v>
      </c>
      <c r="T132" s="46" t="str">
        <f t="shared" si="71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51"/>
        <v>https://d0f6bd738d7f1b3e5a7ca70fe4ff75f0.us-east-1.aws.found.io/app/kibana#/discover/Steve-Slow-Train-Analysis-(2080s-and-2083s)?_g=(refreshInterval:(display:Off,pause:!f,section:0,value:0),time:(from:'2017-03-06T18:06:41-0700',mode:absolute,to:'2017-03-06T21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187" t="str">
        <f t="shared" si="72"/>
        <v>N</v>
      </c>
      <c r="X132" s="187">
        <f t="shared" si="78"/>
        <v>1</v>
      </c>
      <c r="Y132" s="62">
        <f t="shared" si="73"/>
        <v>23.3001</v>
      </c>
      <c r="Z132" s="62">
        <f t="shared" si="74"/>
        <v>1.52E-2</v>
      </c>
      <c r="AA132" s="62">
        <f t="shared" si="75"/>
        <v>23.2849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76"/>
        <v>0218-06</v>
      </c>
      <c r="AE132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32" s="82" t="str">
        <f t="shared" si="53"/>
        <v>"C:\Program Files (x86)\AstroGrep\AstroGrep.exe" /e /r /s /spath="%USERPROFILE%\AppData\Local\Temp\OnboardLogs" /stypes="app*4052*20170307*" /stext=" 03:.+((SYSTEM_STATE.+slice.+state.+changed )|(ment ac)|(multiple cpu faults)|(system.+state.+changed )|(\[timeout)|(PRM\|1\|D)|(kpr)|(kdp)|(\|lc)|(penalty))"</v>
      </c>
      <c r="AG132" s="1" t="str">
        <f t="shared" si="77"/>
        <v>EC</v>
      </c>
      <c r="AH132" s="86" t="str">
        <f t="shared" si="64"/>
        <v>"%USERPROFILE%\Documents\GitHub\eaglep3\Utilities\RefineRTDCRunTimes.py" --tripid 218-06 --locoid 4052 --swversion DE.1.0.9.0 --startMP 204:233001 --initTime 2017-03-06T19:06:41 --startdatetime 2017-03-06T19:11:40 --delay 2 --endMP 204:152 --enddatetime 2017-03-06T20:01:16 --enforcementcount 0 &gt;&gt;C:\Users\stu\Documents\GitHub\eaglep3-reporting\EC\2017-03-06-refined-times.txt</v>
      </c>
      <c r="AI13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{"issue":{"subject":"","project_id":79,"tracker_id":40,"status_id":1,"priority_id":2,"assigned_to_id":23,"start_date":"2017-03-06","description":"","custom_fields":[{"id":1,"name":"Subdivision","value":"EC"},{"id":4,"name":"Milepost","value":"0.0152"},{"id":17,"name":"Train ID","value":"218-06"},{"id":16,"name":"Locomotive ID","value":"4052"},{"id":130,"name":"Impact","value":""},{"id":150,"name":"Time of Event (Mountain Time)","value":"20:01:16"},{"id":151,"name":"Denver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66"/>
        <v>start /low /b %USERPROFILE%\Documents\GitHub\eaglep3\Utilities\DownloadLogsFromS3.py --loco 4052 --day 2017-03-06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598</v>
      </c>
      <c r="B133" s="7">
        <v>4053</v>
      </c>
      <c r="C133" s="21" t="s">
        <v>245</v>
      </c>
      <c r="D133" s="21" t="s">
        <v>477</v>
      </c>
      <c r="E133" s="13">
        <v>42800.776388888888</v>
      </c>
      <c r="F133" s="13">
        <v>42800.779131944444</v>
      </c>
      <c r="G133" s="7">
        <v>2</v>
      </c>
      <c r="H133" s="21" t="s">
        <v>478</v>
      </c>
      <c r="I133" s="13">
        <v>42800.809189814812</v>
      </c>
      <c r="J133" s="7">
        <v>0</v>
      </c>
      <c r="K133" s="98" t="str">
        <f t="shared" si="69"/>
        <v>4053/4054</v>
      </c>
      <c r="L133" s="21" t="str">
        <f>VLOOKUP(A133,'Trips&amp;Operators'!$C$1:$G$99999,5,FALSE)</f>
        <v>STORY SAMANTHA</v>
      </c>
      <c r="M133" s="6">
        <f t="shared" si="70"/>
        <v>3.0057870368182193E-2</v>
      </c>
      <c r="N133" s="7">
        <f t="shared" si="68"/>
        <v>43.283333330182359</v>
      </c>
      <c r="O133" s="7"/>
      <c r="P133" s="7"/>
      <c r="Q133" s="22"/>
      <c r="R133" s="22"/>
      <c r="S133" s="31">
        <f t="shared" si="67"/>
        <v>1</v>
      </c>
      <c r="T133" s="46" t="str">
        <f t="shared" si="71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51"/>
        <v>https://d0f6bd738d7f1b3e5a7ca70fe4ff75f0.us-east-1.aws.found.io/app/kibana#/discover/Steve-Slow-Train-Analysis-(2080s-and-2083s)?_g=(refreshInterval:(display:Off,pause:!f,section:0,value:0),time:(from:'2017-03-06T17:38:00-0700',mode:absolute,to:'2017-03-06T20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87" t="str">
        <f t="shared" si="72"/>
        <v>N</v>
      </c>
      <c r="X133" s="187">
        <f t="shared" si="78"/>
        <v>1</v>
      </c>
      <c r="Y133" s="62">
        <f t="shared" si="73"/>
        <v>4.8399999999999999E-2</v>
      </c>
      <c r="Z133" s="62">
        <f t="shared" si="74"/>
        <v>23.332100000000001</v>
      </c>
      <c r="AA133" s="62">
        <f t="shared" si="75"/>
        <v>23.2837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76"/>
        <v>0219-06</v>
      </c>
      <c r="AE133" s="85" t="str">
        <f t="shared" si="52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33" s="82" t="str">
        <f t="shared" si="53"/>
        <v>"C:\Program Files (x86)\AstroGrep\AstroGrep.exe" /e /r /s /spath="%USERPROFILE%\AppData\Local\Temp\OnboardLogs" /stypes="app*4053*20170307*" /stext=" 02:.+((SYSTEM_STATE.+slice.+state.+changed )|(ment ac)|(multiple cpu faults)|(system.+state.+changed )|(\[timeout)|(PRM\|1\|D)|(kpr)|(kdp)|(\|lc)|(penalty))"</v>
      </c>
      <c r="AG133" s="1" t="str">
        <f t="shared" si="77"/>
        <v>EC</v>
      </c>
      <c r="AH133" s="86" t="str">
        <f t="shared" si="64"/>
        <v>"%USERPROFILE%\Documents\GitHub\eaglep3\Utilities\RefineRTDCRunTimes.py" --tripid 219-06 --locoid 4053 --swversion DE.1.0.9.0 --startMP 204:484 --initTime 2017-03-06T18:38:00 --startdatetime 2017-03-06T18:41:57 --delay 2 --endMP 204:233321 --enddatetime 2017-03-06T19:25:14 --enforcementcount 0 &gt;&gt;C:\Users\stu\Documents\GitHub\eaglep3-reporting\EC\2017-03-06-refined-times.txt</v>
      </c>
      <c r="AI13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{"issue":{"subject":"","project_id":79,"tracker_id":40,"status_id":1,"priority_id":2,"assigned_to_id":23,"start_date":"2017-03-06","description":"","custom_fields":[{"id":1,"name":"Subdivision","value":"EC"},{"id":4,"name":"Milepost","value":"23.3321"},{"id":17,"name":"Train ID","value":"219-06"},{"id":16,"name":"Locomotive ID","value":"4053"},{"id":130,"name":"Impact","value":""},{"id":150,"name":"Time of Event (Mountain Time)","value":"19:25:14"},{"id":151,"name":"Denver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66"/>
        <v>start /low /b %USERPROFILE%\Documents\GitHub\eaglep3\Utilities\DownloadLogsFromS3.py --loco 4053 --day 2017-03-06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756</v>
      </c>
      <c r="B134" s="7">
        <v>4054</v>
      </c>
      <c r="C134" s="21" t="s">
        <v>245</v>
      </c>
      <c r="D134" s="21" t="s">
        <v>528</v>
      </c>
      <c r="E134" s="13">
        <v>42800.810324074075</v>
      </c>
      <c r="F134" s="13">
        <v>42800.812372685185</v>
      </c>
      <c r="G134" s="7">
        <v>1</v>
      </c>
      <c r="H134" s="21" t="s">
        <v>281</v>
      </c>
      <c r="I134" s="13">
        <v>42800.842407407406</v>
      </c>
      <c r="J134" s="7">
        <v>0</v>
      </c>
      <c r="K134" s="98" t="str">
        <f t="shared" si="69"/>
        <v>4053/4054</v>
      </c>
      <c r="L134" s="21" t="str">
        <f>VLOOKUP(A134,'Trips&amp;Operators'!$C$1:$G$99999,5,FALSE)</f>
        <v>HOLCOMB KAMDEN</v>
      </c>
      <c r="M134" s="6">
        <f t="shared" si="70"/>
        <v>3.0034722221898846E-2</v>
      </c>
      <c r="N134" s="7">
        <f t="shared" si="68"/>
        <v>43.249999999534339</v>
      </c>
      <c r="O134" s="7"/>
      <c r="P134" s="7"/>
      <c r="Q134" s="22"/>
      <c r="R134" s="22"/>
      <c r="S134" s="31">
        <f t="shared" si="67"/>
        <v>1</v>
      </c>
      <c r="T134" s="46" t="str">
        <f t="shared" si="71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51"/>
        <v>https://d0f6bd738d7f1b3e5a7ca70fe4ff75f0.us-east-1.aws.found.io/app/kibana#/discover/Steve-Slow-Train-Analysis-(2080s-and-2083s)?_g=(refreshInterval:(display:Off,pause:!f,section:0,value:0),time:(from:'2017-03-06T18:26:52-0700',mode:absolute,to:'2017-03-06T21:13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187" t="str">
        <f t="shared" si="72"/>
        <v>N</v>
      </c>
      <c r="X134" s="187">
        <f t="shared" si="78"/>
        <v>1</v>
      </c>
      <c r="Y134" s="62">
        <f t="shared" si="73"/>
        <v>23.301300000000001</v>
      </c>
      <c r="Z134" s="62">
        <f t="shared" si="74"/>
        <v>1.34E-2</v>
      </c>
      <c r="AA134" s="62">
        <f t="shared" si="75"/>
        <v>23.2879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76"/>
        <v>0220-06</v>
      </c>
      <c r="AE134" s="85" t="str">
        <f t="shared" si="52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34" s="82" t="str">
        <f t="shared" si="53"/>
        <v>"C:\Program Files (x86)\AstroGrep\AstroGrep.exe" /e /r /s /spath="%USERPROFILE%\AppData\Local\Temp\OnboardLogs" /stypes="app*4054*20170307*" /stext=" 03:.+((SYSTEM_STATE.+slice.+state.+changed )|(ment ac)|(multiple cpu faults)|(system.+state.+changed )|(\[timeout)|(PRM\|1\|D)|(kpr)|(kdp)|(\|lc)|(penalty))"</v>
      </c>
      <c r="AG134" s="1" t="str">
        <f t="shared" si="77"/>
        <v>EC</v>
      </c>
      <c r="AH134" s="86" t="str">
        <f t="shared" si="64"/>
        <v>"%USERPROFILE%\Documents\GitHub\eaglep3\Utilities\RefineRTDCRunTimes.py" --tripid 220-06 --locoid 4054 --swversion DE.1.0.9.0 --startMP 204:233013 --initTime 2017-03-06T19:26:52 --startdatetime 2017-03-06T19:29:49 --delay 1 --endMP 204:134 --enddatetime 2017-03-06T20:13:04 --enforcementcount 0 &gt;&gt;C:\Users\stu\Documents\GitHub\eaglep3-reporting\EC\2017-03-06-refined-times.txt</v>
      </c>
      <c r="AI134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{"issue":{"subject":"","project_id":79,"tracker_id":40,"status_id":1,"priority_id":2,"assigned_to_id":23,"start_date":"2017-03-06","description":"","custom_fields":[{"id":1,"name":"Subdivision","value":"EC"},{"id":4,"name":"Milepost","value":"0.0134"},{"id":17,"name":"Train ID","value":"220-06"},{"id":16,"name":"Locomotive ID","value":"4054"},{"id":130,"name":"Impact","value":""},{"id":150,"name":"Time of Event (Mountain Time)","value":"20:13:04"},{"id":151,"name":"Denver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66"/>
        <v>start /low /b %USERPROFILE%\Documents\GitHub\eaglep3\Utilities\DownloadLogsFromS3.py --loco 4054 --day 2017-03-06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752</v>
      </c>
      <c r="B135" s="7">
        <v>4009</v>
      </c>
      <c r="C135" s="21" t="s">
        <v>245</v>
      </c>
      <c r="D135" s="21" t="s">
        <v>228</v>
      </c>
      <c r="E135" s="13">
        <v>42800.795300925929</v>
      </c>
      <c r="F135" s="13">
        <v>42800.796412037038</v>
      </c>
      <c r="G135" s="7">
        <v>1</v>
      </c>
      <c r="H135" s="21" t="s">
        <v>859</v>
      </c>
      <c r="I135" s="13">
        <v>42800.82671296296</v>
      </c>
      <c r="J135" s="7">
        <v>0</v>
      </c>
      <c r="K135" s="98" t="str">
        <f t="shared" si="69"/>
        <v>4009/4010</v>
      </c>
      <c r="L135" s="21" t="str">
        <f>VLOOKUP(A135,'Trips&amp;Operators'!$C$1:$G$99999,5,FALSE)</f>
        <v>CHANDLER KELVIN</v>
      </c>
      <c r="M135" s="6">
        <f t="shared" si="70"/>
        <v>3.0300925922347233E-2</v>
      </c>
      <c r="N135" s="7">
        <f t="shared" si="68"/>
        <v>43.633333328180015</v>
      </c>
      <c r="O135" s="7"/>
      <c r="P135" s="7"/>
      <c r="Q135" s="22"/>
      <c r="R135" s="22"/>
      <c r="S135" s="31">
        <f t="shared" si="67"/>
        <v>1</v>
      </c>
      <c r="T135" s="46" t="str">
        <f t="shared" si="71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51"/>
        <v>https://d0f6bd738d7f1b3e5a7ca70fe4ff75f0.us-east-1.aws.found.io/app/kibana#/discover/Steve-Slow-Train-Analysis-(2080s-and-2083s)?_g=(refreshInterval:(display:Off,pause:!f,section:0,value:0),time:(from:'2017-03-06T18:05:14-0700',mode:absolute,to:'2017-03-06T20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87" t="str">
        <f t="shared" si="72"/>
        <v>N</v>
      </c>
      <c r="X135" s="187">
        <f t="shared" si="78"/>
        <v>1</v>
      </c>
      <c r="Y135" s="62">
        <f t="shared" si="73"/>
        <v>4.4600000000000001E-2</v>
      </c>
      <c r="Z135" s="62">
        <f t="shared" si="74"/>
        <v>23.3276</v>
      </c>
      <c r="AA135" s="62">
        <f t="shared" si="75"/>
        <v>23.283000000000001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76"/>
        <v>0221-06</v>
      </c>
      <c r="AE135" s="85" t="str">
        <f t="shared" si="52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35" s="82" t="str">
        <f t="shared" si="53"/>
        <v>"C:\Program Files (x86)\AstroGrep\AstroGrep.exe" /e /r /s /spath="%USERPROFILE%\AppData\Local\Temp\OnboardLogs" /stypes="app*4009*20170307*" /stext=" 02:.+((SYSTEM_STATE.+slice.+state.+changed )|(ment ac)|(multiple cpu faults)|(system.+state.+changed )|(\[timeout)|(PRM\|1\|D)|(kpr)|(kdp)|(\|lc)|(penalty))"</v>
      </c>
      <c r="AG135" s="1" t="str">
        <f t="shared" si="77"/>
        <v>EC</v>
      </c>
      <c r="AH135" s="86" t="str">
        <f t="shared" si="64"/>
        <v>"%USERPROFILE%\Documents\GitHub\eaglep3\Utilities\RefineRTDCRunTimes.py" --tripid 221-06 --locoid 4009 --swversion DE.1.0.9.0 --startMP 204:446 --initTime 2017-03-06T19:05:14 --startdatetime 2017-03-06T19:06:50 --delay 1 --endMP 204:233276 --enddatetime 2017-03-06T19:50:28 --enforcementcount 0 &gt;&gt;C:\Users\stu\Documents\GitHub\eaglep3-reporting\EC\2017-03-06-refined-times.txt</v>
      </c>
      <c r="AI135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{"issue":{"subject":"","project_id":79,"tracker_id":40,"status_id":1,"priority_id":2,"assigned_to_id":23,"start_date":"2017-03-06","description":"","custom_fields":[{"id":1,"name":"Subdivision","value":"EC"},{"id":4,"name":"Milepost","value":"23.3276"},{"id":17,"name":"Train ID","value":"221-06"},{"id":16,"name":"Locomotive ID","value":"4009"},{"id":130,"name":"Impact","value":""},{"id":150,"name":"Time of Event (Mountain Time)","value":"19:50:28"},{"id":151,"name":"Denver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66"/>
        <v>start /low /b %USERPROFILE%\Documents\GitHub\eaglep3\Utilities\DownloadLogsFromS3.py --loco 4009 --day 2017-03-06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759</v>
      </c>
      <c r="B136" s="7">
        <v>4010</v>
      </c>
      <c r="C136" s="21" t="s">
        <v>245</v>
      </c>
      <c r="D136" s="21" t="s">
        <v>472</v>
      </c>
      <c r="E136" s="13">
        <v>42800.828946759262</v>
      </c>
      <c r="F136" s="13">
        <v>42800.830821759257</v>
      </c>
      <c r="G136" s="7">
        <v>2</v>
      </c>
      <c r="H136" s="21" t="s">
        <v>526</v>
      </c>
      <c r="I136" s="13">
        <v>42800.862442129626</v>
      </c>
      <c r="J136" s="7">
        <v>0</v>
      </c>
      <c r="K136" s="98" t="str">
        <f t="shared" si="69"/>
        <v>4009/4010</v>
      </c>
      <c r="L136" s="21" t="str">
        <f>VLOOKUP(A136,'Trips&amp;Operators'!$C$1:$G$99999,5,FALSE)</f>
        <v>CHANDLER KELVIN</v>
      </c>
      <c r="M136" s="6">
        <f t="shared" si="70"/>
        <v>3.1620370369637385E-2</v>
      </c>
      <c r="N136" s="7">
        <f t="shared" si="68"/>
        <v>45.533333332277834</v>
      </c>
      <c r="O136" s="7"/>
      <c r="P136" s="7"/>
      <c r="Q136" s="22"/>
      <c r="R136" s="22"/>
      <c r="S136" s="31">
        <f t="shared" si="67"/>
        <v>1</v>
      </c>
      <c r="T136" s="46" t="str">
        <f t="shared" si="71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51"/>
        <v>https://d0f6bd738d7f1b3e5a7ca70fe4ff75f0.us-east-1.aws.found.io/app/kibana#/discover/Steve-Slow-Train-Analysis-(2080s-and-2083s)?_g=(refreshInterval:(display:Off,pause:!f,section:0,value:0),time:(from:'2017-03-06T18:53:41-0700',mode:absolute,to:'2017-03-06T21:41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87" t="str">
        <f t="shared" si="72"/>
        <v>N</v>
      </c>
      <c r="X136" s="187">
        <f t="shared" si="78"/>
        <v>1</v>
      </c>
      <c r="Y136" s="62">
        <f t="shared" si="73"/>
        <v>23.298200000000001</v>
      </c>
      <c r="Z136" s="62">
        <f t="shared" si="74"/>
        <v>1.6E-2</v>
      </c>
      <c r="AA136" s="62">
        <f t="shared" si="75"/>
        <v>23.282200000000003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76"/>
        <v>0222-06</v>
      </c>
      <c r="AE136" s="85" t="str">
        <f t="shared" si="52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36" s="82" t="str">
        <f t="shared" si="53"/>
        <v>"C:\Program Files (x86)\AstroGrep\AstroGrep.exe" /e /r /s /spath="%USERPROFILE%\AppData\Local\Temp\OnboardLogs" /stypes="app*4010*20170307*" /stext=" 03:.+((SYSTEM_STATE.+slice.+state.+changed )|(ment ac)|(multiple cpu faults)|(system.+state.+changed )|(\[timeout)|(PRM\|1\|D)|(kpr)|(kdp)|(\|lc)|(penalty))"</v>
      </c>
      <c r="AG136" s="1" t="str">
        <f t="shared" si="77"/>
        <v>EC</v>
      </c>
      <c r="AH136" s="86" t="str">
        <f t="shared" si="64"/>
        <v>"%USERPROFILE%\Documents\GitHub\eaglep3\Utilities\RefineRTDCRunTimes.py" --tripid 222-06 --locoid 4010 --swversion DE.1.0.9.0 --startMP 204:232982 --initTime 2017-03-06T19:53:41 --startdatetime 2017-03-06T19:56:23 --delay 2 --endMP 204:160 --enddatetime 2017-03-06T20:41:55 --enforcementcount 0 &gt;&gt;C:\Users\stu\Documents\GitHub\eaglep3-reporting\EC\2017-03-06-refined-times.txt</v>
      </c>
      <c r="AI13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{"issue":{"subject":"","project_id":79,"tracker_id":40,"status_id":1,"priority_id":2,"assigned_to_id":23,"start_date":"2017-03-06","description":"","custom_fields":[{"id":1,"name":"Subdivision","value":"EC"},{"id":4,"name":"Milepost","value":"0.016"},{"id":17,"name":"Train ID","value":"222-06"},{"id":16,"name":"Locomotive ID","value":"4010"},{"id":130,"name":"Impact","value":""},{"id":150,"name":"Time of Event (Mountain Time)","value":"20:41:55"},{"id":151,"name":"Denver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66"/>
        <v>start /low /b %USERPROFILE%\Documents\GitHub\eaglep3\Utilities\DownloadLogsFromS3.py --loco 4010 --day 2017-03-06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"%USERPROFILE%\AppData\Local\Temp\OnboardLogs"\RTDC4010\*4010*20170307* | grep -SE "(Enforcement Action)|(\[TIMEOUT)|(CHR.+\|PRM\|1\|D.+(SWITCH|SIGNAL).+UNKNOWN)" - &gt;&gt; 2017-03-06-UncaughtWiMAX.txt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757</v>
      </c>
      <c r="B137" s="7">
        <v>4003</v>
      </c>
      <c r="C137" s="21" t="s">
        <v>245</v>
      </c>
      <c r="D137" s="21" t="s">
        <v>219</v>
      </c>
      <c r="E137" s="13">
        <v>42800.8124537037</v>
      </c>
      <c r="F137" s="13">
        <v>42800.813854166663</v>
      </c>
      <c r="G137" s="7">
        <v>1</v>
      </c>
      <c r="H137" s="21" t="s">
        <v>252</v>
      </c>
      <c r="I137" s="13">
        <v>42800.844953703701</v>
      </c>
      <c r="J137" s="7">
        <v>0</v>
      </c>
      <c r="K137" s="98" t="str">
        <f t="shared" si="69"/>
        <v>4003/4004</v>
      </c>
      <c r="L137" s="21" t="str">
        <f>VLOOKUP(A137,'Trips&amp;Operators'!$C$1:$G$99999,5,FALSE)</f>
        <v>SMITH MICHAEL</v>
      </c>
      <c r="M137" s="6">
        <f t="shared" si="70"/>
        <v>3.1099537038244307E-2</v>
      </c>
      <c r="N137" s="7">
        <f t="shared" si="68"/>
        <v>44.783333335071802</v>
      </c>
      <c r="O137" s="7"/>
      <c r="P137" s="7"/>
      <c r="Q137" s="22"/>
      <c r="R137" s="22"/>
      <c r="S137" s="31">
        <f t="shared" si="67"/>
        <v>1</v>
      </c>
      <c r="T137" s="46" t="str">
        <f t="shared" si="71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51"/>
        <v>https://d0f6bd738d7f1b3e5a7ca70fe4ff75f0.us-east-1.aws.found.io/app/kibana#/discover/Steve-Slow-Train-Analysis-(2080s-and-2083s)?_g=(refreshInterval:(display:Off,pause:!f,section:0,value:0),time:(from:'2017-03-06T18:29:56-0700',mode:absolute,to:'2017-03-06T21:16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7" t="str">
        <f t="shared" si="72"/>
        <v>N</v>
      </c>
      <c r="X137" s="187">
        <f t="shared" si="78"/>
        <v>1</v>
      </c>
      <c r="Y137" s="62">
        <f t="shared" si="73"/>
        <v>4.5699999999999998E-2</v>
      </c>
      <c r="Z137" s="62">
        <f t="shared" si="74"/>
        <v>23.329699999999999</v>
      </c>
      <c r="AA137" s="62">
        <f t="shared" si="75"/>
        <v>23.283999999999999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76"/>
        <v>0223-06</v>
      </c>
      <c r="AE137" s="85" t="str">
        <f t="shared" si="52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37" s="82" t="str">
        <f t="shared" si="53"/>
        <v>"C:\Program Files (x86)\AstroGrep\AstroGrep.exe" /e /r /s /spath="%USERPROFILE%\AppData\Local\Temp\OnboardLogs" /stypes="app*4003*20170307*" /stext=" 03:.+((SYSTEM_STATE.+slice.+state.+changed )|(ment ac)|(multiple cpu faults)|(system.+state.+changed )|(\[timeout)|(PRM\|1\|D)|(kpr)|(kdp)|(\|lc)|(penalty))"</v>
      </c>
      <c r="AG137" s="1" t="str">
        <f t="shared" si="77"/>
        <v>EC</v>
      </c>
      <c r="AH137" s="86" t="str">
        <f t="shared" si="64"/>
        <v>"%USERPROFILE%\Documents\GitHub\eaglep3\Utilities\RefineRTDCRunTimes.py" --tripid 223-06 --locoid 4003 --swversion DE.1.0.9.0 --startMP 204:457 --initTime 2017-03-06T19:29:56 --startdatetime 2017-03-06T19:31:57 --delay 1 --endMP 204:233297 --enddatetime 2017-03-06T20:16:44 --enforcementcount 0 &gt;&gt;C:\Users\stu\Documents\GitHub\eaglep3-reporting\EC\2017-03-06-refined-times.txt</v>
      </c>
      <c r="AI13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{"issue":{"subject":"","project_id":79,"tracker_id":40,"status_id":1,"priority_id":2,"assigned_to_id":23,"start_date":"2017-03-06","description":"","custom_fields":[{"id":1,"name":"Subdivision","value":"EC"},{"id":4,"name":"Milepost","value":"23.3297"},{"id":17,"name":"Train ID","value":"223-06"},{"id":16,"name":"Locomotive ID","value":"4003"},{"id":130,"name":"Impact","value":""},{"id":150,"name":"Time of Event (Mountain Time)","value":"20:16:44"},{"id":151,"name":"Denver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66"/>
        <v>start /low /b %USERPROFILE%\Documents\GitHub\eaglep3\Utilities\DownloadLogsFromS3.py --loco 4003 --day 2017-03-06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765</v>
      </c>
      <c r="B138" s="7">
        <v>4004</v>
      </c>
      <c r="C138" s="21" t="s">
        <v>245</v>
      </c>
      <c r="D138" s="21" t="s">
        <v>248</v>
      </c>
      <c r="E138" s="13">
        <v>42800.847905092596</v>
      </c>
      <c r="F138" s="13">
        <v>42800.851574074077</v>
      </c>
      <c r="G138" s="7">
        <v>1</v>
      </c>
      <c r="H138" s="21" t="s">
        <v>192</v>
      </c>
      <c r="I138" s="13">
        <v>42800.880173611113</v>
      </c>
      <c r="J138" s="7">
        <v>0</v>
      </c>
      <c r="K138" s="98" t="str">
        <f t="shared" si="69"/>
        <v>4003/4004</v>
      </c>
      <c r="L138" s="21" t="str">
        <f>VLOOKUP(A138,'Trips&amp;Operators'!$C$1:$G$99999,5,FALSE)</f>
        <v>SMITH MICHAEL</v>
      </c>
      <c r="M138" s="6">
        <f t="shared" si="70"/>
        <v>2.8599537035916001E-2</v>
      </c>
      <c r="N138" s="7">
        <f t="shared" si="68"/>
        <v>41.183333331719041</v>
      </c>
      <c r="O138" s="7"/>
      <c r="P138" s="7"/>
      <c r="Q138" s="22"/>
      <c r="R138" s="22"/>
      <c r="S138" s="31">
        <f t="shared" si="67"/>
        <v>1</v>
      </c>
      <c r="T138" s="46" t="str">
        <f t="shared" si="71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51"/>
        <v>https://d0f6bd738d7f1b3e5a7ca70fe4ff75f0.us-east-1.aws.found.io/app/kibana#/discover/Steve-Slow-Train-Analysis-(2080s-and-2083s)?_g=(refreshInterval:(display:Off,pause:!f,section:0,value:0),time:(from:'2017-03-06T19:20:59-0700',mode:absolute,to:'2017-03-06T22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87" t="str">
        <f t="shared" si="72"/>
        <v>N</v>
      </c>
      <c r="X138" s="187">
        <f t="shared" si="78"/>
        <v>1</v>
      </c>
      <c r="Y138" s="62">
        <f t="shared" si="73"/>
        <v>23.299399999999999</v>
      </c>
      <c r="Z138" s="62">
        <f t="shared" si="74"/>
        <v>1.4999999999999999E-2</v>
      </c>
      <c r="AA138" s="62">
        <f t="shared" si="75"/>
        <v>23.284399999999998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76"/>
        <v>0224-06</v>
      </c>
      <c r="AE138" s="85" t="str">
        <f t="shared" si="52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38" s="82" t="str">
        <f t="shared" si="53"/>
        <v>"C:\Program Files (x86)\AstroGrep\AstroGrep.exe" /e /r /s /spath="%USERPROFILE%\AppData\Local\Temp\OnboardLogs" /stypes="app*4004*20170307*" /stext=" 04:.+((SYSTEM_STATE.+slice.+state.+changed )|(ment ac)|(multiple cpu faults)|(system.+state.+changed )|(\[timeout)|(PRM\|1\|D)|(kpr)|(kdp)|(\|lc)|(penalty))"</v>
      </c>
      <c r="AG138" s="1" t="str">
        <f t="shared" si="77"/>
        <v>EC</v>
      </c>
      <c r="AH138" s="86" t="str">
        <f t="shared" si="64"/>
        <v>"%USERPROFILE%\Documents\GitHub\eaglep3\Utilities\RefineRTDCRunTimes.py" --tripid 224-06 --locoid 4004 --swversion DE.1.0.9.0 --startMP 204:232994 --initTime 2017-03-06T20:20:59 --startdatetime 2017-03-06T20:26:16 --delay 1 --endMP 204:150 --enddatetime 2017-03-06T21:07:27 --enforcementcount 0 &gt;&gt;C:\Users\stu\Documents\GitHub\eaglep3-reporting\EC\2017-03-06-refined-times.txt</v>
      </c>
      <c r="AI13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ID","value":"224-06"},{"id":16,"name":"Locomotive ID","value":"4004"},{"id":130,"name":"Impact","value":""},{"id":150,"name":"Time of Event (Mountain Time)","value":"21:07:27"},{"id":151,"name":"Denver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66"/>
        <v>start /low /b %USERPROFILE%\Documents\GitHub\eaglep3\Utilities\DownloadLogsFromS3.py --loco 4004 --day 2017-03-06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761</v>
      </c>
      <c r="B139" s="7">
        <v>4051</v>
      </c>
      <c r="C139" s="21" t="s">
        <v>245</v>
      </c>
      <c r="D139" s="21" t="s">
        <v>860</v>
      </c>
      <c r="E139" s="13">
        <v>42800.835277777776</v>
      </c>
      <c r="F139" s="13">
        <v>42800.83699074074</v>
      </c>
      <c r="G139" s="7">
        <v>1</v>
      </c>
      <c r="H139" s="21" t="s">
        <v>861</v>
      </c>
      <c r="I139" s="13">
        <v>42800.865231481483</v>
      </c>
      <c r="J139" s="7">
        <v>0</v>
      </c>
      <c r="K139" s="98" t="str">
        <f t="shared" si="69"/>
        <v>4051/4052</v>
      </c>
      <c r="L139" s="21" t="str">
        <f>VLOOKUP(A139,'Trips&amp;Operators'!$C$1:$G$99999,5,FALSE)</f>
        <v>STAMBAUGH JAMES</v>
      </c>
      <c r="M139" s="6">
        <f t="shared" si="70"/>
        <v>2.8240740743058268E-2</v>
      </c>
      <c r="N139" s="7">
        <f t="shared" si="68"/>
        <v>40.666666670003906</v>
      </c>
      <c r="O139" s="7"/>
      <c r="P139" s="7"/>
      <c r="Q139" s="22"/>
      <c r="R139" s="22"/>
      <c r="S139" s="31">
        <f t="shared" si="67"/>
        <v>1</v>
      </c>
      <c r="T139" s="46" t="str">
        <f t="shared" si="71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51"/>
        <v>https://d0f6bd738d7f1b3e5a7ca70fe4ff75f0.us-east-1.aws.found.io/app/kibana#/discover/Steve-Slow-Train-Analysis-(2080s-and-2083s)?_g=(refreshInterval:(display:Off,pause:!f,section:0,value:0),time:(from:'2017-03-06T19:02:48-0700',mode:absolute,to:'2017-03-06T21:45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9" s="187" t="str">
        <f t="shared" si="72"/>
        <v>N</v>
      </c>
      <c r="X139" s="187">
        <f t="shared" si="78"/>
        <v>1</v>
      </c>
      <c r="Y139" s="62">
        <f t="shared" si="73"/>
        <v>4.3299999999999998E-2</v>
      </c>
      <c r="Z139" s="62">
        <f t="shared" si="74"/>
        <v>23.340199999999999</v>
      </c>
      <c r="AA139" s="62">
        <f t="shared" si="75"/>
        <v>23.296900000000001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76"/>
        <v>0225-06</v>
      </c>
      <c r="AE139" s="85" t="str">
        <f t="shared" si="52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39" s="82" t="str">
        <f t="shared" si="53"/>
        <v>"C:\Program Files (x86)\AstroGrep\AstroGrep.exe" /e /r /s /spath="%USERPROFILE%\AppData\Local\Temp\OnboardLogs" /stypes="app*4051*20170307*" /stext=" 03:.+((SYSTEM_STATE.+slice.+state.+changed )|(ment ac)|(multiple cpu faults)|(system.+state.+changed )|(\[timeout)|(PRM\|1\|D)|(kpr)|(kdp)|(\|lc)|(penalty))"</v>
      </c>
      <c r="AG139" s="1" t="str">
        <f t="shared" si="77"/>
        <v>EC</v>
      </c>
      <c r="AH139" s="86" t="str">
        <f t="shared" si="64"/>
        <v>"%USERPROFILE%\Documents\GitHub\eaglep3\Utilities\RefineRTDCRunTimes.py" --tripid 225-06 --locoid 4051 --swversion DE.1.0.9.0 --startMP 204:433 --initTime 2017-03-06T20:02:48 --startdatetime 2017-03-06T20:05:16 --delay 1 --endMP 204:233402 --enddatetime 2017-03-06T20:45:56 --enforcementcount 0 &gt;&gt;C:\Users\stu\Documents\GitHub\eaglep3-reporting\EC\2017-03-06-refined-times.txt</v>
      </c>
      <c r="AI13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{"issue":{"subject":"","project_id":79,"tracker_id":40,"status_id":1,"priority_id":2,"assigned_to_id":23,"start_date":"2017-03-06","description":"","custom_fields":[{"id":1,"name":"Subdivision","value":"EC"},{"id":4,"name":"Milepost","value":"23.3402"},{"id":17,"name":"Train ID","value":"225-06"},{"id":16,"name":"Locomotive ID","value":"4051"},{"id":130,"name":"Impact","value":""},{"id":150,"name":"Time of Event (Mountain Time)","value":"20:45:56"},{"id":151,"name":"Denver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66"/>
        <v>start /low /b %USERPROFILE%\Documents\GitHub\eaglep3\Utilities\DownloadLogsFromS3.py --loco 4051 --day 2017-03-06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768</v>
      </c>
      <c r="B140" s="7">
        <v>4052</v>
      </c>
      <c r="C140" s="21" t="s">
        <v>245</v>
      </c>
      <c r="D140" s="21" t="s">
        <v>862</v>
      </c>
      <c r="E140" s="13">
        <v>42800.867488425924</v>
      </c>
      <c r="F140" s="13">
        <v>42800.872581018521</v>
      </c>
      <c r="G140" s="7">
        <v>6</v>
      </c>
      <c r="H140" s="21" t="s">
        <v>232</v>
      </c>
      <c r="I140" s="13">
        <v>42800.901250000003</v>
      </c>
      <c r="J140" s="7">
        <v>0</v>
      </c>
      <c r="K140" s="98" t="str">
        <f t="shared" si="69"/>
        <v>4051/4052</v>
      </c>
      <c r="L140" s="21" t="str">
        <f>VLOOKUP(A140,'Trips&amp;Operators'!$C$1:$G$99999,5,FALSE)</f>
        <v>STAMBAUGH JAMES</v>
      </c>
      <c r="M140" s="6">
        <f t="shared" si="70"/>
        <v>2.8668981482042E-2</v>
      </c>
      <c r="N140" s="7">
        <f t="shared" si="68"/>
        <v>41.28333333414048</v>
      </c>
      <c r="O140" s="7"/>
      <c r="P140" s="7"/>
      <c r="Q140" s="22"/>
      <c r="R140" s="22"/>
      <c r="S140" s="31">
        <f t="shared" si="67"/>
        <v>1</v>
      </c>
      <c r="T140" s="46" t="str">
        <f t="shared" si="71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51"/>
        <v>https://d0f6bd738d7f1b3e5a7ca70fe4ff75f0.us-east-1.aws.found.io/app/kibana#/discover/Steve-Slow-Train-Analysis-(2080s-and-2083s)?_g=(refreshInterval:(display:Off,pause:!f,section:0,value:0),time:(from:'2017-03-06T19:49:11-0700',mode:absolute,to:'2017-03-06T22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187" t="str">
        <f t="shared" si="72"/>
        <v>N</v>
      </c>
      <c r="X140" s="187">
        <f t="shared" si="78"/>
        <v>1</v>
      </c>
      <c r="Y140" s="62">
        <f t="shared" si="73"/>
        <v>23.308900000000001</v>
      </c>
      <c r="Z140" s="62">
        <f t="shared" si="74"/>
        <v>1.41E-2</v>
      </c>
      <c r="AA140" s="62">
        <f t="shared" si="75"/>
        <v>23.294800000000002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76"/>
        <v>0226-06</v>
      </c>
      <c r="AE140" s="85" t="str">
        <f t="shared" si="52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40" s="82" t="str">
        <f t="shared" si="53"/>
        <v>"C:\Program Files (x86)\AstroGrep\AstroGrep.exe" /e /r /s /spath="%USERPROFILE%\AppData\Local\Temp\OnboardLogs" /stypes="app*4052*20170307*" /stext=" 04:.+((SYSTEM_STATE.+slice.+state.+changed )|(ment ac)|(multiple cpu faults)|(system.+state.+changed )|(\[timeout)|(PRM\|1\|D)|(kpr)|(kdp)|(\|lc)|(penalty))"</v>
      </c>
      <c r="AG140" s="1" t="str">
        <f t="shared" si="77"/>
        <v>EC</v>
      </c>
      <c r="AH140" s="86" t="str">
        <f t="shared" si="64"/>
        <v>"%USERPROFILE%\Documents\GitHub\eaglep3\Utilities\RefineRTDCRunTimes.py" --tripid 226-06 --locoid 4052 --swversion DE.1.0.9.0 --startMP 204:233089 --initTime 2017-03-06T20:49:11 --startdatetime 2017-03-06T20:56:31 --delay 6 --endMP 204:141 --enddatetime 2017-03-06T21:37:48 --enforcementcount 0 &gt;&gt;C:\Users\stu\Documents\GitHub\eaglep3-reporting\EC\2017-03-06-refined-times.txt</v>
      </c>
      <c r="AI14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{"issue":{"subject":"","project_id":79,"tracker_id":40,"status_id":1,"priority_id":2,"assigned_to_id":23,"start_date":"2017-03-06","description":"","custom_fields":[{"id":1,"name":"Subdivision","value":"EC"},{"id":4,"name":"Milepost","value":"0.0141"},{"id":17,"name":"Train ID","value":"226-06"},{"id":16,"name":"Locomotive ID","value":"4052"},{"id":130,"name":"Impact","value":""},{"id":150,"name":"Time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66"/>
        <v>start /low /b %USERPROFILE%\Documents\GitHub\eaglep3\Utilities\DownloadLogsFromS3.py --loco 4052 --day 2017-03-06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763</v>
      </c>
      <c r="B141" s="7">
        <v>4053</v>
      </c>
      <c r="C141" s="21" t="s">
        <v>245</v>
      </c>
      <c r="D141" s="21" t="s">
        <v>297</v>
      </c>
      <c r="E141" s="13">
        <v>42800.845925925925</v>
      </c>
      <c r="F141" s="13">
        <v>42800.854444444441</v>
      </c>
      <c r="G141" s="7">
        <v>2</v>
      </c>
      <c r="H141" s="21" t="s">
        <v>863</v>
      </c>
      <c r="I141" s="13">
        <v>42800.882743055554</v>
      </c>
      <c r="J141" s="7">
        <v>0</v>
      </c>
      <c r="K141" s="98" t="str">
        <f t="shared" si="69"/>
        <v>4053/4054</v>
      </c>
      <c r="L141" s="21" t="str">
        <f>VLOOKUP(A141,'Trips&amp;Operators'!$C$1:$G$99999,5,FALSE)</f>
        <v>STORY SAMANTHA</v>
      </c>
      <c r="M141" s="6">
        <f t="shared" si="70"/>
        <v>2.8298611112404615E-2</v>
      </c>
      <c r="N141" s="7">
        <f t="shared" si="68"/>
        <v>40.750000001862645</v>
      </c>
      <c r="O141" s="7"/>
      <c r="P141" s="7"/>
      <c r="Q141" s="22"/>
      <c r="R141" s="22"/>
      <c r="S141" s="31">
        <f t="shared" si="67"/>
        <v>1</v>
      </c>
      <c r="T141" s="46" t="str">
        <f t="shared" si="71"/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7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-06T19:18:08-0700',mode:absolute,to:'2017-03-06T22:11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87" t="str">
        <f t="shared" si="72"/>
        <v>N</v>
      </c>
      <c r="X141" s="187">
        <f t="shared" si="78"/>
        <v>1</v>
      </c>
      <c r="Y141" s="62">
        <f t="shared" si="73"/>
        <v>4.4900000000000002E-2</v>
      </c>
      <c r="Z141" s="62">
        <f t="shared" si="74"/>
        <v>23.3398</v>
      </c>
      <c r="AA141" s="62">
        <f t="shared" si="75"/>
        <v>23.294900000000002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76"/>
        <v>0227-06</v>
      </c>
      <c r="AE141" s="85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41" s="82" t="str">
        <f t="shared" ref="AF141:AF204" si="8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/stypes="app*4053*20170307*" /stext=" 04:.+((SYSTEM_STATE.+slice.+state.+changed )|(ment ac)|(multiple cpu faults)|(system.+state.+changed )|(\[timeout)|(PRM\|1\|D)|(kpr)|(kdp)|(\|lc)|(penalty))"</v>
      </c>
      <c r="AG141" s="1" t="str">
        <f t="shared" si="77"/>
        <v>EC</v>
      </c>
      <c r="AH141" s="86" t="str">
        <f t="shared" si="64"/>
        <v>"%USERPROFILE%\Documents\GitHub\eaglep3\Utilities\RefineRTDCRunTimes.py" --tripid 227-06 --locoid 4053 --swversion DE.1.0.9.0 --startMP 204:449 --initTime 2017-03-06T20:18:08 --startdatetime 2017-03-06T20:30:24 --delay 2 --endMP 204:233398 --enddatetime 2017-03-06T21:11:09 --enforcementcount 0 &gt;&gt;C:\Users\stu\Documents\GitHub\eaglep3-reporting\EC\2017-03-06-refined-times.txt</v>
      </c>
      <c r="AI141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{"issue":{"subject":"","project_id":79,"tracker_id":40,"status_id":1,"priority_id":2,"assigned_to_id":23,"start_date":"2017-03-06","description":"","custom_fields":[{"id":1,"name":"Subdivision","value":"EC"},{"id":4,"name":"Milepost","value":"23.3398"},{"id":17,"name":"Train ID","value":"227-06"},{"id":16,"name":"Locomotive ID","value":"4053"},{"id":130,"name":"Impact","value":""},{"id":150,"name":"Time of Event (Mountain Time)","value":"21:11:09"},{"id":151,"name":"Denver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66"/>
        <v>start /low /b %USERPROFILE%\Documents\GitHub\eaglep3\Utilities\DownloadLogsFromS3.py --loco 4053 --day 2017-03-06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772</v>
      </c>
      <c r="B142" s="7">
        <v>4054</v>
      </c>
      <c r="C142" s="21" t="s">
        <v>245</v>
      </c>
      <c r="D142" s="21" t="s">
        <v>864</v>
      </c>
      <c r="E142" s="13">
        <v>42800.886354166665</v>
      </c>
      <c r="F142" s="13">
        <v>42800.893275462964</v>
      </c>
      <c r="G142" s="7">
        <v>2</v>
      </c>
      <c r="H142" s="21" t="s">
        <v>192</v>
      </c>
      <c r="I142" s="13">
        <v>42800.924074074072</v>
      </c>
      <c r="J142" s="7">
        <v>0</v>
      </c>
      <c r="K142" s="98" t="str">
        <f t="shared" si="69"/>
        <v>4053/4054</v>
      </c>
      <c r="L142" s="21" t="str">
        <f>VLOOKUP(A142,'Trips&amp;Operators'!$C$1:$G$99999,5,FALSE)</f>
        <v>STORY SAMANTHA</v>
      </c>
      <c r="M142" s="6">
        <f t="shared" si="70"/>
        <v>3.0798611107456964E-2</v>
      </c>
      <c r="N142" s="7">
        <f t="shared" si="68"/>
        <v>44.349999994738027</v>
      </c>
      <c r="O142" s="7"/>
      <c r="P142" s="7"/>
      <c r="Q142" s="22"/>
      <c r="R142" s="22"/>
      <c r="S142" s="31">
        <f t="shared" si="67"/>
        <v>1</v>
      </c>
      <c r="T142" s="46" t="str">
        <f t="shared" si="71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79"/>
        <v>https://d0f6bd738d7f1b3e5a7ca70fe4ff75f0.us-east-1.aws.found.io/app/kibana#/discover/Steve-Slow-Train-Analysis-(2080s-and-2083s)?_g=(refreshInterval:(display:Off,pause:!f,section:0,value:0),time:(from:'2017-03-06T20:16:21-0700',mode:absolute,to:'2017-03-06T23:10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87" t="str">
        <f t="shared" si="72"/>
        <v>N</v>
      </c>
      <c r="X142" s="187">
        <f t="shared" si="78"/>
        <v>1</v>
      </c>
      <c r="Y142" s="62">
        <f t="shared" si="73"/>
        <v>23.3079</v>
      </c>
      <c r="Z142" s="62">
        <f t="shared" si="74"/>
        <v>1.4999999999999999E-2</v>
      </c>
      <c r="AA142" s="62">
        <f t="shared" si="75"/>
        <v>23.292899999999999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76"/>
        <v>0228-06</v>
      </c>
      <c r="AE142" s="85" t="str">
        <f t="shared" si="80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42" s="82" t="str">
        <f t="shared" si="81"/>
        <v>"C:\Program Files (x86)\AstroGrep\AstroGrep.exe" /e /r /s /spath="%USERPROFILE%\AppData\Local\Temp\OnboardLogs" /stypes="app*4054*20170307*" /stext=" 05:.+((SYSTEM_STATE.+slice.+state.+changed )|(ment ac)|(multiple cpu faults)|(system.+state.+changed )|(\[timeout)|(PRM\|1\|D)|(kpr)|(kdp)|(\|lc)|(penalty))"</v>
      </c>
      <c r="AG142" s="1" t="str">
        <f t="shared" si="77"/>
        <v>EC</v>
      </c>
      <c r="AH142" s="86" t="str">
        <f t="shared" si="64"/>
        <v>"%USERPROFILE%\Documents\GitHub\eaglep3\Utilities\RefineRTDCRunTimes.py" --tripid 228-06 --locoid 4054 --swversion DE.1.0.9.0 --startMP 204:233079 --initTime 2017-03-06T21:16:21 --startdatetime 2017-03-06T21:26:19 --delay 2 --endMP 204:150 --enddatetime 2017-03-06T22:10:40 --enforcementcount 0 &gt;&gt;C:\Users\stu\Documents\GitHub\eaglep3-reporting\EC\2017-03-06-refined-times.txt</v>
      </c>
      <c r="AI14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{"issue":{"subject":"","project_id":79,"tracker_id":40,"status_id":1,"priority_id":2,"assigned_to_id":23,"start_date":"2017-03-06","description":"","custom_fields":[{"id":1,"name":"Subdivision","value":"EC"},{"id":4,"name":"Milepost","value":"0.015"},{"id":17,"name":"Train ID","value":"228-06"},{"id":16,"name":"Locomotive ID","value":"4054"},{"id":130,"name":"Impact","value":""},{"id":150,"name":"Time of Event (Mountain Time)","value":"22:10:40"},{"id":151,"name":"Denver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6"/>
        <v>start /low /b %USERPROFILE%\Documents\GitHub\eaglep3\Utilities\DownloadLogsFromS3.py --loco 4054 --day 2017-03-06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769</v>
      </c>
      <c r="B143" s="7">
        <v>4009</v>
      </c>
      <c r="C143" s="21" t="s">
        <v>245</v>
      </c>
      <c r="D143" s="21" t="s">
        <v>201</v>
      </c>
      <c r="E143" s="13">
        <v>42800.871770833335</v>
      </c>
      <c r="F143" s="13">
        <v>42800.874374999999</v>
      </c>
      <c r="G143" s="7">
        <v>3</v>
      </c>
      <c r="H143" s="21" t="s">
        <v>201</v>
      </c>
      <c r="I143" s="13">
        <v>42800.874374999999</v>
      </c>
      <c r="J143" s="7">
        <v>0</v>
      </c>
      <c r="K143" s="98" t="str">
        <f t="shared" si="69"/>
        <v>4009/4010</v>
      </c>
      <c r="L143" s="21" t="str">
        <f>VLOOKUP(A143,'Trips&amp;Operators'!$C$1:$G$99999,5,FALSE)</f>
        <v>CHANDLER KELVIN</v>
      </c>
      <c r="M143" s="6">
        <f t="shared" si="70"/>
        <v>0</v>
      </c>
      <c r="N143" s="7"/>
      <c r="O143" s="7"/>
      <c r="P143" s="7"/>
      <c r="Q143" s="22"/>
      <c r="R143" s="22"/>
      <c r="S143" s="31"/>
      <c r="T143" s="46" t="str">
        <f t="shared" si="71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186" t="str">
        <f t="shared" si="79"/>
        <v>https://d0f6bd738d7f1b3e5a7ca70fe4ff75f0.us-east-1.aws.found.io/app/kibana#/discover/Steve-Slow-Train-Analysis-(2080s-and-2083s)?_g=(refreshInterval:(display:Off,pause:!f,section:0,value:0),time:(from:'2017-03-06T19:55:21-0700',mode:absolute,to:'2017-03-06T21:59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187" t="str">
        <f t="shared" si="72"/>
        <v>Y</v>
      </c>
      <c r="X143" s="187">
        <f t="shared" ref="X143:X151" si="82">VALUE(LEFT(AD143,4))-VALUE(LEFT(AD142,4))</f>
        <v>1</v>
      </c>
      <c r="Y143" s="62">
        <f t="shared" si="73"/>
        <v>4.6199999999999998E-2</v>
      </c>
      <c r="Z143" s="62">
        <f t="shared" si="74"/>
        <v>4.6199999999999998E-2</v>
      </c>
      <c r="AA143" s="62">
        <f t="shared" si="75"/>
        <v>0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76"/>
        <v>0229-06</v>
      </c>
      <c r="AE143" s="85" t="str">
        <f t="shared" si="80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43" s="82" t="str">
        <f t="shared" si="81"/>
        <v>"C:\Program Files (x86)\AstroGrep\AstroGrep.exe" /e /r /s /spath="%USERPROFILE%\AppData\Local\Temp\OnboardLogs" /stypes="app*4009*20170307*" /stext=" 03:.+((SYSTEM_STATE.+slice.+state.+changed )|(ment ac)|(multiple cpu faults)|(system.+state.+changed )|(\[timeout)|(PRM\|1\|D)|(kpr)|(kdp)|(\|lc)|(penalty))"</v>
      </c>
      <c r="AG143" s="1" t="str">
        <f t="shared" si="77"/>
        <v>EC</v>
      </c>
      <c r="AH143" s="86" t="str">
        <f t="shared" si="64"/>
        <v>"%USERPROFILE%\Documents\GitHub\eaglep3\Utilities\RefineRTDCRunTimes.py" --tripid 229-06 --locoid 4009 --swversion DE.1.0.9.0 --startMP 204:462 --initTime 2017-03-06T20:55:21 --startdatetime 2017-03-06T20:59:06 --delay 3 --endMP 204:462 --enddatetime 2017-03-06T20:59:06 --enforcementcount 0 &gt;&gt;C:\Users\stu\Documents\GitHub\eaglep3-reporting\EC\2017-03-06-refined-times.txt</v>
      </c>
      <c r="AI143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{"issue":{"subject":"","project_id":79,"tracker_id":40,"status_id":1,"priority_id":2,"assigned_to_id":23,"start_date":"2017-03-06","description":"","custom_fields":[{"id":1,"name":"Subdivision","value":"EC"},{"id":4,"name":"Milepost","value":"0.0462"},{"id":17,"name":"Train ID","value":"229-06"},{"id":16,"name":"Locomotive ID","value":"4009"},{"id":130,"name":"Impact","value":""},{"id":150,"name":"Time of Event (Mountain Time)","value":"20:59:06"},{"id":151,"name":"Denver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6"/>
        <v>start /low /b %USERPROFILE%\Documents\GitHub\eaglep3\Utilities\DownloadLogsFromS3.py --loco 4009 --day 2017-03-06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769</v>
      </c>
      <c r="B144" s="7">
        <v>4009</v>
      </c>
      <c r="C144" s="21" t="s">
        <v>245</v>
      </c>
      <c r="D144" s="21" t="s">
        <v>240</v>
      </c>
      <c r="E144" s="13">
        <v>42800.871770833335</v>
      </c>
      <c r="F144" s="13">
        <v>42800.872696759259</v>
      </c>
      <c r="G144" s="7">
        <v>1</v>
      </c>
      <c r="H144" s="21" t="s">
        <v>201</v>
      </c>
      <c r="I144" s="13">
        <v>42800.874374999999</v>
      </c>
      <c r="J144" s="7">
        <v>0</v>
      </c>
      <c r="K144" s="98" t="str">
        <f t="shared" si="69"/>
        <v>4009/4010</v>
      </c>
      <c r="L144" s="21" t="str">
        <f>VLOOKUP(A144,'Trips&amp;Operators'!$C$1:$G$99999,5,FALSE)</f>
        <v>CHANDLER KELVIN</v>
      </c>
      <c r="M144" s="6">
        <f t="shared" si="70"/>
        <v>1.6782407401478849E-3</v>
      </c>
      <c r="N144" s="7"/>
      <c r="O144" s="7"/>
      <c r="P144" s="7">
        <f>24*60*SUM($M144:$M144)</f>
        <v>2.4166666658129543</v>
      </c>
      <c r="Q144" s="22"/>
      <c r="R144" s="22" t="s">
        <v>549</v>
      </c>
      <c r="S144" s="31">
        <f t="shared" ref="S144:S171" si="83">SUM(U144:U144)/IF(AG144="EC",12,1)</f>
        <v>0</v>
      </c>
      <c r="T144" s="46" t="str">
        <f t="shared" si="71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86" t="str">
        <f t="shared" si="79"/>
        <v>https://d0f6bd738d7f1b3e5a7ca70fe4ff75f0.us-east-1.aws.found.io/app/kibana#/discover/Steve-Slow-Train-Analysis-(2080s-and-2083s)?_g=(refreshInterval:(display:Off,pause:!f,section:0,value:0),time:(from:'2017-03-06T19:55:21-0700',mode:absolute,to:'2017-03-06T21:59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87" t="str">
        <f t="shared" si="72"/>
        <v>Y</v>
      </c>
      <c r="X144" s="187">
        <f t="shared" si="82"/>
        <v>0</v>
      </c>
      <c r="Y144" s="62">
        <f t="shared" si="73"/>
        <v>4.6600000000000003E-2</v>
      </c>
      <c r="Z144" s="62">
        <f t="shared" si="74"/>
        <v>4.6199999999999998E-2</v>
      </c>
      <c r="AA144" s="62">
        <f t="shared" si="75"/>
        <v>4.0000000000000452E-4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76"/>
        <v>0229-06</v>
      </c>
      <c r="AE144" s="85" t="str">
        <f t="shared" si="80"/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AF144" s="82" t="str">
        <f t="shared" si="81"/>
        <v>"C:\Program Files (x86)\AstroGrep\AstroGrep.exe" /e /r /s /spath="%USERPROFILE%\AppData\Local\Temp\OnboardLogs" /stypes="app*4009*20170307*" /stext=" 03:.+((SYSTEM_STATE.+slice.+state.+changed )|(ment ac)|(multiple cpu faults)|(system.+state.+changed )|(\[timeout)|(PRM\|1\|D)|(kpr)|(kdp)|(\|lc)|(penalty))"</v>
      </c>
      <c r="AG144" s="1" t="str">
        <f t="shared" si="77"/>
        <v>EC</v>
      </c>
      <c r="AH144" s="86" t="str">
        <f t="shared" si="64"/>
        <v>"%USERPROFILE%\Documents\GitHub\eaglep3\Utilities\RefineRTDCRunTimes.py" --tripid 229-06 --locoid 4009 --swversion DE.1.0.9.0 --startMP 204:466 --initTime 2017-03-06T20:55:21 --startdatetime 2017-03-06T20:56:41 --delay 1 --endMP 204:462 --enddatetime 2017-03-06T20:59:06 --enforcementcount 0 &gt;&gt;C:\Users\stu\Documents\GitHub\eaglep3-reporting\EC\2017-03-06-refined-times.txt</v>
      </c>
      <c r="AI144" s="108" t="str">
        <f t="shared" si="65"/>
        <v>echo {"issue":{"subject":"Onboard in-route failure","project_id":79,"tracker_id":40,"status_id":1,"priority_id":2,"assigned_to_id":23,"start_date":"2017-03-06","description":"","custom_fields":[{"id":1,"name":"Subdivision","value":"EC"},{"id":4,"name":"Milepost","value":"0.0462"},{"id":17,"name":"Train ID","value":"229-06"},{"id":16,"name":"Locomotive ID","value":"4009"},{"id":130,"name":"Impact","value":""},{"id":150,"name":"Time of Event (Mountain Time)","value":"20:59:06"},{"id":151,"name":"Denver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6"/>
        <v>start /low /b %USERPROFILE%\Documents\GitHub\eaglep3\Utilities\DownloadLogsFromS3.py --loco 4009 --day 2017-03-06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</row>
    <row r="145" spans="1:91" s="20" customFormat="1" x14ac:dyDescent="0.25">
      <c r="A145" s="33" t="s">
        <v>775</v>
      </c>
      <c r="B145" s="7">
        <v>4010</v>
      </c>
      <c r="C145" s="21" t="s">
        <v>245</v>
      </c>
      <c r="D145" s="21" t="s">
        <v>312</v>
      </c>
      <c r="E145" s="13">
        <v>42800.883576388886</v>
      </c>
      <c r="F145" s="13">
        <v>42800.924502314818</v>
      </c>
      <c r="G145" s="7">
        <v>1</v>
      </c>
      <c r="H145" s="21" t="s">
        <v>544</v>
      </c>
      <c r="I145" s="13">
        <v>42800.924687500003</v>
      </c>
      <c r="J145" s="7">
        <v>0</v>
      </c>
      <c r="K145" s="98" t="str">
        <f t="shared" si="69"/>
        <v>4009/4010</v>
      </c>
      <c r="L145" s="21" t="str">
        <f>VLOOKUP(A145,'Trips&amp;Operators'!$C$1:$G$99999,5,FALSE)</f>
        <v>CHANDLER KELVIN</v>
      </c>
      <c r="M145" s="6">
        <f t="shared" si="70"/>
        <v>1.8518518481869251E-4</v>
      </c>
      <c r="N145" s="7"/>
      <c r="O145" s="7"/>
      <c r="P145" s="7">
        <v>1</v>
      </c>
      <c r="Q145" s="22"/>
      <c r="R145" s="22" t="s">
        <v>1003</v>
      </c>
      <c r="S145" s="31">
        <f t="shared" si="83"/>
        <v>0</v>
      </c>
      <c r="T145" s="46" t="str">
        <f t="shared" si="71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86" t="str">
        <f t="shared" si="79"/>
        <v>https://d0f6bd738d7f1b3e5a7ca70fe4ff75f0.us-east-1.aws.found.io/app/kibana#/discover/Steve-Slow-Train-Analysis-(2080s-and-2083s)?_g=(refreshInterval:(display:Off,pause:!f,section:0,value:0),time:(from:'2017-03-06T20:12:21-0700',mode:absolute,to:'2017-03-06T23:11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87" t="str">
        <f t="shared" si="72"/>
        <v>Y</v>
      </c>
      <c r="X145" s="187">
        <f t="shared" si="82"/>
        <v>1</v>
      </c>
      <c r="Y145" s="62">
        <v>0</v>
      </c>
      <c r="Z145" s="62">
        <v>0</v>
      </c>
      <c r="AA145" s="62">
        <f t="shared" si="75"/>
        <v>0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76"/>
        <v>0230-06</v>
      </c>
      <c r="AE145" s="85" t="str">
        <f t="shared" si="80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145" s="82" t="str">
        <f t="shared" si="81"/>
        <v>"C:\Program Files (x86)\AstroGrep\AstroGrep.exe" /e /r /s /spath="%USERPROFILE%\AppData\Local\Temp\OnboardLogs" /stypes="app*4010*20170307*" /stext=" 05:.+((SYSTEM_STATE.+slice.+state.+changed )|(ment ac)|(multiple cpu faults)|(system.+state.+changed )|(\[timeout)|(PRM\|1\|D)|(kpr)|(kdp)|(\|lc)|(penalty))"</v>
      </c>
      <c r="AG145" s="1" t="str">
        <f t="shared" si="77"/>
        <v>EC</v>
      </c>
      <c r="AH145" s="86" t="str">
        <f t="shared" ref="AH145" si="84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230-06 --locoid 4010 --swversion DE.1.0.9.0 --startMP 204:469 --initTime 2017-03-06T21:12:21 --startdatetime 2017-03-06T22:11:17 --delay 1 --endMP 204:233283 --enddatetime 2017-03-06T22:11:33 --enforcementcount 0 &gt;&gt;C:\Users\stu\Documents\GitHub\eaglep3-reporting\EC\2017-03-06-refined-times.txt</v>
      </c>
      <c r="AI145" s="108" t="str">
        <f t="shared" ref="AI145" si="85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{"issue":{"subject":"Did not release brakes for departure test","project_id":79,"tracker_id":40,"status_id":1,"priority_id":2,"assigned_to_id":23,"start_date":"2017-03-06","description":"","custom_fields":[{"id":1,"name":"Subdivision","value":"EC"},{"id":4,"name":"Milepost","value":"0"},{"id":17,"name":"Train ID","value":"230-06"},{"id":16,"name":"Locomotive ID","value":"4010"},{"id":130,"name":"Impact","value":""},{"id":150,"name":"Time of Event (Mountain Time)","value":"22:11:33"},{"id":151,"name":"Denver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ref="AM145" si="86">"start /low /b "&amp;dls3logs&amp;" --loco "&amp;B145&amp;" --day "&amp;TEXT(F145,"YYYY-MM-DD")</f>
        <v>start /low /b %USERPROFILE%\Documents\GitHub\eaglep3\Utilities\DownloadLogsFromS3.py --loco 4010 --day 2017-03-06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"%USERPROFILE%\AppData\Local\Temp\OnboardLogs"\RTDC4010\*4010*20170307* | grep -SE "(Enforcement Action)|(\[TIMEOUT)|(CHR.+\|PRM\|1\|D.+(SWITCH|SIGNAL).+UNKNOWN)" - &gt;&gt; 2017-03-06-UncaughtWiMAX.txt</v>
      </c>
    </row>
    <row r="146" spans="1:91" s="20" customFormat="1" x14ac:dyDescent="0.25">
      <c r="A146" s="33" t="s">
        <v>771</v>
      </c>
      <c r="B146" s="7">
        <v>4003</v>
      </c>
      <c r="C146" s="21" t="s">
        <v>245</v>
      </c>
      <c r="D146" s="21" t="s">
        <v>312</v>
      </c>
      <c r="E146" s="13">
        <v>42800.883576388886</v>
      </c>
      <c r="F146" s="13">
        <v>42800.89603009259</v>
      </c>
      <c r="G146" s="7">
        <v>1</v>
      </c>
      <c r="H146" s="21" t="s">
        <v>544</v>
      </c>
      <c r="I146" s="13">
        <v>42800.923657407409</v>
      </c>
      <c r="J146" s="7">
        <v>0</v>
      </c>
      <c r="K146" s="98" t="str">
        <f t="shared" si="69"/>
        <v>4003/4004</v>
      </c>
      <c r="L146" s="21" t="str">
        <f>VLOOKUP(A146,'Trips&amp;Operators'!$C$1:$G$99999,5,FALSE)</f>
        <v>SMITH MICHAEL</v>
      </c>
      <c r="M146" s="6">
        <f t="shared" si="70"/>
        <v>2.7627314819255844E-2</v>
      </c>
      <c r="N146" s="7">
        <f t="shared" ref="N146:N166" si="87">24*60*SUM($M146:$M146)</f>
        <v>39.783333339728415</v>
      </c>
      <c r="O146" s="7"/>
      <c r="P146" s="7"/>
      <c r="Q146" s="22"/>
      <c r="R146" s="22"/>
      <c r="S146" s="31">
        <f t="shared" si="83"/>
        <v>1</v>
      </c>
      <c r="T146" s="46" t="str">
        <f t="shared" si="7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79"/>
        <v>https://d0f6bd738d7f1b3e5a7ca70fe4ff75f0.us-east-1.aws.found.io/app/kibana#/discover/Steve-Slow-Train-Analysis-(2080s-and-2083s)?_g=(refreshInterval:(display:Off,pause:!f,section:0,value:0),time:(from:'2017-03-06T20:12:21-0700',mode:absolute,to:'2017-03-06T23:10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6" s="187" t="str">
        <f t="shared" si="72"/>
        <v>N</v>
      </c>
      <c r="X146" s="187">
        <f t="shared" si="82"/>
        <v>1</v>
      </c>
      <c r="Y146" s="62">
        <f t="shared" ref="Y146:Y171" si="88">RIGHT(D146,LEN(D146)-4)/10000</f>
        <v>4.6899999999999997E-2</v>
      </c>
      <c r="Z146" s="62">
        <f t="shared" ref="Z146:Z151" si="89">RIGHT(H146,LEN(H146)-4)/10000</f>
        <v>23.328299999999999</v>
      </c>
      <c r="AA146" s="62">
        <f t="shared" si="75"/>
        <v>23.281399999999998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76"/>
        <v>0231-06</v>
      </c>
      <c r="AE146" s="85" t="str">
        <f t="shared" si="80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46" s="82" t="str">
        <f t="shared" si="81"/>
        <v>"C:\Program Files (x86)\AstroGrep\AstroGrep.exe" /e /r /s /spath="%USERPROFILE%\AppData\Local\Temp\OnboardLogs" /stypes="app*4003*20170307*" /stext=" 05:.+((SYSTEM_STATE.+slice.+state.+changed )|(ment ac)|(multiple cpu faults)|(system.+state.+changed )|(\[timeout)|(PRM\|1\|D)|(kpr)|(kdp)|(\|lc)|(penalty))"</v>
      </c>
      <c r="AG146" s="1" t="str">
        <f t="shared" si="77"/>
        <v>EC</v>
      </c>
      <c r="AH146" s="86" t="str">
        <f t="shared" si="64"/>
        <v>"%USERPROFILE%\Documents\GitHub\eaglep3\Utilities\RefineRTDCRunTimes.py" --tripid 231-06 --locoid 4003 --swversion DE.1.0.9.0 --startMP 204:469 --initTime 2017-03-06T21:12:21 --startdatetime 2017-03-06T21:30:17 --delay 1 --endMP 204:233283 --enddatetime 2017-03-06T22:10:04 --enforcementcount 0 &gt;&gt;C:\Users\stu\Documents\GitHub\eaglep3-reporting\EC\2017-03-06-refined-times.txt</v>
      </c>
      <c r="AI146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{"issue":{"subject":"","project_id":79,"tracker_id":40,"status_id":1,"priority_id":2,"assigned_to_id":23,"start_date":"2017-03-06","description":"","custom_fields":[{"id":1,"name":"Subdivision","value":"EC"},{"id":4,"name":"Milepost","value":"23.3283"},{"id":17,"name":"Train ID","value":"231-06"},{"id":16,"name":"Locomotive ID","value":"4003"},{"id":130,"name":"Impact","value":""},{"id":150,"name":"Time of Event (Mountain Time)","value":"22:10:04"},{"id":151,"name":"Denver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6"/>
        <v>start /low /b %USERPROFILE%\Documents\GitHub\eaglep3\Utilities\DownloadLogsFromS3.py --loco 4003 --day 2017-03-06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778</v>
      </c>
      <c r="B147" s="7">
        <v>4004</v>
      </c>
      <c r="C147" s="21" t="s">
        <v>245</v>
      </c>
      <c r="D147" s="21" t="s">
        <v>248</v>
      </c>
      <c r="E147" s="13">
        <v>42800.928888888891</v>
      </c>
      <c r="F147" s="13">
        <v>42800.935081018521</v>
      </c>
      <c r="G147" s="7">
        <v>1</v>
      </c>
      <c r="H147" s="21" t="s">
        <v>865</v>
      </c>
      <c r="I147" s="13">
        <v>42800.964965277781</v>
      </c>
      <c r="J147" s="7">
        <v>0</v>
      </c>
      <c r="K147" s="98" t="str">
        <f t="shared" si="69"/>
        <v>4003/4004</v>
      </c>
      <c r="L147" s="21" t="str">
        <f>VLOOKUP(A147,'Trips&amp;Operators'!$C$1:$G$99999,5,FALSE)</f>
        <v>SMITH MICHAEL</v>
      </c>
      <c r="M147" s="6">
        <f t="shared" si="70"/>
        <v>2.9884259260143153E-2</v>
      </c>
      <c r="N147" s="7">
        <f t="shared" si="87"/>
        <v>43.033333334606141</v>
      </c>
      <c r="O147" s="7"/>
      <c r="P147" s="7"/>
      <c r="Q147" s="22"/>
      <c r="R147" s="22"/>
      <c r="S147" s="31">
        <f t="shared" si="83"/>
        <v>1</v>
      </c>
      <c r="T147" s="46" t="str">
        <f t="shared" si="7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79"/>
        <v>https://d0f6bd738d7f1b3e5a7ca70fe4ff75f0.us-east-1.aws.found.io/app/kibana#/discover/Steve-Slow-Train-Analysis-(2080s-and-2083s)?_g=(refreshInterval:(display:Off,pause:!f,section:0,value:0),time:(from:'2017-03-06T21:17:36-0700',mode:absolute,to:'2017-03-07T00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187" t="str">
        <f t="shared" si="72"/>
        <v>N</v>
      </c>
      <c r="X147" s="187">
        <f t="shared" si="82"/>
        <v>1</v>
      </c>
      <c r="Y147" s="62">
        <f t="shared" si="88"/>
        <v>23.299399999999999</v>
      </c>
      <c r="Z147" s="62">
        <f t="shared" si="89"/>
        <v>2.07E-2</v>
      </c>
      <c r="AA147" s="62">
        <f t="shared" si="75"/>
        <v>23.278699999999997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76"/>
        <v>0232-06</v>
      </c>
      <c r="AE147" s="85" t="str">
        <f t="shared" si="80"/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AF147" s="82" t="str">
        <f t="shared" si="81"/>
        <v>"C:\Program Files (x86)\AstroGrep\AstroGrep.exe" /e /r /s /spath="%USERPROFILE%\AppData\Local\Temp\OnboardLogs" /stypes="app*4004*20170307*" /stext=" 06:.+((SYSTEM_STATE.+slice.+state.+changed )|(ment ac)|(multiple cpu faults)|(system.+state.+changed )|(\[timeout)|(PRM\|1\|D)|(kpr)|(kdp)|(\|lc)|(penalty))"</v>
      </c>
      <c r="AG147" s="1" t="str">
        <f t="shared" si="77"/>
        <v>EC</v>
      </c>
      <c r="AH147" s="86" t="str">
        <f t="shared" si="64"/>
        <v>"%USERPROFILE%\Documents\GitHub\eaglep3\Utilities\RefineRTDCRunTimes.py" --tripid 232-06 --locoid 4004 --swversion DE.1.0.9.0 --startMP 204:232994 --initTime 2017-03-06T22:17:36 --startdatetime 2017-03-06T22:26:31 --delay 1 --endMP 204:207 --enddatetime 2017-03-06T23:09:33 --enforcementcount 0 &gt;&gt;C:\Users\stu\Documents\GitHub\eaglep3-reporting\EC\2017-03-06-refined-times.txt</v>
      </c>
      <c r="AI147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{"issue":{"subject":"","project_id":79,"tracker_id":40,"status_id":1,"priority_id":2,"assigned_to_id":23,"start_date":"2017-03-06","description":"","custom_fields":[{"id":1,"name":"Subdivision","value":"EC"},{"id":4,"name":"Milepost","value":"0.0207"},{"id":17,"name":"Train ID","value":"232-06"},{"id":16,"name":"Locomotive ID","value":"4004"},{"id":130,"name":"Impact","value":""},{"id":150,"name":"Time of Event (Mountain Time)","value":"23:09:33"},{"id":151,"name":"Denver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6"/>
        <v>start /low /b %USERPROFILE%\Documents\GitHub\eaglep3\Utilities\DownloadLogsFromS3.py --loco 4004 --day 2017-03-06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600</v>
      </c>
      <c r="B148" s="7">
        <v>4051</v>
      </c>
      <c r="C148" s="21" t="s">
        <v>245</v>
      </c>
      <c r="D148" s="21" t="s">
        <v>201</v>
      </c>
      <c r="E148" s="13">
        <v>42800.902777777781</v>
      </c>
      <c r="F148" s="13">
        <v>42800.916898148149</v>
      </c>
      <c r="G148" s="7">
        <v>3</v>
      </c>
      <c r="H148" s="21" t="s">
        <v>866</v>
      </c>
      <c r="I148" s="13">
        <v>42800.942974537036</v>
      </c>
      <c r="J148" s="7">
        <v>0</v>
      </c>
      <c r="K148" s="98" t="str">
        <f t="shared" si="69"/>
        <v>4051/4052</v>
      </c>
      <c r="L148" s="21" t="str">
        <f>VLOOKUP(A148,'Trips&amp;Operators'!$C$1:$G$99999,5,FALSE)</f>
        <v>STAMBAUGH JAMES</v>
      </c>
      <c r="M148" s="6">
        <f t="shared" si="70"/>
        <v>2.6076388887304347E-2</v>
      </c>
      <c r="N148" s="7">
        <f t="shared" si="87"/>
        <v>37.54999999771826</v>
      </c>
      <c r="O148" s="7"/>
      <c r="P148" s="7"/>
      <c r="Q148" s="22"/>
      <c r="R148" s="22"/>
      <c r="S148" s="31">
        <f t="shared" si="83"/>
        <v>1</v>
      </c>
      <c r="T148" s="46" t="str">
        <f t="shared" si="7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79"/>
        <v>https://d0f6bd738d7f1b3e5a7ca70fe4ff75f0.us-east-1.aws.found.io/app/kibana#/discover/Steve-Slow-Train-Analysis-(2080s-and-2083s)?_g=(refreshInterval:(display:Off,pause:!f,section:0,value:0),time:(from:'2017-03-06T20:40:00-0700',mode:absolute,to:'2017-03-06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8" s="187" t="str">
        <f t="shared" si="72"/>
        <v>N</v>
      </c>
      <c r="X148" s="187">
        <f t="shared" si="82"/>
        <v>1</v>
      </c>
      <c r="Y148" s="62">
        <f t="shared" si="88"/>
        <v>4.6199999999999998E-2</v>
      </c>
      <c r="Z148" s="62">
        <f t="shared" si="89"/>
        <v>23.334399999999999</v>
      </c>
      <c r="AA148" s="62">
        <f t="shared" si="75"/>
        <v>23.2882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76"/>
        <v>0233-06</v>
      </c>
      <c r="AE148" s="85" t="str">
        <f t="shared" si="80"/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AF148" s="82" t="str">
        <f t="shared" si="81"/>
        <v>"C:\Program Files (x86)\AstroGrep\AstroGrep.exe" /e /r /s /spath="%USERPROFILE%\AppData\Local\Temp\OnboardLogs" /stypes="app*4051*20170307*" /stext=" 05:.+((SYSTEM_STATE.+slice.+state.+changed )|(ment ac)|(multiple cpu faults)|(system.+state.+changed )|(\[timeout)|(PRM\|1\|D)|(kpr)|(kdp)|(\|lc)|(penalty))"</v>
      </c>
      <c r="AG148" s="1" t="str">
        <f t="shared" si="77"/>
        <v>EC</v>
      </c>
      <c r="AH148" s="86" t="str">
        <f t="shared" si="64"/>
        <v>"%USERPROFILE%\Documents\GitHub\eaglep3\Utilities\RefineRTDCRunTimes.py" --tripid 233-06 --locoid 4051 --swversion DE.1.0.9.0 --startMP 204:462 --initTime 2017-03-06T21:40:00 --startdatetime 2017-03-06T22:00:20 --delay 3 --endMP 204:233344 --enddatetime 2017-03-06T22:37:53 --enforcementcount 0 &gt;&gt;C:\Users\stu\Documents\GitHub\eaglep3-reporting\EC\2017-03-06-refined-times.txt</v>
      </c>
      <c r="AI148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{"issue":{"subject":"","project_id":79,"tracker_id":40,"status_id":1,"priority_id":2,"assigned_to_id":23,"start_date":"2017-03-06","description":"","custom_fields":[{"id":1,"name":"Subdivision","value":"EC"},{"id":4,"name":"Milepost","value":"23.3344"},{"id":17,"name":"Train ID","value":"233-06"},{"id":16,"name":"Locomotive ID","value":"4051"},{"id":130,"name":"Impact","value":""},{"id":150,"name":"Time of Event (Mountain Time)","value":"22:37:53"},{"id":151,"name":"Denver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6"/>
        <v>start /low /b %USERPROFILE%\Documents\GitHub\eaglep3\Utilities\DownloadLogsFromS3.py --loco 4051 --day 2017-03-06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602</v>
      </c>
      <c r="B149" s="7">
        <v>4052</v>
      </c>
      <c r="C149" s="21" t="s">
        <v>245</v>
      </c>
      <c r="D149" s="21" t="s">
        <v>543</v>
      </c>
      <c r="E149" s="13">
        <v>42800.945370370369</v>
      </c>
      <c r="F149" s="13">
        <v>42800.956099537034</v>
      </c>
      <c r="G149" s="7">
        <v>1</v>
      </c>
      <c r="H149" s="21" t="s">
        <v>194</v>
      </c>
      <c r="I149" s="13">
        <v>42800.986620370371</v>
      </c>
      <c r="J149" s="7">
        <v>0</v>
      </c>
      <c r="K149" s="98" t="str">
        <f t="shared" si="69"/>
        <v>4051/4052</v>
      </c>
      <c r="L149" s="21" t="str">
        <f>VLOOKUP(A149,'Trips&amp;Operators'!$C$1:$G$99999,5,FALSE)</f>
        <v>STAMBAUGH JAMES</v>
      </c>
      <c r="M149" s="6">
        <f t="shared" si="70"/>
        <v>3.0520833337504882E-2</v>
      </c>
      <c r="N149" s="7">
        <f t="shared" si="87"/>
        <v>43.950000006007031</v>
      </c>
      <c r="O149" s="7"/>
      <c r="P149" s="7"/>
      <c r="Q149" s="22"/>
      <c r="R149" s="22"/>
      <c r="S149" s="31">
        <f t="shared" si="83"/>
        <v>1</v>
      </c>
      <c r="T149" s="46" t="str">
        <f t="shared" si="7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79"/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7" t="str">
        <f t="shared" si="72"/>
        <v>N</v>
      </c>
      <c r="X149" s="187">
        <f t="shared" si="82"/>
        <v>1</v>
      </c>
      <c r="Y149" s="62">
        <f t="shared" si="88"/>
        <v>23.3017</v>
      </c>
      <c r="Z149" s="62">
        <f t="shared" si="89"/>
        <v>1.4500000000000001E-2</v>
      </c>
      <c r="AA149" s="62">
        <f t="shared" si="75"/>
        <v>23.287199999999999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76"/>
        <v>0234-06</v>
      </c>
      <c r="AE149" s="85" t="str">
        <f t="shared" si="80"/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AF149" s="82" t="str">
        <f t="shared" si="81"/>
        <v>"C:\Program Files (x86)\AstroGrep\AstroGrep.exe" /e /r /s /spath="%USERPROFILE%\AppData\Local\Temp\OnboardLogs" /stypes="app*4052*20170307*" /stext=" 06:.+((SYSTEM_STATE.+slice.+state.+changed )|(ment ac)|(multiple cpu faults)|(system.+state.+changed )|(\[timeout)|(PRM\|1\|D)|(kpr)|(kdp)|(\|lc)|(penalty))"</v>
      </c>
      <c r="AG149" s="1" t="str">
        <f t="shared" si="77"/>
        <v>EC</v>
      </c>
      <c r="AH149" s="86" t="str">
        <f t="shared" si="64"/>
        <v>"%USERPROFILE%\Documents\GitHub\eaglep3\Utilities\RefineRTDCRunTimes.py" --tripid 234-06 --locoid 4052 --swversion DE.1.0.9.0 --startMP 204:233017 --initTime 2017-03-06T22:41:20 --startdatetime 2017-03-06T22:56:47 --delay 1 --endMP 204:145 --enddatetime 2017-03-06T23:40:44 --enforcementcount 0 &gt;&gt;C:\Users\stu\Documents\GitHub\eaglep3-reporting\EC\2017-03-06-refined-times.txt</v>
      </c>
      <c r="AI149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{"issue":{"subject":"","project_id":79,"tracker_id":40,"status_id":1,"priority_id":2,"assigned_to_id":23,"start_date":"2017-03-06","description":"","custom_fields":[{"id":1,"name":"Subdivision","value":"EC"},{"id":4,"name":"Milepost","value":"0.0145"},{"id":17,"name":"Train ID","value":"234-06"},{"id":16,"name":"Locomotive ID","value":"4052"},{"id":130,"name":"Impact","value":""},{"id":150,"name":"Time of Event (Mountain Time)","value":"23:40:44"},{"id":151,"name":"Denver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6"/>
        <v>start /low /b %USERPROFILE%\Documents\GitHub\eaglep3\Utilities\DownloadLogsFromS3.py --loco 4052 --day 2017-03-06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776</v>
      </c>
      <c r="B150" s="7">
        <v>4053</v>
      </c>
      <c r="C150" s="21" t="s">
        <v>245</v>
      </c>
      <c r="D150" s="21" t="s">
        <v>219</v>
      </c>
      <c r="E150" s="13">
        <v>42800.927997685183</v>
      </c>
      <c r="F150" s="13">
        <v>42800.937685185185</v>
      </c>
      <c r="G150" s="7">
        <v>2</v>
      </c>
      <c r="H150" s="21" t="s">
        <v>867</v>
      </c>
      <c r="I150" s="13">
        <v>42800.965902777774</v>
      </c>
      <c r="J150" s="7">
        <v>0</v>
      </c>
      <c r="K150" s="98" t="str">
        <f t="shared" ref="K150:K171" si="90">IF(ISEVEN(B150),(B150-1)&amp;"/"&amp;B150,B150&amp;"/"&amp;(B150+1))</f>
        <v>4053/4054</v>
      </c>
      <c r="L150" s="21" t="str">
        <f>VLOOKUP(A150,'Trips&amp;Operators'!$C$1:$G$99999,5,FALSE)</f>
        <v>DUNCAN SHEILA</v>
      </c>
      <c r="M150" s="6">
        <f t="shared" ref="M150:M171" si="91">I150-F150</f>
        <v>2.8217592589498963E-2</v>
      </c>
      <c r="N150" s="7">
        <f t="shared" si="87"/>
        <v>40.633333328878507</v>
      </c>
      <c r="O150" s="7"/>
      <c r="P150" s="7"/>
      <c r="Q150" s="22"/>
      <c r="R150" s="22"/>
      <c r="S150" s="31">
        <f t="shared" si="83"/>
        <v>1</v>
      </c>
      <c r="T150" s="46" t="str">
        <f t="shared" ref="T150:T171" si="92">IF(ISEVEN(LEFT(AD150,4)),"Southbound","NorthBound")</f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79"/>
        <v>https://d0f6bd738d7f1b3e5a7ca70fe4ff75f0.us-east-1.aws.found.io/app/kibana#/discover/Steve-Slow-Train-Analysis-(2080s-and-2083s)?_g=(refreshInterval:(display:Off,pause:!f,section:0,value:0),time:(from:'2017-03-06T21:16:19-0700',mode:absolute,to:'2017-03-07T00:10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7" t="str">
        <f t="shared" ref="W150:W171" si="93">IF(AA150&lt;IF(AG150="EC",23,5.65),"Y","N")</f>
        <v>N</v>
      </c>
      <c r="X150" s="187">
        <f t="shared" si="82"/>
        <v>1</v>
      </c>
      <c r="Y150" s="62">
        <f t="shared" si="88"/>
        <v>4.5699999999999998E-2</v>
      </c>
      <c r="Z150" s="62">
        <f t="shared" si="89"/>
        <v>23.328700000000001</v>
      </c>
      <c r="AA150" s="62">
        <f t="shared" ref="AA150:AA171" si="94">ABS(Z150-Y150)</f>
        <v>23.283000000000001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ref="AD150:AD171" si="95">IF(LEN(A150)=6,"0"&amp;A150,A150)</f>
        <v>0235-06</v>
      </c>
      <c r="AE150" s="85" t="str">
        <f t="shared" si="80"/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AF150" s="82" t="str">
        <f t="shared" si="81"/>
        <v>"C:\Program Files (x86)\AstroGrep\AstroGrep.exe" /e /r /s /spath="%USERPROFILE%\AppData\Local\Temp\OnboardLogs" /stypes="app*4053*20170307*" /stext=" 06:.+((SYSTEM_STATE.+slice.+state.+changed )|(ment ac)|(multiple cpu faults)|(system.+state.+changed )|(\[timeout)|(PRM\|1\|D)|(kpr)|(kdp)|(\|lc)|(penalty))"</v>
      </c>
      <c r="AG150" s="1" t="str">
        <f t="shared" ref="AG150:AG171" si="96">IFERROR(IF(VALUE(LEFT(AD150,2))&lt;=2,"EC",IF(OR(VALUE(LEFT(AD150,2))=8,VALUE(LEFT(AD150,2))=18),"NW","Other")),"Other")</f>
        <v>EC</v>
      </c>
      <c r="AH150" s="86" t="str">
        <f t="shared" si="64"/>
        <v>"%USERPROFILE%\Documents\GitHub\eaglep3\Utilities\RefineRTDCRunTimes.py" --tripid 235-06 --locoid 4053 --swversion DE.1.0.9.0 --startMP 204:457 --initTime 2017-03-06T22:16:19 --startdatetime 2017-03-06T22:30:16 --delay 2 --endMP 204:233287 --enddatetime 2017-03-06T23:10:54 --enforcementcount 0 &gt;&gt;C:\Users\stu\Documents\GitHub\eaglep3-reporting\EC\2017-03-06-refined-times.txt</v>
      </c>
      <c r="AI150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{"issue":{"subject":"","project_id":79,"tracker_id":40,"status_id":1,"priority_id":2,"assigned_to_id":23,"start_date":"2017-03-06","description":"","custom_fields":[{"id":1,"name":"Subdivision","value":"EC"},{"id":4,"name":"Milepost","value":"23.3287"},{"id":17,"name":"Train ID","value":"235-06"},{"id":16,"name":"Locomotive ID","value":"4053"},{"id":130,"name":"Impact","value":""},{"id":150,"name":"Time of Event (Mountain Time)","value":"23:10:54"},{"id":151,"name":"Denver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6"/>
        <v>start /low /b %USERPROFILE%\Documents\GitHub\eaglep3\Utilities\DownloadLogsFromS3.py --loco 4053 --day 2017-03-06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780</v>
      </c>
      <c r="B151" s="7">
        <v>4054</v>
      </c>
      <c r="C151" s="21" t="s">
        <v>245</v>
      </c>
      <c r="D151" s="21" t="s">
        <v>283</v>
      </c>
      <c r="E151" s="13">
        <v>42800.969780092593</v>
      </c>
      <c r="F151" s="13">
        <v>42800.976539351854</v>
      </c>
      <c r="G151" s="7">
        <v>1</v>
      </c>
      <c r="H151" s="21" t="s">
        <v>203</v>
      </c>
      <c r="I151" s="13">
        <v>42801.006863425922</v>
      </c>
      <c r="J151" s="7">
        <v>0</v>
      </c>
      <c r="K151" s="98" t="str">
        <f t="shared" si="90"/>
        <v>4053/4054</v>
      </c>
      <c r="L151" s="21" t="str">
        <f>VLOOKUP(A151,'Trips&amp;Operators'!$C$1:$G$99999,5,FALSE)</f>
        <v>DUNCAN SHEILA</v>
      </c>
      <c r="M151" s="6">
        <f t="shared" si="91"/>
        <v>3.032407406863058E-2</v>
      </c>
      <c r="N151" s="7">
        <f t="shared" si="87"/>
        <v>43.666666658828035</v>
      </c>
      <c r="O151" s="7"/>
      <c r="P151" s="7"/>
      <c r="Q151" s="22"/>
      <c r="R151" s="22"/>
      <c r="S151" s="31">
        <f t="shared" si="83"/>
        <v>1</v>
      </c>
      <c r="T151" s="46" t="str">
        <f t="shared" si="92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79"/>
        <v>https://d0f6bd738d7f1b3e5a7ca70fe4ff75f0.us-east-1.aws.found.io/app/kibana#/discover/Steve-Slow-Train-Analysis-(2080s-and-2083s)?_g=(refreshInterval:(display:Off,pause:!f,section:0,value:0),time:(from:'2017-03-06T22:16:29-0700',mode:absolute,to:'2017-03-07T01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7" t="str">
        <f t="shared" si="93"/>
        <v>N</v>
      </c>
      <c r="X151" s="187">
        <f t="shared" si="82"/>
        <v>1</v>
      </c>
      <c r="Y151" s="62">
        <f t="shared" si="88"/>
        <v>23.3004</v>
      </c>
      <c r="Z151" s="62">
        <f t="shared" si="89"/>
        <v>1.52E-2</v>
      </c>
      <c r="AA151" s="62">
        <f t="shared" si="94"/>
        <v>23.2852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95"/>
        <v>0236-06</v>
      </c>
      <c r="AE151" s="85" t="str">
        <f t="shared" si="80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151" s="82" t="str">
        <f t="shared" si="81"/>
        <v>"C:\Program Files (x86)\AstroGrep\AstroGrep.exe" /e /r /s /spath="%USERPROFILE%\AppData\Local\Temp\OnboardLogs" /stypes="app*4054*20170307*" /stext=" 07:.+((SYSTEM_STATE.+slice.+state.+changed )|(ment ac)|(multiple cpu faults)|(system.+state.+changed )|(\[timeout)|(PRM\|1\|D)|(kpr)|(kdp)|(\|lc)|(penalty))"</v>
      </c>
      <c r="AG151" s="1" t="str">
        <f t="shared" si="96"/>
        <v>EC</v>
      </c>
      <c r="AH151" s="86" t="str">
        <f t="shared" si="64"/>
        <v>"%USERPROFILE%\Documents\GitHub\eaglep3\Utilities\RefineRTDCRunTimes.py" --tripid 236-06 --locoid 4054 --swversion DE.1.0.9.0 --startMP 204:233004 --initTime 2017-03-06T23:16:29 --startdatetime 2017-03-06T23:26:13 --delay 1 --endMP 204:152 --enddatetime 2017-03-07T00:09:53 --enforcementcount 0 &gt;&gt;C:\Users\stu\Documents\GitHub\eaglep3-reporting\EC\2017-03-06-refined-times.txt</v>
      </c>
      <c r="AI151" s="108" t="str">
        <f t="shared" si="65"/>
        <v>echo {"issue":{"subject":"","project_id":79,"tracker_id":40,"status_id":1,"priority_id":2,"assigned_to_id":23,"start_date":"2017-03-07","description":"","custom_fields":[{"id":1,"name":"Subdivision","value":"EC"},{"id":4,"name":"Milepost","value":"0.0152"},{"id":17,"name":"Train ID","value":"236-06"},{"id":16,"name":"Locomotive ID","value":"4054"},{"id":130,"name":"Impact","value":""},{"id":150,"name":"Time of Event (Mountain Time)","value":"00:09:53"},{"id":151,"name":"Denver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6"/>
        <v>start /low /b %USERPROFILE%\Documents\GitHub\eaglep3\Utilities\DownloadLogsFromS3.py --loco 4054 --day 2017-03-06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</row>
    <row r="152" spans="1:91" s="20" customFormat="1" x14ac:dyDescent="0.25">
      <c r="A152" s="33" t="s">
        <v>601</v>
      </c>
      <c r="B152" s="7">
        <v>4029</v>
      </c>
      <c r="C152" s="21" t="s">
        <v>245</v>
      </c>
      <c r="D152" s="21" t="s">
        <v>246</v>
      </c>
      <c r="E152" s="13">
        <v>42800.95416666667</v>
      </c>
      <c r="F152" s="13">
        <v>42800.958668981482</v>
      </c>
      <c r="G152" s="7">
        <v>1</v>
      </c>
      <c r="H152" s="21" t="s">
        <v>868</v>
      </c>
      <c r="I152" s="13">
        <v>42800.992222222223</v>
      </c>
      <c r="J152" s="7">
        <v>0</v>
      </c>
      <c r="K152" s="98" t="str">
        <f t="shared" si="90"/>
        <v>4029/4030</v>
      </c>
      <c r="L152" s="21" t="str">
        <f>VLOOKUP(A152,'Trips&amp;Operators'!$C$1:$G$99999,5,FALSE)</f>
        <v>CHANDLER KELVIN</v>
      </c>
      <c r="M152" s="6">
        <f t="shared" si="91"/>
        <v>3.3553240740729962E-2</v>
      </c>
      <c r="N152" s="7">
        <f t="shared" si="87"/>
        <v>48.316666666651145</v>
      </c>
      <c r="O152" s="7"/>
      <c r="P152" s="7"/>
      <c r="Q152" s="22"/>
      <c r="R152" s="22"/>
      <c r="S152" s="31">
        <f t="shared" si="83"/>
        <v>1</v>
      </c>
      <c r="T152" s="46" t="str">
        <f t="shared" si="92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79"/>
        <v>https://d0f6bd738d7f1b3e5a7ca70fe4ff75f0.us-east-1.aws.found.io/app/kibana#/discover/Steve-Slow-Train-Analysis-(2080s-and-2083s)?_g=(refreshInterval:(display:Off,pause:!f,section:0,value:0),time:(from:'2017-03-06T21:54:00-0700',mode:absolute,to:'2017-03-07T00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7" t="str">
        <f t="shared" si="93"/>
        <v>N</v>
      </c>
      <c r="X152" s="187">
        <f t="shared" ref="X152:X171" si="97">VALUE(LEFT(AD152,4))-VALUE(LEFT(AD151,4))</f>
        <v>1</v>
      </c>
      <c r="Y152" s="62">
        <f t="shared" si="88"/>
        <v>4.58E-2</v>
      </c>
      <c r="Z152" s="62">
        <v>23.3</v>
      </c>
      <c r="AA152" s="62">
        <f t="shared" si="94"/>
        <v>23.254200000000001</v>
      </c>
      <c r="AB152" s="59" t="str">
        <f>VLOOKUP(A152,Enforcements!$C$7:$K$13,8,0)</f>
        <v>Bulletin (2)</v>
      </c>
      <c r="AC152" s="55" t="str">
        <f>VLOOKUP(A152,Enforcements!$C$7:$E$13,3,0)</f>
        <v>GRADE CROSSING</v>
      </c>
      <c r="AD152" s="56" t="str">
        <f t="shared" si="95"/>
        <v>0237-06</v>
      </c>
      <c r="AE152" s="85" t="str">
        <f t="shared" si="80"/>
        <v>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 &amp; aws s3 cp s3://rtdc.mdm.uploadarchive.raw/RTDC4029/ "%USERPROFILE%\AppData\Local\Temp\OnboardLogs"\RTDC4029\2017-03-07 --exclude "*" --recursive --include "*20170307*" &amp; "%USERPROFILE%\Documents\GitHub\mrs-test-scripts\Headless Mode &amp; Sideloading\WalkAndUnGZ.bat" "%USERPROFILE%\AppData\Local\Temp\OnboardLogs"\RTDC4029\2017-03-07</v>
      </c>
      <c r="AF152" s="82" t="str">
        <f t="shared" si="81"/>
        <v>"C:\Program Files (x86)\AstroGrep\AstroGrep.exe" /e /r /s /spath="%USERPROFILE%\AppData\Local\Temp\OnboardLogs" /stypes="app*4029*20170307*" /stext=" 06:.+((SYSTEM_STATE.+slice.+state.+changed )|(ment ac)|(multiple cpu faults)|(system.+state.+changed )|(\[timeout)|(PRM\|1\|D)|(kpr)|(kdp)|(\|lc)|(penalty))"</v>
      </c>
      <c r="AG152" s="1" t="str">
        <f t="shared" si="96"/>
        <v>EC</v>
      </c>
      <c r="AH152" s="86" t="str">
        <f t="shared" si="64"/>
        <v>"%USERPROFILE%\Documents\GitHub\eaglep3\Utilities\RefineRTDCRunTimes.py" --tripid 237-06 --locoid 4029 --swversion DE.1.0.9.0 --startMP 204:458 --initTime 2017-03-06T22:54:00 --startdatetime 2017-03-06T23:00:29 --delay 1 --endMP 204:101724 --enddatetime 2017-03-06T23:48:48 --enforcementcount 0 &gt;&gt;C:\Users\stu\Documents\GitHub\eaglep3-reporting\EC\2017-03-06-refined-times.txt</v>
      </c>
      <c r="AI152" s="108" t="str">
        <f t="shared" si="65"/>
        <v>echo {"issue":{"subject":"","project_id":79,"tracker_id":40,"status_id":1,"priority_id":2,"assigned_to_id":23,"start_date":"2017-03-06","description":"","custom_fields":[{"id":1,"name":"Subdivision","value":"EC"},{"id":4,"name":"Milepost","value":"23.3"},{"id":17,"name":"Train ID","value":"237-06"},{"id":16,"name":"Locomotive ID","value":"4029"},{"id":130,"name":"Impact","value":""},{"id":150,"name":"Time of Event (Mountain Time)","value":"23:48:48"},{"id":151,"name":"Denver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6"/>
        <v>start /low /b %USERPROFILE%\Documents\GitHub\eaglep3\Utilities\DownloadLogsFromS3.py --loco 4029 --day 2017-03-06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"%USERPROFILE%\AppData\Local\Temp\OnboardLogs"\RTDC4029\*4029*20170307* | grep -SE "(Enforcement Action)|(\[TIMEOUT)|(CHR.+\|PRM\|1\|D.+(SWITCH|SIGNAL).+UNKNOWN)" - &gt;&gt; 2017-03-06-UncaughtWiMAX.txt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782</v>
      </c>
      <c r="B153" s="7">
        <v>4030</v>
      </c>
      <c r="C153" s="21" t="s">
        <v>245</v>
      </c>
      <c r="D153" s="21" t="s">
        <v>869</v>
      </c>
      <c r="E153" s="13">
        <v>42800.996400462966</v>
      </c>
      <c r="F153" s="13">
        <v>42800.997777777775</v>
      </c>
      <c r="G153" s="7">
        <v>1</v>
      </c>
      <c r="H153" s="21" t="s">
        <v>476</v>
      </c>
      <c r="I153" s="13">
        <v>42801.030115740738</v>
      </c>
      <c r="J153" s="7">
        <v>0</v>
      </c>
      <c r="K153" s="98" t="str">
        <f t="shared" si="90"/>
        <v>4029/4030</v>
      </c>
      <c r="L153" s="21" t="str">
        <f>VLOOKUP(A153,'Trips&amp;Operators'!$C$1:$G$99999,5,FALSE)</f>
        <v>CHANDLER KELVIN</v>
      </c>
      <c r="M153" s="6">
        <f t="shared" si="91"/>
        <v>3.2337962962628808E-2</v>
      </c>
      <c r="N153" s="7">
        <f t="shared" si="87"/>
        <v>46.566666666185483</v>
      </c>
      <c r="O153" s="7"/>
      <c r="P153" s="7"/>
      <c r="Q153" s="22"/>
      <c r="R153" s="22"/>
      <c r="S153" s="31">
        <f t="shared" si="83"/>
        <v>1</v>
      </c>
      <c r="T153" s="46" t="str">
        <f t="shared" si="92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79"/>
        <v>https://d0f6bd738d7f1b3e5a7ca70fe4ff75f0.us-east-1.aws.found.io/app/kibana#/discover/Steve-Slow-Train-Analysis-(2080s-and-2083s)?_g=(refreshInterval:(display:Off,pause:!f,section:0,value:0),time:(from:'2017-03-06T22:54:49-0700',mode:absolute,to:'2017-03-07T01:43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87" t="str">
        <f t="shared" si="93"/>
        <v>N</v>
      </c>
      <c r="X153" s="187">
        <f t="shared" si="97"/>
        <v>1</v>
      </c>
      <c r="Y153" s="62">
        <f t="shared" si="88"/>
        <v>23.295999999999999</v>
      </c>
      <c r="Z153" s="62">
        <f t="shared" ref="Z153:Z171" si="98">RIGHT(H153,LEN(H153)-4)/10000</f>
        <v>1.43E-2</v>
      </c>
      <c r="AA153" s="62">
        <f t="shared" si="94"/>
        <v>23.281700000000001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95"/>
        <v>0238-06</v>
      </c>
      <c r="AE153" s="85" t="str">
        <f t="shared" si="80"/>
        <v>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 &amp; aws s3 cp s3://rtdc.mdm.uploadarchive.raw/RTDC4030/ "%USERPROFILE%\AppData\Local\Temp\OnboardLogs"\RTDC4030\2017-03-07 --exclude "*" --recursive --include "*20170307*" &amp; "%USERPROFILE%\Documents\GitHub\mrs-test-scripts\Headless Mode &amp; Sideloading\WalkAndUnGZ.bat" "%USERPROFILE%\AppData\Local\Temp\OnboardLogs"\RTDC4030\2017-03-07</v>
      </c>
      <c r="AF153" s="82" t="str">
        <f t="shared" si="81"/>
        <v>"C:\Program Files (x86)\AstroGrep\AstroGrep.exe" /e /r /s /spath="%USERPROFILE%\AppData\Local\Temp\OnboardLogs" /stypes="app*4030*20170307*" /stext=" 07:.+((SYSTEM_STATE.+slice.+state.+changed )|(ment ac)|(multiple cpu faults)|(system.+state.+changed )|(\[timeout)|(PRM\|1\|D)|(kpr)|(kdp)|(\|lc)|(penalty))"</v>
      </c>
      <c r="AG153" s="1" t="str">
        <f t="shared" si="96"/>
        <v>EC</v>
      </c>
      <c r="AH153" s="86" t="str">
        <f t="shared" si="64"/>
        <v>"%USERPROFILE%\Documents\GitHub\eaglep3\Utilities\RefineRTDCRunTimes.py" --tripid 238-06 --locoid 4030 --swversion DE.1.0.9.0 --startMP 204:232960 --initTime 2017-03-06T23:54:49 --startdatetime 2017-03-06T23:56:48 --delay 1 --endMP 204:143 --enddatetime 2017-03-07T00:43:22 --enforcementcount 0 &gt;&gt;C:\Users\stu\Documents\GitHub\eaglep3-reporting\EC\2017-03-06-refined-times.txt</v>
      </c>
      <c r="AI153" s="108" t="str">
        <f t="shared" si="65"/>
        <v>echo {"issue":{"subject":"","project_id":79,"tracker_id":40,"status_id":1,"priority_id":2,"assigned_to_id":23,"start_date":"2017-03-07","description":"","custom_fields":[{"id":1,"name":"Subdivision","value":"EC"},{"id":4,"name":"Milepost","value":"0.0143"},{"id":17,"name":"Train ID","value":"238-06"},{"id":16,"name":"Locomotive ID","value":"4030"},{"id":130,"name":"Impact","value":""},{"id":150,"name":"Time of Event (Mountain Time)","value":"00:43:22"},{"id":151,"name":"Denver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6"/>
        <v>start /low /b %USERPROFILE%\Documents\GitHub\eaglep3\Utilities\DownloadLogsFromS3.py --loco 4030 --day 2017-03-06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"%USERPROFILE%\AppData\Local\Temp\OnboardLogs"\RTDC4030\*4030*20170307* | grep -SE "(Enforcement Action)|(\[TIMEOUT)|(CHR.+\|PRM\|1\|D.+(SWITCH|SIGNAL).+UNKNOWN)" - &gt;&gt; 2017-03-06-UncaughtWiMAX.txt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779</v>
      </c>
      <c r="B154" s="7">
        <v>4003</v>
      </c>
      <c r="C154" s="21" t="s">
        <v>245</v>
      </c>
      <c r="D154" s="21" t="s">
        <v>201</v>
      </c>
      <c r="E154" s="13">
        <v>42800.968726851854</v>
      </c>
      <c r="F154" s="13">
        <v>42800.979375000003</v>
      </c>
      <c r="G154" s="7">
        <v>1</v>
      </c>
      <c r="H154" s="21" t="s">
        <v>870</v>
      </c>
      <c r="I154" s="13">
        <v>42801.005613425928</v>
      </c>
      <c r="J154" s="7">
        <v>0</v>
      </c>
      <c r="K154" s="98" t="str">
        <f t="shared" si="90"/>
        <v>4003/4004</v>
      </c>
      <c r="L154" s="21" t="str">
        <f>VLOOKUP(A154,'Trips&amp;Operators'!$C$1:$G$99999,5,FALSE)</f>
        <v>SMITH MICHAEL</v>
      </c>
      <c r="M154" s="6">
        <f t="shared" si="91"/>
        <v>2.6238425925839692E-2</v>
      </c>
      <c r="N154" s="7">
        <f t="shared" si="87"/>
        <v>37.783333333209157</v>
      </c>
      <c r="O154" s="7"/>
      <c r="P154" s="7"/>
      <c r="Q154" s="22"/>
      <c r="R154" s="22"/>
      <c r="S154" s="31">
        <f t="shared" si="83"/>
        <v>1</v>
      </c>
      <c r="T154" s="46" t="str">
        <f t="shared" si="92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79"/>
        <v>https://d0f6bd738d7f1b3e5a7ca70fe4ff75f0.us-east-1.aws.found.io/app/kibana#/discover/Steve-Slow-Train-Analysis-(2080s-and-2083s)?_g=(refreshInterval:(display:Off,pause:!f,section:0,value:0),time:(from:'2017-03-06T22:14:58-0700',mode:absolute,to:'2017-03-07T01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4" s="187" t="str">
        <f t="shared" si="93"/>
        <v>N</v>
      </c>
      <c r="X154" s="187">
        <f t="shared" si="97"/>
        <v>1</v>
      </c>
      <c r="Y154" s="62">
        <f t="shared" si="88"/>
        <v>4.6199999999999998E-2</v>
      </c>
      <c r="Z154" s="62">
        <f t="shared" si="98"/>
        <v>23.326799999999999</v>
      </c>
      <c r="AA154" s="62">
        <f t="shared" si="94"/>
        <v>23.2806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95"/>
        <v>0239-06</v>
      </c>
      <c r="AE154" s="85" t="str">
        <f t="shared" si="80"/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AF154" s="82" t="str">
        <f t="shared" si="81"/>
        <v>"C:\Program Files (x86)\AstroGrep\AstroGrep.exe" /e /r /s /spath="%USERPROFILE%\AppData\Local\Temp\OnboardLogs" /stypes="app*4003*20170307*" /stext=" 07:.+((SYSTEM_STATE.+slice.+state.+changed )|(ment ac)|(multiple cpu faults)|(system.+state.+changed )|(\[timeout)|(PRM\|1\|D)|(kpr)|(kdp)|(\|lc)|(penalty))"</v>
      </c>
      <c r="AG154" s="1" t="str">
        <f t="shared" si="96"/>
        <v>EC</v>
      </c>
      <c r="AH154" s="86" t="str">
        <f t="shared" ref="AH154:AH217" si="99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239-06 --locoid 4003 --swversion DE.1.0.9.0 --startMP 204:462 --initTime 2017-03-06T23:14:58 --startdatetime 2017-03-06T23:30:18 --delay 1 --endMP 204:233268 --enddatetime 2017-03-07T00:08:05 --enforcementcount 0 &gt;&gt;C:\Users\stu\Documents\GitHub\eaglep3-reporting\EC\2017-03-06-refined-times.txt</v>
      </c>
      <c r="AI154" s="108" t="str">
        <f t="shared" ref="AI154:AI217" si="100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{"issue":{"subject":"","project_id":79,"tracker_id":40,"status_id":1,"priority_id":2,"assigned_to_id":23,"start_date":"2017-03-07","description":"","custom_fields":[{"id":1,"name":"Subdivision","value":"EC"},{"id":4,"name":"Milepost","value":"23.3268"},{"id":17,"name":"Train ID","value":"239-06"},{"id":16,"name":"Locomotive ID","value":"4003"},{"id":130,"name":"Impact","value":""},{"id":150,"name":"Time of Event (Mountain Time)","value":"00:08:05"},{"id":151,"name":"Denver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ref="AM154:AM217" si="101">"start /low /b "&amp;dls3logs&amp;" --loco "&amp;B154&amp;" --day "&amp;TEXT(F154,"YYYY-MM-DD")</f>
        <v>start /low /b %USERPROFILE%\Documents\GitHub\eaglep3\Utilities\DownloadLogsFromS3.py --loco 4003 --day 2017-03-06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783</v>
      </c>
      <c r="B155" s="7">
        <v>4004</v>
      </c>
      <c r="C155" s="21" t="s">
        <v>245</v>
      </c>
      <c r="D155" s="21" t="s">
        <v>871</v>
      </c>
      <c r="E155" s="13">
        <v>42801.009756944448</v>
      </c>
      <c r="F155" s="13">
        <v>42801.018263888887</v>
      </c>
      <c r="G155" s="7">
        <v>1</v>
      </c>
      <c r="H155" s="21" t="s">
        <v>235</v>
      </c>
      <c r="I155" s="13">
        <v>42801.047638888886</v>
      </c>
      <c r="J155" s="7">
        <v>0</v>
      </c>
      <c r="K155" s="98" t="str">
        <f t="shared" si="90"/>
        <v>4003/4004</v>
      </c>
      <c r="L155" s="21" t="str">
        <f>VLOOKUP(A155,'Trips&amp;Operators'!$C$1:$G$99999,5,FALSE)</f>
        <v>SMITH MICHAEL</v>
      </c>
      <c r="M155" s="6">
        <f t="shared" si="91"/>
        <v>2.937499999825377E-2</v>
      </c>
      <c r="N155" s="7">
        <f t="shared" si="87"/>
        <v>42.299999997485429</v>
      </c>
      <c r="O155" s="7"/>
      <c r="P155" s="7"/>
      <c r="Q155" s="22"/>
      <c r="R155" s="22"/>
      <c r="S155" s="31">
        <f t="shared" si="83"/>
        <v>1</v>
      </c>
      <c r="T155" s="46" t="str">
        <f t="shared" si="92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79"/>
        <v>https://d0f6bd738d7f1b3e5a7ca70fe4ff75f0.us-east-1.aws.found.io/app/kibana#/discover/Steve-Slow-Train-Analysis-(2080s-and-2083s)?_g=(refreshInterval:(display:Off,pause:!f,section:0,value:0),time:(from:'2017-03-06T23:14:03-0700',mode:absolute,to:'2017-03-07T02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187" t="str">
        <f t="shared" si="93"/>
        <v>N</v>
      </c>
      <c r="X155" s="187">
        <f t="shared" si="97"/>
        <v>1</v>
      </c>
      <c r="Y155" s="62">
        <f t="shared" si="88"/>
        <v>23.296600000000002</v>
      </c>
      <c r="Z155" s="62">
        <f t="shared" si="98"/>
        <v>1.5599999999999999E-2</v>
      </c>
      <c r="AA155" s="62">
        <f t="shared" si="94"/>
        <v>23.281000000000002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95"/>
        <v>0240-06</v>
      </c>
      <c r="AE155" s="85" t="str">
        <f t="shared" si="80"/>
        <v>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 &amp; aws s3 cp s3://rtdc.mdm.uploadarchive.raw/RTDC4004/ "%USERPROFILE%\AppData\Local\Temp\OnboardLogs"\RTDC4004\2017-03-08 --exclude "*" --recursive --include "*20170308*" &amp; "%USERPROFILE%\Documents\GitHub\mrs-test-scripts\Headless Mode &amp; Sideloading\WalkAndUnGZ.bat" "%USERPROFILE%\AppData\Local\Temp\OnboardLogs"\RTDC4004\2017-03-08</v>
      </c>
      <c r="AF155" s="82" t="str">
        <f t="shared" si="81"/>
        <v>"C:\Program Files (x86)\AstroGrep\AstroGrep.exe" /e /r /s /spath="%USERPROFILE%\AppData\Local\Temp\OnboardLogs" /stypes="app*4004*20170307*" /stext=" 08:.+((SYSTEM_STATE.+slice.+state.+changed )|(ment ac)|(multiple cpu faults)|(system.+state.+changed )|(\[timeout)|(PRM\|1\|D)|(kpr)|(kdp)|(\|lc)|(penalty))"</v>
      </c>
      <c r="AG155" s="1" t="str">
        <f t="shared" si="96"/>
        <v>EC</v>
      </c>
      <c r="AH155" s="86" t="str">
        <f t="shared" si="99"/>
        <v>"%USERPROFILE%\Documents\GitHub\eaglep3\Utilities\RefineRTDCRunTimes.py" --tripid 240-06 --locoid 4004 --swversion DE.1.0.9.0 --startMP 204:232966 --initTime 2017-03-07T00:14:03 --startdatetime 2017-03-07T00:26:18 --delay 1 --endMP 204:156 --enddatetime 2017-03-07T01:08:36 --enforcementcount 0 &gt;&gt;C:\Users\stu\Documents\GitHub\eaglep3-reporting\EC\2017-03-06-refined-times.txt</v>
      </c>
      <c r="AI155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{"issue":{"subject":"","project_id":79,"tracker_id":40,"status_id":1,"priority_id":2,"assigned_to_id":23,"start_date":"2017-03-07","description":"","custom_fields":[{"id":1,"name":"Subdivision","value":"EC"},{"id":4,"name":"Milepost","value":"0.0156"},{"id":17,"name":"Train ID","value":"240-06"},{"id":16,"name":"Locomotive ID","value":"4004"},{"id":130,"name":"Impact","value":""},{"id":150,"name":"Time of Event (Mountain Time)","value":"01:08:36"},{"id":151,"name":"Denver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101"/>
        <v>start /low /b %USERPROFILE%\Documents\GitHub\eaglep3\Utilities\DownloadLogsFromS3.py --loco 4004 --day 2017-03-07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"%USERPROFILE%\AppData\Local\Temp\OnboardLogs"\RTDC4004\*4004*20170307* | grep -SE "(Enforcement Action)|(\[TIMEOUT)|(CHR.+\|PRM\|1\|D.+(SWITCH|SIGNAL).+UNKNOWN)" - &gt;&gt; 2017-03-06-UncaughtWiMAX.txt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781</v>
      </c>
      <c r="B156" s="7">
        <v>4051</v>
      </c>
      <c r="C156" s="21" t="s">
        <v>245</v>
      </c>
      <c r="D156" s="21" t="s">
        <v>220</v>
      </c>
      <c r="E156" s="13">
        <v>42800.988263888888</v>
      </c>
      <c r="F156" s="13">
        <v>42801.00037037037</v>
      </c>
      <c r="G156" s="7">
        <v>1</v>
      </c>
      <c r="H156" s="21" t="s">
        <v>251</v>
      </c>
      <c r="I156" s="13">
        <v>42801.02621527778</v>
      </c>
      <c r="J156" s="7">
        <v>0</v>
      </c>
      <c r="K156" s="98" t="str">
        <f t="shared" si="90"/>
        <v>4051/4052</v>
      </c>
      <c r="L156" s="21" t="str">
        <f>VLOOKUP(A156,'Trips&amp;Operators'!$C$1:$G$99999,5,FALSE)</f>
        <v>STAMBAUGH JAMES</v>
      </c>
      <c r="M156" s="6">
        <f t="shared" si="91"/>
        <v>2.584490740991896E-2</v>
      </c>
      <c r="N156" s="7">
        <f t="shared" si="87"/>
        <v>37.216666670283303</v>
      </c>
      <c r="O156" s="7"/>
      <c r="P156" s="7"/>
      <c r="Q156" s="22"/>
      <c r="R156" s="22"/>
      <c r="S156" s="31">
        <f t="shared" si="83"/>
        <v>1</v>
      </c>
      <c r="T156" s="46" t="str">
        <f t="shared" si="92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79"/>
        <v>https://d0f6bd738d7f1b3e5a7ca70fe4ff75f0.us-east-1.aws.found.io/app/kibana#/discover/Steve-Slow-Train-Analysis-(2080s-and-2083s)?_g=(refreshInterval:(display:Off,pause:!f,section:0,value:0),time:(from:'2017-03-06T22:43:06-0700',mode:absolute,to:'2017-03-07T01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6" s="187" t="str">
        <f t="shared" si="93"/>
        <v>N</v>
      </c>
      <c r="X156" s="187">
        <f t="shared" si="97"/>
        <v>1</v>
      </c>
      <c r="Y156" s="62">
        <f t="shared" si="88"/>
        <v>4.5999999999999999E-2</v>
      </c>
      <c r="Z156" s="62">
        <f t="shared" si="98"/>
        <v>23.331399999999999</v>
      </c>
      <c r="AA156" s="62">
        <f t="shared" si="94"/>
        <v>23.285399999999999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95"/>
        <v>0241-06</v>
      </c>
      <c r="AE156" s="85" t="str">
        <f t="shared" si="80"/>
        <v>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 &amp; 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</v>
      </c>
      <c r="AF156" s="82" t="str">
        <f t="shared" si="81"/>
        <v>"C:\Program Files (x86)\AstroGrep\AstroGrep.exe" /e /r /s /spath="%USERPROFILE%\AppData\Local\Temp\OnboardLogs" /stypes="app*4051*20170307*" /stext=" 07:.+((SYSTEM_STATE.+slice.+state.+changed )|(ment ac)|(multiple cpu faults)|(system.+state.+changed )|(\[timeout)|(PRM\|1\|D)|(kpr)|(kdp)|(\|lc)|(penalty))"</v>
      </c>
      <c r="AG156" s="1" t="str">
        <f t="shared" si="96"/>
        <v>EC</v>
      </c>
      <c r="AH156" s="86" t="str">
        <f t="shared" si="99"/>
        <v>"%USERPROFILE%\Documents\GitHub\eaglep3\Utilities\RefineRTDCRunTimes.py" --tripid 241-06 --locoid 4051 --swversion DE.1.0.9.0 --startMP 204:460 --initTime 2017-03-06T23:43:06 --startdatetime 2017-03-07T00:00:32 --delay 1 --endMP 204:233314 --enddatetime 2017-03-07T00:37:45 --enforcementcount 0 &gt;&gt;C:\Users\stu\Documents\GitHub\eaglep3-reporting\EC\2017-03-06-refined-times.txt</v>
      </c>
      <c r="AI156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{"issue":{"subject":"","project_id":79,"tracker_id":40,"status_id":1,"priority_id":2,"assigned_to_id":23,"start_date":"2017-03-07","description":"","custom_fields":[{"id":1,"name":"Subdivision","value":"EC"},{"id":4,"name":"Milepost","value":"23.3314"},{"id":17,"name":"Train ID","value":"241-06"},{"id":16,"name":"Locomotive ID","value":"4051"},{"id":130,"name":"Impact","value":""},{"id":150,"name":"Time of Event (Mountain Time)","value":"00:37:45"},{"id":151,"name":"Denver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101"/>
        <v>start /low /b %USERPROFILE%\Documents\GitHub\eaglep3\Utilities\DownloadLogsFromS3.py --loco 4051 --day 2017-03-07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785</v>
      </c>
      <c r="B157" s="7">
        <v>4052</v>
      </c>
      <c r="C157" s="21" t="s">
        <v>245</v>
      </c>
      <c r="D157" s="21" t="s">
        <v>282</v>
      </c>
      <c r="E157" s="13">
        <v>42801.027592592596</v>
      </c>
      <c r="F157" s="13">
        <v>42801.040127314816</v>
      </c>
      <c r="G157" s="7">
        <v>4</v>
      </c>
      <c r="H157" s="21" t="s">
        <v>526</v>
      </c>
      <c r="I157" s="13">
        <v>42801.067928240744</v>
      </c>
      <c r="J157" s="7">
        <v>0</v>
      </c>
      <c r="K157" s="98" t="str">
        <f t="shared" si="90"/>
        <v>4051/4052</v>
      </c>
      <c r="L157" s="21" t="str">
        <f>VLOOKUP(A157,'Trips&amp;Operators'!$C$1:$G$99999,5,FALSE)</f>
        <v>STAMBAUGH JAMES</v>
      </c>
      <c r="M157" s="6">
        <f t="shared" si="91"/>
        <v>2.7800925927294884E-2</v>
      </c>
      <c r="N157" s="7">
        <f t="shared" si="87"/>
        <v>40.033333335304633</v>
      </c>
      <c r="O157" s="7"/>
      <c r="P157" s="7"/>
      <c r="Q157" s="22"/>
      <c r="R157" s="22"/>
      <c r="S157" s="31">
        <f t="shared" si="83"/>
        <v>1</v>
      </c>
      <c r="T157" s="46" t="str">
        <f t="shared" si="92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79"/>
        <v>https://d0f6bd738d7f1b3e5a7ca70fe4ff75f0.us-east-1.aws.found.io/app/kibana#/discover/Steve-Slow-Train-Analysis-(2080s-and-2083s)?_g=(refreshInterval:(display:Off,pause:!f,section:0,value:0),time:(from:'2017-03-06T23:39:44-0700',mode:absolute,to:'2017-03-07T02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87" t="str">
        <f t="shared" si="93"/>
        <v>N</v>
      </c>
      <c r="X157" s="187">
        <f t="shared" si="97"/>
        <v>1</v>
      </c>
      <c r="Y157" s="62">
        <f t="shared" si="88"/>
        <v>23.297899999999998</v>
      </c>
      <c r="Z157" s="62">
        <f t="shared" si="98"/>
        <v>1.6E-2</v>
      </c>
      <c r="AA157" s="62">
        <f t="shared" si="94"/>
        <v>23.2819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95"/>
        <v>0242-06</v>
      </c>
      <c r="AE157" s="85" t="str">
        <f t="shared" si="80"/>
        <v>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 &amp; aws s3 cp s3://rtdc.mdm.uploadarchive.raw/RTDC4052/ "%USERPROFILE%\AppData\Local\Temp\OnboardLogs"\RTDC4052\2017-03-08 --exclude "*" --recursive --include "*20170308*" &amp; "%USERPROFILE%\Documents\GitHub\mrs-test-scripts\Headless Mode &amp; Sideloading\WalkAndUnGZ.bat" "%USERPROFILE%\AppData\Local\Temp\OnboardLogs"\RTDC4052\2017-03-08</v>
      </c>
      <c r="AF157" s="82" t="str">
        <f t="shared" si="81"/>
        <v>"C:\Program Files (x86)\AstroGrep\AstroGrep.exe" /e /r /s /spath="%USERPROFILE%\AppData\Local\Temp\OnboardLogs" /stypes="app*4052*20170307*" /stext=" 08:.+((SYSTEM_STATE.+slice.+state.+changed )|(ment ac)|(multiple cpu faults)|(system.+state.+changed )|(\[timeout)|(PRM\|1\|D)|(kpr)|(kdp)|(\|lc)|(penalty))"</v>
      </c>
      <c r="AG157" s="1" t="str">
        <f t="shared" si="96"/>
        <v>EC</v>
      </c>
      <c r="AH157" s="86" t="str">
        <f t="shared" si="99"/>
        <v>"%USERPROFILE%\Documents\GitHub\eaglep3\Utilities\RefineRTDCRunTimes.py" --tripid 242-06 --locoid 4052 --swversion DE.1.0.9.0 --startMP 204:232979 --initTime 2017-03-07T00:39:44 --startdatetime 2017-03-07T00:57:47 --delay 4 --endMP 204:160 --enddatetime 2017-03-07T01:37:49 --enforcementcount 0 &gt;&gt;C:\Users\stu\Documents\GitHub\eaglep3-reporting\EC\2017-03-06-refined-times.txt</v>
      </c>
      <c r="AI157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{"issue":{"subject":"","project_id":79,"tracker_id":40,"status_id":1,"priority_id":2,"assigned_to_id":23,"start_date":"2017-03-07","description":"","custom_fields":[{"id":1,"name":"Subdivision","value":"EC"},{"id":4,"name":"Milepost","value":"0.016"},{"id":17,"name":"Train ID","value":"242-06"},{"id":16,"name":"Locomotive ID","value":"4052"},{"id":130,"name":"Impact","value":""},{"id":150,"name":"Time of Event (Mountain Time)","value":"01:37:49"},{"id":151,"name":"Denver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101"/>
        <v>start /low /b %USERPROFILE%\Documents\GitHub\eaglep3\Utilities\DownloadLogsFromS3.py --loco 4052 --day 2017-03-07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"%USERPROFILE%\AppData\Local\Temp\OnboardLogs"\RTDC4052\*4052*20170307* | grep -SE "(Enforcement Action)|(\[TIMEOUT)|(CHR.+\|PRM\|1\|D.+(SWITCH|SIGNAL).+UNKNOWN)" - &gt;&gt; 2017-03-06-UncaughtWiMAX.txt</v>
      </c>
    </row>
    <row r="158" spans="1:91" x14ac:dyDescent="0.25">
      <c r="A158" s="33" t="s">
        <v>784</v>
      </c>
      <c r="B158" s="7">
        <v>4053</v>
      </c>
      <c r="C158" s="21" t="s">
        <v>245</v>
      </c>
      <c r="D158" s="21" t="s">
        <v>233</v>
      </c>
      <c r="E158" s="13">
        <v>42801.011076388888</v>
      </c>
      <c r="F158" s="13">
        <v>42801.021134259259</v>
      </c>
      <c r="G158" s="7">
        <v>8</v>
      </c>
      <c r="H158" s="21" t="s">
        <v>872</v>
      </c>
      <c r="I158" s="13">
        <v>42801.048981481479</v>
      </c>
      <c r="J158" s="7">
        <v>0</v>
      </c>
      <c r="K158" s="98" t="str">
        <f t="shared" si="90"/>
        <v>4053/4054</v>
      </c>
      <c r="L158" s="21" t="str">
        <f>VLOOKUP(A158,'Trips&amp;Operators'!$C$1:$G$99999,5,FALSE)</f>
        <v>STORY SAMANTHA</v>
      </c>
      <c r="M158" s="6">
        <f t="shared" si="91"/>
        <v>2.7847222219861578E-2</v>
      </c>
      <c r="N158" s="7">
        <f t="shared" si="87"/>
        <v>40.099999996600673</v>
      </c>
      <c r="O158" s="7"/>
      <c r="P158" s="7"/>
      <c r="Q158" s="22"/>
      <c r="R158" s="22"/>
      <c r="S158" s="31">
        <f t="shared" si="83"/>
        <v>1</v>
      </c>
      <c r="T158" s="46" t="str">
        <f t="shared" si="92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79"/>
        <v>https://d0f6bd738d7f1b3e5a7ca70fe4ff75f0.us-east-1.aws.found.io/app/kibana#/discover/Steve-Slow-Train-Analysis-(2080s-and-2083s)?_g=(refreshInterval:(display:Off,pause:!f,section:0,value:0),time:(from:'2017-03-06T23:15:57-0700',mode:absolute,to:'2017-03-07T02:10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87" t="str">
        <f t="shared" si="93"/>
        <v>N</v>
      </c>
      <c r="X158" s="187">
        <f t="shared" si="97"/>
        <v>1</v>
      </c>
      <c r="Y158" s="62">
        <f t="shared" si="88"/>
        <v>4.3999999999999997E-2</v>
      </c>
      <c r="Z158" s="62">
        <f t="shared" si="98"/>
        <v>23.340399999999999</v>
      </c>
      <c r="AA158" s="62">
        <f t="shared" si="94"/>
        <v>23.296399999999998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95"/>
        <v>0243-06</v>
      </c>
      <c r="AE158" s="85" t="str">
        <f t="shared" si="80"/>
        <v>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 &amp; 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</v>
      </c>
      <c r="AF158" s="82" t="str">
        <f t="shared" si="81"/>
        <v>"C:\Program Files (x86)\AstroGrep\AstroGrep.exe" /e /r /s /spath="%USERPROFILE%\AppData\Local\Temp\OnboardLogs" /stypes="app*4053*20170307*" /stext=" 08:.+((SYSTEM_STATE.+slice.+state.+changed )|(ment ac)|(multiple cpu faults)|(system.+state.+changed )|(\[timeout)|(PRM\|1\|D)|(kpr)|(kdp)|(\|lc)|(penalty))"</v>
      </c>
      <c r="AG158" s="1" t="str">
        <f t="shared" si="96"/>
        <v>EC</v>
      </c>
      <c r="AH158" s="86" t="str">
        <f t="shared" si="99"/>
        <v>"%USERPROFILE%\Documents\GitHub\eaglep3\Utilities\RefineRTDCRunTimes.py" --tripid 243-06 --locoid 4053 --swversion DE.1.0.9.0 --startMP 204:440 --initTime 2017-03-07T00:15:57 --startdatetime 2017-03-07T00:30:26 --delay 8 --endMP 204:233404 --enddatetime 2017-03-07T01:10:32 --enforcementcount 0 &gt;&gt;C:\Users\stu\Documents\GitHub\eaglep3-reporting\EC\2017-03-06-refined-times.txt</v>
      </c>
      <c r="AI158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{"issue":{"subject":"","project_id":79,"tracker_id":40,"status_id":1,"priority_id":2,"assigned_to_id":23,"start_date":"2017-03-07","description":"","custom_fields":[{"id":1,"name":"Subdivision","value":"EC"},{"id":4,"name":"Milepost","value":"23.3404"},{"id":17,"name":"Train ID","value":"243-06"},{"id":16,"name":"Locomotive ID","value":"4053"},{"id":130,"name":"Impact","value":""},{"id":150,"name":"Time of Event (Mountain Time)","value":"01:10:32"},{"id":151,"name":"Denver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101"/>
        <v>start /low /b %USERPROFILE%\Documents\GitHub\eaglep3\Utilities\DownloadLogsFromS3.py --loco 4053 --day 2017-03-07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</row>
    <row r="159" spans="1:91" x14ac:dyDescent="0.25">
      <c r="A159" s="33" t="s">
        <v>788</v>
      </c>
      <c r="B159" s="7">
        <v>4054</v>
      </c>
      <c r="C159" s="21" t="s">
        <v>245</v>
      </c>
      <c r="D159" s="21" t="s">
        <v>864</v>
      </c>
      <c r="E159" s="13">
        <v>42801.053703703707</v>
      </c>
      <c r="F159" s="13">
        <v>42801.060162037036</v>
      </c>
      <c r="G159" s="7">
        <v>1</v>
      </c>
      <c r="H159" s="21" t="s">
        <v>845</v>
      </c>
      <c r="I159" s="13">
        <v>42801.093148148146</v>
      </c>
      <c r="J159" s="7">
        <v>0</v>
      </c>
      <c r="K159" s="98" t="str">
        <f t="shared" si="90"/>
        <v>4053/4054</v>
      </c>
      <c r="L159" s="21" t="str">
        <f>VLOOKUP(A159,'Trips&amp;Operators'!$C$1:$G$99999,5,FALSE)</f>
        <v>STORY SAMANTHA</v>
      </c>
      <c r="M159" s="6">
        <f t="shared" si="91"/>
        <v>3.2986111109494232E-2</v>
      </c>
      <c r="N159" s="7">
        <f t="shared" si="87"/>
        <v>47.499999997671694</v>
      </c>
      <c r="O159" s="7"/>
      <c r="P159" s="7"/>
      <c r="Q159" s="22"/>
      <c r="R159" s="22"/>
      <c r="S159" s="31">
        <f t="shared" si="83"/>
        <v>1</v>
      </c>
      <c r="T159" s="46" t="str">
        <f t="shared" si="92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79"/>
        <v>https://d0f6bd738d7f1b3e5a7ca70fe4ff75f0.us-east-1.aws.found.io/app/kibana#/discover/Steve-Slow-Train-Analysis-(2080s-and-2083s)?_g=(refreshInterval:(display:Off,pause:!f,section:0,value:0),time:(from:'2017-03-07T00:17:20-0700',mode:absolute,to:'2017-03-07T03:14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187" t="str">
        <f t="shared" si="93"/>
        <v>N</v>
      </c>
      <c r="X159" s="187">
        <f t="shared" si="97"/>
        <v>1</v>
      </c>
      <c r="Y159" s="62">
        <f t="shared" si="88"/>
        <v>23.3079</v>
      </c>
      <c r="Z159" s="62">
        <f t="shared" si="98"/>
        <v>1.6299999999999999E-2</v>
      </c>
      <c r="AA159" s="62">
        <f t="shared" si="94"/>
        <v>23.291599999999999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95"/>
        <v>0244-06</v>
      </c>
      <c r="AE159" s="85" t="str">
        <f t="shared" si="80"/>
        <v>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 &amp; aws s3 cp s3://rtdc.mdm.uploadarchive.raw/RTDC4054/ "%USERPROFILE%\AppData\Local\Temp\OnboardLogs"\RTDC4054\2017-03-08 --exclude "*" --recursive --include "*20170308*" &amp; "%USERPROFILE%\Documents\GitHub\mrs-test-scripts\Headless Mode &amp; Sideloading\WalkAndUnGZ.bat" "%USERPROFILE%\AppData\Local\Temp\OnboardLogs"\RTDC4054\2017-03-08</v>
      </c>
      <c r="AF159" s="82" t="str">
        <f t="shared" si="81"/>
        <v>"C:\Program Files (x86)\AstroGrep\AstroGrep.exe" /e /r /s /spath="%USERPROFILE%\AppData\Local\Temp\OnboardLogs" /stypes="app*4054*20170307*" /stext=" 09:.+((SYSTEM_STATE.+slice.+state.+changed )|(ment ac)|(multiple cpu faults)|(system.+state.+changed )|(\[timeout)|(PRM\|1\|D)|(kpr)|(kdp)|(\|lc)|(penalty))"</v>
      </c>
      <c r="AG159" s="1" t="str">
        <f t="shared" si="96"/>
        <v>EC</v>
      </c>
      <c r="AH159" s="86" t="str">
        <f t="shared" si="99"/>
        <v>"%USERPROFILE%\Documents\GitHub\eaglep3\Utilities\RefineRTDCRunTimes.py" --tripid 244-06 --locoid 4054 --swversion DE.1.0.9.0 --startMP 204:233079 --initTime 2017-03-07T01:17:20 --startdatetime 2017-03-07T01:26:38 --delay 1 --endMP 204:163 --enddatetime 2017-03-07T02:14:08 --enforcementcount 0 &gt;&gt;C:\Users\stu\Documents\GitHub\eaglep3-reporting\EC\2017-03-06-refined-times.txt</v>
      </c>
      <c r="AI159" s="108" t="str">
        <f t="shared" si="100"/>
        <v>echo {"issue":{"subject":"","project_id":79,"tracker_id":40,"status_id":1,"priority_id":2,"assigned_to_id":23,"start_date":"2017-03-07","description":"","custom_fields":[{"id":1,"name":"Subdivision","value":"EC"},{"id":4,"name":"Milepost","value":"0.0163"},{"id":17,"name":"Train ID","value":"244-06"},{"id":16,"name":"Locomotive ID","value":"4054"},{"id":130,"name":"Impact","value":""},{"id":150,"name":"Time of Event (Mountain Time)","value":"02:14:08"},{"id":151,"name":"Denver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101"/>
        <v>start /low /b %USERPROFILE%\Documents\GitHub\eaglep3\Utilities\DownloadLogsFromS3.py --loco 4054 --day 2017-03-07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"%USERPROFILE%\AppData\Local\Temp\OnboardLogs"\RTDC4054\*4054*20170307* | grep -SE "(Enforcement Action)|(\[TIMEOUT)|(CHR.+\|PRM\|1\|D.+(SWITCH|SIGNAL).+UNKNOWN)" - &gt;&gt; 2017-03-06-UncaughtWiMAX.txt</v>
      </c>
    </row>
    <row r="160" spans="1:91" x14ac:dyDescent="0.25">
      <c r="A160" s="33" t="s">
        <v>552</v>
      </c>
      <c r="B160" s="7">
        <v>4013</v>
      </c>
      <c r="C160" s="21" t="s">
        <v>245</v>
      </c>
      <c r="D160" s="21" t="s">
        <v>898</v>
      </c>
      <c r="E160" s="13">
        <v>42800.216909722221</v>
      </c>
      <c r="F160" s="13">
        <v>42800.218043981484</v>
      </c>
      <c r="G160" s="7">
        <v>1</v>
      </c>
      <c r="H160" s="21" t="s">
        <v>899</v>
      </c>
      <c r="I160" s="13">
        <v>42800.227349537039</v>
      </c>
      <c r="J160" s="7">
        <v>0</v>
      </c>
      <c r="K160" s="98" t="str">
        <f t="shared" si="90"/>
        <v>4013/4014</v>
      </c>
      <c r="L160" s="21" t="str">
        <f>VLOOKUP(A160,'Trips&amp;Operators'!$C$1:$G$99999,5,FALSE)</f>
        <v>DAVIS WENDY</v>
      </c>
      <c r="M160" s="6">
        <f t="shared" si="91"/>
        <v>9.3055555553291924E-3</v>
      </c>
      <c r="N160" s="7">
        <f t="shared" si="87"/>
        <v>13.399999999674037</v>
      </c>
      <c r="O160" s="7"/>
      <c r="P160" s="7"/>
      <c r="Q160" s="22"/>
      <c r="R160" s="22"/>
      <c r="S160" s="31">
        <f t="shared" si="83"/>
        <v>1</v>
      </c>
      <c r="T160" s="46" t="str">
        <f t="shared" si="92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79"/>
        <v>https://d0f6bd738d7f1b3e5a7ca70fe4ff75f0.us-east-1.aws.found.io/app/kibana#/discover/Steve-Slow-Train-Analysis-(2080s-and-2083s)?_g=(refreshInterval:(display:Off,pause:!f,section:0,value:0),time:(from:'2017-03-06T04:12:21-0700',mode:absolute,to:'2017-03-06T06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7" t="str">
        <f t="shared" si="93"/>
        <v>N</v>
      </c>
      <c r="X160" s="187">
        <f t="shared" si="97"/>
        <v>556</v>
      </c>
      <c r="Y160" s="62">
        <f t="shared" si="88"/>
        <v>5.87</v>
      </c>
      <c r="Z160" s="62">
        <f t="shared" si="98"/>
        <v>6.2899999999999998E-2</v>
      </c>
      <c r="AA160" s="62">
        <f t="shared" si="94"/>
        <v>5.8071000000000002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95"/>
        <v>0800-06</v>
      </c>
      <c r="AE160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60" s="82" t="str">
        <f t="shared" si="81"/>
        <v>"C:\Program Files (x86)\AstroGrep\AstroGrep.exe" /e /r /s /spath="%USERPROFILE%\AppData\Local\Temp\OnboardLogs" /stypes="app*4013*20170306*" /stext=" 12:.+((SYSTEM_STATE.+slice.+state.+changed )|(ment ac)|(multiple cpu faults)|(system.+state.+changed )|(\[timeout)|(PRM\|1\|D)|(kpr)|(kdp)|(\|lc)|(penalty))"</v>
      </c>
      <c r="AG160" s="1" t="str">
        <f t="shared" si="96"/>
        <v>NW</v>
      </c>
      <c r="AH160" s="86" t="str">
        <f t="shared" si="99"/>
        <v>"%USERPROFILE%\Documents\GitHub\eaglep3\Utilities\RefineRTDCRunTimes.py" --tripid 800-06 --locoid 4013 --swversion DE.1.0.9.0 --startMP 300:58700 --initTime 2017-03-06T05:12:21 --startdatetime 2017-03-06T05:13:59 --delay 1 --endMP 204:629 --enddatetime 2017-03-06T05:27:23 --enforcementcount 0 &gt;&gt;C:\Users\stu\Documents\GitHub\eaglep3-reporting\EC\2017-03-06-refined-times.txt</v>
      </c>
      <c r="AI16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{"issue":{"subject":"","project_id":79,"tracker_id":40,"status_id":1,"priority_id":2,"assigned_to_id":23,"start_date":"2017-03-06","description":"","custom_fields":[{"id":1,"name":"Subdivision","value":"NW"},{"id":4,"name":"Milepost","value":"0.0629"},{"id":17,"name":"Train ID","value":"800-06"},{"id":16,"name":"Locomotive ID","value":"4013"},{"id":130,"name":"Impact","value":""},{"id":150,"name":"Time of Event (Mountain Time)","value":"05:27:23"},{"id":151,"name":"Denver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101"/>
        <v>start /low /b %USERPROFILE%\Documents\GitHub\eaglep3\Utilities\DownloadLogsFromS3.py --loco 4013 --day 2017-03-06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61" spans="1:91" x14ac:dyDescent="0.25">
      <c r="A161" s="33" t="s">
        <v>631</v>
      </c>
      <c r="B161" s="7">
        <v>4014</v>
      </c>
      <c r="C161" s="21" t="s">
        <v>245</v>
      </c>
      <c r="D161" s="21" t="s">
        <v>900</v>
      </c>
      <c r="E161" s="13">
        <v>42800.238912037035</v>
      </c>
      <c r="F161" s="13">
        <v>42800.243935185186</v>
      </c>
      <c r="G161" s="7">
        <v>1</v>
      </c>
      <c r="H161" s="21" t="s">
        <v>901</v>
      </c>
      <c r="I161" s="13">
        <v>42800.253518518519</v>
      </c>
      <c r="J161" s="7">
        <v>0</v>
      </c>
      <c r="K161" s="98" t="str">
        <f t="shared" si="90"/>
        <v>4013/4014</v>
      </c>
      <c r="L161" s="21" t="str">
        <f>VLOOKUP(A161,'Trips&amp;Operators'!$C$1:$G$99999,5,FALSE)</f>
        <v>DAVIS WENDY</v>
      </c>
      <c r="M161" s="6">
        <f t="shared" si="91"/>
        <v>9.5833333325572312E-3</v>
      </c>
      <c r="N161" s="7">
        <f t="shared" si="87"/>
        <v>13.799999998882413</v>
      </c>
      <c r="O161" s="7"/>
      <c r="P161" s="7"/>
      <c r="Q161" s="22"/>
      <c r="R161" s="22"/>
      <c r="S161" s="31">
        <f t="shared" si="83"/>
        <v>1</v>
      </c>
      <c r="T161" s="46" t="str">
        <f t="shared" si="92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79"/>
        <v>https://d0f6bd738d7f1b3e5a7ca70fe4ff75f0.us-east-1.aws.found.io/app/kibana#/discover/Steve-Slow-Train-Analysis-(2080s-and-2083s)?_g=(refreshInterval:(display:Off,pause:!f,section:0,value:0),time:(from:'2017-03-06T04:44:02-0700',mode:absolute,to:'2017-03-06T07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187" t="str">
        <f t="shared" si="93"/>
        <v>N</v>
      </c>
      <c r="X161" s="187">
        <f t="shared" si="97"/>
        <v>1</v>
      </c>
      <c r="Y161" s="62">
        <f t="shared" si="88"/>
        <v>9.0399999999999994E-2</v>
      </c>
      <c r="Z161" s="62">
        <f t="shared" si="98"/>
        <v>5.9006999999999996</v>
      </c>
      <c r="AA161" s="62">
        <f t="shared" si="94"/>
        <v>5.8102999999999998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95"/>
        <v>0801-06</v>
      </c>
      <c r="AE161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61" s="82" t="str">
        <f t="shared" si="81"/>
        <v>"C:\Program Files (x86)\AstroGrep\AstroGrep.exe" /e /r /s /spath="%USERPROFILE%\AppData\Local\Temp\OnboardLogs" /stypes="app*4014*20170306*" /stext=" 13:.+((SYSTEM_STATE.+slice.+state.+changed )|(ment ac)|(multiple cpu faults)|(system.+state.+changed )|(\[timeout)|(PRM\|1\|D)|(kpr)|(kdp)|(\|lc)|(penalty))"</v>
      </c>
      <c r="AG161" s="1" t="str">
        <f t="shared" si="96"/>
        <v>NW</v>
      </c>
      <c r="AH161" s="86" t="str">
        <f t="shared" si="99"/>
        <v>"%USERPROFILE%\Documents\GitHub\eaglep3\Utilities\RefineRTDCRunTimes.py" --tripid 801-06 --locoid 4014 --swversion DE.1.0.9.0 --startMP 204:904 --initTime 2017-03-06T05:44:02 --startdatetime 2017-03-06T05:51:16 --delay 1 --endMP 300:59007 --enddatetime 2017-03-06T06:05:04 --enforcementcount 0 &gt;&gt;C:\Users\stu\Documents\GitHub\eaglep3-reporting\EC\2017-03-06-refined-times.txt</v>
      </c>
      <c r="AI16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{"issue":{"subject":"","project_id":79,"tracker_id":40,"status_id":1,"priority_id":2,"assigned_to_id":23,"start_date":"2017-03-06","description":"","custom_fields":[{"id":1,"name":"Subdivision","value":"NW"},{"id":4,"name":"Milepost","value":"5.9007"},{"id":17,"name":"Train ID","value":"801-06"},{"id":16,"name":"Locomotive ID","value":"4014"},{"id":130,"name":"Impact","value":""},{"id":150,"name":"Time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101"/>
        <v>start /low /b %USERPROFILE%\Documents\GitHub\eaglep3\Utilities\DownloadLogsFromS3.py --loco 4014 --day 2017-03-06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62" spans="1:91" x14ac:dyDescent="0.25">
      <c r="A162" s="33" t="s">
        <v>556</v>
      </c>
      <c r="B162" s="7">
        <v>4013</v>
      </c>
      <c r="C162" s="21" t="s">
        <v>245</v>
      </c>
      <c r="D162" s="21" t="s">
        <v>902</v>
      </c>
      <c r="E162" s="13">
        <v>42800.254467592589</v>
      </c>
      <c r="F162" s="13">
        <v>42800.25571759259</v>
      </c>
      <c r="G162" s="7">
        <v>1</v>
      </c>
      <c r="H162" s="21" t="s">
        <v>903</v>
      </c>
      <c r="I162" s="13">
        <v>42800.267488425925</v>
      </c>
      <c r="J162" s="7">
        <v>0</v>
      </c>
      <c r="K162" s="98" t="str">
        <f t="shared" si="90"/>
        <v>4013/4014</v>
      </c>
      <c r="L162" s="21" t="str">
        <f>VLOOKUP(A162,'Trips&amp;Operators'!$C$1:$G$99999,5,FALSE)</f>
        <v>DAVIS WENDY</v>
      </c>
      <c r="M162" s="6">
        <f t="shared" si="91"/>
        <v>1.1770833334594499E-2</v>
      </c>
      <c r="N162" s="7">
        <f t="shared" si="87"/>
        <v>16.950000001816079</v>
      </c>
      <c r="O162" s="7"/>
      <c r="P162" s="7"/>
      <c r="Q162" s="22"/>
      <c r="R162" s="22"/>
      <c r="S162" s="31">
        <f t="shared" si="83"/>
        <v>1</v>
      </c>
      <c r="T162" s="46" t="str">
        <f t="shared" si="92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79"/>
        <v>https://d0f6bd738d7f1b3e5a7ca70fe4ff75f0.us-east-1.aws.found.io/app/kibana#/discover/Steve-Slow-Train-Analysis-(2080s-and-2083s)?_g=(refreshInterval:(display:Off,pause:!f,section:0,value:0),time:(from:'2017-03-06T05:06:26-0700',mode:absolute,to:'2017-03-06T07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187" t="str">
        <f t="shared" si="93"/>
        <v>N</v>
      </c>
      <c r="X162" s="187">
        <f t="shared" si="97"/>
        <v>1</v>
      </c>
      <c r="Y162" s="62">
        <f t="shared" si="88"/>
        <v>5.8692000000000002</v>
      </c>
      <c r="Z162" s="62">
        <f t="shared" si="98"/>
        <v>6.4500000000000002E-2</v>
      </c>
      <c r="AA162" s="62">
        <f t="shared" si="94"/>
        <v>5.8047000000000004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95"/>
        <v>0802-06</v>
      </c>
      <c r="AE162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62" s="82" t="str">
        <f t="shared" si="81"/>
        <v>"C:\Program Files (x86)\AstroGrep\AstroGrep.exe" /e /r /s /spath="%USERPROFILE%\AppData\Local\Temp\OnboardLogs" /stypes="app*4013*20170306*" /stext=" 13:.+((SYSTEM_STATE.+slice.+state.+changed )|(ment ac)|(multiple cpu faults)|(system.+state.+changed )|(\[timeout)|(PRM\|1\|D)|(kpr)|(kdp)|(\|lc)|(penalty))"</v>
      </c>
      <c r="AG162" s="1" t="str">
        <f t="shared" si="96"/>
        <v>NW</v>
      </c>
      <c r="AH162" s="86" t="str">
        <f t="shared" si="99"/>
        <v>"%USERPROFILE%\Documents\GitHub\eaglep3\Utilities\RefineRTDCRunTimes.py" --tripid 802-06 --locoid 4013 --swversion DE.1.0.9.0 --startMP 300:58692 --initTime 2017-03-06T06:06:26 --startdatetime 2017-03-06T06:08:14 --delay 1 --endMP 204:645 --enddatetime 2017-03-06T06:25:11 --enforcementcount 0 &gt;&gt;C:\Users\stu\Documents\GitHub\eaglep3-reporting\EC\2017-03-06-refined-times.txt</v>
      </c>
      <c r="AI16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{"issue":{"subject":"","project_id":79,"tracker_id":40,"status_id":1,"priority_id":2,"assigned_to_id":23,"start_date":"2017-03-06","description":"","custom_fields":[{"id":1,"name":"Subdivision","value":"NW"},{"id":4,"name":"Milepost","value":"0.0645"},{"id":17,"name":"Train ID","value":"802-06"},{"id":16,"name":"Locomotive ID","value":"4013"},{"id":130,"name":"Impact","value":""},{"id":150,"name":"Time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101"/>
        <v>start /low /b %USERPROFILE%\Documents\GitHub\eaglep3\Utilities\DownloadLogsFromS3.py --loco 4013 --day 2017-03-06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63" spans="1:91" x14ac:dyDescent="0.25">
      <c r="A163" s="33" t="s">
        <v>636</v>
      </c>
      <c r="B163" s="7">
        <v>4007</v>
      </c>
      <c r="C163" s="21" t="s">
        <v>245</v>
      </c>
      <c r="D163" s="21" t="s">
        <v>904</v>
      </c>
      <c r="E163" s="13">
        <v>42800.261805555558</v>
      </c>
      <c r="F163" s="13">
        <v>42800.264780092592</v>
      </c>
      <c r="G163" s="7">
        <v>1</v>
      </c>
      <c r="H163" s="21" t="s">
        <v>905</v>
      </c>
      <c r="I163" s="13">
        <v>42800.273831018516</v>
      </c>
      <c r="J163" s="7">
        <v>0</v>
      </c>
      <c r="K163" s="98" t="str">
        <f t="shared" si="90"/>
        <v>4007/4008</v>
      </c>
      <c r="L163" s="21" t="str">
        <f>VLOOKUP(A163,'Trips&amp;Operators'!$C$1:$G$99999,5,FALSE)</f>
        <v>ROCHA YAOTL</v>
      </c>
      <c r="M163" s="6">
        <f t="shared" si="91"/>
        <v>9.0509259243845008E-3</v>
      </c>
      <c r="N163" s="7">
        <f t="shared" si="87"/>
        <v>13.033333331113681</v>
      </c>
      <c r="O163" s="7"/>
      <c r="P163" s="7"/>
      <c r="Q163" s="22"/>
      <c r="R163" s="22"/>
      <c r="S163" s="31">
        <f t="shared" si="83"/>
        <v>1</v>
      </c>
      <c r="T163" s="46" t="str">
        <f t="shared" si="92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79"/>
        <v>https://d0f6bd738d7f1b3e5a7ca70fe4ff75f0.us-east-1.aws.found.io/app/kibana#/discover/Steve-Slow-Train-Analysis-(2080s-and-2083s)?_g=(refreshInterval:(display:Off,pause:!f,section:0,value:0),time:(from:'2017-03-06T05:17:00-0700',mode:absolute,to:'2017-03-06T07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187" t="str">
        <f t="shared" si="93"/>
        <v>N</v>
      </c>
      <c r="X163" s="187">
        <f t="shared" si="97"/>
        <v>1</v>
      </c>
      <c r="Y163" s="62">
        <f t="shared" si="88"/>
        <v>8.7800000000000003E-2</v>
      </c>
      <c r="Z163" s="62">
        <f t="shared" si="98"/>
        <v>5.8925999999999998</v>
      </c>
      <c r="AA163" s="62">
        <f t="shared" si="94"/>
        <v>5.8048000000000002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95"/>
        <v>0803-06</v>
      </c>
      <c r="AE16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63" s="82" t="str">
        <f t="shared" si="81"/>
        <v>"C:\Program Files (x86)\AstroGrep\AstroGrep.exe" /e /r /s /spath="%USERPROFILE%\AppData\Local\Temp\OnboardLogs" /stypes="app*4007*20170306*" /stext=" 13:.+((SYSTEM_STATE.+slice.+state.+changed )|(ment ac)|(multiple cpu faults)|(system.+state.+changed )|(\[timeout)|(PRM\|1\|D)|(kpr)|(kdp)|(\|lc)|(penalty))"</v>
      </c>
      <c r="AG163" s="1" t="str">
        <f t="shared" si="96"/>
        <v>NW</v>
      </c>
      <c r="AH163" s="86" t="str">
        <f t="shared" si="99"/>
        <v>"%USERPROFILE%\Documents\GitHub\eaglep3\Utilities\RefineRTDCRunTimes.py" --tripid 803-06 --locoid 4007 --swversion DE.1.0.9.0 --startMP 204:878 --initTime 2017-03-06T06:17:00 --startdatetime 2017-03-06T06:21:17 --delay 1 --endMP 300:58926 --enddatetime 2017-03-06T06:34:19 --enforcementcount 0 &gt;&gt;C:\Users\stu\Documents\GitHub\eaglep3-reporting\EC\2017-03-06-refined-times.txt</v>
      </c>
      <c r="AI16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{"issue":{"subject":"","project_id":79,"tracker_id":40,"status_id":1,"priority_id":2,"assigned_to_id":23,"start_date":"2017-03-06","description":"","custom_fields":[{"id":1,"name":"Subdivision","value":"NW"},{"id":4,"name":"Milepost","value":"5.8926"},{"id":17,"name":"Train ID","value":"803-06"},{"id":16,"name":"Locomotive ID","value":"4007"},{"id":130,"name":"Impact","value":""},{"id":150,"name":"Time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101"/>
        <v>start /low /b %USERPROFILE%\Documents\GitHub\eaglep3\Utilities\DownloadLogsFromS3.py --loco 4007 --day 2017-03-06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64" spans="1:91" x14ac:dyDescent="0.25">
      <c r="A164" s="33" t="s">
        <v>557</v>
      </c>
      <c r="B164" s="7">
        <v>4008</v>
      </c>
      <c r="C164" s="21" t="s">
        <v>245</v>
      </c>
      <c r="D164" s="21" t="s">
        <v>906</v>
      </c>
      <c r="E164" s="13">
        <v>42800.274733796294</v>
      </c>
      <c r="F164" s="13">
        <v>42800.276018518518</v>
      </c>
      <c r="G164" s="7">
        <v>1</v>
      </c>
      <c r="H164" s="21" t="s">
        <v>907</v>
      </c>
      <c r="I164" s="13">
        <v>42800.288668981484</v>
      </c>
      <c r="J164" s="7">
        <v>0</v>
      </c>
      <c r="K164" s="98" t="str">
        <f t="shared" si="90"/>
        <v>4007/4008</v>
      </c>
      <c r="L164" s="21" t="str">
        <f>VLOOKUP(A164,'Trips&amp;Operators'!$C$1:$G$99999,5,FALSE)</f>
        <v>ROCHA YAOTL</v>
      </c>
      <c r="M164" s="6">
        <f t="shared" si="91"/>
        <v>1.2650462966121268E-2</v>
      </c>
      <c r="N164" s="7">
        <f t="shared" si="87"/>
        <v>18.216666671214625</v>
      </c>
      <c r="O164" s="7"/>
      <c r="P164" s="7"/>
      <c r="Q164" s="22"/>
      <c r="R164" s="22"/>
      <c r="S164" s="31">
        <f t="shared" si="83"/>
        <v>1</v>
      </c>
      <c r="T164" s="46" t="str">
        <f t="shared" si="92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79"/>
        <v>https://d0f6bd738d7f1b3e5a7ca70fe4ff75f0.us-east-1.aws.found.io/app/kibana#/discover/Steve-Slow-Train-Analysis-(2080s-and-2083s)?_g=(refreshInterval:(display:Off,pause:!f,section:0,value:0),time:(from:'2017-03-06T05:35:37-0700',mode:absolute,to:'2017-03-06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187" t="str">
        <f t="shared" si="93"/>
        <v>N</v>
      </c>
      <c r="X164" s="187">
        <f t="shared" si="97"/>
        <v>1</v>
      </c>
      <c r="Y164" s="62">
        <f t="shared" si="88"/>
        <v>5.8597999999999999</v>
      </c>
      <c r="Z164" s="62">
        <f t="shared" si="98"/>
        <v>6.8199999999999997E-2</v>
      </c>
      <c r="AA164" s="62">
        <f t="shared" si="94"/>
        <v>5.7915999999999999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95"/>
        <v>0804-06</v>
      </c>
      <c r="AE16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64" s="82" t="str">
        <f t="shared" si="81"/>
        <v>"C:\Program Files (x86)\AstroGrep\AstroGrep.exe" /e /r /s /spath="%USERPROFILE%\AppData\Local\Temp\OnboardLogs" /stypes="app*4008*20170306*" /stext=" 13:.+((SYSTEM_STATE.+slice.+state.+changed )|(ment ac)|(multiple cpu faults)|(system.+state.+changed )|(\[timeout)|(PRM\|1\|D)|(kpr)|(kdp)|(\|lc)|(penalty))"</v>
      </c>
      <c r="AG164" s="1" t="str">
        <f t="shared" si="96"/>
        <v>NW</v>
      </c>
      <c r="AH164" s="86" t="str">
        <f t="shared" si="99"/>
        <v>"%USERPROFILE%\Documents\GitHub\eaglep3\Utilities\RefineRTDCRunTimes.py" --tripid 804-06 --locoid 4008 --swversion DE.1.0.9.0 --startMP 300:58598 --initTime 2017-03-06T06:35:37 --startdatetime 2017-03-06T06:37:28 --delay 1 --endMP 204:682 --enddatetime 2017-03-06T06:55:41 --enforcementcount 0 &gt;&gt;C:\Users\stu\Documents\GitHub\eaglep3-reporting\EC\2017-03-06-refined-times.txt</v>
      </c>
      <c r="AI16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{"issue":{"subject":"","project_id":79,"tracker_id":40,"status_id":1,"priority_id":2,"assigned_to_id":23,"start_date":"2017-03-06","description":"","custom_fields":[{"id":1,"name":"Subdivision","value":"NW"},{"id":4,"name":"Milepost","value":"0.0682"},{"id":17,"name":"Train ID","value":"804-06"},{"id":16,"name":"Locomotive ID","value":"4008"},{"id":130,"name":"Impact","value":""},{"id":150,"name":"Time of Event (Mountain Time)","value":"06:55:41"},{"id":151,"name":"Denver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101"/>
        <v>start /low /b %USERPROFILE%\Documents\GitHub\eaglep3\Utilities\DownloadLogsFromS3.py --loco 4008 --day 2017-03-06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65" spans="1:91" s="20" customFormat="1" x14ac:dyDescent="0.25">
      <c r="A165" s="33" t="s">
        <v>640</v>
      </c>
      <c r="B165" s="7">
        <v>4014</v>
      </c>
      <c r="C165" s="21" t="s">
        <v>245</v>
      </c>
      <c r="D165" s="21" t="s">
        <v>908</v>
      </c>
      <c r="E165" s="13">
        <v>42800.280451388891</v>
      </c>
      <c r="F165" s="13">
        <v>42800.285613425927</v>
      </c>
      <c r="G165" s="7">
        <v>1</v>
      </c>
      <c r="H165" s="21" t="s">
        <v>909</v>
      </c>
      <c r="I165" s="13">
        <v>42800.295057870368</v>
      </c>
      <c r="J165" s="7">
        <v>0</v>
      </c>
      <c r="K165" s="98" t="str">
        <f t="shared" si="90"/>
        <v>4013/4014</v>
      </c>
      <c r="L165" s="21" t="str">
        <f>VLOOKUP(A165,'Trips&amp;Operators'!$C$1:$G$99999,5,FALSE)</f>
        <v>DAVIS WENDY</v>
      </c>
      <c r="M165" s="6">
        <f t="shared" si="91"/>
        <v>9.444444440305233E-3</v>
      </c>
      <c r="N165" s="7">
        <f t="shared" si="87"/>
        <v>13.599999994039536</v>
      </c>
      <c r="O165" s="7"/>
      <c r="P165" s="7"/>
      <c r="Q165" s="22"/>
      <c r="R165" s="22"/>
      <c r="S165" s="31">
        <f t="shared" si="83"/>
        <v>1</v>
      </c>
      <c r="T165" s="46" t="str">
        <f t="shared" si="92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79"/>
        <v>https://d0f6bd738d7f1b3e5a7ca70fe4ff75f0.us-east-1.aws.found.io/app/kibana#/discover/Steve-Slow-Train-Analysis-(2080s-and-2083s)?_g=(refreshInterval:(display:Off,pause:!f,section:0,value:0),time:(from:'2017-03-06T05:43:51-0700',mode:absolute,to:'2017-03-06T08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187" t="str">
        <f t="shared" si="93"/>
        <v>N</v>
      </c>
      <c r="X165" s="187">
        <f t="shared" si="97"/>
        <v>1</v>
      </c>
      <c r="Y165" s="62">
        <f t="shared" si="88"/>
        <v>9.2899999999999996E-2</v>
      </c>
      <c r="Z165" s="62">
        <f t="shared" si="98"/>
        <v>5.8998999999999997</v>
      </c>
      <c r="AA165" s="62">
        <f t="shared" si="94"/>
        <v>5.8069999999999995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95"/>
        <v>0805-06</v>
      </c>
      <c r="AE165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65" s="82" t="str">
        <f t="shared" si="81"/>
        <v>"C:\Program Files (x86)\AstroGrep\AstroGrep.exe" /e /r /s /spath="%USERPROFILE%\AppData\Local\Temp\OnboardLogs" /stypes="app*4014*20170306*" /stext=" 14:.+((SYSTEM_STATE.+slice.+state.+changed )|(ment ac)|(multiple cpu faults)|(system.+state.+changed )|(\[timeout)|(PRM\|1\|D)|(kpr)|(kdp)|(\|lc)|(penalty))"</v>
      </c>
      <c r="AG165" s="1" t="str">
        <f t="shared" si="96"/>
        <v>NW</v>
      </c>
      <c r="AH165" s="86" t="str">
        <f t="shared" si="99"/>
        <v>"%USERPROFILE%\Documents\GitHub\eaglep3\Utilities\RefineRTDCRunTimes.py" --tripid 805-06 --locoid 4014 --swversion DE.1.0.9.0 --startMP 204:929 --initTime 2017-03-06T06:43:51 --startdatetime 2017-03-06T06:51:17 --delay 1 --endMP 300:58999 --enddatetime 2017-03-06T07:04:53 --enforcementcount 0 &gt;&gt;C:\Users\stu\Documents\GitHub\eaglep3-reporting\EC\2017-03-06-refined-times.txt</v>
      </c>
      <c r="AI16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{"issue":{"subject":"","project_id":79,"tracker_id":40,"status_id":1,"priority_id":2,"assigned_to_id":23,"start_date":"2017-03-06","description":"","custom_fields":[{"id":1,"name":"Subdivision","value":"NW"},{"id":4,"name":"Milepost","value":"5.8999"},{"id":17,"name":"Train ID","value":"805-06"},{"id":16,"name":"Locomotive ID","value":"4014"},{"id":130,"name":"Impact","value":""},{"id":150,"name":"Time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101"/>
        <v>start /low /b %USERPROFILE%\Documents\GitHub\eaglep3\Utilities\DownloadLogsFromS3.py --loco 4014 --day 2017-03-06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562</v>
      </c>
      <c r="B166" s="7">
        <v>4013</v>
      </c>
      <c r="C166" s="21" t="s">
        <v>245</v>
      </c>
      <c r="D166" s="21" t="s">
        <v>910</v>
      </c>
      <c r="E166" s="13">
        <v>42800.295752314814</v>
      </c>
      <c r="F166" s="13">
        <v>42800.296782407408</v>
      </c>
      <c r="G166" s="7">
        <v>1</v>
      </c>
      <c r="H166" s="21" t="s">
        <v>899</v>
      </c>
      <c r="I166" s="13">
        <v>42800.309293981481</v>
      </c>
      <c r="J166" s="7">
        <v>0</v>
      </c>
      <c r="K166" s="98" t="str">
        <f t="shared" si="90"/>
        <v>4013/4014</v>
      </c>
      <c r="L166" s="21" t="str">
        <f>VLOOKUP(A166,'Trips&amp;Operators'!$C$1:$G$99999,5,FALSE)</f>
        <v>DAVIS WENDY</v>
      </c>
      <c r="M166" s="6">
        <f t="shared" si="91"/>
        <v>1.2511574073869269E-2</v>
      </c>
      <c r="N166" s="7">
        <f t="shared" si="87"/>
        <v>18.016666666371748</v>
      </c>
      <c r="O166" s="7"/>
      <c r="P166" s="7"/>
      <c r="Q166" s="22"/>
      <c r="R166" s="22"/>
      <c r="S166" s="31">
        <f t="shared" si="83"/>
        <v>1</v>
      </c>
      <c r="T166" s="46" t="str">
        <f t="shared" si="92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79"/>
        <v>https://d0f6bd738d7f1b3e5a7ca70fe4ff75f0.us-east-1.aws.found.io/app/kibana#/discover/Steve-Slow-Train-Analysis-(2080s-and-2083s)?_g=(refreshInterval:(display:Off,pause:!f,section:0,value:0),time:(from:'2017-03-06T06:05:53-0700',mode:absolute,to:'2017-03-06T08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187" t="str">
        <f t="shared" si="93"/>
        <v>N</v>
      </c>
      <c r="X166" s="187">
        <f t="shared" si="97"/>
        <v>1</v>
      </c>
      <c r="Y166" s="62">
        <f t="shared" si="88"/>
        <v>5.8685</v>
      </c>
      <c r="Z166" s="62">
        <f t="shared" si="98"/>
        <v>6.2899999999999998E-2</v>
      </c>
      <c r="AA166" s="62">
        <f t="shared" si="94"/>
        <v>5.8056000000000001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95"/>
        <v>0806-06</v>
      </c>
      <c r="AE166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66" s="82" t="str">
        <f t="shared" si="81"/>
        <v>"C:\Program Files (x86)\AstroGrep\AstroGrep.exe" /e /r /s /spath="%USERPROFILE%\AppData\Local\Temp\OnboardLogs" /stypes="app*4013*20170306*" /stext=" 14:.+((SYSTEM_STATE.+slice.+state.+changed )|(ment ac)|(multiple cpu faults)|(system.+state.+changed )|(\[timeout)|(PRM\|1\|D)|(kpr)|(kdp)|(\|lc)|(penalty))"</v>
      </c>
      <c r="AG166" s="1" t="str">
        <f t="shared" si="96"/>
        <v>NW</v>
      </c>
      <c r="AH166" s="86" t="str">
        <f t="shared" si="99"/>
        <v>"%USERPROFILE%\Documents\GitHub\eaglep3\Utilities\RefineRTDCRunTimes.py" --tripid 806-06 --locoid 4013 --swversion DE.1.0.9.0 --startMP 300:58685 --initTime 2017-03-06T07:05:53 --startdatetime 2017-03-06T07:07:22 --delay 1 --endMP 204:629 --enddatetime 2017-03-06T07:25:23 --enforcementcount 0 &gt;&gt;C:\Users\stu\Documents\GitHub\eaglep3-reporting\EC\2017-03-06-refined-times.txt</v>
      </c>
      <c r="AI16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{"issue":{"subject":"","project_id":79,"tracker_id":40,"status_id":1,"priority_id":2,"assigned_to_id":23,"start_date":"2017-03-06","description":"","custom_fields":[{"id":1,"name":"Subdivision","value":"NW"},{"id":4,"name":"Milepost","value":"0.0629"},{"id":17,"name":"Train ID","value":"806-06"},{"id":16,"name":"Locomotive ID","value":"4013"},{"id":130,"name":"Impact","value":""},{"id":150,"name":"Time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101"/>
        <v>start /low /b %USERPROFILE%\Documents\GitHub\eaglep3\Utilities\DownloadLogsFromS3.py --loco 4013 --day 2017-03-06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67" spans="1:91" x14ac:dyDescent="0.25">
      <c r="A167" s="33" t="s">
        <v>563</v>
      </c>
      <c r="B167" s="7">
        <v>4007</v>
      </c>
      <c r="C167" s="21" t="s">
        <v>245</v>
      </c>
      <c r="D167" s="21" t="s">
        <v>911</v>
      </c>
      <c r="E167" s="13">
        <v>42800.305208333331</v>
      </c>
      <c r="F167" s="13">
        <v>42800.306585648148</v>
      </c>
      <c r="G167" s="7">
        <v>1</v>
      </c>
      <c r="H167" s="21" t="s">
        <v>912</v>
      </c>
      <c r="I167" s="13">
        <v>42800.310995370368</v>
      </c>
      <c r="J167" s="7">
        <v>0</v>
      </c>
      <c r="K167" s="98" t="str">
        <f t="shared" si="90"/>
        <v>4007/4008</v>
      </c>
      <c r="L167" s="21" t="str">
        <f>VLOOKUP(A167,'Trips&amp;Operators'!$C$1:$G$99999,5,FALSE)</f>
        <v>ROCHA YAOTL</v>
      </c>
      <c r="M167" s="6">
        <f t="shared" si="91"/>
        <v>4.4097222198615782E-3</v>
      </c>
      <c r="N167" s="7"/>
      <c r="O167" s="7"/>
      <c r="P167" s="7">
        <f>24*60*SUM($M167:$M167)</f>
        <v>6.3499999966006726</v>
      </c>
      <c r="Q167" s="22"/>
      <c r="R167" s="22" t="s">
        <v>989</v>
      </c>
      <c r="S167" s="31">
        <f t="shared" si="83"/>
        <v>1</v>
      </c>
      <c r="T167" s="46" t="str">
        <f t="shared" si="92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79"/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187" t="str">
        <f t="shared" si="93"/>
        <v>Y</v>
      </c>
      <c r="X167" s="187">
        <f t="shared" si="97"/>
        <v>1</v>
      </c>
      <c r="Y167" s="62">
        <f t="shared" si="88"/>
        <v>9.69E-2</v>
      </c>
      <c r="Z167" s="62">
        <f t="shared" si="98"/>
        <v>2.3123</v>
      </c>
      <c r="AA167" s="62">
        <f t="shared" si="94"/>
        <v>2.2153999999999998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95"/>
        <v>0807-06</v>
      </c>
      <c r="AE167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67" s="82" t="str">
        <f t="shared" si="81"/>
        <v>"C:\Program Files (x86)\AstroGrep\AstroGrep.exe" /e /r /s /spath="%USERPROFILE%\AppData\Local\Temp\OnboardLogs" /stypes="app*4007*20170306*" /stext=" 14:.+((SYSTEM_STATE.+slice.+state.+changed )|(ment ac)|(multiple cpu faults)|(system.+state.+changed )|(\[timeout)|(PRM\|1\|D)|(kpr)|(kdp)|(\|lc)|(penalty))"</v>
      </c>
      <c r="AG167" s="1" t="str">
        <f t="shared" si="96"/>
        <v>NW</v>
      </c>
      <c r="AH167" s="86" t="str">
        <f t="shared" si="99"/>
        <v>"%USERPROFILE%\Documents\GitHub\eaglep3\Utilities\RefineRTDCRunTimes.py" --tripid 807-06 --locoid 4007 --swversion DE.1.0.9.0 --startMP 204:969 --initTime 2017-03-06T07:19:30 --startdatetime 2017-03-06T07:21:29 --delay 1 --endMP 300:23123 --enddatetime 2017-03-06T07:27:50 --enforcementcount 0 &gt;&gt;C:\Users\stu\Documents\GitHub\eaglep3-reporting\EC\2017-03-06-refined-times.txt</v>
      </c>
      <c r="AI167" s="108" t="str">
        <f t="shared" si="100"/>
        <v>echo {"issue":{"subject":"Wi-MAX data drop","project_id":79,"tracker_id":40,"status_id":1,"priority_id":2,"assigned_to_id":23,"start_date":"2017-03-06","description":"","custom_fields":[{"id":1,"name":"Subdivision","value":"NW"},{"id":4,"name":"Milepost","value":"2.3123"},{"id":17,"name":"Train ID","value":"807-06"},{"id":16,"name":"Locomotive ID","value":"4007"},{"id":130,"name":"Impact","value":""},{"id":150,"name":"Time of Event (Mountain Time)","value":"07:27:50"},{"id":151,"name":"Denver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101"/>
        <v>start /low /b %USERPROFILE%\Documents\GitHub\eaglep3\Utilities\DownloadLogsFromS3.py --loco 4007 --day 2017-03-06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68" spans="1:91" x14ac:dyDescent="0.25">
      <c r="A168" s="33" t="s">
        <v>646</v>
      </c>
      <c r="B168" s="7">
        <v>4008</v>
      </c>
      <c r="C168" s="21" t="s">
        <v>245</v>
      </c>
      <c r="D168" s="21" t="s">
        <v>913</v>
      </c>
      <c r="E168" s="13">
        <v>42800.317974537036</v>
      </c>
      <c r="F168" s="13">
        <v>42800.319085648145</v>
      </c>
      <c r="G168" s="7">
        <v>0</v>
      </c>
      <c r="H168" s="21" t="s">
        <v>914</v>
      </c>
      <c r="I168" s="13">
        <v>42800.330034722225</v>
      </c>
      <c r="J168" s="7">
        <v>0</v>
      </c>
      <c r="K168" s="98" t="str">
        <f t="shared" si="90"/>
        <v>4007/4008</v>
      </c>
      <c r="L168" s="21" t="str">
        <f>VLOOKUP(A168,'Trips&amp;Operators'!$C$1:$G$99999,5,FALSE)</f>
        <v>ROCHA YAOTL</v>
      </c>
      <c r="M168" s="6">
        <f t="shared" si="91"/>
        <v>1.0949074079690035E-2</v>
      </c>
      <c r="N168" s="7">
        <f>24*60*SUM($M168:$M168)</f>
        <v>15.766666674753651</v>
      </c>
      <c r="O168" s="7"/>
      <c r="P168" s="7"/>
      <c r="Q168" s="22"/>
      <c r="R168" s="22"/>
      <c r="S168" s="31">
        <f t="shared" si="83"/>
        <v>1</v>
      </c>
      <c r="T168" s="46" t="str">
        <f t="shared" si="92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79"/>
        <v>https://d0f6bd738d7f1b3e5a7ca70fe4ff75f0.us-east-1.aws.found.io/app/kibana#/discover/Steve-Slow-Train-Analysis-(2080s-and-2083s)?_g=(refreshInterval:(display:Off,pause:!f,section:0,value:0),time:(from:'2017-03-06T06:37:53-0700',mode:absolute,to:'2017-03-06T08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187" t="str">
        <f t="shared" si="93"/>
        <v>N</v>
      </c>
      <c r="X168" s="187">
        <f t="shared" si="97"/>
        <v>1</v>
      </c>
      <c r="Y168" s="62">
        <f t="shared" si="88"/>
        <v>5.8722000000000003</v>
      </c>
      <c r="Z168" s="62">
        <f t="shared" si="98"/>
        <v>6.6600000000000006E-2</v>
      </c>
      <c r="AA168" s="62">
        <f t="shared" si="94"/>
        <v>5.8056000000000001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95"/>
        <v>0808-06</v>
      </c>
      <c r="AE168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68" s="82" t="str">
        <f t="shared" si="81"/>
        <v>"C:\Program Files (x86)\AstroGrep\AstroGrep.exe" /e /r /s /spath="%USERPROFILE%\AppData\Local\Temp\OnboardLogs" /stypes="app*4008*20170306*" /stext=" 14:.+((SYSTEM_STATE.+slice.+state.+changed )|(ment ac)|(multiple cpu faults)|(system.+state.+changed )|(\[timeout)|(PRM\|1\|D)|(kpr)|(kdp)|(\|lc)|(penalty))"</v>
      </c>
      <c r="AG168" s="1" t="str">
        <f t="shared" si="96"/>
        <v>NW</v>
      </c>
      <c r="AH168" s="86" t="str">
        <f t="shared" si="99"/>
        <v>"%USERPROFILE%\Documents\GitHub\eaglep3\Utilities\RefineRTDCRunTimes.py" --tripid 808-06 --locoid 4008 --swversion DE.1.0.9.0 --startMP 300:58722 --initTime 2017-03-06T07:37:53 --startdatetime 2017-03-06T07:39:29 --delay 0 --endMP 204:666 --enddatetime 2017-03-06T07:55:15 --enforcementcount 0 &gt;&gt;C:\Users\stu\Documents\GitHub\eaglep3-reporting\EC\2017-03-06-refined-times.txt</v>
      </c>
      <c r="AI16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{"issue":{"subject":"","project_id":79,"tracker_id":40,"status_id":1,"priority_id":2,"assigned_to_id":23,"start_date":"2017-03-06","description":"","custom_fields":[{"id":1,"name":"Subdivision","value":"NW"},{"id":4,"name":"Milepost","value":"0.0666"},{"id":17,"name":"Train ID","value":"808-06"},{"id":16,"name":"Locomotive ID","value":"4008"},{"id":130,"name":"Impact","value":""},{"id":150,"name":"Time of Event (Mountain Time)","value":"07:55:15"},{"id":151,"name":"Denver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101"/>
        <v>start /low /b %USERPROFILE%\Documents\GitHub\eaglep3\Utilities\DownloadLogsFromS3.py --loco 4008 --day 2017-03-06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69" spans="1:91" x14ac:dyDescent="0.25">
      <c r="A169" s="33" t="s">
        <v>649</v>
      </c>
      <c r="B169" s="7">
        <v>4014</v>
      </c>
      <c r="C169" s="21" t="s">
        <v>245</v>
      </c>
      <c r="D169" s="21" t="s">
        <v>915</v>
      </c>
      <c r="E169" s="13">
        <v>42800.325115740743</v>
      </c>
      <c r="F169" s="13">
        <v>42800.327280092592</v>
      </c>
      <c r="G169" s="7">
        <v>0</v>
      </c>
      <c r="H169" s="21" t="s">
        <v>916</v>
      </c>
      <c r="I169" s="13">
        <v>42800.336828703701</v>
      </c>
      <c r="J169" s="7">
        <v>0</v>
      </c>
      <c r="K169" s="98" t="str">
        <f t="shared" si="90"/>
        <v>4013/4014</v>
      </c>
      <c r="L169" s="21" t="str">
        <f>VLOOKUP(A169,'Trips&amp;Operators'!$C$1:$G$99999,5,FALSE)</f>
        <v>DAVIS WENDY</v>
      </c>
      <c r="M169" s="6">
        <f t="shared" si="91"/>
        <v>9.5486111094942316E-3</v>
      </c>
      <c r="N169" s="7">
        <f>24*60*SUM($M169:$M169)</f>
        <v>13.749999997671694</v>
      </c>
      <c r="O169" s="7"/>
      <c r="P169" s="7"/>
      <c r="Q169" s="22"/>
      <c r="R169" s="22"/>
      <c r="S169" s="31">
        <f t="shared" si="83"/>
        <v>1</v>
      </c>
      <c r="T169" s="46" t="str">
        <f t="shared" si="92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79"/>
        <v>https://d0f6bd738d7f1b3e5a7ca70fe4ff75f0.us-east-1.aws.found.io/app/kibana#/discover/Steve-Slow-Train-Analysis-(2080s-and-2083s)?_g=(refreshInterval:(display:Off,pause:!f,section:0,value:0),time:(from:'2017-03-06T06:48:10-0700',mode:absolute,to:'2017-03-06T09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187" t="str">
        <f t="shared" si="93"/>
        <v>N</v>
      </c>
      <c r="X169" s="187">
        <f t="shared" si="97"/>
        <v>1</v>
      </c>
      <c r="Y169" s="62">
        <f t="shared" si="88"/>
        <v>9.5000000000000001E-2</v>
      </c>
      <c r="Z169" s="62">
        <f t="shared" si="98"/>
        <v>5.9002999999999997</v>
      </c>
      <c r="AA169" s="62">
        <f t="shared" si="94"/>
        <v>5.8052999999999999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95"/>
        <v>0809-06</v>
      </c>
      <c r="AE169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69" s="82" t="str">
        <f t="shared" si="81"/>
        <v>"C:\Program Files (x86)\AstroGrep\AstroGrep.exe" /e /r /s /spath="%USERPROFILE%\AppData\Local\Temp\OnboardLogs" /stypes="app*4014*20170306*" /stext=" 15:.+((SYSTEM_STATE.+slice.+state.+changed )|(ment ac)|(multiple cpu faults)|(system.+state.+changed )|(\[timeout)|(PRM\|1\|D)|(kpr)|(kdp)|(\|lc)|(penalty))"</v>
      </c>
      <c r="AG169" s="1" t="str">
        <f t="shared" si="96"/>
        <v>NW</v>
      </c>
      <c r="AH169" s="86" t="str">
        <f t="shared" si="99"/>
        <v>"%USERPROFILE%\Documents\GitHub\eaglep3\Utilities\RefineRTDCRunTimes.py" --tripid 809-06 --locoid 4014 --swversion DE.1.0.9.0 --startMP 204:950 --initTime 2017-03-06T07:48:10 --startdatetime 2017-03-06T07:51:17 --delay 0 --endMP 300:59003 --enddatetime 2017-03-06T08:05:02 --enforcementcount 0 &gt;&gt;C:\Users\stu\Documents\GitHub\eaglep3-reporting\EC\2017-03-06-refined-times.txt</v>
      </c>
      <c r="AI16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{"issue":{"subject":"","project_id":79,"tracker_id":40,"status_id":1,"priority_id":2,"assigned_to_id":23,"start_date":"2017-03-06","description":"","custom_fields":[{"id":1,"name":"Subdivision","value":"NW"},{"id":4,"name":"Milepost","value":"5.9003"},{"id":17,"name":"Train ID","value":"809-06"},{"id":16,"name":"Locomotive ID","value":"4014"},{"id":130,"name":"Impact","value":""},{"id":150,"name":"Time of Event (Mountain Time)","value":"08:05:02"},{"id":151,"name":"Denver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101"/>
        <v>start /low /b %USERPROFILE%\Documents\GitHub\eaglep3\Utilities\DownloadLogsFromS3.py --loco 4014 --day 2017-03-06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70" spans="1:91" x14ac:dyDescent="0.25">
      <c r="A170" s="33" t="s">
        <v>567</v>
      </c>
      <c r="B170" s="7">
        <v>4013</v>
      </c>
      <c r="C170" s="21" t="s">
        <v>245</v>
      </c>
      <c r="D170" s="21" t="s">
        <v>917</v>
      </c>
      <c r="E170" s="13">
        <v>42800.337789351855</v>
      </c>
      <c r="F170" s="13">
        <v>42800.338842592595</v>
      </c>
      <c r="G170" s="7">
        <v>1</v>
      </c>
      <c r="H170" s="21" t="s">
        <v>522</v>
      </c>
      <c r="I170" s="13">
        <v>42800.351446759261</v>
      </c>
      <c r="J170" s="7">
        <v>0</v>
      </c>
      <c r="K170" s="98" t="str">
        <f t="shared" si="90"/>
        <v>4013/4014</v>
      </c>
      <c r="L170" s="21" t="str">
        <f>VLOOKUP(A170,'Trips&amp;Operators'!$C$1:$G$99999,5,FALSE)</f>
        <v>DAVIS WENDY</v>
      </c>
      <c r="M170" s="6">
        <f t="shared" si="91"/>
        <v>1.2604166666278616E-2</v>
      </c>
      <c r="N170" s="7">
        <f>24*60*SUM($M170:$M170)</f>
        <v>18.149999999441206</v>
      </c>
      <c r="O170" s="7"/>
      <c r="P170" s="7"/>
      <c r="Q170" s="22"/>
      <c r="R170" s="22"/>
      <c r="S170" s="31">
        <f t="shared" si="83"/>
        <v>1</v>
      </c>
      <c r="T170" s="46" t="str">
        <f t="shared" si="92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79"/>
        <v>https://d0f6bd738d7f1b3e5a7ca70fe4ff75f0.us-east-1.aws.found.io/app/kibana#/discover/Steve-Slow-Train-Analysis-(2080s-and-2083s)?_g=(refreshInterval:(display:Off,pause:!f,section:0,value:0),time:(from:'2017-03-06T07:06:25-0700',mode:absolute,to:'2017-03-06T09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187" t="str">
        <f t="shared" si="93"/>
        <v>N</v>
      </c>
      <c r="X170" s="187">
        <f t="shared" si="97"/>
        <v>1</v>
      </c>
      <c r="Y170" s="62">
        <f t="shared" si="88"/>
        <v>5.8688000000000002</v>
      </c>
      <c r="Z170" s="62">
        <f t="shared" si="98"/>
        <v>7.4099999999999999E-2</v>
      </c>
      <c r="AA170" s="62">
        <f t="shared" si="94"/>
        <v>5.7947000000000006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95"/>
        <v>0810-06</v>
      </c>
      <c r="AE170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70" s="82" t="str">
        <f t="shared" si="81"/>
        <v>"C:\Program Files (x86)\AstroGrep\AstroGrep.exe" /e /r /s /spath="%USERPROFILE%\AppData\Local\Temp\OnboardLogs" /stypes="app*4013*20170306*" /stext=" 15:.+((SYSTEM_STATE.+slice.+state.+changed )|(ment ac)|(multiple cpu faults)|(system.+state.+changed )|(\[timeout)|(PRM\|1\|D)|(kpr)|(kdp)|(\|lc)|(penalty))"</v>
      </c>
      <c r="AG170" s="1" t="str">
        <f t="shared" si="96"/>
        <v>NW</v>
      </c>
      <c r="AH170" s="86" t="str">
        <f t="shared" si="99"/>
        <v>"%USERPROFILE%\Documents\GitHub\eaglep3\Utilities\RefineRTDCRunTimes.py" --tripid 810-06 --locoid 4013 --swversion DE.1.0.9.0 --startMP 300:58688 --initTime 2017-03-06T08:06:25 --startdatetime 2017-03-06T08:07:56 --delay 1 --endMP 204:741 --enddatetime 2017-03-06T08:26:05 --enforcementcount 0 &gt;&gt;C:\Users\stu\Documents\GitHub\eaglep3-reporting\EC\2017-03-06-refined-times.txt</v>
      </c>
      <c r="AI17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{"issue":{"subject":"","project_id":79,"tracker_id":40,"status_id":1,"priority_id":2,"assigned_to_id":23,"start_date":"2017-03-06","description":"","custom_fields":[{"id":1,"name":"Subdivision","value":"NW"},{"id":4,"name":"Milepost","value":"0.0741"},{"id":17,"name":"Train ID","value":"810-06"},{"id":16,"name":"Locomotive ID","value":"4013"},{"id":130,"name":"Impact","value":""},{"id":150,"name":"Time of Event (Mountain Time)","value":"08:26:05"},{"id":151,"name":"Denver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101"/>
        <v>start /low /b %USERPROFILE%\Documents\GitHub\eaglep3\Utilities\DownloadLogsFromS3.py --loco 4013 --day 2017-03-06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71" spans="1:91" s="20" customFormat="1" x14ac:dyDescent="0.25">
      <c r="A171" s="33" t="s">
        <v>652</v>
      </c>
      <c r="B171" s="7">
        <v>4007</v>
      </c>
      <c r="C171" s="21" t="s">
        <v>245</v>
      </c>
      <c r="D171" s="21" t="s">
        <v>918</v>
      </c>
      <c r="E171" s="13">
        <v>42800.338078703702</v>
      </c>
      <c r="F171" s="13">
        <v>42800.348483796297</v>
      </c>
      <c r="G171" s="7">
        <v>1</v>
      </c>
      <c r="H171" s="21" t="s">
        <v>919</v>
      </c>
      <c r="I171" s="13">
        <v>42800.357361111113</v>
      </c>
      <c r="J171" s="7">
        <v>0</v>
      </c>
      <c r="K171" s="98" t="str">
        <f t="shared" si="90"/>
        <v>4007/4008</v>
      </c>
      <c r="L171" s="21" t="str">
        <f>VLOOKUP(A171,'Trips&amp;Operators'!$C$1:$G$99999,5,FALSE)</f>
        <v>ROCHA YAOTL</v>
      </c>
      <c r="M171" s="6">
        <f t="shared" si="91"/>
        <v>8.8773148163454607E-3</v>
      </c>
      <c r="N171" s="7">
        <f>24*60*SUM($M171:$M171)</f>
        <v>12.783333335537463</v>
      </c>
      <c r="O171" s="7"/>
      <c r="P171" s="7"/>
      <c r="Q171" s="22"/>
      <c r="R171" s="22"/>
      <c r="S171" s="31">
        <f t="shared" si="83"/>
        <v>1</v>
      </c>
      <c r="T171" s="46" t="str">
        <f t="shared" si="92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79"/>
        <v>https://d0f6bd738d7f1b3e5a7ca70fe4ff75f0.us-east-1.aws.found.io/app/kibana#/discover/Steve-Slow-Train-Analysis-(2080s-and-2083s)?_g=(refreshInterval:(display:Off,pause:!f,section:0,value:0),time:(from:'2017-03-06T07:06:50-0700',mode:absolute,to:'2017-03-06T09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87" t="str">
        <f t="shared" si="93"/>
        <v>N</v>
      </c>
      <c r="X171" s="187">
        <f t="shared" si="97"/>
        <v>1</v>
      </c>
      <c r="Y171" s="62">
        <f t="shared" si="88"/>
        <v>9.7900000000000001E-2</v>
      </c>
      <c r="Z171" s="62">
        <f t="shared" si="98"/>
        <v>5.8929</v>
      </c>
      <c r="AA171" s="62">
        <f t="shared" si="94"/>
        <v>5.7949999999999999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95"/>
        <v>0811-06</v>
      </c>
      <c r="AE171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1" s="82" t="str">
        <f t="shared" si="81"/>
        <v>"C:\Program Files (x86)\AstroGrep\AstroGrep.exe" /e /r /s /spath="%USERPROFILE%\AppData\Local\Temp\OnboardLogs" /stypes="app*4007*20170306*" /stext=" 15:.+((SYSTEM_STATE.+slice.+state.+changed )|(ment ac)|(multiple cpu faults)|(system.+state.+changed )|(\[timeout)|(PRM\|1\|D)|(kpr)|(kdp)|(\|lc)|(penalty))"</v>
      </c>
      <c r="AG171" s="1" t="str">
        <f t="shared" si="96"/>
        <v>NW</v>
      </c>
      <c r="AH171" s="86" t="str">
        <f t="shared" si="99"/>
        <v>"%USERPROFILE%\Documents\GitHub\eaglep3\Utilities\RefineRTDCRunTimes.py" --tripid 811-06 --locoid 4007 --swversion DE.1.0.9.0 --startMP 204:979 --initTime 2017-03-06T08:06:50 --startdatetime 2017-03-06T08:21:49 --delay 1 --endMP 300:58929 --enddatetime 2017-03-06T08:34:36 --enforcementcount 0 &gt;&gt;C:\Users\stu\Documents\GitHub\eaglep3-reporting\EC\2017-03-06-refined-times.txt</v>
      </c>
      <c r="AI17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{"issue":{"subject":"","project_id":79,"tracker_id":40,"status_id":1,"priority_id":2,"assigned_to_id":23,"start_date":"2017-03-06","description":"","custom_fields":[{"id":1,"name":"Subdivision","value":"NW"},{"id":4,"name":"Milepost","value":"5.8929"},{"id":17,"name":"Train ID","value":"811-06"},{"id":16,"name":"Locomotive ID","value":"4007"},{"id":130,"name":"Impact","value":""},{"id":150,"name":"Time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101"/>
        <v>start /low /b %USERPROFILE%\Documents\GitHub\eaglep3\Utilities\DownloadLogsFromS3.py --loco 4007 --day 2017-03-06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656</v>
      </c>
      <c r="B172" s="7">
        <v>4008</v>
      </c>
      <c r="C172" s="21" t="s">
        <v>245</v>
      </c>
      <c r="D172" s="21" t="s">
        <v>481</v>
      </c>
      <c r="E172" s="13">
        <v>42800.358831018515</v>
      </c>
      <c r="F172" s="13">
        <v>42800.360046296293</v>
      </c>
      <c r="G172" s="7">
        <v>1</v>
      </c>
      <c r="H172" s="21" t="s">
        <v>1000</v>
      </c>
      <c r="I172" s="13">
        <v>42800.371574074074</v>
      </c>
      <c r="J172" s="7">
        <v>0</v>
      </c>
      <c r="K172" s="98" t="str">
        <f t="shared" ref="K172:K173" si="102">IF(ISEVEN(B172),(B172-1)&amp;"/"&amp;B172,B172&amp;"/"&amp;(B172+1))</f>
        <v>4007/4008</v>
      </c>
      <c r="L172" s="21" t="str">
        <f>VLOOKUP(A172,'Trips&amp;Operators'!$C$1:$G$99999,5,FALSE)</f>
        <v>ROCHA YAOTL</v>
      </c>
      <c r="M172" s="6">
        <f t="shared" ref="M172:M173" si="103">I172-F172</f>
        <v>1.152777778042946E-2</v>
      </c>
      <c r="N172" s="7">
        <f t="shared" ref="N172:N173" si="104">24*60*SUM($M172:$M172)</f>
        <v>16.600000003818423</v>
      </c>
      <c r="O172" s="7"/>
      <c r="P172" s="7"/>
      <c r="Q172" s="22"/>
      <c r="R172" s="22"/>
      <c r="S172" s="31">
        <f t="shared" ref="S172:S173" si="105">SUM(U172:U172)/IF(AG172="EC",12,1)</f>
        <v>1</v>
      </c>
      <c r="T172" s="46" t="str">
        <f t="shared" ref="T172:T173" si="106">IF(ISEVEN(LEFT(AD172,4)),"Southbound","NorthBound")</f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79"/>
        <v>https://d0f6bd738d7f1b3e5a7ca70fe4ff75f0.us-east-1.aws.found.io/app/kibana#/discover/Steve-Slow-Train-Analysis-(2080s-and-2083s)?_g=(refreshInterval:(display:Off,pause:!f,section:0,value:0),time:(from:'2017-03-06T07:36:43-0700',mode:absolute,to:'2017-03-06T09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87" t="str">
        <f t="shared" ref="W172:W173" si="107">IF(AA172&lt;IF(AG172="EC",23,5.65),"Y","N")</f>
        <v>N</v>
      </c>
      <c r="X172" s="187">
        <f t="shared" ref="X172:X176" si="108">VALUE(LEFT(AD172,4))-VALUE(LEFT(AD171,4))</f>
        <v>1</v>
      </c>
      <c r="Y172" s="62">
        <f t="shared" ref="Y172:Y173" si="109">RIGHT(D172,LEN(D172)-4)/10000</f>
        <v>5.8624000000000001</v>
      </c>
      <c r="Z172" s="62">
        <f t="shared" ref="Z172:Z173" si="110">RIGHT(H172,LEN(H172)-4)/10000</f>
        <v>6.7799999999999999E-2</v>
      </c>
      <c r="AA172" s="62">
        <f t="shared" ref="AA172:AA173" si="111">ABS(Z172-Y172)</f>
        <v>5.7946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ref="AD172:AD173" si="112">IF(LEN(A172)=6,"0"&amp;A172,A172)</f>
        <v>0812-06</v>
      </c>
      <c r="AE172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2" s="82" t="str">
        <f t="shared" si="81"/>
        <v>"C:\Program Files (x86)\AstroGrep\AstroGrep.exe" /e /r /s /spath="%USERPROFILE%\AppData\Local\Temp\OnboardLogs" /stypes="app*4008*20170306*" /stext=" 15:.+((SYSTEM_STATE.+slice.+state.+changed )|(ment ac)|(multiple cpu faults)|(system.+state.+changed )|(\[timeout)|(PRM\|1\|D)|(kpr)|(kdp)|(\|lc)|(penalty))"</v>
      </c>
      <c r="AG172" s="1" t="str">
        <f t="shared" ref="AG172:AG173" si="113">IFERROR(IF(VALUE(LEFT(AD172,2))&lt;=2,"EC",IF(OR(VALUE(LEFT(AD172,2))=8,VALUE(LEFT(AD172,2))=18),"NW","Other")),"Other")</f>
        <v>NW</v>
      </c>
      <c r="AH172" s="86" t="str">
        <f t="shared" ref="AH172:AH173" si="114"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812-06 --locoid 4008 --swversion DE.1.0.9.0 --startMP 300:58624 --initTime 2017-03-06T08:36:43 --startdatetime 2017-03-06T08:38:28 --delay 1 --endMP 204:678 --enddatetime 2017-03-06T08:55:04 --enforcementcount 0 &gt;&gt;C:\Users\stu\Documents\GitHub\eaglep3-reporting\EC\2017-03-06-refined-times.txt</v>
      </c>
      <c r="AI172" s="108" t="str">
        <f t="shared" ref="AI172:AI173" si="115"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{"issue":{"subject":"","project_id":79,"tracker_id":40,"status_id":1,"priority_id":2,"assigned_to_id":23,"start_date":"2017-03-06","description":"","custom_fields":[{"id":1,"name":"Subdivision","value":"NW"},{"id":4,"name":"Milepost","value":"0.0678"},{"id":17,"name":"Train ID","value":"812-06"},{"id":16,"name":"Locomotive ID","value":"4008"},{"id":130,"name":"Impact","value":""},{"id":150,"name":"Time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ref="AM172:AM173" si="116">"start /low /b "&amp;dls3logs&amp;" --loco "&amp;B172&amp;" --day "&amp;TEXT(F172,"YYYY-MM-DD")</f>
        <v>start /low /b %USERPROFILE%\Documents\GitHub\eaglep3\Utilities\DownloadLogsFromS3.py --loco 4008 --day 2017-03-06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3" spans="1:91" s="20" customFormat="1" x14ac:dyDescent="0.25">
      <c r="A173" s="33" t="s">
        <v>663</v>
      </c>
      <c r="B173" s="7">
        <v>4007</v>
      </c>
      <c r="C173" s="21" t="s">
        <v>245</v>
      </c>
      <c r="D173" s="21" t="s">
        <v>1001</v>
      </c>
      <c r="E173" s="13">
        <v>42800.387777777774</v>
      </c>
      <c r="F173" s="13">
        <v>42800.389756944445</v>
      </c>
      <c r="G173" s="7">
        <v>1</v>
      </c>
      <c r="H173" s="21" t="s">
        <v>1002</v>
      </c>
      <c r="I173" s="13">
        <v>42800.398622685185</v>
      </c>
      <c r="J173" s="7">
        <v>0</v>
      </c>
      <c r="K173" s="98" t="str">
        <f t="shared" si="102"/>
        <v>4007/4008</v>
      </c>
      <c r="L173" s="21" t="str">
        <f>VLOOKUP(A173,'Trips&amp;Operators'!$C$1:$G$99999,5,FALSE)</f>
        <v>ROCHA YAOTL</v>
      </c>
      <c r="M173" s="6">
        <f t="shared" si="103"/>
        <v>8.8657407395658083E-3</v>
      </c>
      <c r="N173" s="7">
        <f t="shared" si="104"/>
        <v>12.766666664974764</v>
      </c>
      <c r="O173" s="7"/>
      <c r="P173" s="7"/>
      <c r="Q173" s="22"/>
      <c r="R173" s="22"/>
      <c r="S173" s="31">
        <f t="shared" si="105"/>
        <v>1</v>
      </c>
      <c r="T173" s="46" t="str">
        <f t="shared" si="106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79"/>
        <v>https://d0f6bd738d7f1b3e5a7ca70fe4ff75f0.us-east-1.aws.found.io/app/kibana#/discover/Steve-Slow-Train-Analysis-(2080s-and-2083s)?_g=(refreshInterval:(display:Off,pause:!f,section:0,value:0),time:(from:'2017-03-06T08:18:24-0700',mode:absolute,to:'2017-03-06T10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7" t="str">
        <f t="shared" si="107"/>
        <v>N</v>
      </c>
      <c r="X173" s="187">
        <f t="shared" si="108"/>
        <v>1</v>
      </c>
      <c r="Y173" s="62">
        <f t="shared" si="109"/>
        <v>9.6699999999999994E-2</v>
      </c>
      <c r="Z173" s="62">
        <f t="shared" si="110"/>
        <v>5.8971</v>
      </c>
      <c r="AA173" s="62">
        <f t="shared" si="111"/>
        <v>5.8003999999999998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12"/>
        <v>0813-06</v>
      </c>
      <c r="AE17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3" s="82" t="str">
        <f t="shared" si="81"/>
        <v>"C:\Program Files (x86)\AstroGrep\AstroGrep.exe" /e /r /s /spath="%USERPROFILE%\AppData\Local\Temp\OnboardLogs" /stypes="app*4007*20170306*" /stext=" 16:.+((SYSTEM_STATE.+slice.+state.+changed )|(ment ac)|(multiple cpu faults)|(system.+state.+changed )|(\[timeout)|(PRM\|1\|D)|(kpr)|(kdp)|(\|lc)|(penalty))"</v>
      </c>
      <c r="AG173" s="1" t="str">
        <f t="shared" si="113"/>
        <v>NW</v>
      </c>
      <c r="AH173" s="86" t="str">
        <f t="shared" si="114"/>
        <v>"%USERPROFILE%\Documents\GitHub\eaglep3\Utilities\RefineRTDCRunTimes.py" --tripid 813-06 --locoid 4007 --swversion DE.1.0.9.0 --startMP 204:967 --initTime 2017-03-06T09:18:24 --startdatetime 2017-03-06T09:21:15 --delay 1 --endMP 300:58971 --enddatetime 2017-03-06T09:34:01 --enforcementcount 0 &gt;&gt;C:\Users\stu\Documents\GitHub\eaglep3-reporting\EC\2017-03-06-refined-times.txt</v>
      </c>
      <c r="AI173" s="108" t="str">
        <f t="shared" si="115"/>
        <v>echo {"issue":{"subject":"","project_id":79,"tracker_id":40,"status_id":1,"priority_id":2,"assigned_to_id":23,"start_date":"2017-03-06","description":"","custom_fields":[{"id":1,"name":"Subdivision","value":"NW"},{"id":4,"name":"Milepost","value":"5.8971"},{"id":17,"name":"Train ID","value":"813-06"},{"id":16,"name":"Locomotive ID","value":"4007"},{"id":130,"name":"Impact","value":""},{"id":150,"name":"Time of Event (Mountain Time)","value":"09:34:01"},{"id":151,"name":"Denver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116"/>
        <v>start /low /b %USERPROFILE%\Documents\GitHub\eaglep3\Utilities\DownloadLogsFromS3.py --loco 4007 --day 2017-03-06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74" spans="1:91" x14ac:dyDescent="0.25">
      <c r="A174" s="33" t="s">
        <v>665</v>
      </c>
      <c r="B174" s="7">
        <v>4008</v>
      </c>
      <c r="C174" s="21" t="s">
        <v>245</v>
      </c>
      <c r="D174" s="21" t="s">
        <v>920</v>
      </c>
      <c r="E174" s="13">
        <v>42800.399837962963</v>
      </c>
      <c r="F174" s="13">
        <v>42800.401331018518</v>
      </c>
      <c r="G174" s="7">
        <v>1</v>
      </c>
      <c r="H174" s="21" t="s">
        <v>921</v>
      </c>
      <c r="I174" s="13">
        <v>42800.412939814814</v>
      </c>
      <c r="J174" s="7">
        <v>0</v>
      </c>
      <c r="K174" s="98" t="str">
        <f t="shared" ref="K174:K205" si="117">IF(ISEVEN(B174),(B174-1)&amp;"/"&amp;B174,B174&amp;"/"&amp;(B174+1))</f>
        <v>4007/4008</v>
      </c>
      <c r="L174" s="21" t="str">
        <f>VLOOKUP(A174,'Trips&amp;Operators'!$C$1:$G$99999,5,FALSE)</f>
        <v>ROCHA YAOTL</v>
      </c>
      <c r="M174" s="6">
        <f t="shared" ref="M174:M205" si="118">I174-F174</f>
        <v>1.1608796296059154E-2</v>
      </c>
      <c r="N174" s="7">
        <f t="shared" ref="N174:N205" si="119">24*60*SUM($M174:$M174)</f>
        <v>16.716666666325182</v>
      </c>
      <c r="O174" s="7"/>
      <c r="P174" s="7"/>
      <c r="Q174" s="22"/>
      <c r="R174" s="22"/>
      <c r="S174" s="31">
        <f t="shared" ref="S174:S205" si="120">SUM(U174:U174)/IF(AG174="EC",12,1)</f>
        <v>1</v>
      </c>
      <c r="T174" s="46" t="str">
        <f t="shared" ref="T174:T205" si="121">IF(ISEVEN(LEFT(AD174,4)),"Southbound","NorthBound")</f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79"/>
        <v>https://d0f6bd738d7f1b3e5a7ca70fe4ff75f0.us-east-1.aws.found.io/app/kibana#/discover/Steve-Slow-Train-Analysis-(2080s-and-2083s)?_g=(refreshInterval:(display:Off,pause:!f,section:0,value:0),time:(from:'2017-03-06T08:35:46-0700',mode:absolute,to:'2017-03-06T10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7" t="str">
        <f t="shared" ref="W174:W205" si="122">IF(AA174&lt;IF(AG174="EC",23,5.65),"Y","N")</f>
        <v>N</v>
      </c>
      <c r="X174" s="187">
        <f t="shared" si="108"/>
        <v>1</v>
      </c>
      <c r="Y174" s="62">
        <f t="shared" ref="Y174:Y205" si="123">RIGHT(D174,LEN(D174)-4)/10000</f>
        <v>5.8654999999999999</v>
      </c>
      <c r="Z174" s="62">
        <f t="shared" ref="Z174:Z205" si="124">RIGHT(H174,LEN(H174)-4)/10000</f>
        <v>6.59E-2</v>
      </c>
      <c r="AA174" s="62">
        <f t="shared" ref="AA174:AA205" si="125">ABS(Z174-Y174)</f>
        <v>5.7995999999999999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ref="AD174:AD205" si="126">IF(LEN(A174)=6,"0"&amp;A174,A174)</f>
        <v>0814-06</v>
      </c>
      <c r="AE17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4" s="82" t="str">
        <f t="shared" si="81"/>
        <v>"C:\Program Files (x86)\AstroGrep\AstroGrep.exe" /e /r /s /spath="%USERPROFILE%\AppData\Local\Temp\OnboardLogs" /stypes="app*4008*20170306*" /stext=" 16:.+((SYSTEM_STATE.+slice.+state.+changed )|(ment ac)|(multiple cpu faults)|(system.+state.+changed )|(\[timeout)|(PRM\|1\|D)|(kpr)|(kdp)|(\|lc)|(penalty))"</v>
      </c>
      <c r="AG174" s="1" t="str">
        <f t="shared" ref="AG174:AG205" si="127">IFERROR(IF(VALUE(LEFT(AD174,2))&lt;=2,"EC",IF(OR(VALUE(LEFT(AD174,2))=8,VALUE(LEFT(AD174,2))=18),"NW","Other")),"Other")</f>
        <v>NW</v>
      </c>
      <c r="AH174" s="86" t="str">
        <f t="shared" si="99"/>
        <v>"%USERPROFILE%\Documents\GitHub\eaglep3\Utilities\RefineRTDCRunTimes.py" --tripid 814-06 --locoid 4008 --swversion DE.1.0.9.0 --startMP 300:58655 --initTime 2017-03-06T09:35:46 --startdatetime 2017-03-06T09:37:55 --delay 1 --endMP 204:659 --enddatetime 2017-03-06T09:54:38 --enforcementcount 0 &gt;&gt;C:\Users\stu\Documents\GitHub\eaglep3-reporting\EC\2017-03-06-refined-times.txt</v>
      </c>
      <c r="AI17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{"issue":{"subject":"","project_id":79,"tracker_id":40,"status_id":1,"priority_id":2,"assigned_to_id":23,"start_date":"2017-03-06","description":"","custom_fields":[{"id":1,"name":"Subdivision","value":"NW"},{"id":4,"name":"Milepost","value":"0.0659"},{"id":17,"name":"Train ID","value":"814-06"},{"id":16,"name":"Locomotive ID","value":"4008"},{"id":130,"name":"Impact","value":""},{"id":150,"name":"Time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101"/>
        <v>start /low /b %USERPROFILE%\Documents\GitHub\eaglep3\Utilities\DownloadLogsFromS3.py --loco 4008 --day 2017-03-06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5" spans="1:91" s="20" customFormat="1" x14ac:dyDescent="0.25">
      <c r="A175" s="33" t="s">
        <v>670</v>
      </c>
      <c r="B175" s="7">
        <v>4007</v>
      </c>
      <c r="C175" s="21" t="s">
        <v>245</v>
      </c>
      <c r="D175" s="21" t="s">
        <v>922</v>
      </c>
      <c r="E175" s="13">
        <v>42800.415081018517</v>
      </c>
      <c r="F175" s="13">
        <v>42800.431493055556</v>
      </c>
      <c r="G175" s="7">
        <v>2</v>
      </c>
      <c r="H175" s="21" t="s">
        <v>923</v>
      </c>
      <c r="I175" s="13">
        <v>42800.440115740741</v>
      </c>
      <c r="J175" s="7">
        <v>0</v>
      </c>
      <c r="K175" s="98" t="str">
        <f t="shared" si="117"/>
        <v>4007/4008</v>
      </c>
      <c r="L175" s="21" t="str">
        <f>VLOOKUP(A175,'Trips&amp;Operators'!$C$1:$G$99999,5,FALSE)</f>
        <v>ROCHA YAOTL</v>
      </c>
      <c r="M175" s="6">
        <f t="shared" si="118"/>
        <v>8.6226851854007691E-3</v>
      </c>
      <c r="N175" s="7">
        <f t="shared" si="119"/>
        <v>12.416666666977108</v>
      </c>
      <c r="O175" s="7"/>
      <c r="P175" s="7"/>
      <c r="Q175" s="22"/>
      <c r="R175" s="22"/>
      <c r="S175" s="31">
        <f t="shared" si="120"/>
        <v>1</v>
      </c>
      <c r="T175" s="46" t="str">
        <f t="shared" si="121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79"/>
        <v>https://d0f6bd738d7f1b3e5a7ca70fe4ff75f0.us-east-1.aws.found.io/app/kibana#/discover/Steve-Slow-Train-Analysis-(2080s-and-2083s)?_g=(refreshInterval:(display:Off,pause:!f,section:0,value:0),time:(from:'2017-03-06T08:57:43-0700',mode:absolute,to:'2017-03-06T11:33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7" t="str">
        <f t="shared" si="122"/>
        <v>N</v>
      </c>
      <c r="X175" s="187">
        <f t="shared" si="108"/>
        <v>1</v>
      </c>
      <c r="Y175" s="62">
        <f t="shared" si="123"/>
        <v>9.5799999999999996E-2</v>
      </c>
      <c r="Z175" s="62">
        <f t="shared" si="124"/>
        <v>5.8964999999999996</v>
      </c>
      <c r="AA175" s="62">
        <f t="shared" si="125"/>
        <v>5.8007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26"/>
        <v>0815-06</v>
      </c>
      <c r="AE175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5" s="82" t="str">
        <f t="shared" si="81"/>
        <v>"C:\Program Files (x86)\AstroGrep\AstroGrep.exe" /e /r /s /spath="%USERPROFILE%\AppData\Local\Temp\OnboardLogs" /stypes="app*4007*20170306*" /stext=" 17:.+((SYSTEM_STATE.+slice.+state.+changed )|(ment ac)|(multiple cpu faults)|(system.+state.+changed )|(\[timeout)|(PRM\|1\|D)|(kpr)|(kdp)|(\|lc)|(penalty))"</v>
      </c>
      <c r="AG175" s="1" t="str">
        <f t="shared" si="127"/>
        <v>NW</v>
      </c>
      <c r="AH175" s="86" t="str">
        <f t="shared" si="99"/>
        <v>"%USERPROFILE%\Documents\GitHub\eaglep3\Utilities\RefineRTDCRunTimes.py" --tripid 815-06 --locoid 4007 --swversion DE.1.0.9.0 --startMP 204:958 --initTime 2017-03-06T09:57:43 --startdatetime 2017-03-06T10:21:21 --delay 2 --endMP 300:58965 --enddatetime 2017-03-06T10:33:46 --enforcementcount 0 &gt;&gt;C:\Users\stu\Documents\GitHub\eaglep3-reporting\EC\2017-03-06-refined-times.txt</v>
      </c>
      <c r="AI17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{"issue":{"subject":"","project_id":79,"tracker_id":40,"status_id":1,"priority_id":2,"assigned_to_id":23,"start_date":"2017-03-06","description":"","custom_fields":[{"id":1,"name":"Subdivision","value":"NW"},{"id":4,"name":"Milepost","value":"5.8965"},{"id":17,"name":"Train ID","value":"815-06"},{"id":16,"name":"Locomotive ID","value":"4007"},{"id":130,"name":"Impact","value":""},{"id":150,"name":"Time of Event (Mountain Time)","value":"10:33:46"},{"id":151,"name":"Denver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101"/>
        <v>start /low /b %USERPROFILE%\Documents\GitHub\eaglep3\Utilities\DownloadLogsFromS3.py --loco 4007 --day 2017-03-06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672</v>
      </c>
      <c r="B176" s="7">
        <v>4008</v>
      </c>
      <c r="C176" s="21" t="s">
        <v>245</v>
      </c>
      <c r="D176" s="21" t="s">
        <v>924</v>
      </c>
      <c r="E176" s="13">
        <v>42800.441250000003</v>
      </c>
      <c r="F176" s="13">
        <v>42800.44253472222</v>
      </c>
      <c r="G176" s="7">
        <v>1</v>
      </c>
      <c r="H176" s="21" t="s">
        <v>925</v>
      </c>
      <c r="I176" s="13">
        <v>42800.454791666663</v>
      </c>
      <c r="J176" s="7">
        <v>0</v>
      </c>
      <c r="K176" s="98" t="str">
        <f t="shared" si="117"/>
        <v>4007/4008</v>
      </c>
      <c r="L176" s="21" t="str">
        <f>VLOOKUP(A176,'Trips&amp;Operators'!$C$1:$G$99999,5,FALSE)</f>
        <v>ROCHA YAOTL</v>
      </c>
      <c r="M176" s="6">
        <f t="shared" si="118"/>
        <v>1.2256944442924578E-2</v>
      </c>
      <c r="N176" s="7">
        <f t="shared" si="119"/>
        <v>17.649999997811392</v>
      </c>
      <c r="O176" s="7"/>
      <c r="P176" s="7"/>
      <c r="Q176" s="22"/>
      <c r="R176" s="22"/>
      <c r="S176" s="31">
        <f t="shared" si="120"/>
        <v>1</v>
      </c>
      <c r="T176" s="46" t="str">
        <f t="shared" si="121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79"/>
        <v>https://d0f6bd738d7f1b3e5a7ca70fe4ff75f0.us-east-1.aws.found.io/app/kibana#/discover/Steve-Slow-Train-Analysis-(2080s-and-2083s)?_g=(refreshInterval:(display:Off,pause:!f,section:0,value:0),time:(from:'2017-03-06T09:35:24-0700',mode:absolute,to:'2017-03-06T11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7" t="str">
        <f t="shared" si="122"/>
        <v>N</v>
      </c>
      <c r="X176" s="187">
        <f t="shared" si="108"/>
        <v>1</v>
      </c>
      <c r="Y176" s="62">
        <f t="shared" si="123"/>
        <v>5.8651</v>
      </c>
      <c r="Z176" s="62">
        <f t="shared" si="124"/>
        <v>6.4899999999999999E-2</v>
      </c>
      <c r="AA176" s="62">
        <f t="shared" si="125"/>
        <v>5.8002000000000002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26"/>
        <v>0816-06</v>
      </c>
      <c r="AE176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6" s="82" t="str">
        <f t="shared" si="81"/>
        <v>"C:\Program Files (x86)\AstroGrep\AstroGrep.exe" /e /r /s /spath="%USERPROFILE%\AppData\Local\Temp\OnboardLogs" /stypes="app*4008*20170306*" /stext=" 17:.+((SYSTEM_STATE.+slice.+state.+changed )|(ment ac)|(multiple cpu faults)|(system.+state.+changed )|(\[timeout)|(PRM\|1\|D)|(kpr)|(kdp)|(\|lc)|(penalty))"</v>
      </c>
      <c r="AG176" s="1" t="str">
        <f t="shared" si="127"/>
        <v>NW</v>
      </c>
      <c r="AH176" s="86" t="str">
        <f t="shared" si="99"/>
        <v>"%USERPROFILE%\Documents\GitHub\eaglep3\Utilities\RefineRTDCRunTimes.py" --tripid 816-06 --locoid 4008 --swversion DE.1.0.9.0 --startMP 300:58651 --initTime 2017-03-06T10:35:24 --startdatetime 2017-03-06T10:37:15 --delay 1 --endMP 204:649 --enddatetime 2017-03-06T10:54:54 --enforcementcount 0 &gt;&gt;C:\Users\stu\Documents\GitHub\eaglep3-reporting\EC\2017-03-06-refined-times.txt</v>
      </c>
      <c r="AI17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{"issue":{"subject":"","project_id":79,"tracker_id":40,"status_id":1,"priority_id":2,"assigned_to_id":23,"start_date":"2017-03-06","description":"","custom_fields":[{"id":1,"name":"Subdivision","value":"NW"},{"id":4,"name":"Milepost","value":"0.0649"},{"id":17,"name":"Train ID","value":"816-06"},{"id":16,"name":"Locomotive ID","value":"4008"},{"id":130,"name":"Impact","value":""},{"id":150,"name":"Time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101"/>
        <v>start /low /b %USERPROFILE%\Documents\GitHub\eaglep3\Utilities\DownloadLogsFromS3.py --loco 4008 --day 2017-03-06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7" spans="1:91" s="20" customFormat="1" x14ac:dyDescent="0.25">
      <c r="A177" s="33" t="s">
        <v>575</v>
      </c>
      <c r="B177" s="7">
        <v>4007</v>
      </c>
      <c r="C177" s="21" t="s">
        <v>245</v>
      </c>
      <c r="D177" s="21" t="s">
        <v>922</v>
      </c>
      <c r="E177" s="13">
        <v>42800.456782407404</v>
      </c>
      <c r="F177" s="13">
        <v>42800.473090277781</v>
      </c>
      <c r="G177" s="7">
        <v>1</v>
      </c>
      <c r="H177" s="21" t="s">
        <v>540</v>
      </c>
      <c r="I177" s="13">
        <v>42800.482499999998</v>
      </c>
      <c r="J177" s="7">
        <v>0</v>
      </c>
      <c r="K177" s="98" t="str">
        <f t="shared" si="117"/>
        <v>4007/4008</v>
      </c>
      <c r="L177" s="21" t="str">
        <f>VLOOKUP(A177,'Trips&amp;Operators'!$C$1:$G$99999,5,FALSE)</f>
        <v>ROCHA YAOTL</v>
      </c>
      <c r="M177" s="6">
        <f t="shared" si="118"/>
        <v>9.4097222172422335E-3</v>
      </c>
      <c r="N177" s="7">
        <f t="shared" si="119"/>
        <v>13.549999992828816</v>
      </c>
      <c r="O177" s="7"/>
      <c r="P177" s="7"/>
      <c r="Q177" s="22"/>
      <c r="R177" s="22"/>
      <c r="S177" s="31">
        <f t="shared" si="120"/>
        <v>1</v>
      </c>
      <c r="T177" s="46" t="str">
        <f t="shared" si="121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79"/>
        <v>https://d0f6bd738d7f1b3e5a7ca70fe4ff75f0.us-east-1.aws.found.io/app/kibana#/discover/Steve-Slow-Train-Analysis-(2080s-and-2083s)?_g=(refreshInterval:(display:Off,pause:!f,section:0,value:0),time:(from:'2017-03-06T09:57:46-0700',mode:absolute,to:'2017-03-06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7" t="str">
        <f t="shared" si="122"/>
        <v>N</v>
      </c>
      <c r="X177" s="187">
        <f t="shared" ref="X177:X203" si="128">VALUE(LEFT(AD177,4))-VALUE(LEFT(AD176,4))</f>
        <v>1</v>
      </c>
      <c r="Y177" s="62">
        <f t="shared" si="123"/>
        <v>9.5799999999999996E-2</v>
      </c>
      <c r="Z177" s="62">
        <f t="shared" si="124"/>
        <v>5.8954000000000004</v>
      </c>
      <c r="AA177" s="62">
        <f t="shared" si="125"/>
        <v>5.7996000000000008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26"/>
        <v>0817-06</v>
      </c>
      <c r="AE177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7" s="82" t="str">
        <f t="shared" si="81"/>
        <v>"C:\Program Files (x86)\AstroGrep\AstroGrep.exe" /e /r /s /spath="%USERPROFILE%\AppData\Local\Temp\OnboardLogs" /stypes="app*4007*20170306*" /stext=" 18:.+((SYSTEM_STATE.+slice.+state.+changed )|(ment ac)|(multiple cpu faults)|(system.+state.+changed )|(\[timeout)|(PRM\|1\|D)|(kpr)|(kdp)|(\|lc)|(penalty))"</v>
      </c>
      <c r="AG177" s="1" t="str">
        <f t="shared" si="127"/>
        <v>NW</v>
      </c>
      <c r="AH177" s="86" t="str">
        <f t="shared" si="99"/>
        <v>"%USERPROFILE%\Documents\GitHub\eaglep3\Utilities\RefineRTDCRunTimes.py" --tripid 817-06 --locoid 4007 --swversion DE.1.0.9.0 --startMP 204:958 --initTime 2017-03-06T10:57:46 --startdatetime 2017-03-06T11:21:15 --delay 1 --endMP 300:58954 --enddatetime 2017-03-06T11:34:48 --enforcementcount 0 &gt;&gt;C:\Users\stu\Documents\GitHub\eaglep3-reporting\EC\2017-03-06-refined-times.txt</v>
      </c>
      <c r="AI177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{"issue":{"subject":"","project_id":79,"tracker_id":40,"status_id":1,"priority_id":2,"assigned_to_id":23,"start_date":"2017-03-06","description":"","custom_fields":[{"id":1,"name":"Subdivision","value":"NW"},{"id":4,"name":"Milepost","value":"5.8954"},{"id":17,"name":"Train ID","value":"817-06"},{"id":16,"name":"Locomotive ID","value":"4007"},{"id":130,"name":"Impact","value":""},{"id":150,"name":"Time of Event (Mountain Time)","value":"11:34:48"},{"id":151,"name":"Denver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101"/>
        <v>start /low /b %USERPROFILE%\Documents\GitHub\eaglep3\Utilities\DownloadLogsFromS3.py --loco 4007 --day 2017-03-06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681</v>
      </c>
      <c r="B178" s="7">
        <v>4008</v>
      </c>
      <c r="C178" s="21" t="s">
        <v>245</v>
      </c>
      <c r="D178" s="21" t="s">
        <v>924</v>
      </c>
      <c r="E178" s="13">
        <v>42800.483668981484</v>
      </c>
      <c r="F178" s="13">
        <v>42800.485115740739</v>
      </c>
      <c r="G178" s="7">
        <v>1</v>
      </c>
      <c r="H178" s="21" t="s">
        <v>926</v>
      </c>
      <c r="I178" s="13">
        <v>42800.496504629627</v>
      </c>
      <c r="J178" s="7">
        <v>0</v>
      </c>
      <c r="K178" s="98" t="str">
        <f t="shared" si="117"/>
        <v>4007/4008</v>
      </c>
      <c r="L178" s="21" t="str">
        <f>VLOOKUP(A178,'Trips&amp;Operators'!$C$1:$G$99999,5,FALSE)</f>
        <v>ROCHA YAOTL</v>
      </c>
      <c r="M178" s="6">
        <f t="shared" si="118"/>
        <v>1.1388888888177462E-2</v>
      </c>
      <c r="N178" s="7">
        <f t="shared" si="119"/>
        <v>16.399999998975545</v>
      </c>
      <c r="O178" s="7"/>
      <c r="P178" s="7"/>
      <c r="Q178" s="22"/>
      <c r="R178" s="22"/>
      <c r="S178" s="31">
        <f t="shared" si="120"/>
        <v>1</v>
      </c>
      <c r="T178" s="46" t="str">
        <f t="shared" si="121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79"/>
        <v>https://d0f6bd738d7f1b3e5a7ca70fe4ff75f0.us-east-1.aws.found.io/app/kibana#/discover/Steve-Slow-Train-Analysis-(2080s-and-2083s)?_g=(refreshInterval:(display:Off,pause:!f,section:0,value:0),time:(from:'2017-03-06T10:36:29-0700',mode:absolute,to:'2017-03-06T12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7" t="str">
        <f t="shared" si="122"/>
        <v>N</v>
      </c>
      <c r="X178" s="187">
        <f t="shared" si="128"/>
        <v>1</v>
      </c>
      <c r="Y178" s="62">
        <f t="shared" si="123"/>
        <v>5.8651</v>
      </c>
      <c r="Z178" s="62">
        <f t="shared" si="124"/>
        <v>6.6100000000000006E-2</v>
      </c>
      <c r="AA178" s="62">
        <f t="shared" si="125"/>
        <v>5.7990000000000004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26"/>
        <v>0818-06</v>
      </c>
      <c r="AE178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78" s="82" t="str">
        <f t="shared" si="81"/>
        <v>"C:\Program Files (x86)\AstroGrep\AstroGrep.exe" /e /r /s /spath="%USERPROFILE%\AppData\Local\Temp\OnboardLogs" /stypes="app*4008*20170306*" /stext=" 18:.+((SYSTEM_STATE.+slice.+state.+changed )|(ment ac)|(multiple cpu faults)|(system.+state.+changed )|(\[timeout)|(PRM\|1\|D)|(kpr)|(kdp)|(\|lc)|(penalty))"</v>
      </c>
      <c r="AG178" s="1" t="str">
        <f t="shared" si="127"/>
        <v>NW</v>
      </c>
      <c r="AH178" s="86" t="str">
        <f t="shared" si="99"/>
        <v>"%USERPROFILE%\Documents\GitHub\eaglep3\Utilities\RefineRTDCRunTimes.py" --tripid 818-06 --locoid 4008 --swversion DE.1.0.9.0 --startMP 300:58651 --initTime 2017-03-06T11:36:29 --startdatetime 2017-03-06T11:38:34 --delay 1 --endMP 204:661 --enddatetime 2017-03-06T11:54:58 --enforcementcount 0 &gt;&gt;C:\Users\stu\Documents\GitHub\eaglep3-reporting\EC\2017-03-06-refined-times.txt</v>
      </c>
      <c r="AI17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{"issue":{"subject":"","project_id":79,"tracker_id":40,"status_id":1,"priority_id":2,"assigned_to_id":23,"start_date":"2017-03-06","description":"","custom_fields":[{"id":1,"name":"Subdivision","value":"NW"},{"id":4,"name":"Milepost","value":"0.0661"},{"id":17,"name":"Train ID","value":"818-06"},{"id":16,"name":"Locomotive ID","value":"4008"},{"id":130,"name":"Impact","value":""},{"id":150,"name":"Time of Event (Mountain Time)","value":"11:54:58"},{"id":151,"name":"Denver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101"/>
        <v>start /low /b %USERPROFILE%\Documents\GitHub\eaglep3\Utilities\DownloadLogsFromS3.py --loco 4008 --day 2017-03-06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79" spans="1:91" s="20" customFormat="1" x14ac:dyDescent="0.25">
      <c r="A179" s="33" t="s">
        <v>685</v>
      </c>
      <c r="B179" s="7">
        <v>4007</v>
      </c>
      <c r="C179" s="21" t="s">
        <v>245</v>
      </c>
      <c r="D179" s="21" t="s">
        <v>927</v>
      </c>
      <c r="E179" s="13">
        <v>42800.49832175926</v>
      </c>
      <c r="F179" s="13">
        <v>42800.514803240738</v>
      </c>
      <c r="G179" s="7">
        <v>1</v>
      </c>
      <c r="H179" s="21" t="s">
        <v>928</v>
      </c>
      <c r="I179" s="13">
        <v>42800.523877314816</v>
      </c>
      <c r="J179" s="7">
        <v>0</v>
      </c>
      <c r="K179" s="98" t="str">
        <f t="shared" si="117"/>
        <v>4007/4008</v>
      </c>
      <c r="L179" s="21" t="str">
        <f>VLOOKUP(A179,'Trips&amp;Operators'!$C$1:$G$99999,5,FALSE)</f>
        <v>ROCHA YAOTL</v>
      </c>
      <c r="M179" s="6">
        <f t="shared" si="118"/>
        <v>9.0740740779438056E-3</v>
      </c>
      <c r="N179" s="7">
        <f t="shared" si="119"/>
        <v>13.06666667223908</v>
      </c>
      <c r="O179" s="7"/>
      <c r="P179" s="7"/>
      <c r="Q179" s="22"/>
      <c r="R179" s="22"/>
      <c r="S179" s="31">
        <f t="shared" si="120"/>
        <v>1</v>
      </c>
      <c r="T179" s="46" t="str">
        <f t="shared" si="121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79"/>
        <v>https://d0f6bd738d7f1b3e5a7ca70fe4ff75f0.us-east-1.aws.found.io/app/kibana#/discover/Steve-Slow-Train-Analysis-(2080s-and-2083s)?_g=(refreshInterval:(display:Off,pause:!f,section:0,value:0),time:(from:'2017-03-06T10:57:35-0700',mode:absolute,to:'2017-03-06T13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7" t="str">
        <f t="shared" si="122"/>
        <v>N</v>
      </c>
      <c r="X179" s="187">
        <f t="shared" si="128"/>
        <v>1</v>
      </c>
      <c r="Y179" s="62">
        <f t="shared" si="123"/>
        <v>9.6000000000000002E-2</v>
      </c>
      <c r="Z179" s="62">
        <f t="shared" si="124"/>
        <v>5.8920000000000003</v>
      </c>
      <c r="AA179" s="62">
        <f t="shared" si="125"/>
        <v>5.7960000000000003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26"/>
        <v>0819-06</v>
      </c>
      <c r="AE179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79" s="82" t="str">
        <f t="shared" si="81"/>
        <v>"C:\Program Files (x86)\AstroGrep\AstroGrep.exe" /e /r /s /spath="%USERPROFILE%\AppData\Local\Temp\OnboardLogs" /stypes="app*4007*20170306*" /stext=" 19:.+((SYSTEM_STATE.+slice.+state.+changed )|(ment ac)|(multiple cpu faults)|(system.+state.+changed )|(\[timeout)|(PRM\|1\|D)|(kpr)|(kdp)|(\|lc)|(penalty))"</v>
      </c>
      <c r="AG179" s="1" t="str">
        <f t="shared" si="127"/>
        <v>NW</v>
      </c>
      <c r="AH179" s="86" t="str">
        <f t="shared" si="99"/>
        <v>"%USERPROFILE%\Documents\GitHub\eaglep3\Utilities\RefineRTDCRunTimes.py" --tripid 819-06 --locoid 4007 --swversion DE.1.0.9.0 --startMP 204:960 --initTime 2017-03-06T11:57:35 --startdatetime 2017-03-06T12:21:19 --delay 1 --endMP 300:58920 --enddatetime 2017-03-06T12:34:23 --enforcementcount 0 &gt;&gt;C:\Users\stu\Documents\GitHub\eaglep3-reporting\EC\2017-03-06-refined-times.txt</v>
      </c>
      <c r="AI17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{"issue":{"subject":"","project_id":79,"tracker_id":40,"status_id":1,"priority_id":2,"assigned_to_id":23,"start_date":"2017-03-06","description":"","custom_fields":[{"id":1,"name":"Subdivision","value":"NW"},{"id":4,"name":"Milepost","value":"5.892"},{"id":17,"name":"Train ID","value":"819-06"},{"id":16,"name":"Locomotive ID","value":"4007"},{"id":130,"name":"Impact","value":""},{"id":150,"name":"Time of Event (Mountain Time)","value":"12:34:23"},{"id":151,"name":"Denver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101"/>
        <v>start /low /b %USERPROFILE%\Documents\GitHub\eaglep3\Utilities\DownloadLogsFromS3.py --loco 4007 --day 2017-03-06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578</v>
      </c>
      <c r="B180" s="7">
        <v>4008</v>
      </c>
      <c r="C180" s="21" t="s">
        <v>245</v>
      </c>
      <c r="D180" s="21" t="s">
        <v>929</v>
      </c>
      <c r="E180" s="13">
        <v>42800.525266203702</v>
      </c>
      <c r="F180" s="13">
        <v>42800.52679398148</v>
      </c>
      <c r="G180" s="7">
        <v>1</v>
      </c>
      <c r="H180" s="21" t="s">
        <v>843</v>
      </c>
      <c r="I180" s="13">
        <v>42800.538287037038</v>
      </c>
      <c r="J180" s="7">
        <v>0</v>
      </c>
      <c r="K180" s="98" t="str">
        <f t="shared" si="117"/>
        <v>4007/4008</v>
      </c>
      <c r="L180" s="21" t="str">
        <f>VLOOKUP(A180,'Trips&amp;Operators'!$C$1:$G$99999,5,FALSE)</f>
        <v>ROCHA YAOTL</v>
      </c>
      <c r="M180" s="6">
        <f t="shared" si="118"/>
        <v>1.1493055557366461E-2</v>
      </c>
      <c r="N180" s="7">
        <f t="shared" si="119"/>
        <v>16.550000002607703</v>
      </c>
      <c r="O180" s="7"/>
      <c r="P180" s="7"/>
      <c r="Q180" s="22"/>
      <c r="R180" s="22"/>
      <c r="S180" s="31">
        <f t="shared" si="120"/>
        <v>1</v>
      </c>
      <c r="T180" s="46" t="str">
        <f t="shared" si="121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79"/>
        <v>https://d0f6bd738d7f1b3e5a7ca70fe4ff75f0.us-east-1.aws.found.io/app/kibana#/discover/Steve-Slow-Train-Analysis-(2080s-and-2083s)?_g=(refreshInterval:(display:Off,pause:!f,section:0,value:0),time:(from:'2017-03-06T11:36:23-0700',mode:absolute,to:'2017-03-06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7" t="str">
        <f t="shared" si="122"/>
        <v>N</v>
      </c>
      <c r="X180" s="187">
        <f t="shared" si="128"/>
        <v>1</v>
      </c>
      <c r="Y180" s="62">
        <f t="shared" si="123"/>
        <v>5.8601999999999999</v>
      </c>
      <c r="Z180" s="62">
        <f t="shared" si="124"/>
        <v>6.7299999999999999E-2</v>
      </c>
      <c r="AA180" s="62">
        <f t="shared" si="125"/>
        <v>5.7928999999999995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26"/>
        <v>0820-06</v>
      </c>
      <c r="AE180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0" s="82" t="str">
        <f t="shared" si="81"/>
        <v>"C:\Program Files (x86)\AstroGrep\AstroGrep.exe" /e /r /s /spath="%USERPROFILE%\AppData\Local\Temp\OnboardLogs" /stypes="app*4008*20170306*" /stext=" 19:.+((SYSTEM_STATE.+slice.+state.+changed )|(ment ac)|(multiple cpu faults)|(system.+state.+changed )|(\[timeout)|(PRM\|1\|D)|(kpr)|(kdp)|(\|lc)|(penalty))"</v>
      </c>
      <c r="AG180" s="1" t="str">
        <f t="shared" si="127"/>
        <v>NW</v>
      </c>
      <c r="AH180" s="86" t="str">
        <f t="shared" si="99"/>
        <v>"%USERPROFILE%\Documents\GitHub\eaglep3\Utilities\RefineRTDCRunTimes.py" --tripid 820-06 --locoid 4008 --swversion DE.1.0.9.0 --startMP 300:58602 --initTime 2017-03-06T12:36:23 --startdatetime 2017-03-06T12:38:35 --delay 1 --endMP 204:673 --enddatetime 2017-03-06T12:55:08 --enforcementcount 0 &gt;&gt;C:\Users\stu\Documents\GitHub\eaglep3-reporting\EC\2017-03-06-refined-times.txt</v>
      </c>
      <c r="AI18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{"issue":{"subject":"","project_id":79,"tracker_id":40,"status_id":1,"priority_id":2,"assigned_to_id":23,"start_date":"2017-03-06","description":"","custom_fields":[{"id":1,"name":"Subdivision","value":"NW"},{"id":4,"name":"Milepost","value":"0.0673"},{"id":17,"name":"Train ID","value":"820-06"},{"id":16,"name":"Locomotive ID","value":"4008"},{"id":130,"name":"Impact","value":""},{"id":150,"name":"Time of Event (Mountain Time)","value":"12:55:08"},{"id":151,"name":"Denver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101"/>
        <v>start /low /b %USERPROFILE%\Documents\GitHub\eaglep3\Utilities\DownloadLogsFromS3.py --loco 4008 --day 2017-03-06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1" spans="1:91" x14ac:dyDescent="0.25">
      <c r="A181" s="33" t="s">
        <v>696</v>
      </c>
      <c r="B181" s="7">
        <v>4007</v>
      </c>
      <c r="C181" s="21" t="s">
        <v>245</v>
      </c>
      <c r="D181" s="21" t="s">
        <v>930</v>
      </c>
      <c r="E181" s="13">
        <v>42800.551006944443</v>
      </c>
      <c r="F181" s="13">
        <v>42800.556435185186</v>
      </c>
      <c r="G181" s="7">
        <v>2</v>
      </c>
      <c r="H181" s="21" t="s">
        <v>542</v>
      </c>
      <c r="I181" s="13">
        <v>42800.565405092595</v>
      </c>
      <c r="J181" s="7">
        <v>0</v>
      </c>
      <c r="K181" s="98" t="str">
        <f t="shared" si="117"/>
        <v>4007/4008</v>
      </c>
      <c r="L181" s="21" t="str">
        <f>VLOOKUP(A181,'Trips&amp;Operators'!$C$1:$G$99999,5,FALSE)</f>
        <v>LEVIN SCOTT</v>
      </c>
      <c r="M181" s="6">
        <f t="shared" si="118"/>
        <v>8.969907408754807E-3</v>
      </c>
      <c r="N181" s="7">
        <f t="shared" si="119"/>
        <v>12.916666668606922</v>
      </c>
      <c r="O181" s="7"/>
      <c r="P181" s="7"/>
      <c r="Q181" s="22"/>
      <c r="R181" s="22"/>
      <c r="S181" s="31">
        <f t="shared" si="120"/>
        <v>1</v>
      </c>
      <c r="T181" s="46" t="str">
        <f t="shared" si="121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79"/>
        <v>https://d0f6bd738d7f1b3e5a7ca70fe4ff75f0.us-east-1.aws.found.io/app/kibana#/discover/Steve-Slow-Train-Analysis-(2080s-and-2083s)?_g=(refreshInterval:(display:Off,pause:!f,section:0,value:0),time:(from:'2017-03-06T12:13:27-0700',mode:absolute,to:'2017-03-06T14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7" t="str">
        <f t="shared" si="122"/>
        <v>N</v>
      </c>
      <c r="X181" s="187">
        <f t="shared" si="128"/>
        <v>1</v>
      </c>
      <c r="Y181" s="62">
        <f t="shared" si="123"/>
        <v>9.64E-2</v>
      </c>
      <c r="Z181" s="62">
        <f t="shared" si="124"/>
        <v>5.8940999999999999</v>
      </c>
      <c r="AA181" s="62">
        <f t="shared" si="125"/>
        <v>5.7976999999999999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26"/>
        <v>0821-06</v>
      </c>
      <c r="AE181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1" s="82" t="str">
        <f t="shared" si="81"/>
        <v>"C:\Program Files (x86)\AstroGrep\AstroGrep.exe" /e /r /s /spath="%USERPROFILE%\AppData\Local\Temp\OnboardLogs" /stypes="app*4007*20170306*" /stext=" 20:.+((SYSTEM_STATE.+slice.+state.+changed )|(ment ac)|(multiple cpu faults)|(system.+state.+changed )|(\[timeout)|(PRM\|1\|D)|(kpr)|(kdp)|(\|lc)|(penalty))"</v>
      </c>
      <c r="AG181" s="1" t="str">
        <f t="shared" si="127"/>
        <v>NW</v>
      </c>
      <c r="AH181" s="86" t="str">
        <f t="shared" si="99"/>
        <v>"%USERPROFILE%\Documents\GitHub\eaglep3\Utilities\RefineRTDCRunTimes.py" --tripid 821-06 --locoid 4007 --swversion DE.1.0.9.0 --startMP 204:964 --initTime 2017-03-06T13:13:27 --startdatetime 2017-03-06T13:21:16 --delay 2 --endMP 300:58941 --enddatetime 2017-03-06T13:34:11 --enforcementcount 0 &gt;&gt;C:\Users\stu\Documents\GitHub\eaglep3-reporting\EC\2017-03-06-refined-times.txt</v>
      </c>
      <c r="AI18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{"issue":{"subject":"","project_id":79,"tracker_id":40,"status_id":1,"priority_id":2,"assigned_to_id":23,"start_date":"2017-03-06","description":"","custom_fields":[{"id":1,"name":"Subdivision","value":"NW"},{"id":4,"name":"Milepost","value":"5.8941"},{"id":17,"name":"Train ID","value":"821-06"},{"id":16,"name":"Locomotive ID","value":"4007"},{"id":130,"name":"Impact","value":""},{"id":150,"name":"Time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101"/>
        <v>start /low /b %USERPROFILE%\Documents\GitHub\eaglep3\Utilities\DownloadLogsFromS3.py --loco 4007 --day 2017-03-06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82" spans="1:91" x14ac:dyDescent="0.25">
      <c r="A182" s="33" t="s">
        <v>700</v>
      </c>
      <c r="B182" s="7">
        <v>4008</v>
      </c>
      <c r="C182" s="21" t="s">
        <v>245</v>
      </c>
      <c r="D182" s="21" t="s">
        <v>536</v>
      </c>
      <c r="E182" s="13">
        <v>42800.566412037035</v>
      </c>
      <c r="F182" s="13">
        <v>42800.567986111113</v>
      </c>
      <c r="G182" s="7">
        <v>1</v>
      </c>
      <c r="H182" s="21" t="s">
        <v>538</v>
      </c>
      <c r="I182" s="13">
        <v>42800.579467592594</v>
      </c>
      <c r="J182" s="7">
        <v>0</v>
      </c>
      <c r="K182" s="98" t="str">
        <f t="shared" si="117"/>
        <v>4007/4008</v>
      </c>
      <c r="L182" s="21" t="str">
        <f>VLOOKUP(A182,'Trips&amp;Operators'!$C$1:$G$99999,5,FALSE)</f>
        <v>LEVIN SCOTT</v>
      </c>
      <c r="M182" s="6">
        <f t="shared" si="118"/>
        <v>1.1481481480586808E-2</v>
      </c>
      <c r="N182" s="7">
        <f t="shared" si="119"/>
        <v>16.533333332045004</v>
      </c>
      <c r="O182" s="7"/>
      <c r="P182" s="7"/>
      <c r="Q182" s="22"/>
      <c r="R182" s="22"/>
      <c r="S182" s="31">
        <f t="shared" si="120"/>
        <v>1</v>
      </c>
      <c r="T182" s="46" t="str">
        <f t="shared" si="121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79"/>
        <v>https://d0f6bd738d7f1b3e5a7ca70fe4ff75f0.us-east-1.aws.found.io/app/kibana#/discover/Steve-Slow-Train-Analysis-(2080s-and-2083s)?_g=(refreshInterval:(display:Off,pause:!f,section:0,value:0),time:(from:'2017-03-06T12:35:38-0700',mode:absolute,to:'2017-03-06T14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7" t="str">
        <f t="shared" si="122"/>
        <v>N</v>
      </c>
      <c r="X182" s="187">
        <f t="shared" si="128"/>
        <v>1</v>
      </c>
      <c r="Y182" s="62">
        <f t="shared" si="123"/>
        <v>5.8628</v>
      </c>
      <c r="Z182" s="62">
        <f t="shared" si="124"/>
        <v>7.3300000000000004E-2</v>
      </c>
      <c r="AA182" s="62">
        <f t="shared" si="125"/>
        <v>5.7895000000000003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26"/>
        <v>0822-06</v>
      </c>
      <c r="AE182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2" s="82" t="str">
        <f t="shared" si="81"/>
        <v>"C:\Program Files (x86)\AstroGrep\AstroGrep.exe" /e /r /s /spath="%USERPROFILE%\AppData\Local\Temp\OnboardLogs" /stypes="app*4008*20170306*" /stext=" 20:.+((SYSTEM_STATE.+slice.+state.+changed )|(ment ac)|(multiple cpu faults)|(system.+state.+changed )|(\[timeout)|(PRM\|1\|D)|(kpr)|(kdp)|(\|lc)|(penalty))"</v>
      </c>
      <c r="AG182" s="1" t="str">
        <f t="shared" si="127"/>
        <v>NW</v>
      </c>
      <c r="AH182" s="86" t="str">
        <f t="shared" si="99"/>
        <v>"%USERPROFILE%\Documents\GitHub\eaglep3\Utilities\RefineRTDCRunTimes.py" --tripid 822-06 --locoid 4008 --swversion DE.1.0.9.0 --startMP 300:58628 --initTime 2017-03-06T13:35:38 --startdatetime 2017-03-06T13:37:54 --delay 1 --endMP 204:733 --enddatetime 2017-03-06T13:54:26 --enforcementcount 0 &gt;&gt;C:\Users\stu\Documents\GitHub\eaglep3-reporting\EC\2017-03-06-refined-times.txt</v>
      </c>
      <c r="AI18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{"issue":{"subject":"","project_id":79,"tracker_id":40,"status_id":1,"priority_id":2,"assigned_to_id":23,"start_date":"2017-03-06","description":"","custom_fields":[{"id":1,"name":"Subdivision","value":"NW"},{"id":4,"name":"Milepost","value":"0.0733"},{"id":17,"name":"Train ID","value":"822-06"},{"id":16,"name":"Locomotive ID","value":"4008"},{"id":130,"name":"Impact","value":""},{"id":150,"name":"Time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101"/>
        <v>start /low /b %USERPROFILE%\Documents\GitHub\eaglep3\Utilities\DownloadLogsFromS3.py --loco 4008 --day 2017-03-06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3" spans="1:91" s="20" customFormat="1" x14ac:dyDescent="0.25">
      <c r="A183" s="33" t="s">
        <v>704</v>
      </c>
      <c r="B183" s="7">
        <v>4007</v>
      </c>
      <c r="C183" s="21" t="s">
        <v>245</v>
      </c>
      <c r="D183" s="21" t="s">
        <v>539</v>
      </c>
      <c r="E183" s="13">
        <v>42800.595833333333</v>
      </c>
      <c r="F183" s="13">
        <v>42800.598090277781</v>
      </c>
      <c r="G183" s="7">
        <v>1</v>
      </c>
      <c r="H183" s="21" t="s">
        <v>931</v>
      </c>
      <c r="I183" s="13">
        <v>42800.607083333336</v>
      </c>
      <c r="J183" s="7">
        <v>0</v>
      </c>
      <c r="K183" s="98" t="str">
        <f t="shared" si="117"/>
        <v>4007/4008</v>
      </c>
      <c r="L183" s="21" t="str">
        <f>VLOOKUP(A183,'Trips&amp;Operators'!$C$1:$G$99999,5,FALSE)</f>
        <v>LEVIN SCOTT</v>
      </c>
      <c r="M183" s="6">
        <f t="shared" si="118"/>
        <v>8.9930555550381541E-3</v>
      </c>
      <c r="N183" s="7">
        <f t="shared" si="119"/>
        <v>12.949999999254942</v>
      </c>
      <c r="O183" s="7"/>
      <c r="P183" s="7"/>
      <c r="Q183" s="22"/>
      <c r="R183" s="22"/>
      <c r="S183" s="31">
        <f t="shared" si="120"/>
        <v>1</v>
      </c>
      <c r="T183" s="46" t="str">
        <f t="shared" si="121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79"/>
        <v>https://d0f6bd738d7f1b3e5a7ca70fe4ff75f0.us-east-1.aws.found.io/app/kibana#/discover/Steve-Slow-Train-Analysis-(2080s-and-2083s)?_g=(refreshInterval:(display:Off,pause:!f,section:0,value:0),time:(from:'2017-03-06T13:18:00-0700',mode:absolute,to:'2017-03-06T15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7" t="str">
        <f t="shared" si="122"/>
        <v>N</v>
      </c>
      <c r="X183" s="187">
        <f t="shared" si="128"/>
        <v>1</v>
      </c>
      <c r="Y183" s="62">
        <f t="shared" si="123"/>
        <v>0.1018</v>
      </c>
      <c r="Z183" s="62">
        <f t="shared" si="124"/>
        <v>5.8930999999999996</v>
      </c>
      <c r="AA183" s="62">
        <f t="shared" si="125"/>
        <v>5.7912999999999997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26"/>
        <v>0823-06</v>
      </c>
      <c r="AE18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3" s="82" t="str">
        <f t="shared" si="81"/>
        <v>"C:\Program Files (x86)\AstroGrep\AstroGrep.exe" /e /r /s /spath="%USERPROFILE%\AppData\Local\Temp\OnboardLogs" /stypes="app*4007*20170306*" /stext=" 21:.+((SYSTEM_STATE.+slice.+state.+changed )|(ment ac)|(multiple cpu faults)|(system.+state.+changed )|(\[timeout)|(PRM\|1\|D)|(kpr)|(kdp)|(\|lc)|(penalty))"</v>
      </c>
      <c r="AG183" s="1" t="str">
        <f t="shared" si="127"/>
        <v>NW</v>
      </c>
      <c r="AH183" s="86" t="str">
        <f t="shared" si="99"/>
        <v>"%USERPROFILE%\Documents\GitHub\eaglep3\Utilities\RefineRTDCRunTimes.py" --tripid 823-06 --locoid 4007 --swversion DE.1.0.9.0 --startMP 204:1018 --initTime 2017-03-06T14:18:00 --startdatetime 2017-03-06T14:21:15 --delay 1 --endMP 300:58931 --enddatetime 2017-03-06T14:34:12 --enforcementcount 0 &gt;&gt;C:\Users\stu\Documents\GitHub\eaglep3-reporting\EC\2017-03-06-refined-times.txt</v>
      </c>
      <c r="AI18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{"issue":{"subject":"","project_id":79,"tracker_id":40,"status_id":1,"priority_id":2,"assigned_to_id":23,"start_date":"2017-03-06","description":"","custom_fields":[{"id":1,"name":"Subdivision","value":"NW"},{"id":4,"name":"Milepost","value":"5.8931"},{"id":17,"name":"Train ID","value":"823-06"},{"id":16,"name":"Locomotive ID","value":"4007"},{"id":130,"name":"Impact","value":""},{"id":150,"name":"Time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101"/>
        <v>start /low /b %USERPROFILE%\Documents\GitHub\eaglep3\Utilities\DownloadLogsFromS3.py --loco 4007 --day 2017-03-06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707</v>
      </c>
      <c r="B184" s="7">
        <v>4008</v>
      </c>
      <c r="C184" s="21" t="s">
        <v>245</v>
      </c>
      <c r="D184" s="21" t="s">
        <v>537</v>
      </c>
      <c r="E184" s="13">
        <v>42800.608136574076</v>
      </c>
      <c r="F184" s="13">
        <v>42800.6093287037</v>
      </c>
      <c r="G184" s="7">
        <v>1</v>
      </c>
      <c r="H184" s="21" t="s">
        <v>932</v>
      </c>
      <c r="I184" s="13">
        <v>42800.621319444443</v>
      </c>
      <c r="J184" s="7">
        <v>0</v>
      </c>
      <c r="K184" s="98" t="str">
        <f t="shared" si="117"/>
        <v>4007/4008</v>
      </c>
      <c r="L184" s="21" t="str">
        <f>VLOOKUP(A184,'Trips&amp;Operators'!$C$1:$G$99999,5,FALSE)</f>
        <v>LEVIN SCOTT</v>
      </c>
      <c r="M184" s="6">
        <f t="shared" si="118"/>
        <v>1.1990740742476191E-2</v>
      </c>
      <c r="N184" s="7">
        <f t="shared" si="119"/>
        <v>17.266666669165716</v>
      </c>
      <c r="O184" s="7"/>
      <c r="P184" s="7"/>
      <c r="Q184" s="22"/>
      <c r="R184" s="22"/>
      <c r="S184" s="31">
        <f t="shared" si="120"/>
        <v>1</v>
      </c>
      <c r="T184" s="46" t="str">
        <f t="shared" si="121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79"/>
        <v>https://d0f6bd738d7f1b3e5a7ca70fe4ff75f0.us-east-1.aws.found.io/app/kibana#/discover/Steve-Slow-Train-Analysis-(2080s-and-2083s)?_g=(refreshInterval:(display:Off,pause:!f,section:0,value:0),time:(from:'2017-03-06T13:35:43-0700',mode:absolute,to:'2017-03-06T15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7" t="str">
        <f t="shared" si="122"/>
        <v>N</v>
      </c>
      <c r="X184" s="187">
        <f t="shared" si="128"/>
        <v>1</v>
      </c>
      <c r="Y184" s="62">
        <f t="shared" si="123"/>
        <v>5.8609</v>
      </c>
      <c r="Z184" s="62">
        <f t="shared" si="124"/>
        <v>6.6799999999999998E-2</v>
      </c>
      <c r="AA184" s="62">
        <f t="shared" si="125"/>
        <v>5.7941000000000003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26"/>
        <v>0824-06</v>
      </c>
      <c r="AE18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4" s="82" t="str">
        <f t="shared" si="81"/>
        <v>"C:\Program Files (x86)\AstroGrep\AstroGrep.exe" /e /r /s /spath="%USERPROFILE%\AppData\Local\Temp\OnboardLogs" /stypes="app*4008*20170306*" /stext=" 21:.+((SYSTEM_STATE.+slice.+state.+changed )|(ment ac)|(multiple cpu faults)|(system.+state.+changed )|(\[timeout)|(PRM\|1\|D)|(kpr)|(kdp)|(\|lc)|(penalty))"</v>
      </c>
      <c r="AG184" s="1" t="str">
        <f t="shared" si="127"/>
        <v>NW</v>
      </c>
      <c r="AH184" s="86" t="str">
        <f t="shared" si="99"/>
        <v>"%USERPROFILE%\Documents\GitHub\eaglep3\Utilities\RefineRTDCRunTimes.py" --tripid 824-06 --locoid 4008 --swversion DE.1.0.9.0 --startMP 300:58609 --initTime 2017-03-06T14:35:43 --startdatetime 2017-03-06T14:37:26 --delay 1 --endMP 204:668 --enddatetime 2017-03-06T14:54:42 --enforcementcount 0 &gt;&gt;C:\Users\stu\Documents\GitHub\eaglep3-reporting\EC\2017-03-06-refined-times.txt</v>
      </c>
      <c r="AI18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{"issue":{"subject":"","project_id":79,"tracker_id":40,"status_id":1,"priority_id":2,"assigned_to_id":23,"start_date":"2017-03-06","description":"","custom_fields":[{"id":1,"name":"Subdivision","value":"NW"},{"id":4,"name":"Milepost","value":"0.0668"},{"id":17,"name":"Train ID","value":"824-06"},{"id":16,"name":"Locomotive ID","value":"4008"},{"id":130,"name":"Impact","value":""},{"id":150,"name":"Time of Event (Mountain Time)","value":"14:54:42"},{"id":151,"name":"Denver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101"/>
        <v>start /low /b %USERPROFILE%\Documents\GitHub\eaglep3\Utilities\DownloadLogsFromS3.py --loco 4008 --day 2017-03-06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5" spans="1:91" s="20" customFormat="1" x14ac:dyDescent="0.25">
      <c r="A185" s="33" t="s">
        <v>712</v>
      </c>
      <c r="B185" s="7">
        <v>4007</v>
      </c>
      <c r="C185" s="21" t="s">
        <v>245</v>
      </c>
      <c r="D185" s="21" t="s">
        <v>933</v>
      </c>
      <c r="E185" s="13">
        <v>42800.636273148149</v>
      </c>
      <c r="F185" s="13">
        <v>42800.639756944445</v>
      </c>
      <c r="G185" s="7">
        <v>1</v>
      </c>
      <c r="H185" s="21" t="s">
        <v>276</v>
      </c>
      <c r="I185" s="13">
        <v>42800.648715277777</v>
      </c>
      <c r="J185" s="7">
        <v>0</v>
      </c>
      <c r="K185" s="98" t="str">
        <f t="shared" si="117"/>
        <v>4007/4008</v>
      </c>
      <c r="L185" s="21" t="str">
        <f>VLOOKUP(A185,'Trips&amp;Operators'!$C$1:$G$99999,5,FALSE)</f>
        <v>LEVIN SCOTT</v>
      </c>
      <c r="M185" s="6">
        <f t="shared" si="118"/>
        <v>8.9583333319751546E-3</v>
      </c>
      <c r="N185" s="7">
        <f t="shared" si="119"/>
        <v>12.899999998044223</v>
      </c>
      <c r="O185" s="7"/>
      <c r="P185" s="7"/>
      <c r="Q185" s="22"/>
      <c r="R185" s="22"/>
      <c r="S185" s="31">
        <f t="shared" si="120"/>
        <v>1</v>
      </c>
      <c r="T185" s="46" t="str">
        <f t="shared" si="121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79"/>
        <v>https://d0f6bd738d7f1b3e5a7ca70fe4ff75f0.us-east-1.aws.found.io/app/kibana#/discover/Steve-Slow-Train-Analysis-(2080s-and-2083s)?_g=(refreshInterval:(display:Off,pause:!f,section:0,value:0),time:(from:'2017-03-06T14:16:14-0700',mode:absolute,to:'2017-03-06T16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87" t="str">
        <f t="shared" si="122"/>
        <v>N</v>
      </c>
      <c r="X185" s="187">
        <f t="shared" si="128"/>
        <v>1</v>
      </c>
      <c r="Y185" s="62">
        <f t="shared" si="123"/>
        <v>9.6500000000000002E-2</v>
      </c>
      <c r="Z185" s="62">
        <f t="shared" si="124"/>
        <v>5.8933</v>
      </c>
      <c r="AA185" s="62">
        <f t="shared" si="125"/>
        <v>5.7968000000000002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26"/>
        <v>0825-06</v>
      </c>
      <c r="AE185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5" s="82" t="str">
        <f t="shared" si="81"/>
        <v>"C:\Program Files (x86)\AstroGrep\AstroGrep.exe" /e /r /s /spath="%USERPROFILE%\AppData\Local\Temp\OnboardLogs" /stypes="app*4007*20170306*" /stext=" 22:.+((SYSTEM_STATE.+slice.+state.+changed )|(ment ac)|(multiple cpu faults)|(system.+state.+changed )|(\[timeout)|(PRM\|1\|D)|(kpr)|(kdp)|(\|lc)|(penalty))"</v>
      </c>
      <c r="AG185" s="1" t="str">
        <f t="shared" si="127"/>
        <v>NW</v>
      </c>
      <c r="AH185" s="86" t="str">
        <f t="shared" si="99"/>
        <v>"%USERPROFILE%\Documents\GitHub\eaglep3\Utilities\RefineRTDCRunTimes.py" --tripid 825-06 --locoid 4007 --swversion DE.1.0.9.0 --startMP 204:965 --initTime 2017-03-06T15:16:14 --startdatetime 2017-03-06T15:21:15 --delay 1 --endMP 300:58933 --enddatetime 2017-03-06T15:34:09 --enforcementcount 0 &gt;&gt;C:\Users\stu\Documents\GitHub\eaglep3-reporting\EC\2017-03-06-refined-times.txt</v>
      </c>
      <c r="AI18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{"issue":{"subject":"","project_id":79,"tracker_id":40,"status_id":1,"priority_id":2,"assigned_to_id":23,"start_date":"2017-03-06","description":"","custom_fields":[{"id":1,"name":"Subdivision","value":"NW"},{"id":4,"name":"Milepost","value":"5.8933"},{"id":17,"name":"Train ID","value":"825-06"},{"id":16,"name":"Locomotive ID","value":"4007"},{"id":130,"name":"Impact","value":""},{"id":150,"name":"Time of Event (Mountain Time)","value":"15:34:09"},{"id":151,"name":"Denver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101"/>
        <v>start /low /b %USERPROFILE%\Documents\GitHub\eaglep3\Utilities\DownloadLogsFromS3.py --loco 4007 --day 2017-03-06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716</v>
      </c>
      <c r="B186" s="7">
        <v>4008</v>
      </c>
      <c r="C186" s="21" t="s">
        <v>245</v>
      </c>
      <c r="D186" s="21" t="s">
        <v>934</v>
      </c>
      <c r="E186" s="13">
        <v>42800.649780092594</v>
      </c>
      <c r="F186" s="13">
        <v>42800.651087962964</v>
      </c>
      <c r="G186" s="7">
        <v>1</v>
      </c>
      <c r="H186" s="21" t="s">
        <v>935</v>
      </c>
      <c r="I186" s="13">
        <v>42800.663275462961</v>
      </c>
      <c r="J186" s="7">
        <v>0</v>
      </c>
      <c r="K186" s="98" t="str">
        <f t="shared" si="117"/>
        <v>4007/4008</v>
      </c>
      <c r="L186" s="21" t="str">
        <f>VLOOKUP(A186,'Trips&amp;Operators'!$C$1:$G$99999,5,FALSE)</f>
        <v>LEVIN SCOTT</v>
      </c>
      <c r="M186" s="6">
        <f t="shared" si="118"/>
        <v>1.2187499996798579E-2</v>
      </c>
      <c r="N186" s="7">
        <f t="shared" si="119"/>
        <v>17.549999995389953</v>
      </c>
      <c r="O186" s="7"/>
      <c r="P186" s="7"/>
      <c r="Q186" s="22"/>
      <c r="R186" s="22"/>
      <c r="S186" s="31">
        <f t="shared" si="120"/>
        <v>1</v>
      </c>
      <c r="T186" s="46" t="str">
        <f t="shared" si="121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79"/>
        <v>https://d0f6bd738d7f1b3e5a7ca70fe4ff75f0.us-east-1.aws.found.io/app/kibana#/discover/Steve-Slow-Train-Analysis-(2080s-and-2083s)?_g=(refreshInterval:(display:Off,pause:!f,section:0,value:0),time:(from:'2017-03-06T14:35:41-0700',mode:absolute,to:'2017-03-06T16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187" t="str">
        <f t="shared" si="122"/>
        <v>N</v>
      </c>
      <c r="X186" s="187">
        <f t="shared" si="128"/>
        <v>1</v>
      </c>
      <c r="Y186" s="62">
        <f t="shared" si="123"/>
        <v>5.8605999999999998</v>
      </c>
      <c r="Z186" s="62">
        <f t="shared" si="124"/>
        <v>6.5600000000000006E-2</v>
      </c>
      <c r="AA186" s="62">
        <f t="shared" si="125"/>
        <v>5.7949999999999999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26"/>
        <v>0826-06</v>
      </c>
      <c r="AE186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86" s="82" t="str">
        <f t="shared" si="81"/>
        <v>"C:\Program Files (x86)\AstroGrep\AstroGrep.exe" /e /r /s /spath="%USERPROFILE%\AppData\Local\Temp\OnboardLogs" /stypes="app*4008*20170306*" /stext=" 22:.+((SYSTEM_STATE.+slice.+state.+changed )|(ment ac)|(multiple cpu faults)|(system.+state.+changed )|(\[timeout)|(PRM\|1\|D)|(kpr)|(kdp)|(\|lc)|(penalty))"</v>
      </c>
      <c r="AG186" s="1" t="str">
        <f t="shared" si="127"/>
        <v>NW</v>
      </c>
      <c r="AH186" s="86" t="str">
        <f t="shared" si="99"/>
        <v>"%USERPROFILE%\Documents\GitHub\eaglep3\Utilities\RefineRTDCRunTimes.py" --tripid 826-06 --locoid 4008 --swversion DE.1.0.9.0 --startMP 300:58606 --initTime 2017-03-06T15:35:41 --startdatetime 2017-03-06T15:37:34 --delay 1 --endMP 204:656 --enddatetime 2017-03-06T15:55:07 --enforcementcount 0 &gt;&gt;C:\Users\stu\Documents\GitHub\eaglep3-reporting\EC\2017-03-06-refined-times.txt</v>
      </c>
      <c r="AI18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{"issue":{"subject":"","project_id":79,"tracker_id":40,"status_id":1,"priority_id":2,"assigned_to_id":23,"start_date":"2017-03-06","description":"","custom_fields":[{"id":1,"name":"Subdivision","value":"NW"},{"id":4,"name":"Milepost","value":"0.0656"},{"id":17,"name":"Train ID","value":"826-06"},{"id":16,"name":"Locomotive ID","value":"4008"},{"id":130,"name":"Impact","value":""},{"id":150,"name":"Time of Event (Mountain Time)","value":"15:55:07"},{"id":151,"name":"Denver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101"/>
        <v>start /low /b %USERPROFILE%\Documents\GitHub\eaglep3\Utilities\DownloadLogsFromS3.py --loco 4008 --day 2017-03-06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87" spans="1:91" x14ac:dyDescent="0.25">
      <c r="A187" s="33" t="s">
        <v>715</v>
      </c>
      <c r="B187" s="7">
        <v>4014</v>
      </c>
      <c r="C187" s="21" t="s">
        <v>245</v>
      </c>
      <c r="D187" s="21" t="s">
        <v>915</v>
      </c>
      <c r="E187" s="13">
        <v>42800.648564814815</v>
      </c>
      <c r="F187" s="13">
        <v>42800.660590277781</v>
      </c>
      <c r="G187" s="7">
        <v>1</v>
      </c>
      <c r="H187" s="21" t="s">
        <v>936</v>
      </c>
      <c r="I187" s="13">
        <v>42800.669594907406</v>
      </c>
      <c r="J187" s="7">
        <v>0</v>
      </c>
      <c r="K187" s="98" t="str">
        <f t="shared" si="117"/>
        <v>4013/4014</v>
      </c>
      <c r="L187" s="21" t="str">
        <f>VLOOKUP(A187,'Trips&amp;Operators'!$C$1:$G$99999,5,FALSE)</f>
        <v>NEWELL JAMES</v>
      </c>
      <c r="M187" s="6">
        <f t="shared" si="118"/>
        <v>9.0046296245418489E-3</v>
      </c>
      <c r="N187" s="7">
        <f t="shared" si="119"/>
        <v>12.966666659340262</v>
      </c>
      <c r="O187" s="7"/>
      <c r="P187" s="7"/>
      <c r="Q187" s="22"/>
      <c r="R187" s="22"/>
      <c r="S187" s="31">
        <f t="shared" si="120"/>
        <v>1</v>
      </c>
      <c r="T187" s="46" t="str">
        <f t="shared" si="121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79"/>
        <v>https://d0f6bd738d7f1b3e5a7ca70fe4ff75f0.us-east-1.aws.found.io/app/kibana#/discover/Steve-Slow-Train-Analysis-(2080s-and-2083s)?_g=(refreshInterval:(display:Off,pause:!f,section:0,value:0),time:(from:'2017-03-06T14:33:56-0700',mode:absolute,to:'2017-03-06T17:04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7" s="187" t="str">
        <f t="shared" si="122"/>
        <v>N</v>
      </c>
      <c r="X187" s="187">
        <f t="shared" si="128"/>
        <v>1</v>
      </c>
      <c r="Y187" s="62">
        <f t="shared" si="123"/>
        <v>9.5000000000000001E-2</v>
      </c>
      <c r="Z187" s="62">
        <f t="shared" si="124"/>
        <v>5.8928000000000003</v>
      </c>
      <c r="AA187" s="62">
        <f t="shared" si="125"/>
        <v>5.7978000000000005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26"/>
        <v>0827-06</v>
      </c>
      <c r="AE187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87" s="82" t="str">
        <f t="shared" si="81"/>
        <v>"C:\Program Files (x86)\AstroGrep\AstroGrep.exe" /e /r /s /spath="%USERPROFILE%\AppData\Local\Temp\OnboardLogs" /stypes="app*4014*20170306*" /stext=" 23:.+((SYSTEM_STATE.+slice.+state.+changed )|(ment ac)|(multiple cpu faults)|(system.+state.+changed )|(\[timeout)|(PRM\|1\|D)|(kpr)|(kdp)|(\|lc)|(penalty))"</v>
      </c>
      <c r="AG187" s="1" t="str">
        <f t="shared" si="127"/>
        <v>NW</v>
      </c>
      <c r="AH187" s="86" t="str">
        <f t="shared" si="99"/>
        <v>"%USERPROFILE%\Documents\GitHub\eaglep3\Utilities\RefineRTDCRunTimes.py" --tripid 827-06 --locoid 4014 --swversion DE.1.0.9.0 --startMP 204:950 --initTime 2017-03-06T15:33:56 --startdatetime 2017-03-06T15:51:15 --delay 1 --endMP 300:58928 --enddatetime 2017-03-06T16:04:13 --enforcementcount 0 &gt;&gt;C:\Users\stu\Documents\GitHub\eaglep3-reporting\EC\2017-03-06-refined-times.txt</v>
      </c>
      <c r="AI187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{"issue":{"subject":"","project_id":79,"tracker_id":40,"status_id":1,"priority_id":2,"assigned_to_id":23,"start_date":"2017-03-06","description":"","custom_fields":[{"id":1,"name":"Subdivision","value":"NW"},{"id":4,"name":"Milepost","value":"5.8928"},{"id":17,"name":"Train ID","value":"827-06"},{"id":16,"name":"Locomotive ID","value":"4014"},{"id":130,"name":"Impact","value":""},{"id":150,"name":"Time of Event (Mountain Time)","value":"16:04:13"},{"id":151,"name":"Denver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101"/>
        <v>start /low /b %USERPROFILE%\Documents\GitHub\eaglep3\Utilities\DownloadLogsFromS3.py --loco 4014 --day 2017-03-06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88" spans="1:91" x14ac:dyDescent="0.25">
      <c r="A188" s="33" t="s">
        <v>720</v>
      </c>
      <c r="B188" s="7">
        <v>4013</v>
      </c>
      <c r="C188" s="21" t="s">
        <v>245</v>
      </c>
      <c r="D188" s="21" t="s">
        <v>937</v>
      </c>
      <c r="E188" s="13">
        <v>42800.670381944445</v>
      </c>
      <c r="F188" s="13">
        <v>42800.671458333331</v>
      </c>
      <c r="G188" s="7">
        <v>1</v>
      </c>
      <c r="H188" s="21" t="s">
        <v>938</v>
      </c>
      <c r="I188" s="13">
        <v>42800.684421296297</v>
      </c>
      <c r="J188" s="7">
        <v>0</v>
      </c>
      <c r="K188" s="98" t="str">
        <f t="shared" si="117"/>
        <v>4013/4014</v>
      </c>
      <c r="L188" s="21" t="str">
        <f>VLOOKUP(A188,'Trips&amp;Operators'!$C$1:$G$99999,5,FALSE)</f>
        <v>NEWELL JAMES</v>
      </c>
      <c r="M188" s="6">
        <f t="shared" si="118"/>
        <v>1.2962962966412306E-2</v>
      </c>
      <c r="N188" s="7">
        <f t="shared" si="119"/>
        <v>18.66666667163372</v>
      </c>
      <c r="O188" s="7"/>
      <c r="P188" s="7"/>
      <c r="Q188" s="22"/>
      <c r="R188" s="22"/>
      <c r="S188" s="31">
        <f t="shared" si="120"/>
        <v>1</v>
      </c>
      <c r="T188" s="46" t="str">
        <f t="shared" si="121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79"/>
        <v>https://d0f6bd738d7f1b3e5a7ca70fe4ff75f0.us-east-1.aws.found.io/app/kibana#/discover/Steve-Slow-Train-Analysis-(2080s-and-2083s)?_g=(refreshInterval:(display:Off,pause:!f,section:0,value:0),time:(from:'2017-03-06T15:05:21-0700',mode:absolute,to:'2017-03-06T17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8" s="187" t="str">
        <f t="shared" si="122"/>
        <v>N</v>
      </c>
      <c r="X188" s="187">
        <f t="shared" si="128"/>
        <v>1</v>
      </c>
      <c r="Y188" s="62">
        <f t="shared" si="123"/>
        <v>5.8611000000000004</v>
      </c>
      <c r="Z188" s="62">
        <f t="shared" si="124"/>
        <v>6.5199999999999994E-2</v>
      </c>
      <c r="AA188" s="62">
        <f t="shared" si="125"/>
        <v>5.7959000000000005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26"/>
        <v>0828-06</v>
      </c>
      <c r="AE188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88" s="82" t="str">
        <f t="shared" si="81"/>
        <v>"C:\Program Files (x86)\AstroGrep\AstroGrep.exe" /e /r /s /spath="%USERPROFILE%\AppData\Local\Temp\OnboardLogs" /stypes="app*4013*20170306*" /stext=" 23:.+((SYSTEM_STATE.+slice.+state.+changed )|(ment ac)|(multiple cpu faults)|(system.+state.+changed )|(\[timeout)|(PRM\|1\|D)|(kpr)|(kdp)|(\|lc)|(penalty))"</v>
      </c>
      <c r="AG188" s="1" t="str">
        <f t="shared" si="127"/>
        <v>NW</v>
      </c>
      <c r="AH188" s="86" t="str">
        <f t="shared" si="99"/>
        <v>"%USERPROFILE%\Documents\GitHub\eaglep3\Utilities\RefineRTDCRunTimes.py" --tripid 828-06 --locoid 4013 --swversion DE.1.0.9.0 --startMP 300:58611 --initTime 2017-03-06T16:05:21 --startdatetime 2017-03-06T16:06:54 --delay 1 --endMP 204:652 --enddatetime 2017-03-06T16:25:34 --enforcementcount 0 &gt;&gt;C:\Users\stu\Documents\GitHub\eaglep3-reporting\EC\2017-03-06-refined-times.txt</v>
      </c>
      <c r="AI18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{"issue":{"subject":"","project_id":79,"tracker_id":40,"status_id":1,"priority_id":2,"assigned_to_id":23,"start_date":"2017-03-06","description":"","custom_fields":[{"id":1,"name":"Subdivision","value":"NW"},{"id":4,"name":"Milepost","value":"0.0652"},{"id":17,"name":"Train ID","value":"828-06"},{"id":16,"name":"Locomotive ID","value":"4013"},{"id":130,"name":"Impact","value":""},{"id":150,"name":"Time of Event (Mountain Time)","value":"16:25:34"},{"id":151,"name":"Denver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101"/>
        <v>start /low /b %USERPROFILE%\Documents\GitHub\eaglep3\Utilities\DownloadLogsFromS3.py --loco 4013 --day 2017-03-06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189" spans="1:91" x14ac:dyDescent="0.25">
      <c r="A189" s="33" t="s">
        <v>722</v>
      </c>
      <c r="B189" s="7">
        <v>4007</v>
      </c>
      <c r="C189" s="21" t="s">
        <v>245</v>
      </c>
      <c r="D189" s="21" t="s">
        <v>939</v>
      </c>
      <c r="E189" s="13">
        <v>42800.676874999997</v>
      </c>
      <c r="F189" s="13">
        <v>42800.681435185186</v>
      </c>
      <c r="G189" s="7">
        <v>1</v>
      </c>
      <c r="H189" s="21" t="s">
        <v>940</v>
      </c>
      <c r="I189" s="13">
        <v>42800.690486111111</v>
      </c>
      <c r="J189" s="7">
        <v>0</v>
      </c>
      <c r="K189" s="98" t="str">
        <f t="shared" si="117"/>
        <v>4007/4008</v>
      </c>
      <c r="L189" s="21" t="str">
        <f>VLOOKUP(A189,'Trips&amp;Operators'!$C$1:$G$99999,5,FALSE)</f>
        <v>LEVIN SCOTT</v>
      </c>
      <c r="M189" s="6">
        <f t="shared" si="118"/>
        <v>9.0509259243845008E-3</v>
      </c>
      <c r="N189" s="7">
        <f t="shared" si="119"/>
        <v>13.033333331113681</v>
      </c>
      <c r="O189" s="7"/>
      <c r="P189" s="7"/>
      <c r="Q189" s="22"/>
      <c r="R189" s="22"/>
      <c r="S189" s="31">
        <f t="shared" si="120"/>
        <v>1</v>
      </c>
      <c r="T189" s="46" t="str">
        <f t="shared" si="121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79"/>
        <v>https://d0f6bd738d7f1b3e5a7ca70fe4ff75f0.us-east-1.aws.found.io/app/kibana#/discover/Steve-Slow-Train-Analysis-(2080s-and-2083s)?_g=(refreshInterval:(display:Off,pause:!f,section:0,value:0),time:(from:'2017-03-06T15:14:42-0700',mode:absolute,to:'2017-03-06T17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87" t="str">
        <f t="shared" si="122"/>
        <v>N</v>
      </c>
      <c r="X189" s="187">
        <f t="shared" si="128"/>
        <v>1</v>
      </c>
      <c r="Y189" s="62">
        <f t="shared" si="123"/>
        <v>9.4100000000000003E-2</v>
      </c>
      <c r="Z189" s="62">
        <f t="shared" si="124"/>
        <v>5.8935000000000004</v>
      </c>
      <c r="AA189" s="62">
        <f t="shared" si="125"/>
        <v>5.7994000000000003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26"/>
        <v>0829-06</v>
      </c>
      <c r="AE189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89" s="82" t="str">
        <f t="shared" si="81"/>
        <v>"C:\Program Files (x86)\AstroGrep\AstroGrep.exe" /e /r /s /spath="%USERPROFILE%\AppData\Local\Temp\OnboardLogs" /stypes="app*4007*20170306*" /stext=" 23:.+((SYSTEM_STATE.+slice.+state.+changed )|(ment ac)|(multiple cpu faults)|(system.+state.+changed )|(\[timeout)|(PRM\|1\|D)|(kpr)|(kdp)|(\|lc)|(penalty))"</v>
      </c>
      <c r="AG189" s="1" t="str">
        <f t="shared" si="127"/>
        <v>NW</v>
      </c>
      <c r="AH189" s="86" t="str">
        <f t="shared" si="99"/>
        <v>"%USERPROFILE%\Documents\GitHub\eaglep3\Utilities\RefineRTDCRunTimes.py" --tripid 829-06 --locoid 4007 --swversion DE.1.0.9.0 --startMP 204:941 --initTime 2017-03-06T16:14:42 --startdatetime 2017-03-06T16:21:16 --delay 1 --endMP 300:58935 --enddatetime 2017-03-06T16:34:18 --enforcementcount 0 &gt;&gt;C:\Users\stu\Documents\GitHub\eaglep3-reporting\EC\2017-03-06-refined-times.txt</v>
      </c>
      <c r="AI18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{"issue":{"subject":"","project_id":79,"tracker_id":40,"status_id":1,"priority_id":2,"assigned_to_id":23,"start_date":"2017-03-06","description":"","custom_fields":[{"id":1,"name":"Subdivision","value":"NW"},{"id":4,"name":"Milepost","value":"5.8935"},{"id":17,"name":"Train ID","value":"829-06"},{"id":16,"name":"Locomotive ID","value":"4007"},{"id":130,"name":"Impact","value":""},{"id":150,"name":"Time of Event (Mountain Time)","value":"16:34:18"},{"id":151,"name":"Denver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101"/>
        <v>start /low /b %USERPROFILE%\Documents\GitHub\eaglep3\Utilities\DownloadLogsFromS3.py --loco 4007 --day 2017-03-06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"%USERPROFILE%\AppData\Local\Temp\OnboardLogs"\RTDC4007\*4007*20170306* | grep -SE "(Enforcement Action)|(\[TIMEOUT)|(CHR.+\|PRM\|1\|D.+(SWITCH|SIGNAL).+UNKNOWN)" - &gt;&gt; 2017-03-06-UncaughtWiMAX.txt</v>
      </c>
    </row>
    <row r="190" spans="1:91" x14ac:dyDescent="0.25">
      <c r="A190" s="33" t="s">
        <v>726</v>
      </c>
      <c r="B190" s="7">
        <v>4008</v>
      </c>
      <c r="C190" s="21" t="s">
        <v>245</v>
      </c>
      <c r="D190" s="21" t="s">
        <v>535</v>
      </c>
      <c r="E190" s="13">
        <v>42800.692465277774</v>
      </c>
      <c r="F190" s="13">
        <v>42800.693530092591</v>
      </c>
      <c r="G190" s="7">
        <v>0</v>
      </c>
      <c r="H190" s="21" t="s">
        <v>941</v>
      </c>
      <c r="I190" s="13">
        <v>42800.704872685186</v>
      </c>
      <c r="J190" s="7">
        <v>0</v>
      </c>
      <c r="K190" s="98" t="str">
        <f t="shared" si="117"/>
        <v>4007/4008</v>
      </c>
      <c r="L190" s="21" t="str">
        <f>VLOOKUP(A190,'Trips&amp;Operators'!$C$1:$G$99999,5,FALSE)</f>
        <v>LEVIN SCOTT</v>
      </c>
      <c r="M190" s="6">
        <f t="shared" si="118"/>
        <v>1.1342592595610768E-2</v>
      </c>
      <c r="N190" s="7">
        <f t="shared" si="119"/>
        <v>16.333333337679505</v>
      </c>
      <c r="O190" s="7"/>
      <c r="P190" s="7"/>
      <c r="Q190" s="22"/>
      <c r="R190" s="22"/>
      <c r="S190" s="31">
        <f t="shared" si="120"/>
        <v>1</v>
      </c>
      <c r="T190" s="46" t="str">
        <f t="shared" si="121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79"/>
        <v>https://d0f6bd738d7f1b3e5a7ca70fe4ff75f0.us-east-1.aws.found.io/app/kibana#/discover/Steve-Slow-Train-Analysis-(2080s-and-2083s)?_g=(refreshInterval:(display:Off,pause:!f,section:0,value:0),time:(from:'2017-03-06T15:37:09-0700',mode:absolute,to:'2017-03-06T17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187" t="str">
        <f t="shared" si="122"/>
        <v>N</v>
      </c>
      <c r="X190" s="187">
        <f t="shared" si="128"/>
        <v>1</v>
      </c>
      <c r="Y190" s="62">
        <f t="shared" si="123"/>
        <v>5.8613</v>
      </c>
      <c r="Z190" s="62">
        <f t="shared" si="124"/>
        <v>6.3600000000000004E-2</v>
      </c>
      <c r="AA190" s="62">
        <f t="shared" si="125"/>
        <v>5.7976999999999999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26"/>
        <v>0830-06</v>
      </c>
      <c r="AE190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90" s="82" t="str">
        <f t="shared" si="81"/>
        <v>"C:\Program Files (x86)\AstroGrep\AstroGrep.exe" /e /r /s /spath="%USERPROFILE%\AppData\Local\Temp\OnboardLogs" /stypes="app*4008*20170306*" /stext=" 23:.+((SYSTEM_STATE.+slice.+state.+changed )|(ment ac)|(multiple cpu faults)|(system.+state.+changed )|(\[timeout)|(PRM\|1\|D)|(kpr)|(kdp)|(\|lc)|(penalty))"</v>
      </c>
      <c r="AG190" s="1" t="str">
        <f t="shared" si="127"/>
        <v>NW</v>
      </c>
      <c r="AH190" s="86" t="str">
        <f t="shared" si="99"/>
        <v>"%USERPROFILE%\Documents\GitHub\eaglep3\Utilities\RefineRTDCRunTimes.py" --tripid 830-06 --locoid 4008 --swversion DE.1.0.9.0 --startMP 300:58613 --initTime 2017-03-06T16:37:09 --startdatetime 2017-03-06T16:38:41 --delay 0 --endMP 204:636 --enddatetime 2017-03-06T16:55:01 --enforcementcount 0 &gt;&gt;C:\Users\stu\Documents\GitHub\eaglep3-reporting\EC\2017-03-06-refined-times.txt</v>
      </c>
      <c r="AI19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{"issue":{"subject":"","project_id":79,"tracker_id":40,"status_id":1,"priority_id":2,"assigned_to_id":23,"start_date":"2017-03-06","description":"","custom_fields":[{"id":1,"name":"Subdivision","value":"NW"},{"id":4,"name":"Milepost","value":"0.0636"},{"id":17,"name":"Train ID","value":"830-06"},{"id":16,"name":"Locomotive ID","value":"4008"},{"id":130,"name":"Impact","value":""},{"id":150,"name":"Time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101"/>
        <v>start /low /b %USERPROFILE%\Documents\GitHub\eaglep3\Utilities\DownloadLogsFromS3.py --loco 4008 --day 2017-03-06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191" spans="1:91" x14ac:dyDescent="0.25">
      <c r="A191" s="33" t="s">
        <v>725</v>
      </c>
      <c r="B191" s="7">
        <v>4014</v>
      </c>
      <c r="C191" s="21" t="s">
        <v>245</v>
      </c>
      <c r="D191" s="21" t="s">
        <v>942</v>
      </c>
      <c r="E191" s="13">
        <v>42800.691307870373</v>
      </c>
      <c r="F191" s="13">
        <v>42800.702233796299</v>
      </c>
      <c r="G191" s="7">
        <v>1</v>
      </c>
      <c r="H191" s="21" t="s">
        <v>276</v>
      </c>
      <c r="I191" s="13">
        <v>42800.711296296293</v>
      </c>
      <c r="J191" s="7">
        <v>0</v>
      </c>
      <c r="K191" s="98" t="str">
        <f t="shared" si="117"/>
        <v>4013/4014</v>
      </c>
      <c r="L191" s="21" t="str">
        <f>VLOOKUP(A191,'Trips&amp;Operators'!$C$1:$G$99999,5,FALSE)</f>
        <v>NEWELL JAMES</v>
      </c>
      <c r="M191" s="6">
        <f t="shared" si="118"/>
        <v>9.0624999938881956E-3</v>
      </c>
      <c r="N191" s="7">
        <f t="shared" si="119"/>
        <v>13.049999991199002</v>
      </c>
      <c r="O191" s="7"/>
      <c r="P191" s="7"/>
      <c r="Q191" s="22"/>
      <c r="R191" s="22"/>
      <c r="S191" s="31">
        <f t="shared" si="120"/>
        <v>1</v>
      </c>
      <c r="T191" s="46" t="str">
        <f t="shared" si="121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79"/>
        <v>https://d0f6bd738d7f1b3e5a7ca70fe4ff75f0.us-east-1.aws.found.io/app/kibana#/discover/Steve-Slow-Train-Analysis-(2080s-and-2083s)?_g=(refreshInterval:(display:Off,pause:!f,section:0,value:0),time:(from:'2017-03-06T15:35:29-0700',mode:absolute,to:'2017-03-06T18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1" s="187" t="str">
        <f t="shared" si="122"/>
        <v>N</v>
      </c>
      <c r="X191" s="187">
        <f t="shared" si="128"/>
        <v>1</v>
      </c>
      <c r="Y191" s="62">
        <f t="shared" si="123"/>
        <v>9.4399999999999998E-2</v>
      </c>
      <c r="Z191" s="62">
        <f t="shared" si="124"/>
        <v>5.8933</v>
      </c>
      <c r="AA191" s="62">
        <f t="shared" si="125"/>
        <v>5.7988999999999997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26"/>
        <v>0831-06</v>
      </c>
      <c r="AE191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91" s="82" t="str">
        <f t="shared" si="81"/>
        <v>"C:\Program Files (x86)\AstroGrep\AstroGrep.exe" /e /r /s /spath="%USERPROFILE%\AppData\Local\Temp\OnboardLogs" /stypes="app*4014*20170307*" /stext=" 00:.+((SYSTEM_STATE.+slice.+state.+changed )|(ment ac)|(multiple cpu faults)|(system.+state.+changed )|(\[timeout)|(PRM\|1\|D)|(kpr)|(kdp)|(\|lc)|(penalty))"</v>
      </c>
      <c r="AG191" s="1" t="str">
        <f t="shared" si="127"/>
        <v>NW</v>
      </c>
      <c r="AH191" s="86" t="str">
        <f t="shared" si="99"/>
        <v>"%USERPROFILE%\Documents\GitHub\eaglep3\Utilities\RefineRTDCRunTimes.py" --tripid 831-06 --locoid 4014 --swversion DE.1.0.9.0 --startMP 204:944 --initTime 2017-03-06T16:35:29 --startdatetime 2017-03-06T16:51:13 --delay 1 --endMP 300:58933 --enddatetime 2017-03-06T17:04:16 --enforcementcount 0 &gt;&gt;C:\Users\stu\Documents\GitHub\eaglep3-reporting\EC\2017-03-06-refined-times.txt</v>
      </c>
      <c r="AI19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{"issue":{"subject":"","project_id":79,"tracker_id":40,"status_id":1,"priority_id":2,"assigned_to_id":23,"start_date":"2017-03-06","description":"","custom_fields":[{"id":1,"name":"Subdivision","value":"NW"},{"id":4,"name":"Milepost","value":"5.8933"},{"id":17,"name":"Train ID","value":"831-06"},{"id":16,"name":"Locomotive ID","value":"4014"},{"id":130,"name":"Impact","value":""},{"id":150,"name":"Time of Event (Mountain Time)","value":"17:04:16"},{"id":151,"name":"Denver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101"/>
        <v>start /low /b %USERPROFILE%\Documents\GitHub\eaglep3\Utilities\DownloadLogsFromS3.py --loco 4014 --day 2017-03-06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192" spans="1:91" x14ac:dyDescent="0.25">
      <c r="A192" s="33" t="s">
        <v>593</v>
      </c>
      <c r="B192" s="7">
        <v>4013</v>
      </c>
      <c r="C192" s="21" t="s">
        <v>245</v>
      </c>
      <c r="D192" s="21" t="s">
        <v>481</v>
      </c>
      <c r="E192" s="13">
        <v>42800.712268518517</v>
      </c>
      <c r="F192" s="13">
        <v>42800.713530092595</v>
      </c>
      <c r="G192" s="7">
        <v>1</v>
      </c>
      <c r="H192" s="21" t="s">
        <v>943</v>
      </c>
      <c r="I192" s="13">
        <v>42800.725659722222</v>
      </c>
      <c r="J192" s="7">
        <v>0</v>
      </c>
      <c r="K192" s="98" t="str">
        <f t="shared" si="117"/>
        <v>4013/4014</v>
      </c>
      <c r="L192" s="21" t="str">
        <f>VLOOKUP(A192,'Trips&amp;Operators'!$C$1:$G$99999,5,FALSE)</f>
        <v>NEWELL JAMES</v>
      </c>
      <c r="M192" s="6">
        <f t="shared" si="118"/>
        <v>1.2129629627452232E-2</v>
      </c>
      <c r="N192" s="7">
        <f t="shared" si="119"/>
        <v>17.466666663531214</v>
      </c>
      <c r="O192" s="7"/>
      <c r="P192" s="7"/>
      <c r="Q192" s="22"/>
      <c r="R192" s="22"/>
      <c r="S192" s="31">
        <f t="shared" si="120"/>
        <v>1</v>
      </c>
      <c r="T192" s="46" t="str">
        <f t="shared" si="121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79"/>
        <v>https://d0f6bd738d7f1b3e5a7ca70fe4ff75f0.us-east-1.aws.found.io/app/kibana#/discover/Steve-Slow-Train-Analysis-(2080s-and-2083s)?_g=(refreshInterval:(display:Off,pause:!f,section:0,value:0),time:(from:'2017-03-06T16:05:40-0700',mode:absolute,to:'2017-03-06T18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2" s="187" t="str">
        <f t="shared" si="122"/>
        <v>N</v>
      </c>
      <c r="X192" s="187">
        <f t="shared" si="128"/>
        <v>1</v>
      </c>
      <c r="Y192" s="62">
        <f t="shared" si="123"/>
        <v>5.8624000000000001</v>
      </c>
      <c r="Z192" s="62">
        <f t="shared" si="124"/>
        <v>6.6400000000000001E-2</v>
      </c>
      <c r="AA192" s="62">
        <f t="shared" si="125"/>
        <v>5.7960000000000003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26"/>
        <v>0832-06</v>
      </c>
      <c r="AE192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92" s="82" t="str">
        <f t="shared" si="81"/>
        <v>"C:\Program Files (x86)\AstroGrep\AstroGrep.exe" /e /r /s /spath="%USERPROFILE%\AppData\Local\Temp\OnboardLogs" /stypes="app*4013*20170307*" /stext=" 00:.+((SYSTEM_STATE.+slice.+state.+changed )|(ment ac)|(multiple cpu faults)|(system.+state.+changed )|(\[timeout)|(PRM\|1\|D)|(kpr)|(kdp)|(\|lc)|(penalty))"</v>
      </c>
      <c r="AG192" s="1" t="str">
        <f t="shared" si="127"/>
        <v>NW</v>
      </c>
      <c r="AH192" s="86" t="str">
        <f t="shared" si="99"/>
        <v>"%USERPROFILE%\Documents\GitHub\eaglep3\Utilities\RefineRTDCRunTimes.py" --tripid 832-06 --locoid 4013 --swversion DE.1.0.9.0 --startMP 300:58624 --initTime 2017-03-06T17:05:40 --startdatetime 2017-03-06T17:07:29 --delay 1 --endMP 204:664 --enddatetime 2017-03-06T17:24:57 --enforcementcount 0 &gt;&gt;C:\Users\stu\Documents\GitHub\eaglep3-reporting\EC\2017-03-06-refined-times.txt</v>
      </c>
      <c r="AI19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{"issue":{"subject":"","project_id":79,"tracker_id":40,"status_id":1,"priority_id":2,"assigned_to_id":23,"start_date":"2017-03-06","description":"","custom_fields":[{"id":1,"name":"Subdivision","value":"NW"},{"id":4,"name":"Milepost","value":"0.0664"},{"id":17,"name":"Train ID","value":"832-06"},{"id":16,"name":"Locomotive ID","value":"4013"},{"id":130,"name":"Impact","value":""},{"id":150,"name":"Time of Event (Mountain Time)","value":"17:24:57"},{"id":151,"name":"Denver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101"/>
        <v>start /low /b %USERPROFILE%\Documents\GitHub\eaglep3\Utilities\DownloadLogsFromS3.py --loco 4013 --day 2017-03-06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2017-03-06-UncaughtWiMAX.txt</v>
      </c>
    </row>
    <row r="193" spans="1:40" x14ac:dyDescent="0.25">
      <c r="A193" s="33" t="s">
        <v>729</v>
      </c>
      <c r="B193" s="7">
        <v>4007</v>
      </c>
      <c r="C193" s="21" t="s">
        <v>245</v>
      </c>
      <c r="D193" s="21" t="s">
        <v>894</v>
      </c>
      <c r="E193" s="13">
        <v>42800.717511574076</v>
      </c>
      <c r="F193" s="13">
        <v>42800.723090277781</v>
      </c>
      <c r="G193" s="7">
        <v>1</v>
      </c>
      <c r="H193" s="21" t="s">
        <v>936</v>
      </c>
      <c r="I193" s="13">
        <v>42800.732129629629</v>
      </c>
      <c r="J193" s="7">
        <v>0</v>
      </c>
      <c r="K193" s="98" t="str">
        <f t="shared" si="117"/>
        <v>4007/4008</v>
      </c>
      <c r="L193" s="21" t="str">
        <f>VLOOKUP(A193,'Trips&amp;Operators'!$C$1:$G$99999,5,FALSE)</f>
        <v>LEVIN SCOTT</v>
      </c>
      <c r="M193" s="6">
        <f t="shared" si="118"/>
        <v>9.0393518476048484E-3</v>
      </c>
      <c r="N193" s="7">
        <f t="shared" si="119"/>
        <v>13.016666660550982</v>
      </c>
      <c r="O193" s="7"/>
      <c r="P193" s="7"/>
      <c r="Q193" s="22"/>
      <c r="R193" s="22"/>
      <c r="S193" s="31">
        <f t="shared" si="120"/>
        <v>1</v>
      </c>
      <c r="T193" s="46" t="str">
        <f t="shared" si="121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79"/>
        <v>https://d0f6bd738d7f1b3e5a7ca70fe4ff75f0.us-east-1.aws.found.io/app/kibana#/discover/Steve-Slow-Train-Analysis-(2080s-and-2083s)?_g=(refreshInterval:(display:Off,pause:!f,section:0,value:0),time:(from:'2017-03-06T16:13:13-0700',mode:absolute,to:'2017-03-06T18:34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87" t="str">
        <f t="shared" si="122"/>
        <v>N</v>
      </c>
      <c r="X193" s="187">
        <f t="shared" si="128"/>
        <v>1</v>
      </c>
      <c r="Y193" s="62">
        <f t="shared" si="123"/>
        <v>9.4299999999999995E-2</v>
      </c>
      <c r="Z193" s="62">
        <f t="shared" si="124"/>
        <v>5.8928000000000003</v>
      </c>
      <c r="AA193" s="62">
        <f t="shared" si="125"/>
        <v>5.7985000000000007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26"/>
        <v>0833-06</v>
      </c>
      <c r="AE19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93" s="82" t="str">
        <f t="shared" si="81"/>
        <v>"C:\Program Files (x86)\AstroGrep\AstroGrep.exe" /e /r /s /spath="%USERPROFILE%\AppData\Local\Temp\OnboardLogs" /stypes="app*4007*20170307*" /stext=" 00:.+((SYSTEM_STATE.+slice.+state.+changed )|(ment ac)|(multiple cpu faults)|(system.+state.+changed )|(\[timeout)|(PRM\|1\|D)|(kpr)|(kdp)|(\|lc)|(penalty))"</v>
      </c>
      <c r="AG193" s="1" t="str">
        <f t="shared" si="127"/>
        <v>NW</v>
      </c>
      <c r="AH193" s="86" t="str">
        <f t="shared" si="99"/>
        <v>"%USERPROFILE%\Documents\GitHub\eaglep3\Utilities\RefineRTDCRunTimes.py" --tripid 833-06 --locoid 4007 --swversion DE.1.0.9.0 --startMP 204:943 --initTime 2017-03-06T17:13:13 --startdatetime 2017-03-06T17:21:15 --delay 1 --endMP 300:58928 --enddatetime 2017-03-06T17:34:16 --enforcementcount 0 &gt;&gt;C:\Users\stu\Documents\GitHub\eaglep3-reporting\EC\2017-03-06-refined-times.txt</v>
      </c>
      <c r="AI19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{"issue":{"subject":"","project_id":79,"tracker_id":40,"status_id":1,"priority_id":2,"assigned_to_id":23,"start_date":"2017-03-06","description":"","custom_fields":[{"id":1,"name":"Subdivision","value":"NW"},{"id":4,"name":"Milepost","value":"5.8928"},{"id":17,"name":"Train ID","value":"833-06"},{"id":16,"name":"Locomotive ID","value":"4007"},{"id":130,"name":"Impact","value":""},{"id":150,"name":"Time of Event (Mountain Time)","value":"17:34:16"},{"id":151,"name":"Denver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101"/>
        <v>start /low /b %USERPROFILE%\Documents\GitHub\eaglep3\Utilities\DownloadLogsFromS3.py --loco 4007 --day 2017-03-06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194" spans="1:40" x14ac:dyDescent="0.25">
      <c r="A194" s="33" t="s">
        <v>736</v>
      </c>
      <c r="B194" s="7">
        <v>4008</v>
      </c>
      <c r="C194" s="21" t="s">
        <v>245</v>
      </c>
      <c r="D194" s="21" t="s">
        <v>535</v>
      </c>
      <c r="E194" s="13">
        <v>42800.733854166669</v>
      </c>
      <c r="F194" s="13">
        <v>42800.734976851854</v>
      </c>
      <c r="G194" s="7">
        <v>0</v>
      </c>
      <c r="H194" s="21" t="s">
        <v>899</v>
      </c>
      <c r="I194" s="13">
        <v>42800.746516203704</v>
      </c>
      <c r="J194" s="7">
        <v>0</v>
      </c>
      <c r="K194" s="98" t="str">
        <f t="shared" si="117"/>
        <v>4007/4008</v>
      </c>
      <c r="L194" s="21" t="str">
        <f>VLOOKUP(A194,'Trips&amp;Operators'!$C$1:$G$99999,5,FALSE)</f>
        <v>LEVIN SCOTT</v>
      </c>
      <c r="M194" s="6">
        <f t="shared" si="118"/>
        <v>1.1539351849933155E-2</v>
      </c>
      <c r="N194" s="7">
        <f t="shared" si="119"/>
        <v>16.616666663903743</v>
      </c>
      <c r="O194" s="7"/>
      <c r="P194" s="7"/>
      <c r="Q194" s="22"/>
      <c r="R194" s="22"/>
      <c r="S194" s="31">
        <f t="shared" si="120"/>
        <v>1</v>
      </c>
      <c r="T194" s="46" t="str">
        <f t="shared" si="121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79"/>
        <v>https://d0f6bd738d7f1b3e5a7ca70fe4ff75f0.us-east-1.aws.found.io/app/kibana#/discover/Steve-Slow-Train-Analysis-(2080s-and-2083s)?_g=(refreshInterval:(display:Off,pause:!f,section:0,value:0),time:(from:'2017-03-06T16:36:45-0700',mode:absolute,to:'2017-03-06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187" t="str">
        <f t="shared" si="122"/>
        <v>N</v>
      </c>
      <c r="X194" s="187">
        <f t="shared" si="128"/>
        <v>1</v>
      </c>
      <c r="Y194" s="62">
        <f t="shared" si="123"/>
        <v>5.8613</v>
      </c>
      <c r="Z194" s="62">
        <f t="shared" si="124"/>
        <v>6.2899999999999998E-2</v>
      </c>
      <c r="AA194" s="62">
        <f t="shared" si="125"/>
        <v>5.7984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26"/>
        <v>0834-06</v>
      </c>
      <c r="AE19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94" s="82" t="str">
        <f t="shared" si="81"/>
        <v>"C:\Program Files (x86)\AstroGrep\AstroGrep.exe" /e /r /s /spath="%USERPROFILE%\AppData\Local\Temp\OnboardLogs" /stypes="app*4008*20170307*" /stext=" 00:.+((SYSTEM_STATE.+slice.+state.+changed )|(ment ac)|(multiple cpu faults)|(system.+state.+changed )|(\[timeout)|(PRM\|1\|D)|(kpr)|(kdp)|(\|lc)|(penalty))"</v>
      </c>
      <c r="AG194" s="1" t="str">
        <f t="shared" si="127"/>
        <v>NW</v>
      </c>
      <c r="AH194" s="86" t="str">
        <f t="shared" si="99"/>
        <v>"%USERPROFILE%\Documents\GitHub\eaglep3\Utilities\RefineRTDCRunTimes.py" --tripid 834-06 --locoid 4008 --swversion DE.1.0.9.0 --startMP 300:58613 --initTime 2017-03-06T17:36:45 --startdatetime 2017-03-06T17:38:22 --delay 0 --endMP 204:629 --enddatetime 2017-03-06T17:54:59 --enforcementcount 0 &gt;&gt;C:\Users\stu\Documents\GitHub\eaglep3-reporting\EC\2017-03-06-refined-times.txt</v>
      </c>
      <c r="AI19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{"issue":{"subject":"","project_id":79,"tracker_id":40,"status_id":1,"priority_id":2,"assigned_to_id":23,"start_date":"2017-03-06","description":"","custom_fields":[{"id":1,"name":"Subdivision","value":"NW"},{"id":4,"name":"Milepost","value":"0.0629"},{"id":17,"name":"Train ID","value":"834-06"},{"id":16,"name":"Locomotive ID","value":"4008"},{"id":130,"name":"Impact","value":""},{"id":150,"name":"Time of Event (Mountain Time)","value":"17:54:59"},{"id":151,"name":"Denver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101"/>
        <v>start /low /b %USERPROFILE%\Documents\GitHub\eaglep3\Utilities\DownloadLogsFromS3.py --loco 4008 --day 2017-03-06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195" spans="1:40" x14ac:dyDescent="0.25">
      <c r="A195" s="33" t="s">
        <v>733</v>
      </c>
      <c r="B195" s="7">
        <v>4014</v>
      </c>
      <c r="C195" s="21" t="s">
        <v>245</v>
      </c>
      <c r="D195" s="21" t="s">
        <v>944</v>
      </c>
      <c r="E195" s="13">
        <v>42800.727152777778</v>
      </c>
      <c r="F195" s="13">
        <v>42800.743900462963</v>
      </c>
      <c r="G195" s="7">
        <v>0</v>
      </c>
      <c r="H195" s="21" t="s">
        <v>928</v>
      </c>
      <c r="I195" s="13">
        <v>42800.752800925926</v>
      </c>
      <c r="J195" s="7">
        <v>0</v>
      </c>
      <c r="K195" s="98" t="str">
        <f t="shared" si="117"/>
        <v>4013/4014</v>
      </c>
      <c r="L195" s="21" t="str">
        <f>VLOOKUP(A195,'Trips&amp;Operators'!$C$1:$G$99999,5,FALSE)</f>
        <v>NEWELL JAMES</v>
      </c>
      <c r="M195" s="6">
        <f t="shared" si="118"/>
        <v>8.9004629626288079E-3</v>
      </c>
      <c r="N195" s="7">
        <f t="shared" si="119"/>
        <v>12.816666666185483</v>
      </c>
      <c r="O195" s="7"/>
      <c r="P195" s="7"/>
      <c r="Q195" s="22"/>
      <c r="R195" s="22"/>
      <c r="S195" s="31">
        <f t="shared" si="120"/>
        <v>1</v>
      </c>
      <c r="T195" s="46" t="str">
        <f t="shared" si="121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79"/>
        <v>https://d0f6bd738d7f1b3e5a7ca70fe4ff75f0.us-east-1.aws.found.io/app/kibana#/discover/Steve-Slow-Train-Analysis-(2080s-and-2083s)?_g=(refreshInterval:(display:Off,pause:!f,section:0,value:0),time:(from:'2017-03-06T16:27:06-0700',mode:absolute,to:'2017-03-06T19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5" s="187" t="str">
        <f t="shared" si="122"/>
        <v>N</v>
      </c>
      <c r="X195" s="187">
        <f t="shared" si="128"/>
        <v>1</v>
      </c>
      <c r="Y195" s="62">
        <f t="shared" si="123"/>
        <v>9.4799999999999995E-2</v>
      </c>
      <c r="Z195" s="62">
        <f t="shared" si="124"/>
        <v>5.8920000000000003</v>
      </c>
      <c r="AA195" s="62">
        <f t="shared" si="125"/>
        <v>5.7972000000000001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26"/>
        <v>0835-06</v>
      </c>
      <c r="AE195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95" s="82" t="str">
        <f t="shared" si="81"/>
        <v>"C:\Program Files (x86)\AstroGrep\AstroGrep.exe" /e /r /s /spath="%USERPROFILE%\AppData\Local\Temp\OnboardLogs" /stypes="app*4014*20170307*" /stext=" 01:.+((SYSTEM_STATE.+slice.+state.+changed )|(ment ac)|(multiple cpu faults)|(system.+state.+changed )|(\[timeout)|(PRM\|1\|D)|(kpr)|(kdp)|(\|lc)|(penalty))"</v>
      </c>
      <c r="AG195" s="1" t="str">
        <f t="shared" si="127"/>
        <v>NW</v>
      </c>
      <c r="AH195" s="86" t="str">
        <f t="shared" si="99"/>
        <v>"%USERPROFILE%\Documents\GitHub\eaglep3\Utilities\RefineRTDCRunTimes.py" --tripid 835-06 --locoid 4014 --swversion DE.1.0.9.0 --startMP 204:948 --initTime 2017-03-06T17:27:06 --startdatetime 2017-03-06T17:51:13 --delay 0 --endMP 300:58920 --enddatetime 2017-03-06T18:04:02 --enforcementcount 0 &gt;&gt;C:\Users\stu\Documents\GitHub\eaglep3-reporting\EC\2017-03-06-refined-times.txt</v>
      </c>
      <c r="AI195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{"issue":{"subject":"","project_id":79,"tracker_id":40,"status_id":1,"priority_id":2,"assigned_to_id":23,"start_date":"2017-03-06","description":"","custom_fields":[{"id":1,"name":"Subdivision","value":"NW"},{"id":4,"name":"Milepost","value":"5.892"},{"id":17,"name":"Train ID","value":"835-06"},{"id":16,"name":"Locomotive ID","value":"4014"},{"id":130,"name":"Impact","value":""},{"id":150,"name":"Time of Event (Mountain Time)","value":"18:04:02"},{"id":151,"name":"Denver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101"/>
        <v>start /low /b %USERPROFILE%\Documents\GitHub\eaglep3\Utilities\DownloadLogsFromS3.py --loco 4014 --day 2017-03-06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2017-03-06-UncaughtWiMAX.txt</v>
      </c>
    </row>
    <row r="196" spans="1:40" x14ac:dyDescent="0.25">
      <c r="A196" s="33" t="s">
        <v>741</v>
      </c>
      <c r="B196" s="7">
        <v>4013</v>
      </c>
      <c r="C196" s="21" t="s">
        <v>245</v>
      </c>
      <c r="D196" s="21" t="s">
        <v>945</v>
      </c>
      <c r="E196" s="13">
        <v>42800.753692129627</v>
      </c>
      <c r="F196" s="13">
        <v>42800.75503472222</v>
      </c>
      <c r="G196" s="7">
        <v>1</v>
      </c>
      <c r="H196" s="21" t="s">
        <v>946</v>
      </c>
      <c r="I196" s="13">
        <v>42800.767604166664</v>
      </c>
      <c r="J196" s="7">
        <v>0</v>
      </c>
      <c r="K196" s="98" t="str">
        <f t="shared" si="117"/>
        <v>4013/4014</v>
      </c>
      <c r="L196" s="21" t="str">
        <f>VLOOKUP(A196,'Trips&amp;Operators'!$C$1:$G$99999,5,FALSE)</f>
        <v>NEWELL JAMES</v>
      </c>
      <c r="M196" s="6">
        <f t="shared" si="118"/>
        <v>1.2569444443215616E-2</v>
      </c>
      <c r="N196" s="7">
        <f t="shared" si="119"/>
        <v>18.099999998230487</v>
      </c>
      <c r="O196" s="7"/>
      <c r="P196" s="7"/>
      <c r="Q196" s="22"/>
      <c r="R196" s="22"/>
      <c r="S196" s="31">
        <f t="shared" si="120"/>
        <v>1</v>
      </c>
      <c r="T196" s="46" t="str">
        <f t="shared" si="121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79"/>
        <v>https://d0f6bd738d7f1b3e5a7ca70fe4ff75f0.us-east-1.aws.found.io/app/kibana#/discover/Steve-Slow-Train-Analysis-(2080s-and-2083s)?_g=(refreshInterval:(display:Off,pause:!f,section:0,value:0),time:(from:'2017-03-06T17:05:19-0700',mode:absolute,to:'2017-03-06T19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6" s="187" t="str">
        <f t="shared" si="122"/>
        <v>N</v>
      </c>
      <c r="X196" s="187">
        <f t="shared" si="128"/>
        <v>1</v>
      </c>
      <c r="Y196" s="62">
        <f t="shared" si="123"/>
        <v>5.8608000000000002</v>
      </c>
      <c r="Z196" s="62">
        <f t="shared" si="124"/>
        <v>6.5000000000000002E-2</v>
      </c>
      <c r="AA196" s="62">
        <f t="shared" si="125"/>
        <v>5.7957999999999998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26"/>
        <v>0836-06</v>
      </c>
      <c r="AE196" s="85" t="str">
        <f t="shared" si="80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196" s="82" t="str">
        <f t="shared" si="81"/>
        <v>"C:\Program Files (x86)\AstroGrep\AstroGrep.exe" /e /r /s /spath="%USERPROFILE%\AppData\Local\Temp\OnboardLogs" /stypes="app*4013*20170307*" /stext=" 01:.+((SYSTEM_STATE.+slice.+state.+changed )|(ment ac)|(multiple cpu faults)|(system.+state.+changed )|(\[timeout)|(PRM\|1\|D)|(kpr)|(kdp)|(\|lc)|(penalty))"</v>
      </c>
      <c r="AG196" s="1" t="str">
        <f t="shared" si="127"/>
        <v>NW</v>
      </c>
      <c r="AH196" s="86" t="str">
        <f t="shared" si="99"/>
        <v>"%USERPROFILE%\Documents\GitHub\eaglep3\Utilities\RefineRTDCRunTimes.py" --tripid 836-06 --locoid 4013 --swversion DE.1.0.9.0 --startMP 300:58608 --initTime 2017-03-06T18:05:19 --startdatetime 2017-03-06T18:07:15 --delay 1 --endMP 204:650 --enddatetime 2017-03-06T18:25:21 --enforcementcount 0 &gt;&gt;C:\Users\stu\Documents\GitHub\eaglep3-reporting\EC\2017-03-06-refined-times.txt</v>
      </c>
      <c r="AI19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{"issue":{"subject":"","project_id":79,"tracker_id":40,"status_id":1,"priority_id":2,"assigned_to_id":23,"start_date":"2017-03-06","description":"","custom_fields":[{"id":1,"name":"Subdivision","value":"NW"},{"id":4,"name":"Milepost","value":"0.065"},{"id":17,"name":"Train ID","value":"836-06"},{"id":16,"name":"Locomotive ID","value":"4013"},{"id":130,"name":"Impact","value":""},{"id":150,"name":"Time of Event (Mountain Time)","value":"18:25:21"},{"id":151,"name":"Denver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101"/>
        <v>start /low /b %USERPROFILE%\Documents\GitHub\eaglep3\Utilities\DownloadLogsFromS3.py --loco 4013 --day 2017-03-06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2017-03-06-UncaughtWiMAX.txt</v>
      </c>
    </row>
    <row r="197" spans="1:40" x14ac:dyDescent="0.25">
      <c r="A197" s="33" t="s">
        <v>742</v>
      </c>
      <c r="B197" s="7">
        <v>4007</v>
      </c>
      <c r="C197" s="21" t="s">
        <v>245</v>
      </c>
      <c r="D197" s="21" t="s">
        <v>947</v>
      </c>
      <c r="E197" s="13">
        <v>42800.761435185188</v>
      </c>
      <c r="F197" s="13">
        <v>42800.764756944445</v>
      </c>
      <c r="G197" s="7">
        <v>1</v>
      </c>
      <c r="H197" s="21" t="s">
        <v>931</v>
      </c>
      <c r="I197" s="13">
        <v>42800.773668981485</v>
      </c>
      <c r="J197" s="7">
        <v>0</v>
      </c>
      <c r="K197" s="98" t="str">
        <f t="shared" si="117"/>
        <v>4007/4008</v>
      </c>
      <c r="L197" s="21" t="str">
        <f>VLOOKUP(A197,'Trips&amp;Operators'!$C$1:$G$99999,5,FALSE)</f>
        <v>LEVIN SCOTT</v>
      </c>
      <c r="M197" s="6">
        <f t="shared" si="118"/>
        <v>8.9120370394084603E-3</v>
      </c>
      <c r="N197" s="7">
        <f t="shared" si="119"/>
        <v>12.833333336748183</v>
      </c>
      <c r="O197" s="7"/>
      <c r="P197" s="7"/>
      <c r="Q197" s="22"/>
      <c r="R197" s="22"/>
      <c r="S197" s="31">
        <f t="shared" si="120"/>
        <v>1</v>
      </c>
      <c r="T197" s="46" t="str">
        <f t="shared" si="121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79"/>
        <v>https://d0f6bd738d7f1b3e5a7ca70fe4ff75f0.us-east-1.aws.found.io/app/kibana#/discover/Steve-Slow-Train-Analysis-(2080s-and-2083s)?_g=(refreshInterval:(display:Off,pause:!f,section:0,value:0),time:(from:'2017-03-06T17:16:28-0700',mode:absolute,to:'2017-03-06T19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87" t="str">
        <f t="shared" si="122"/>
        <v>N</v>
      </c>
      <c r="X197" s="187">
        <f t="shared" si="128"/>
        <v>1</v>
      </c>
      <c r="Y197" s="62">
        <f t="shared" si="123"/>
        <v>9.3700000000000006E-2</v>
      </c>
      <c r="Z197" s="62">
        <f t="shared" si="124"/>
        <v>5.8930999999999996</v>
      </c>
      <c r="AA197" s="62">
        <f t="shared" si="125"/>
        <v>5.7993999999999994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26"/>
        <v>0837-06</v>
      </c>
      <c r="AE197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197" s="82" t="str">
        <f t="shared" si="81"/>
        <v>"C:\Program Files (x86)\AstroGrep\AstroGrep.exe" /e /r /s /spath="%USERPROFILE%\AppData\Local\Temp\OnboardLogs" /stypes="app*4007*20170307*" /stext=" 01:.+((SYSTEM_STATE.+slice.+state.+changed )|(ment ac)|(multiple cpu faults)|(system.+state.+changed )|(\[timeout)|(PRM\|1\|D)|(kpr)|(kdp)|(\|lc)|(penalty))"</v>
      </c>
      <c r="AG197" s="1" t="str">
        <f t="shared" si="127"/>
        <v>NW</v>
      </c>
      <c r="AH197" s="86" t="str">
        <f t="shared" si="99"/>
        <v>"%USERPROFILE%\Documents\GitHub\eaglep3\Utilities\RefineRTDCRunTimes.py" --tripid 837-06 --locoid 4007 --swversion DE.1.0.9.0 --startMP 204:937 --initTime 2017-03-06T18:16:28 --startdatetime 2017-03-06T18:21:15 --delay 1 --endMP 300:58931 --enddatetime 2017-03-06T18:34:05 --enforcementcount 0 &gt;&gt;C:\Users\stu\Documents\GitHub\eaglep3-reporting\EC\2017-03-06-refined-times.txt</v>
      </c>
      <c r="AI197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{"issue":{"subject":"","project_id":79,"tracker_id":40,"status_id":1,"priority_id":2,"assigned_to_id":23,"start_date":"2017-03-06","description":"","custom_fields":[{"id":1,"name":"Subdivision","value":"NW"},{"id":4,"name":"Milepost","value":"5.8931"},{"id":17,"name":"Train ID","value":"837-06"},{"id":16,"name":"Locomotive ID","value":"4007"},{"id":130,"name":"Impact","value":""},{"id":150,"name":"Time of Event (Mountain Time)","value":"18:34:05"},{"id":151,"name":"Denver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101"/>
        <v>start /low /b %USERPROFILE%\Documents\GitHub\eaglep3\Utilities\DownloadLogsFromS3.py --loco 4007 --day 2017-03-06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198" spans="1:40" x14ac:dyDescent="0.25">
      <c r="A198" s="33" t="s">
        <v>747</v>
      </c>
      <c r="B198" s="7">
        <v>4008</v>
      </c>
      <c r="C198" s="21" t="s">
        <v>245</v>
      </c>
      <c r="D198" s="21" t="s">
        <v>937</v>
      </c>
      <c r="E198" s="13">
        <v>42800.774629629632</v>
      </c>
      <c r="F198" s="13">
        <v>42800.775682870371</v>
      </c>
      <c r="G198" s="7">
        <v>0</v>
      </c>
      <c r="H198" s="21" t="s">
        <v>941</v>
      </c>
      <c r="I198" s="13">
        <v>42800.788298611114</v>
      </c>
      <c r="J198" s="7">
        <v>0</v>
      </c>
      <c r="K198" s="98" t="str">
        <f t="shared" si="117"/>
        <v>4007/4008</v>
      </c>
      <c r="L198" s="21" t="str">
        <f>VLOOKUP(A198,'Trips&amp;Operators'!$C$1:$G$99999,5,FALSE)</f>
        <v>LEVIN SCOTT</v>
      </c>
      <c r="M198" s="6">
        <f t="shared" si="118"/>
        <v>1.2615740743058268E-2</v>
      </c>
      <c r="N198" s="7">
        <f t="shared" si="119"/>
        <v>18.166666670003906</v>
      </c>
      <c r="O198" s="7"/>
      <c r="P198" s="7"/>
      <c r="Q198" s="22"/>
      <c r="R198" s="22"/>
      <c r="S198" s="31">
        <f t="shared" si="120"/>
        <v>1</v>
      </c>
      <c r="T198" s="46" t="str">
        <f t="shared" si="121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79"/>
        <v>https://d0f6bd738d7f1b3e5a7ca70fe4ff75f0.us-east-1.aws.found.io/app/kibana#/discover/Steve-Slow-Train-Analysis-(2080s-and-2083s)?_g=(refreshInterval:(display:Off,pause:!f,section:0,value:0),time:(from:'2017-03-06T17:35:28-0700',mode:absolute,to:'2017-03-06T19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187" t="str">
        <f t="shared" si="122"/>
        <v>N</v>
      </c>
      <c r="X198" s="187">
        <f t="shared" si="128"/>
        <v>1</v>
      </c>
      <c r="Y198" s="62">
        <f t="shared" si="123"/>
        <v>5.8611000000000004</v>
      </c>
      <c r="Z198" s="62">
        <f t="shared" si="124"/>
        <v>6.3600000000000004E-2</v>
      </c>
      <c r="AA198" s="62">
        <f t="shared" si="125"/>
        <v>5.7975000000000003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26"/>
        <v>0838-06</v>
      </c>
      <c r="AE198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198" s="82" t="str">
        <f t="shared" si="81"/>
        <v>"C:\Program Files (x86)\AstroGrep\AstroGrep.exe" /e /r /s /spath="%USERPROFILE%\AppData\Local\Temp\OnboardLogs" /stypes="app*4008*20170307*" /stext=" 01:.+((SYSTEM_STATE.+slice.+state.+changed )|(ment ac)|(multiple cpu faults)|(system.+state.+changed )|(\[timeout)|(PRM\|1\|D)|(kpr)|(kdp)|(\|lc)|(penalty))"</v>
      </c>
      <c r="AG198" s="1" t="str">
        <f t="shared" si="127"/>
        <v>NW</v>
      </c>
      <c r="AH198" s="86" t="str">
        <f t="shared" si="99"/>
        <v>"%USERPROFILE%\Documents\GitHub\eaglep3\Utilities\RefineRTDCRunTimes.py" --tripid 838-06 --locoid 4008 --swversion DE.1.0.9.0 --startMP 300:58611 --initTime 2017-03-06T18:35:28 --startdatetime 2017-03-06T18:36:59 --delay 0 --endMP 204:636 --enddatetime 2017-03-06T18:55:09 --enforcementcount 0 &gt;&gt;C:\Users\stu\Documents\GitHub\eaglep3-reporting\EC\2017-03-06-refined-times.txt</v>
      </c>
      <c r="AI198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{"issue":{"subject":"","project_id":79,"tracker_id":40,"status_id":1,"priority_id":2,"assigned_to_id":23,"start_date":"2017-03-06","description":"","custom_fields":[{"id":1,"name":"Subdivision","value":"NW"},{"id":4,"name":"Milepost","value":"0.0636"},{"id":17,"name":"Train ID","value":"838-06"},{"id":16,"name":"Locomotive ID","value":"4008"},{"id":130,"name":"Impact","value":""},{"id":150,"name":"Time of Event (Mountain Time)","value":"18:55:09"},{"id":151,"name":"Denver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101"/>
        <v>start /low /b %USERPROFILE%\Documents\GitHub\eaglep3\Utilities\DownloadLogsFromS3.py --loco 4008 --day 2017-03-06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199" spans="1:40" x14ac:dyDescent="0.25">
      <c r="A199" s="33" t="s">
        <v>746</v>
      </c>
      <c r="B199" s="7">
        <v>4014</v>
      </c>
      <c r="C199" s="21" t="s">
        <v>245</v>
      </c>
      <c r="D199" s="21" t="s">
        <v>915</v>
      </c>
      <c r="E199" s="13">
        <v>42800.769108796296</v>
      </c>
      <c r="F199" s="13">
        <v>42800.785578703704</v>
      </c>
      <c r="G199" s="7">
        <v>1</v>
      </c>
      <c r="H199" s="21" t="s">
        <v>276</v>
      </c>
      <c r="I199" s="13">
        <v>42800.794664351852</v>
      </c>
      <c r="J199" s="7">
        <v>0</v>
      </c>
      <c r="K199" s="98" t="str">
        <f t="shared" si="117"/>
        <v>4013/4014</v>
      </c>
      <c r="L199" s="21" t="str">
        <f>VLOOKUP(A199,'Trips&amp;Operators'!$C$1:$G$99999,5,FALSE)</f>
        <v>NEWELL JAMES</v>
      </c>
      <c r="M199" s="6">
        <f t="shared" si="118"/>
        <v>9.0856481474475004E-3</v>
      </c>
      <c r="N199" s="7">
        <f t="shared" si="119"/>
        <v>13.083333332324401</v>
      </c>
      <c r="O199" s="7"/>
      <c r="P199" s="7"/>
      <c r="Q199" s="22"/>
      <c r="R199" s="22"/>
      <c r="S199" s="31">
        <f t="shared" si="120"/>
        <v>1</v>
      </c>
      <c r="T199" s="46" t="str">
        <f t="shared" si="121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79"/>
        <v>https://d0f6bd738d7f1b3e5a7ca70fe4ff75f0.us-east-1.aws.found.io/app/kibana#/discover/Steve-Slow-Train-Analysis-(2080s-and-2083s)?_g=(refreshInterval:(display:Off,pause:!f,section:0,value:0),time:(from:'2017-03-06T17:27:31-0700',mode:absolute,to:'2017-03-06T20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187" t="str">
        <f t="shared" si="122"/>
        <v>N</v>
      </c>
      <c r="X199" s="187">
        <f t="shared" si="128"/>
        <v>1</v>
      </c>
      <c r="Y199" s="62">
        <f t="shared" si="123"/>
        <v>9.5000000000000001E-2</v>
      </c>
      <c r="Z199" s="62">
        <f t="shared" si="124"/>
        <v>5.8933</v>
      </c>
      <c r="AA199" s="62">
        <f t="shared" si="125"/>
        <v>5.7983000000000002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26"/>
        <v>0839-06</v>
      </c>
      <c r="AE199" s="85" t="str">
        <f t="shared" si="80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199" s="82" t="str">
        <f t="shared" si="81"/>
        <v>"C:\Program Files (x86)\AstroGrep\AstroGrep.exe" /e /r /s /spath="%USERPROFILE%\AppData\Local\Temp\OnboardLogs" /stypes="app*4014*20170307*" /stext=" 02:.+((SYSTEM_STATE.+slice.+state.+changed )|(ment ac)|(multiple cpu faults)|(system.+state.+changed )|(\[timeout)|(PRM\|1\|D)|(kpr)|(kdp)|(\|lc)|(penalty))"</v>
      </c>
      <c r="AG199" s="1" t="str">
        <f t="shared" si="127"/>
        <v>NW</v>
      </c>
      <c r="AH199" s="86" t="str">
        <f t="shared" si="99"/>
        <v>"%USERPROFILE%\Documents\GitHub\eaglep3\Utilities\RefineRTDCRunTimes.py" --tripid 839-06 --locoid 4014 --swversion DE.1.0.9.0 --startMP 204:950 --initTime 2017-03-06T18:27:31 --startdatetime 2017-03-06T18:51:14 --delay 1 --endMP 300:58933 --enddatetime 2017-03-06T19:04:19 --enforcementcount 0 &gt;&gt;C:\Users\stu\Documents\GitHub\eaglep3-reporting\EC\2017-03-06-refined-times.txt</v>
      </c>
      <c r="AI199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{"issue":{"subject":"","project_id":79,"tracker_id":40,"status_id":1,"priority_id":2,"assigned_to_id":23,"start_date":"2017-03-06","description":"","custom_fields":[{"id":1,"name":"Subdivision","value":"NW"},{"id":4,"name":"Milepost","value":"5.8933"},{"id":17,"name":"Train ID","value":"839-06"},{"id":16,"name":"Locomotive ID","value":"4014"},{"id":130,"name":"Impact","value":""},{"id":150,"name":"Time of Event (Mountain Time)","value":"19:04:19"},{"id":151,"name":"Denver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101"/>
        <v>start /low /b %USERPROFILE%\Documents\GitHub\eaglep3\Utilities\DownloadLogsFromS3.py --loco 4014 --day 2017-03-06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"%USERPROFILE%\AppData\Local\Temp\OnboardLogs"\RTDC4014\*4014*20170307* | grep -SE "(Enforcement Action)|(\[TIMEOUT)|(CHR.+\|PRM\|1\|D.+(SWITCH|SIGNAL).+UNKNOWN)" - &gt;&gt; 2017-03-06-UncaughtWiMAX.txt</v>
      </c>
    </row>
    <row r="200" spans="1:40" x14ac:dyDescent="0.25">
      <c r="A200" s="33" t="s">
        <v>758</v>
      </c>
      <c r="B200" s="7">
        <v>4008</v>
      </c>
      <c r="C200" s="21" t="s">
        <v>245</v>
      </c>
      <c r="D200" s="21" t="s">
        <v>289</v>
      </c>
      <c r="E200" s="13">
        <v>42800.817094907405</v>
      </c>
      <c r="F200" s="13">
        <v>42800.818391203706</v>
      </c>
      <c r="G200" s="7">
        <v>1</v>
      </c>
      <c r="H200" s="21" t="s">
        <v>948</v>
      </c>
      <c r="I200" s="13">
        <v>42800.830208333333</v>
      </c>
      <c r="J200" s="7">
        <v>0</v>
      </c>
      <c r="K200" s="98" t="str">
        <f t="shared" si="117"/>
        <v>4007/4008</v>
      </c>
      <c r="L200" s="21" t="str">
        <f>VLOOKUP(A200,'Trips&amp;Operators'!$C$1:$G$99999,5,FALSE)</f>
        <v>MAGEE KENYA</v>
      </c>
      <c r="M200" s="6">
        <f t="shared" si="118"/>
        <v>1.1817129627161194E-2</v>
      </c>
      <c r="N200" s="7">
        <f t="shared" si="119"/>
        <v>17.016666663112119</v>
      </c>
      <c r="O200" s="7"/>
      <c r="P200" s="7"/>
      <c r="Q200" s="22"/>
      <c r="R200" s="22"/>
      <c r="S200" s="31">
        <f t="shared" si="120"/>
        <v>1</v>
      </c>
      <c r="T200" s="46" t="str">
        <f t="shared" si="121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79"/>
        <v>https://d0f6bd738d7f1b3e5a7ca70fe4ff75f0.us-east-1.aws.found.io/app/kibana#/discover/Steve-Slow-Train-Analysis-(2080s-and-2083s)?_g=(refreshInterval:(display:Off,pause:!f,section:0,value:0),time:(from:'2017-03-06T18:36:37-0700',mode:absolute,to:'2017-03-06T20:55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87" t="str">
        <f t="shared" si="122"/>
        <v>N</v>
      </c>
      <c r="X200" s="187">
        <f t="shared" si="128"/>
        <v>1</v>
      </c>
      <c r="Y200" s="62">
        <f t="shared" si="123"/>
        <v>5.8635999999999999</v>
      </c>
      <c r="Z200" s="62">
        <f t="shared" si="124"/>
        <v>7.0999999999999994E-2</v>
      </c>
      <c r="AA200" s="62">
        <f t="shared" si="125"/>
        <v>5.7926000000000002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26"/>
        <v>0840-06</v>
      </c>
      <c r="AE200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00" s="82" t="str">
        <f t="shared" si="81"/>
        <v>"C:\Program Files (x86)\AstroGrep\AstroGrep.exe" /e /r /s /spath="%USERPROFILE%\AppData\Local\Temp\OnboardLogs" /stypes="app*4008*20170307*" /stext=" 02:.+((SYSTEM_STATE.+slice.+state.+changed )|(ment ac)|(multiple cpu faults)|(system.+state.+changed )|(\[timeout)|(PRM\|1\|D)|(kpr)|(kdp)|(\|lc)|(penalty))"</v>
      </c>
      <c r="AG200" s="1" t="str">
        <f t="shared" si="127"/>
        <v>NW</v>
      </c>
      <c r="AH200" s="86" t="str">
        <f t="shared" si="99"/>
        <v>"%USERPROFILE%\Documents\GitHub\eaglep3\Utilities\RefineRTDCRunTimes.py" --tripid 840-06 --locoid 4008 --swversion DE.1.0.9.0 --startMP 300:58636 --initTime 2017-03-06T19:36:37 --startdatetime 2017-03-06T19:38:29 --delay 1 --endMP 204:710 --enddatetime 2017-03-06T19:55:30 --enforcementcount 0 &gt;&gt;C:\Users\stu\Documents\GitHub\eaglep3-reporting\EC\2017-03-06-refined-times.txt</v>
      </c>
      <c r="AI200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{"issue":{"subject":"","project_id":79,"tracker_id":40,"status_id":1,"priority_id":2,"assigned_to_id":23,"start_date":"2017-03-06","description":"","custom_fields":[{"id":1,"name":"Subdivision","value":"NW"},{"id":4,"name":"Milepost","value":"0.071"},{"id":17,"name":"Train ID","value":"840-06"},{"id":16,"name":"Locomotive ID","value":"4008"},{"id":130,"name":"Impact","value":""},{"id":150,"name":"Time of Event (Mountain Time)","value":"19:55:30"},{"id":151,"name":"Denver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101"/>
        <v>start /low /b %USERPROFILE%\Documents\GitHub\eaglep3\Utilities\DownloadLogsFromS3.py --loco 4008 --day 2017-03-06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201" spans="1:40" x14ac:dyDescent="0.25">
      <c r="A201" s="33" t="s">
        <v>753</v>
      </c>
      <c r="B201" s="7">
        <v>4007</v>
      </c>
      <c r="C201" s="21" t="s">
        <v>245</v>
      </c>
      <c r="D201" s="21" t="s">
        <v>949</v>
      </c>
      <c r="E201" s="13">
        <v>42800.794270833336</v>
      </c>
      <c r="F201" s="13">
        <v>42800.806423611109</v>
      </c>
      <c r="G201" s="7">
        <v>6</v>
      </c>
      <c r="H201" s="21" t="s">
        <v>950</v>
      </c>
      <c r="I201" s="13">
        <v>42800.816099537034</v>
      </c>
      <c r="J201" s="7">
        <v>0</v>
      </c>
      <c r="K201" s="98" t="str">
        <f t="shared" si="117"/>
        <v>4007/4008</v>
      </c>
      <c r="L201" s="21" t="str">
        <f>VLOOKUP(A201,'Trips&amp;Operators'!$C$1:$G$99999,5,FALSE)</f>
        <v>MAGEE KENYA</v>
      </c>
      <c r="M201" s="6">
        <f t="shared" si="118"/>
        <v>9.6759259249665774E-3</v>
      </c>
      <c r="N201" s="7">
        <f t="shared" si="119"/>
        <v>13.933333331951872</v>
      </c>
      <c r="O201" s="7"/>
      <c r="P201" s="7"/>
      <c r="Q201" s="22"/>
      <c r="R201" s="22"/>
      <c r="S201" s="31">
        <f t="shared" si="120"/>
        <v>1</v>
      </c>
      <c r="T201" s="46" t="str">
        <f t="shared" si="121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79"/>
        <v>https://d0f6bd738d7f1b3e5a7ca70fe4ff75f0.us-east-1.aws.found.io/app/kibana#/discover/Steve-Slow-Train-Analysis-(2080s-and-2083s)?_g=(refreshInterval:(display:Off,pause:!f,section:0,value:0),time:(from:'2017-03-06T18:03:45-0700',mode:absolute,to:'2017-03-06T20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87" t="str">
        <f t="shared" si="122"/>
        <v>N</v>
      </c>
      <c r="X201" s="187">
        <f t="shared" si="128"/>
        <v>1</v>
      </c>
      <c r="Y201" s="62">
        <f t="shared" si="123"/>
        <v>9.3200000000000005E-2</v>
      </c>
      <c r="Z201" s="62">
        <f t="shared" si="124"/>
        <v>5.8949999999999996</v>
      </c>
      <c r="AA201" s="62">
        <f t="shared" si="125"/>
        <v>5.8017999999999992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26"/>
        <v>0841-06</v>
      </c>
      <c r="AE201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1" s="82" t="str">
        <f t="shared" si="81"/>
        <v>"C:\Program Files (x86)\AstroGrep\AstroGrep.exe" /e /r /s /spath="%USERPROFILE%\AppData\Local\Temp\OnboardLogs" /stypes="app*4007*20170307*" /stext=" 02:.+((SYSTEM_STATE.+slice.+state.+changed )|(ment ac)|(multiple cpu faults)|(system.+state.+changed )|(\[timeout)|(PRM\|1\|D)|(kpr)|(kdp)|(\|lc)|(penalty))"</v>
      </c>
      <c r="AG201" s="1" t="str">
        <f t="shared" si="127"/>
        <v>NW</v>
      </c>
      <c r="AH201" s="86" t="str">
        <f t="shared" si="99"/>
        <v>"%USERPROFILE%\Documents\GitHub\eaglep3\Utilities\RefineRTDCRunTimes.py" --tripid 841-06 --locoid 4007 --swversion DE.1.0.9.0 --startMP 204:932 --initTime 2017-03-06T19:03:45 --startdatetime 2017-03-06T19:21:15 --delay 6 --endMP 300:58950 --enddatetime 2017-03-06T19:35:11 --enforcementcount 0 &gt;&gt;C:\Users\stu\Documents\GitHub\eaglep3-reporting\EC\2017-03-06-refined-times.txt</v>
      </c>
      <c r="AI201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{"issue":{"subject":"","project_id":79,"tracker_id":40,"status_id":1,"priority_id":2,"assigned_to_id":23,"start_date":"2017-03-06","description":"","custom_fields":[{"id":1,"name":"Subdivision","value":"NW"},{"id":4,"name":"Milepost","value":"5.895"},{"id":17,"name":"Train ID","value":"841-06"},{"id":16,"name":"Locomotive ID","value":"4007"},{"id":130,"name":"Impact","value":""},{"id":150,"name":"Time of Event (Mountain Time)","value":"19:35:11"},{"id":151,"name":"Denver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101"/>
        <v>start /low /b %USERPROFILE%\Documents\GitHub\eaglep3\Utilities\DownloadLogsFromS3.py --loco 4007 --day 2017-03-06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2" spans="1:40" x14ac:dyDescent="0.25">
      <c r="A202" s="33" t="s">
        <v>767</v>
      </c>
      <c r="B202" s="7">
        <v>4008</v>
      </c>
      <c r="C202" s="21" t="s">
        <v>245</v>
      </c>
      <c r="D202" s="21" t="s">
        <v>951</v>
      </c>
      <c r="E202" s="13">
        <v>42800.858055555553</v>
      </c>
      <c r="F202" s="13">
        <v>42800.859282407408</v>
      </c>
      <c r="G202" s="7">
        <v>1</v>
      </c>
      <c r="H202" s="21" t="s">
        <v>952</v>
      </c>
      <c r="I202" s="13">
        <v>42800.872557870367</v>
      </c>
      <c r="J202" s="7">
        <v>0</v>
      </c>
      <c r="K202" s="98" t="str">
        <f t="shared" si="117"/>
        <v>4007/4008</v>
      </c>
      <c r="L202" s="21" t="str">
        <f>VLOOKUP(A202,'Trips&amp;Operators'!$C$1:$G$99999,5,FALSE)</f>
        <v>LEVIN SCOTT</v>
      </c>
      <c r="M202" s="6">
        <f t="shared" si="118"/>
        <v>1.3275462959427387E-2</v>
      </c>
      <c r="N202" s="7">
        <f t="shared" si="119"/>
        <v>19.116666661575437</v>
      </c>
      <c r="O202" s="7"/>
      <c r="P202" s="7"/>
      <c r="Q202" s="22"/>
      <c r="R202" s="22"/>
      <c r="S202" s="31">
        <f t="shared" si="120"/>
        <v>1</v>
      </c>
      <c r="T202" s="46" t="str">
        <f t="shared" si="121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79"/>
        <v>https://d0f6bd738d7f1b3e5a7ca70fe4ff75f0.us-east-1.aws.found.io/app/kibana#/discover/Steve-Slow-Train-Analysis-(2080s-and-2083s)?_g=(refreshInterval:(display:Off,pause:!f,section:0,value:0),time:(from:'2017-03-06T19:35:36-0700',mode:absolute,to:'2017-03-06T21:56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7" t="str">
        <f t="shared" si="122"/>
        <v>N</v>
      </c>
      <c r="X202" s="187">
        <f t="shared" si="128"/>
        <v>1</v>
      </c>
      <c r="Y202" s="62">
        <f t="shared" si="123"/>
        <v>5.8638000000000003</v>
      </c>
      <c r="Z202" s="62">
        <f t="shared" si="124"/>
        <v>6.2799999999999995E-2</v>
      </c>
      <c r="AA202" s="62">
        <f t="shared" si="125"/>
        <v>5.8010000000000002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26"/>
        <v>0842-06</v>
      </c>
      <c r="AE202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02" s="82" t="str">
        <f t="shared" si="81"/>
        <v>"C:\Program Files (x86)\AstroGrep\AstroGrep.exe" /e /r /s /spath="%USERPROFILE%\AppData\Local\Temp\OnboardLogs" /stypes="app*4008*20170307*" /stext=" 03:.+((SYSTEM_STATE.+slice.+state.+changed )|(ment ac)|(multiple cpu faults)|(system.+state.+changed )|(\[timeout)|(PRM\|1\|D)|(kpr)|(kdp)|(\|lc)|(penalty))"</v>
      </c>
      <c r="AG202" s="1" t="str">
        <f t="shared" si="127"/>
        <v>NW</v>
      </c>
      <c r="AH202" s="86" t="str">
        <f t="shared" si="99"/>
        <v>"%USERPROFILE%\Documents\GitHub\eaglep3\Utilities\RefineRTDCRunTimes.py" --tripid 842-06 --locoid 4008 --swversion DE.1.0.9.0 --startMP 300:58638 --initTime 2017-03-06T20:35:36 --startdatetime 2017-03-06T20:37:22 --delay 1 --endMP 204:628 --enddatetime 2017-03-06T20:56:29 --enforcementcount 0 &gt;&gt;C:\Users\stu\Documents\GitHub\eaglep3-reporting\EC\2017-03-06-refined-times.txt</v>
      </c>
      <c r="AI202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{"issue":{"subject":"","project_id":79,"tracker_id":40,"status_id":1,"priority_id":2,"assigned_to_id":23,"start_date":"2017-03-06","description":"","custom_fields":[{"id":1,"name":"Subdivision","value":"NW"},{"id":4,"name":"Milepost","value":"0.0628"},{"id":17,"name":"Train ID","value":"842-06"},{"id":16,"name":"Locomotive ID","value":"4008"},{"id":130,"name":"Impact","value":""},{"id":150,"name":"Time of Event (Mountain Time)","value":"20:56:29"},{"id":151,"name":"Denver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101"/>
        <v>start /low /b %USERPROFILE%\Documents\GitHub\eaglep3\Utilities\DownloadLogsFromS3.py --loco 4008 --day 2017-03-06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203" spans="1:40" x14ac:dyDescent="0.25">
      <c r="A203" s="33" t="s">
        <v>762</v>
      </c>
      <c r="B203" s="7">
        <v>4007</v>
      </c>
      <c r="C203" s="21" t="s">
        <v>245</v>
      </c>
      <c r="D203" s="21" t="s">
        <v>953</v>
      </c>
      <c r="E203" s="13">
        <v>42800.841400462959</v>
      </c>
      <c r="F203" s="13">
        <v>42800.848078703704</v>
      </c>
      <c r="G203" s="7">
        <v>1</v>
      </c>
      <c r="H203" s="21" t="s">
        <v>950</v>
      </c>
      <c r="I203" s="13">
        <v>42800.857071759259</v>
      </c>
      <c r="J203" s="7">
        <v>0</v>
      </c>
      <c r="K203" s="98" t="str">
        <f t="shared" si="117"/>
        <v>4007/4008</v>
      </c>
      <c r="L203" s="21" t="str">
        <f>VLOOKUP(A203,'Trips&amp;Operators'!$C$1:$G$99999,5,FALSE)</f>
        <v>LEVIN SCOTT</v>
      </c>
      <c r="M203" s="6">
        <f t="shared" si="118"/>
        <v>8.9930555550381541E-3</v>
      </c>
      <c r="N203" s="7">
        <f t="shared" si="119"/>
        <v>12.949999999254942</v>
      </c>
      <c r="O203" s="7"/>
      <c r="P203" s="7"/>
      <c r="Q203" s="22"/>
      <c r="R203" s="22"/>
      <c r="S203" s="31">
        <f t="shared" si="120"/>
        <v>1</v>
      </c>
      <c r="T203" s="46" t="str">
        <f t="shared" si="121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79"/>
        <v>https://d0f6bd738d7f1b3e5a7ca70fe4ff75f0.us-east-1.aws.found.io/app/kibana#/discover/Steve-Slow-Train-Analysis-(2080s-and-2083s)?_g=(refreshInterval:(display:Off,pause:!f,section:0,value:0),time:(from:'2017-03-06T19:11:37-0700',mode:absolute,to:'2017-03-06T21:34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87" t="str">
        <f t="shared" si="122"/>
        <v>N</v>
      </c>
      <c r="X203" s="187">
        <f t="shared" si="128"/>
        <v>1</v>
      </c>
      <c r="Y203" s="62">
        <f t="shared" si="123"/>
        <v>0.10059999999999999</v>
      </c>
      <c r="Z203" s="62">
        <f t="shared" si="124"/>
        <v>5.8949999999999996</v>
      </c>
      <c r="AA203" s="62">
        <f t="shared" si="125"/>
        <v>5.7943999999999996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26"/>
        <v>0843-06</v>
      </c>
      <c r="AE203" s="85" t="str">
        <f t="shared" si="80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3" s="82" t="str">
        <f t="shared" si="81"/>
        <v>"C:\Program Files (x86)\AstroGrep\AstroGrep.exe" /e /r /s /spath="%USERPROFILE%\AppData\Local\Temp\OnboardLogs" /stypes="app*4007*20170307*" /stext=" 03:.+((SYSTEM_STATE.+slice.+state.+changed )|(ment ac)|(multiple cpu faults)|(system.+state.+changed )|(\[timeout)|(PRM\|1\|D)|(kpr)|(kdp)|(\|lc)|(penalty))"</v>
      </c>
      <c r="AG203" s="1" t="str">
        <f t="shared" si="127"/>
        <v>NW</v>
      </c>
      <c r="AH203" s="86" t="str">
        <f t="shared" si="99"/>
        <v>"%USERPROFILE%\Documents\GitHub\eaglep3\Utilities\RefineRTDCRunTimes.py" --tripid 843-06 --locoid 4007 --swversion DE.1.0.9.0 --startMP 204:1006 --initTime 2017-03-06T20:11:37 --startdatetime 2017-03-06T20:21:14 --delay 1 --endMP 300:58950 --enddatetime 2017-03-06T20:34:11 --enforcementcount 0 &gt;&gt;C:\Users\stu\Documents\GitHub\eaglep3-reporting\EC\2017-03-06-refined-times.txt</v>
      </c>
      <c r="AI203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{"issue":{"subject":"","project_id":79,"tracker_id":40,"status_id":1,"priority_id":2,"assigned_to_id":23,"start_date":"2017-03-06","description":"","custom_fields":[{"id":1,"name":"Subdivision","value":"NW"},{"id":4,"name":"Milepost","value":"5.895"},{"id":17,"name":"Train ID","value":"843-06"},{"id":16,"name":"Locomotive ID","value":"4007"},{"id":130,"name":"Impact","value":""},{"id":150,"name":"Time of Event (Mountain Time)","value":"20:34:11"},{"id":151,"name":"Denver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101"/>
        <v>start /low /b %USERPROFILE%\Documents\GitHub\eaglep3\Utilities\DownloadLogsFromS3.py --loco 4007 --day 2017-03-06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4" spans="1:40" x14ac:dyDescent="0.25">
      <c r="A204" s="33" t="s">
        <v>773</v>
      </c>
      <c r="B204" s="7">
        <v>4008</v>
      </c>
      <c r="C204" s="21" t="s">
        <v>245</v>
      </c>
      <c r="D204" s="21" t="s">
        <v>535</v>
      </c>
      <c r="E204" s="13">
        <v>42800.899675925924</v>
      </c>
      <c r="F204" s="13">
        <v>42800.901446759257</v>
      </c>
      <c r="G204" s="7">
        <v>1</v>
      </c>
      <c r="H204" s="21" t="s">
        <v>946</v>
      </c>
      <c r="I204" s="13">
        <v>42800.912731481483</v>
      </c>
      <c r="J204" s="7">
        <v>0</v>
      </c>
      <c r="K204" s="98" t="str">
        <f t="shared" si="117"/>
        <v>4007/4008</v>
      </c>
      <c r="L204" s="21" t="str">
        <f>VLOOKUP(A204,'Trips&amp;Operators'!$C$1:$G$99999,5,FALSE)</f>
        <v>NEWELL JAMES</v>
      </c>
      <c r="M204" s="6">
        <f t="shared" si="118"/>
        <v>1.1284722226264421E-2</v>
      </c>
      <c r="N204" s="7">
        <f t="shared" si="119"/>
        <v>16.250000005820766</v>
      </c>
      <c r="O204" s="7"/>
      <c r="P204" s="7"/>
      <c r="Q204" s="22"/>
      <c r="R204" s="22"/>
      <c r="S204" s="31">
        <f t="shared" si="120"/>
        <v>1</v>
      </c>
      <c r="T204" s="46" t="str">
        <f t="shared" si="121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79"/>
        <v>https://d0f6bd738d7f1b3e5a7ca70fe4ff75f0.us-east-1.aws.found.io/app/kibana#/discover/Steve-Slow-Train-Analysis-(2080s-and-2083s)?_g=(refreshInterval:(display:Off,pause:!f,section:0,value:0),time:(from:'2017-03-06T20:35:32-0700',mode:absolute,to:'2017-03-06T22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7" t="str">
        <f t="shared" si="122"/>
        <v>N</v>
      </c>
      <c r="X204" s="187">
        <f t="shared" ref="X204:X207" si="129">VALUE(LEFT(AD204,4))-VALUE(LEFT(AD203,4))</f>
        <v>1</v>
      </c>
      <c r="Y204" s="62">
        <f t="shared" si="123"/>
        <v>5.8613</v>
      </c>
      <c r="Z204" s="62">
        <f t="shared" si="124"/>
        <v>6.5000000000000002E-2</v>
      </c>
      <c r="AA204" s="62">
        <f t="shared" si="125"/>
        <v>5.7962999999999996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126"/>
        <v>0844-06</v>
      </c>
      <c r="AE204" s="85" t="str">
        <f t="shared" si="80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04" s="82" t="str">
        <f t="shared" si="81"/>
        <v>"C:\Program Files (x86)\AstroGrep\AstroGrep.exe" /e /r /s /spath="%USERPROFILE%\AppData\Local\Temp\OnboardLogs" /stypes="app*4008*20170307*" /stext=" 04:.+((SYSTEM_STATE.+slice.+state.+changed )|(ment ac)|(multiple cpu faults)|(system.+state.+changed )|(\[timeout)|(PRM\|1\|D)|(kpr)|(kdp)|(\|lc)|(penalty))"</v>
      </c>
      <c r="AG204" s="1" t="str">
        <f t="shared" si="127"/>
        <v>NW</v>
      </c>
      <c r="AH204" s="86" t="str">
        <f t="shared" si="99"/>
        <v>"%USERPROFILE%\Documents\GitHub\eaglep3\Utilities\RefineRTDCRunTimes.py" --tripid 844-06 --locoid 4008 --swversion DE.1.0.9.0 --startMP 300:58613 --initTime 2017-03-06T21:35:32 --startdatetime 2017-03-06T21:38:05 --delay 1 --endMP 204:650 --enddatetime 2017-03-06T21:54:20 --enforcementcount 0 &gt;&gt;C:\Users\stu\Documents\GitHub\eaglep3-reporting\EC\2017-03-06-refined-times.txt</v>
      </c>
      <c r="AI204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{"issue":{"subject":"","project_id":79,"tracker_id":40,"status_id":1,"priority_id":2,"assigned_to_id":23,"start_date":"2017-03-06","description":"","custom_fields":[{"id":1,"name":"Subdivision","value":"NW"},{"id":4,"name":"Milepost","value":"0.065"},{"id":17,"name":"Train ID","value":"844-06"},{"id":16,"name":"Locomotive ID","value":"4008"},{"id":130,"name":"Impact","value":""},{"id":150,"name":"Time of Event (Mountain Time)","value":"21:54:20"},{"id":151,"name":"Denver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101"/>
        <v>start /low /b %USERPROFILE%\Documents\GitHub\eaglep3\Utilities\DownloadLogsFromS3.py --loco 4008 --day 2017-03-06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"%USERPROFILE%\AppData\Local\Temp\OnboardLogs"\RTDC4008\*4008*20170307* | grep -SE "(Enforcement Action)|(\[TIMEOUT)|(CHR.+\|PRM\|1\|D.+(SWITCH|SIGNAL).+UNKNOWN)" - &gt;&gt; 2017-03-06-UncaughtWiMAX.txt</v>
      </c>
    </row>
    <row r="205" spans="1:40" x14ac:dyDescent="0.25">
      <c r="A205" s="33" t="s">
        <v>770</v>
      </c>
      <c r="B205" s="7">
        <v>4007</v>
      </c>
      <c r="C205" s="21" t="s">
        <v>245</v>
      </c>
      <c r="D205" s="21" t="s">
        <v>954</v>
      </c>
      <c r="E205" s="13">
        <v>42800.884317129632</v>
      </c>
      <c r="F205" s="13">
        <v>42800.879305555558</v>
      </c>
      <c r="G205" s="7">
        <v>4</v>
      </c>
      <c r="H205" s="21" t="s">
        <v>276</v>
      </c>
      <c r="I205" s="13">
        <v>42800.898599537039</v>
      </c>
      <c r="J205" s="7">
        <v>0</v>
      </c>
      <c r="K205" s="98" t="str">
        <f t="shared" si="117"/>
        <v>4007/4008</v>
      </c>
      <c r="L205" s="21" t="str">
        <f>VLOOKUP(A205,'Trips&amp;Operators'!$C$1:$G$99999,5,FALSE)</f>
        <v>NEWELL JAMES</v>
      </c>
      <c r="M205" s="6">
        <f t="shared" si="118"/>
        <v>1.9293981480586808E-2</v>
      </c>
      <c r="N205" s="7">
        <f t="shared" si="119"/>
        <v>27.783333332045004</v>
      </c>
      <c r="O205" s="7"/>
      <c r="P205" s="7"/>
      <c r="Q205" s="22"/>
      <c r="R205" s="22" t="s">
        <v>990</v>
      </c>
      <c r="S205" s="31">
        <f t="shared" si="120"/>
        <v>1</v>
      </c>
      <c r="T205" s="46" t="str">
        <f t="shared" si="121"/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7" si="13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-06T20:13:25-0700',mode:absolute,to:'2017-03-06T22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187" t="str">
        <f t="shared" si="122"/>
        <v>N</v>
      </c>
      <c r="X205" s="187">
        <f t="shared" si="129"/>
        <v>1</v>
      </c>
      <c r="Y205" s="62">
        <f t="shared" si="123"/>
        <v>9.2499999999999999E-2</v>
      </c>
      <c r="Z205" s="62">
        <f t="shared" si="124"/>
        <v>5.8933</v>
      </c>
      <c r="AA205" s="62">
        <f t="shared" si="125"/>
        <v>5.8007999999999997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26"/>
        <v>0845-06</v>
      </c>
      <c r="AE205" s="85" t="str">
        <f t="shared" ref="AE205:AE237" si="13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5" s="82" t="str">
        <f t="shared" ref="AF205:AF237" si="13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/stypes="app*4007*20170307*" /stext=" 04:.+((SYSTEM_STATE.+slice.+state.+changed )|(ment ac)|(multiple cpu faults)|(system.+state.+changed )|(\[timeout)|(PRM\|1\|D)|(kpr)|(kdp)|(\|lc)|(penalty))"</v>
      </c>
      <c r="AG205" s="1" t="str">
        <f t="shared" si="127"/>
        <v>NW</v>
      </c>
      <c r="AH205" s="86" t="str">
        <f t="shared" si="99"/>
        <v>"%USERPROFILE%\Documents\GitHub\eaglep3\Utilities\RefineRTDCRunTimes.py" --tripid 845-06 --locoid 4007 --swversion DE.1.0.9.0 --startMP 204:925 --initTime 2017-03-06T21:13:25 --startdatetime 2017-03-06T21:06:12 --delay 4 --endMP 300:58933 --enddatetime 2017-03-06T21:33:59 --enforcementcount 0 &gt;&gt;C:\Users\stu\Documents\GitHub\eaglep3-reporting\EC\2017-03-06-refined-times.txt</v>
      </c>
      <c r="AI205" s="108" t="str">
        <f t="shared" si="100"/>
        <v>echo {"issue":{"subject":"Delayed by onboard in-route failure","project_id":79,"tracker_id":40,"status_id":1,"priority_id":2,"assigned_to_id":23,"start_date":"2017-03-06","description":"","custom_fields":[{"id":1,"name":"Subdivision","value":"NW"},{"id":4,"name":"Milepost","value":"5.8933"},{"id":17,"name":"Train ID","value":"845-06"},{"id":16,"name":"Locomotive ID","value":"4007"},{"id":130,"name":"Impact","value":""},{"id":150,"name":"Time of Event (Mountain Time)","value":"21:33:59"},{"id":151,"name":"Denver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101"/>
        <v>start /low /b %USERPROFILE%\Documents\GitHub\eaglep3\Utilities\DownloadLogsFromS3.py --loco 4007 --day 2017-03-06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6" spans="1:40" x14ac:dyDescent="0.25">
      <c r="A206" s="33" t="s">
        <v>774</v>
      </c>
      <c r="B206" s="7">
        <v>4007</v>
      </c>
      <c r="C206" s="21" t="s">
        <v>245</v>
      </c>
      <c r="D206" s="21" t="s">
        <v>942</v>
      </c>
      <c r="E206" s="13">
        <v>42800.914212962962</v>
      </c>
      <c r="F206" s="13">
        <v>42800.931435185186</v>
      </c>
      <c r="G206" s="7">
        <v>1</v>
      </c>
      <c r="H206" s="21" t="s">
        <v>940</v>
      </c>
      <c r="I206" s="13">
        <v>42800.939872685187</v>
      </c>
      <c r="J206" s="7">
        <v>0</v>
      </c>
      <c r="K206" s="98" t="str">
        <f t="shared" ref="K206:K237" si="133">IF(ISEVEN(B206),(B206-1)&amp;"/"&amp;B206,B206&amp;"/"&amp;(B206+1))</f>
        <v>4007/4008</v>
      </c>
      <c r="L206" s="21" t="str">
        <f>VLOOKUP(A206,'Trips&amp;Operators'!$C$1:$G$99999,5,FALSE)</f>
        <v>NEWELL JAMES</v>
      </c>
      <c r="M206" s="6">
        <f t="shared" ref="M206:M237" si="134">I206-F206</f>
        <v>8.4375000005820766E-3</v>
      </c>
      <c r="N206" s="7">
        <f t="shared" ref="N206:N237" si="135">24*60*SUM($M206:$M206)</f>
        <v>12.15000000083819</v>
      </c>
      <c r="O206" s="7"/>
      <c r="P206" s="7"/>
      <c r="Q206" s="22"/>
      <c r="R206" s="22"/>
      <c r="S206" s="31">
        <f t="shared" ref="S206:S237" si="136">SUM(U206:U206)/IF(AG206="EC",12,1)</f>
        <v>1</v>
      </c>
      <c r="T206" s="46" t="str">
        <f t="shared" ref="T206:T237" si="137">IF(ISEVEN(LEFT(AD206,4)),"Southbound","NorthBound")</f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130"/>
        <v>https://d0f6bd738d7f1b3e5a7ca70fe4ff75f0.us-east-1.aws.found.io/app/kibana#/discover/Steve-Slow-Train-Analysis-(2080s-and-2083s)?_g=(refreshInterval:(display:Off,pause:!f,section:0,value:0),time:(from:'2017-03-06T20:56:28-0700',mode:absolute,to:'2017-03-06T23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6" s="187" t="str">
        <f t="shared" ref="W206:W237" si="138">IF(AA206&lt;IF(AG206="EC",23,5.65),"Y","N")</f>
        <v>N</v>
      </c>
      <c r="X206" s="187">
        <f t="shared" si="129"/>
        <v>2</v>
      </c>
      <c r="Y206" s="62">
        <f t="shared" ref="Y206:Y237" si="139">RIGHT(D206,LEN(D206)-4)/10000</f>
        <v>9.4399999999999998E-2</v>
      </c>
      <c r="Z206" s="62">
        <f t="shared" ref="Z206:Z237" si="140">RIGHT(H206,LEN(H206)-4)/10000</f>
        <v>5.8935000000000004</v>
      </c>
      <c r="AA206" s="62">
        <f t="shared" ref="AA206:AA237" si="141">ABS(Z206-Y206)</f>
        <v>5.7991000000000001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ref="AD206:AD237" si="142">IF(LEN(A206)=6,"0"&amp;A206,A206)</f>
        <v>0847-06</v>
      </c>
      <c r="AE206" s="85" t="str">
        <f t="shared" si="131"/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AF206" s="82" t="str">
        <f t="shared" si="132"/>
        <v>"C:\Program Files (x86)\AstroGrep\AstroGrep.exe" /e /r /s /spath="%USERPROFILE%\AppData\Local\Temp\OnboardLogs" /stypes="app*4007*20170307*" /stext=" 05:.+((SYSTEM_STATE.+slice.+state.+changed )|(ment ac)|(multiple cpu faults)|(system.+state.+changed )|(\[timeout)|(PRM\|1\|D)|(kpr)|(kdp)|(\|lc)|(penalty))"</v>
      </c>
      <c r="AG206" s="1" t="str">
        <f t="shared" ref="AG206:AG237" si="143">IFERROR(IF(VALUE(LEFT(AD206,2))&lt;=2,"EC",IF(OR(VALUE(LEFT(AD206,2))=8,VALUE(LEFT(AD206,2))=18),"NW","Other")),"Other")</f>
        <v>NW</v>
      </c>
      <c r="AH206" s="86" t="str">
        <f t="shared" si="99"/>
        <v>"%USERPROFILE%\Documents\GitHub\eaglep3\Utilities\RefineRTDCRunTimes.py" --tripid 847-06 --locoid 4007 --swversion DE.1.0.9.0 --startMP 204:944 --initTime 2017-03-06T21:56:28 --startdatetime 2017-03-06T22:21:16 --delay 1 --endMP 300:58935 --enddatetime 2017-03-06T22:33:25 --enforcementcount 0 &gt;&gt;C:\Users\stu\Documents\GitHub\eaglep3-reporting\EC\2017-03-06-refined-times.txt</v>
      </c>
      <c r="AI206" s="108" t="str">
        <f t="shared" si="100"/>
        <v>echo {"issue":{"subject":"","project_id":79,"tracker_id":40,"status_id":1,"priority_id":2,"assigned_to_id":23,"start_date":"2017-03-06","description":"","custom_fields":[{"id":1,"name":"Subdivision","value":"NW"},{"id":4,"name":"Milepost","value":"5.8935"},{"id":17,"name":"Train ID","value":"847-06"},{"id":16,"name":"Locomotive ID","value":"4007"},{"id":130,"name":"Impact","value":""},{"id":150,"name":"Time of Event (Mountain Time)","value":"22:33:25"},{"id":151,"name":"Denver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101"/>
        <v>start /low /b %USERPROFILE%\Documents\GitHub\eaglep3\Utilities\DownloadLogsFromS3.py --loco 4007 --day 2017-03-06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"%USERPROFILE%\AppData\Local\Temp\OnboardLogs"\RTDC4007\*4007*20170307* | grep -SE "(Enforcement Action)|(\[TIMEOUT)|(CHR.+\|PRM\|1\|D.+(SWITCH|SIGNAL).+UNKNOWN)" - &gt;&gt; 2017-03-06-UncaughtWiMAX.txt</v>
      </c>
    </row>
    <row r="207" spans="1:40" x14ac:dyDescent="0.25">
      <c r="A207" s="33" t="s">
        <v>605</v>
      </c>
      <c r="B207" s="7">
        <v>4021</v>
      </c>
      <c r="C207" s="21" t="s">
        <v>245</v>
      </c>
      <c r="D207" s="21" t="s">
        <v>873</v>
      </c>
      <c r="E207" s="13">
        <v>42800.12054398148</v>
      </c>
      <c r="F207" s="13">
        <v>42800.122824074075</v>
      </c>
      <c r="G207" s="7">
        <v>3</v>
      </c>
      <c r="H207" s="21" t="s">
        <v>288</v>
      </c>
      <c r="I207" s="13">
        <v>42800.127303240741</v>
      </c>
      <c r="J207" s="7">
        <v>0</v>
      </c>
      <c r="K207" s="98" t="str">
        <f t="shared" si="133"/>
        <v>4021/4022</v>
      </c>
      <c r="L207" s="21" t="str">
        <f>VLOOKUP(A207,'Trips&amp;Operators'!$C$1:$G$99999,5,FALSE)</f>
        <v>SANTIZO D. EDY</v>
      </c>
      <c r="M207" s="6">
        <f t="shared" si="134"/>
        <v>4.4791666659875773E-3</v>
      </c>
      <c r="N207" s="7">
        <f t="shared" si="135"/>
        <v>6.4499999990221113</v>
      </c>
      <c r="O207" s="7"/>
      <c r="P207" s="7"/>
      <c r="Q207" s="22"/>
      <c r="R207" s="22"/>
      <c r="S207" s="31">
        <f t="shared" si="136"/>
        <v>1</v>
      </c>
      <c r="T207" s="46" t="str">
        <f t="shared" si="137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130"/>
        <v>https://d0f6bd738d7f1b3e5a7ca70fe4ff75f0.us-east-1.aws.found.io/app/kibana#/discover/Steve-Slow-Train-Analysis-(2080s-and-2083s)?_g=(refreshInterval:(display:Off,pause:!f,section:0,value:0),time:(from:'2017-03-06T01:53:35-0700',mode:absolute,to:'2017-03-06T04:03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187" t="str">
        <f t="shared" si="138"/>
        <v>Y</v>
      </c>
      <c r="X207" s="187">
        <f t="shared" si="129"/>
        <v>-545</v>
      </c>
      <c r="Y207" s="62">
        <f t="shared" si="139"/>
        <v>1.94</v>
      </c>
      <c r="Z207" s="62">
        <f t="shared" si="140"/>
        <v>1.67E-2</v>
      </c>
      <c r="AA207" s="62">
        <f t="shared" si="141"/>
        <v>1.9233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42"/>
        <v>0302-06</v>
      </c>
      <c r="AE207" s="85" t="str">
        <f t="shared" si="131"/>
        <v>aws s3 cp s3://rtdc.mdm.uploadarchive.raw/RTDC4021/ "%USERPROFILE%\AppData\Local\Temp\OnboardLogs"\RTDC4021\2017-03-06 --exclude "*" --recursive --include "*20170306*" &amp; "%USERPROFILE%\Documents\GitHub\mrs-test-scripts\Headless Mode &amp; Sideloading\WalkAndUnGZ.bat" "%USERPROFILE%\AppData\Local\Temp\OnboardLogs"\RTDC4021\2017-03-06 &amp; aws s3 cp s3://rtdc.mdm.uploadarchive.raw/RTDC4021/ "%USERPROFILE%\AppData\Local\Temp\OnboardLogs"\RTDC4021\2017-03-07 --exclude "*" --recursive --include "*20170307*" &amp; "%USERPROFILE%\Documents\GitHub\mrs-test-scripts\Headless Mode &amp; Sideloading\WalkAndUnGZ.bat" "%USERPROFILE%\AppData\Local\Temp\OnboardLogs"\RTDC4021\2017-03-07</v>
      </c>
      <c r="AF207" s="82" t="str">
        <f t="shared" si="132"/>
        <v>"C:\Program Files (x86)\AstroGrep\AstroGrep.exe" /e /r /s /spath="%USERPROFILE%\AppData\Local\Temp\OnboardLogs" /stypes="app*4021*20170306*" /stext=" 10:.+((SYSTEM_STATE.+slice.+state.+changed )|(ment ac)|(multiple cpu faults)|(system.+state.+changed )|(\[timeout)|(PRM\|1\|D)|(kpr)|(kdp)|(\|lc)|(penalty))"</v>
      </c>
      <c r="AG207" s="1" t="str">
        <f t="shared" si="143"/>
        <v>Other</v>
      </c>
      <c r="AH207" s="86" t="str">
        <f t="shared" si="99"/>
        <v>"%USERPROFILE%\Documents\GitHub\eaglep3\Utilities\RefineRTDCRunTimes.py" --tripid 302-06 --locoid 4021 --swversion DE.1.0.9.0 --startMP 300:19400 --initTime 2017-03-06T02:53:35 --startdatetime 2017-03-06T02:56:52 --delay 3 --endMP 204:167 --enddatetime 2017-03-06T03:03:19 --enforcementcount 0 &gt;&gt;C:\Users\stu\Documents\GitHub\eaglep3-reporting\EC\2017-03-06-refined-times.txt</v>
      </c>
      <c r="AI207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{"issue":{"subject":"","project_id":79,"tracker_id":40,"status_id":1,"priority_id":2,"assigned_to_id":23,"start_date":"2017-03-06","description":"","custom_fields":[{"id":1,"name":"Subdivision","value":"Other"},{"id":4,"name":"Milepost","value":"0.0167"},{"id":17,"name":"Train ID","value":"302-06"},{"id":16,"name":"Locomotive ID","value":"4021"},{"id":130,"name":"Impact","value":""},{"id":150,"name":"Time of Event (Mountain Time)","value":"03:03:19"},{"id":151,"name":"Denver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101"/>
        <v>start /low /b %USERPROFILE%\Documents\GitHub\eaglep3\Utilities\DownloadLogsFromS3.py --loco 4021 --day 2017-03-06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"%USERPROFILE%\AppData\Local\Temp\OnboardLogs"\RTDC4021\*4021*20170306* | grep -SE "(Enforcement Action)|(\[TIMEOUT)|(CHR.+\|PRM\|1\|D.+(SWITCH|SIGNAL).+UNKNOWN)" - &gt;&gt; 2017-03-06-UncaughtWiMAX.txt</v>
      </c>
    </row>
    <row r="208" spans="1:40" x14ac:dyDescent="0.25">
      <c r="A208" s="33" t="s">
        <v>749</v>
      </c>
      <c r="B208" s="7">
        <v>4018</v>
      </c>
      <c r="C208" s="21" t="s">
        <v>245</v>
      </c>
      <c r="D208" s="21" t="s">
        <v>297</v>
      </c>
      <c r="E208" s="13">
        <v>42800.782488425924</v>
      </c>
      <c r="F208" s="13">
        <v>42800.789583333331</v>
      </c>
      <c r="G208" s="7">
        <v>1</v>
      </c>
      <c r="H208" s="21" t="s">
        <v>874</v>
      </c>
      <c r="I208" s="13">
        <v>42800.798101851855</v>
      </c>
      <c r="J208" s="7">
        <v>0</v>
      </c>
      <c r="K208" s="98" t="str">
        <f t="shared" si="133"/>
        <v>4017/4018</v>
      </c>
      <c r="L208" s="21" t="str">
        <f>VLOOKUP(A208,'Trips&amp;Operators'!$C$1:$G$99999,5,FALSE)</f>
        <v>ROMERO CHAD</v>
      </c>
      <c r="M208" s="6">
        <f t="shared" si="134"/>
        <v>8.5185185234877281E-3</v>
      </c>
      <c r="N208" s="7">
        <f t="shared" si="135"/>
        <v>12.266666673822328</v>
      </c>
      <c r="O208" s="7"/>
      <c r="P208" s="7"/>
      <c r="Q208" s="22"/>
      <c r="R208" s="22"/>
      <c r="S208" s="31">
        <f t="shared" si="136"/>
        <v>1</v>
      </c>
      <c r="T208" s="46" t="str">
        <f t="shared" si="137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130"/>
        <v>https://d0f6bd738d7f1b3e5a7ca70fe4ff75f0.us-east-1.aws.found.io/app/kibana#/discover/Steve-Slow-Train-Analysis-(2080s-and-2083s)?_g=(refreshInterval:(display:Off,pause:!f,section:0,value:0),time:(from:'2017-03-06T17:46:47-0700',mode:absolute,to:'2017-03-06T20:09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87" t="str">
        <f t="shared" si="138"/>
        <v>Y</v>
      </c>
      <c r="X208" s="187">
        <f t="shared" ref="X208:X237" si="144">VALUE(LEFT(AD208,4))-VALUE(LEFT(AD207,4))</f>
        <v>1</v>
      </c>
      <c r="Y208" s="62">
        <f t="shared" si="139"/>
        <v>4.4900000000000002E-2</v>
      </c>
      <c r="Z208" s="62">
        <f t="shared" si="140"/>
        <v>2.3302</v>
      </c>
      <c r="AA208" s="62">
        <f t="shared" si="141"/>
        <v>2.2852999999999999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42"/>
        <v>0303-06</v>
      </c>
      <c r="AE208" s="85" t="str">
        <f t="shared" si="131"/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AF208" s="82" t="str">
        <f t="shared" si="132"/>
        <v>"C:\Program Files (x86)\AstroGrep\AstroGrep.exe" /e /r /s /spath="%USERPROFILE%\AppData\Local\Temp\OnboardLogs" /stypes="app*4018*20170307*" /stext=" 02:.+((SYSTEM_STATE.+slice.+state.+changed )|(ment ac)|(multiple cpu faults)|(system.+state.+changed )|(\[timeout)|(PRM\|1\|D)|(kpr)|(kdp)|(\|lc)|(penalty))"</v>
      </c>
      <c r="AG208" s="1" t="str">
        <f t="shared" si="143"/>
        <v>Other</v>
      </c>
      <c r="AH208" s="86" t="str">
        <f t="shared" si="99"/>
        <v>"%USERPROFILE%\Documents\GitHub\eaglep3\Utilities\RefineRTDCRunTimes.py" --tripid 303-06 --locoid 4018 --swversion DE.1.0.9.0 --startMP 204:449 --initTime 2017-03-06T18:46:47 --startdatetime 2017-03-06T18:57:00 --delay 1 --endMP 300:23302 --enddatetime 2017-03-06T19:09:16 --enforcementcount 0 &gt;&gt;C:\Users\stu\Documents\GitHub\eaglep3-reporting\EC\2017-03-06-refined-times.txt</v>
      </c>
      <c r="AI208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{"issue":{"subject":"","project_id":79,"tracker_id":40,"status_id":1,"priority_id":2,"assigned_to_id":23,"start_date":"2017-03-06","description":"","custom_fields":[{"id":1,"name":"Subdivision","value":"Other"},{"id":4,"name":"Milepost","value":"2.3302"},{"id":17,"name":"Train ID","value":"303-06"},{"id":16,"name":"Locomotive ID","value":"4018"},{"id":130,"name":"Impact","value":""},{"id":150,"name":"Time of Event (Mountain Time)","value":"19:09:16"},{"id":151,"name":"Denver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101"/>
        <v>start /low /b %USERPROFILE%\Documents\GitHub\eaglep3\Utilities\DownloadLogsFromS3.py --loco 4018 --day 2017-03-06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"%USERPROFILE%\AppData\Local\Temp\OnboardLogs"\RTDC4018\*4018*20170307* | grep -SE "(Enforcement Action)|(\[TIMEOUT)|(CHR.+\|PRM\|1\|D.+(SWITCH|SIGNAL).+UNKNOWN)" - &gt;&gt; 2017-03-06-UncaughtWiMAX.txt</v>
      </c>
    </row>
    <row r="209" spans="1:40" x14ac:dyDescent="0.25">
      <c r="A209" s="33" t="s">
        <v>609</v>
      </c>
      <c r="B209" s="7">
        <v>4045</v>
      </c>
      <c r="C209" s="21" t="s">
        <v>245</v>
      </c>
      <c r="D209" s="21" t="s">
        <v>875</v>
      </c>
      <c r="E209" s="13">
        <v>42800.139884259261</v>
      </c>
      <c r="F209" s="13">
        <v>42800.143819444442</v>
      </c>
      <c r="G209" s="7">
        <v>5</v>
      </c>
      <c r="H209" s="21" t="s">
        <v>281</v>
      </c>
      <c r="I209" s="13">
        <v>42800.149386574078</v>
      </c>
      <c r="J209" s="7">
        <v>0</v>
      </c>
      <c r="K209" s="98" t="str">
        <f t="shared" si="133"/>
        <v>4045/4046</v>
      </c>
      <c r="L209" s="21" t="str">
        <f>VLOOKUP(A209,'Trips&amp;Operators'!$C$1:$G$99999,5,FALSE)</f>
        <v>MAELZER KURT</v>
      </c>
      <c r="M209" s="6">
        <f t="shared" si="134"/>
        <v>5.5671296358923428E-3</v>
      </c>
      <c r="N209" s="7">
        <f t="shared" si="135"/>
        <v>8.0166666756849736</v>
      </c>
      <c r="O209" s="7"/>
      <c r="P209" s="7"/>
      <c r="Q209" s="22"/>
      <c r="R209" s="22"/>
      <c r="S209" s="31">
        <f t="shared" si="136"/>
        <v>1</v>
      </c>
      <c r="T209" s="46" t="str">
        <f t="shared" si="137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130"/>
        <v>https://d0f6bd738d7f1b3e5a7ca70fe4ff75f0.us-east-1.aws.found.io/app/kibana#/discover/Steve-Slow-Train-Analysis-(2080s-and-2083s)?_g=(refreshInterval:(display:Off,pause:!f,section:0,value:0),time:(from:'2017-03-06T02:21:26-0700',mode:absolute,to:'2017-03-06T04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9" s="187" t="str">
        <f t="shared" si="138"/>
        <v>Y</v>
      </c>
      <c r="X209" s="187">
        <f t="shared" si="144"/>
        <v>1</v>
      </c>
      <c r="Y209" s="62">
        <f t="shared" si="139"/>
        <v>2.3477999999999999</v>
      </c>
      <c r="Z209" s="62">
        <f t="shared" si="140"/>
        <v>1.34E-2</v>
      </c>
      <c r="AA209" s="62">
        <f t="shared" si="141"/>
        <v>2.3344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42"/>
        <v>0304-06</v>
      </c>
      <c r="AE209" s="85" t="str">
        <f t="shared" si="131"/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AF209" s="82" t="str">
        <f t="shared" si="132"/>
        <v>"C:\Program Files (x86)\AstroGrep\AstroGrep.exe" /e /r /s /spath="%USERPROFILE%\AppData\Local\Temp\OnboardLogs" /stypes="app*4045*20170306*" /stext=" 10:.+((SYSTEM_STATE.+slice.+state.+changed )|(ment ac)|(multiple cpu faults)|(system.+state.+changed )|(\[timeout)|(PRM\|1\|D)|(kpr)|(kdp)|(\|lc)|(penalty))"</v>
      </c>
      <c r="AG209" s="1" t="str">
        <f t="shared" si="143"/>
        <v>Other</v>
      </c>
      <c r="AH209" s="86" t="str">
        <f t="shared" si="99"/>
        <v>"%USERPROFILE%\Documents\GitHub\eaglep3\Utilities\RefineRTDCRunTimes.py" --tripid 304-06 --locoid 4045 --swversion DE.1.0.9.0 --startMP 300:23478 --initTime 2017-03-06T03:21:26 --startdatetime 2017-03-06T03:27:06 --delay 5 --endMP 204:134 --enddatetime 2017-03-06T03:35:07 --enforcementcount 0 &gt;&gt;C:\Users\stu\Documents\GitHub\eaglep3-reporting\EC\2017-03-06-refined-times.txt</v>
      </c>
      <c r="AI209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{"issue":{"subject":"","project_id":79,"tracker_id":40,"status_id":1,"priority_id":2,"assigned_to_id":23,"start_date":"2017-03-06","description":"","custom_fields":[{"id":1,"name":"Subdivision","value":"Other"},{"id":4,"name":"Milepost","value":"0.0134"},{"id":17,"name":"Train ID","value":"304-06"},{"id":16,"name":"Locomotive ID","value":"4045"},{"id":130,"name":"Impact","value":""},{"id":150,"name":"Time of Event (Mountain Time)","value":"03:35:07"},{"id":151,"name":"Denver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101"/>
        <v>start /low /b %USERPROFILE%\Documents\GitHub\eaglep3\Utilities\DownloadLogsFromS3.py --loco 4045 --day 2017-03-06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"%USERPROFILE%\AppData\Local\Temp\OnboardLogs"\RTDC4045\*4045*20170306* | grep -SE "(Enforcement Action)|(\[TIMEOUT)|(CHR.+\|PRM\|1\|D.+(SWITCH|SIGNAL).+UNKNOWN)" - &gt;&gt; 2017-03-06-UncaughtWiMAX.txt</v>
      </c>
    </row>
    <row r="210" spans="1:40" x14ac:dyDescent="0.25">
      <c r="A210" s="33" t="s">
        <v>755</v>
      </c>
      <c r="B210" s="7">
        <v>4022</v>
      </c>
      <c r="C210" s="21" t="s">
        <v>245</v>
      </c>
      <c r="D210" s="21" t="s">
        <v>312</v>
      </c>
      <c r="E210" s="13">
        <v>42800.798900462964</v>
      </c>
      <c r="F210" s="13">
        <v>42800.800509259258</v>
      </c>
      <c r="G210" s="7">
        <v>1</v>
      </c>
      <c r="H210" s="21" t="s">
        <v>876</v>
      </c>
      <c r="I210" s="13">
        <v>42800.808923611112</v>
      </c>
      <c r="J210" s="7">
        <v>0</v>
      </c>
      <c r="K210" s="98" t="str">
        <f t="shared" si="133"/>
        <v>4021/4022</v>
      </c>
      <c r="L210" s="21" t="str">
        <f>VLOOKUP(A210,'Trips&amp;Operators'!$C$1:$G$99999,5,FALSE)</f>
        <v>LOCKLEAR TRAVIS</v>
      </c>
      <c r="M210" s="6">
        <f t="shared" si="134"/>
        <v>8.4143518542987294E-3</v>
      </c>
      <c r="N210" s="7">
        <f t="shared" si="135"/>
        <v>12.11666667019017</v>
      </c>
      <c r="O210" s="7"/>
      <c r="P210" s="7"/>
      <c r="Q210" s="22"/>
      <c r="R210" s="22"/>
      <c r="S210" s="31">
        <f t="shared" si="136"/>
        <v>1</v>
      </c>
      <c r="T210" s="46" t="str">
        <f t="shared" si="137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130"/>
        <v>https://d0f6bd738d7f1b3e5a7ca70fe4ff75f0.us-east-1.aws.found.io/app/kibana#/discover/Steve-Slow-Train-Analysis-(2080s-and-2083s)?_g=(refreshInterval:(display:Off,pause:!f,section:0,value:0),time:(from:'2017-03-06T18:10:25-0700',mode:absolute,to:'2017-03-06T20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187" t="str">
        <f t="shared" si="138"/>
        <v>Y</v>
      </c>
      <c r="X210" s="187">
        <f t="shared" si="144"/>
        <v>1</v>
      </c>
      <c r="Y210" s="62">
        <f t="shared" si="139"/>
        <v>4.6899999999999997E-2</v>
      </c>
      <c r="Z210" s="62">
        <f t="shared" si="140"/>
        <v>2.3003</v>
      </c>
      <c r="AA210" s="62">
        <f t="shared" si="141"/>
        <v>2.2534000000000001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42"/>
        <v>0305-06</v>
      </c>
      <c r="AE210" s="85" t="str">
        <f t="shared" si="131"/>
        <v>aws s3 cp s3://rtdc.mdm.uploadarchive.raw/RTDC4022/ "%USERPROFILE%\AppData\Local\Temp\OnboardLogs"\RTDC4022\2017-03-06 --exclude "*" --recursive --include "*20170306*" &amp; "%USERPROFILE%\Documents\GitHub\mrs-test-scripts\Headless Mode &amp; Sideloading\WalkAndUnGZ.bat" "%USERPROFILE%\AppData\Local\Temp\OnboardLogs"\RTDC4022\2017-03-06 &amp; aws s3 cp s3://rtdc.mdm.uploadarchive.raw/RTDC4022/ "%USERPROFILE%\AppData\Local\Temp\OnboardLogs"\RTDC4022\2017-03-07 --exclude "*" --recursive --include "*20170307*" &amp; "%USERPROFILE%\Documents\GitHub\mrs-test-scripts\Headless Mode &amp; Sideloading\WalkAndUnGZ.bat" "%USERPROFILE%\AppData\Local\Temp\OnboardLogs"\RTDC4022\2017-03-07</v>
      </c>
      <c r="AF210" s="82" t="str">
        <f t="shared" si="132"/>
        <v>"C:\Program Files (x86)\AstroGrep\AstroGrep.exe" /e /r /s /spath="%USERPROFILE%\AppData\Local\Temp\OnboardLogs" /stypes="app*4022*20170307*" /stext=" 02:.+((SYSTEM_STATE.+slice.+state.+changed )|(ment ac)|(multiple cpu faults)|(system.+state.+changed )|(\[timeout)|(PRM\|1\|D)|(kpr)|(kdp)|(\|lc)|(penalty))"</v>
      </c>
      <c r="AG210" s="1" t="str">
        <f t="shared" si="143"/>
        <v>Other</v>
      </c>
      <c r="AH210" s="86" t="str">
        <f t="shared" si="99"/>
        <v>"%USERPROFILE%\Documents\GitHub\eaglep3\Utilities\RefineRTDCRunTimes.py" --tripid 305-06 --locoid 4022 --swversion DE.1.0.9.0 --startMP 204:469 --initTime 2017-03-06T19:10:25 --startdatetime 2017-03-06T19:12:44 --delay 1 --endMP 300:23003 --enddatetime 2017-03-06T19:24:51 --enforcementcount 0 &gt;&gt;C:\Users\stu\Documents\GitHub\eaglep3-reporting\EC\2017-03-06-refined-times.txt</v>
      </c>
      <c r="AI210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{"issue":{"subject":"","project_id":79,"tracker_id":40,"status_id":1,"priority_id":2,"assigned_to_id":23,"start_date":"2017-03-06","description":"","custom_fields":[{"id":1,"name":"Subdivision","value":"Other"},{"id":4,"name":"Milepost","value":"2.3003"},{"id":17,"name":"Train ID","value":"305-06"},{"id":16,"name":"Locomotive ID","value":"4022"},{"id":130,"name":"Impact","value":""},{"id":150,"name":"Time of Event (Mountain Time)","value":"19:24:51"},{"id":151,"name":"Denver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101"/>
        <v>start /low /b %USERPROFILE%\Documents\GitHub\eaglep3\Utilities\DownloadLogsFromS3.py --loco 4022 --day 2017-03-06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"%USERPROFILE%\AppData\Local\Temp\OnboardLogs"\RTDC4022\*4022*20170307* | grep -SE "(Enforcement Action)|(\[TIMEOUT)|(CHR.+\|PRM\|1\|D.+(SWITCH|SIGNAL).+UNKNOWN)" - &gt;&gt; 2017-03-06-UncaughtWiMAX.txt</v>
      </c>
    </row>
    <row r="211" spans="1:40" x14ac:dyDescent="0.25">
      <c r="A211" s="33" t="s">
        <v>610</v>
      </c>
      <c r="B211" s="7">
        <v>4054</v>
      </c>
      <c r="C211" s="21" t="s">
        <v>245</v>
      </c>
      <c r="D211" s="21" t="s">
        <v>877</v>
      </c>
      <c r="E211" s="13">
        <v>42800.15824074074</v>
      </c>
      <c r="F211" s="13">
        <v>42800.165925925925</v>
      </c>
      <c r="G211" s="7">
        <v>1</v>
      </c>
      <c r="H211" s="21" t="s">
        <v>194</v>
      </c>
      <c r="I211" s="13">
        <v>42800.166006944448</v>
      </c>
      <c r="J211" s="7">
        <v>0</v>
      </c>
      <c r="K211" s="98" t="str">
        <f t="shared" si="133"/>
        <v>4053/4054</v>
      </c>
      <c r="L211" s="21" t="str">
        <f>VLOOKUP(A211,'Trips&amp;Operators'!$C$1:$G$99999,5,FALSE)</f>
        <v>STARKS ANGELINA</v>
      </c>
      <c r="M211" s="6">
        <f t="shared" si="134"/>
        <v>8.101852290565148E-5</v>
      </c>
      <c r="N211" s="7">
        <f t="shared" si="135"/>
        <v>0.11666667298413813</v>
      </c>
      <c r="O211" s="7"/>
      <c r="P211" s="7"/>
      <c r="Q211" s="22"/>
      <c r="R211" s="22"/>
      <c r="S211" s="31">
        <f t="shared" si="136"/>
        <v>1</v>
      </c>
      <c r="T211" s="46" t="str">
        <f t="shared" si="137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130"/>
        <v>https://d0f6bd738d7f1b3e5a7ca70fe4ff75f0.us-east-1.aws.found.io/app/kibana#/discover/Steve-Slow-Train-Analysis-(2080s-and-2083s)?_g=(refreshInterval:(display:Off,pause:!f,section:0,value:0),time:(from:'2017-03-06T02:47:52-0700',mode:absolute,to:'2017-03-06T04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1" s="187" t="str">
        <f t="shared" si="138"/>
        <v>Y</v>
      </c>
      <c r="X211" s="187">
        <f t="shared" si="144"/>
        <v>1</v>
      </c>
      <c r="Y211" s="62">
        <f t="shared" si="139"/>
        <v>2.5125999999999999</v>
      </c>
      <c r="Z211" s="62">
        <f t="shared" si="140"/>
        <v>1.4500000000000001E-2</v>
      </c>
      <c r="AA211" s="62">
        <f t="shared" si="141"/>
        <v>2.4981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142"/>
        <v>0306-06</v>
      </c>
      <c r="AE211" s="85" t="str">
        <f t="shared" si="131"/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AF211" s="82" t="str">
        <f t="shared" si="132"/>
        <v>"C:\Program Files (x86)\AstroGrep\AstroGrep.exe" /e /r /s /spath="%USERPROFILE%\AppData\Local\Temp\OnboardLogs" /stypes="app*4054*20170306*" /stext=" 10:.+((SYSTEM_STATE.+slice.+state.+changed )|(ment ac)|(multiple cpu faults)|(system.+state.+changed )|(\[timeout)|(PRM\|1\|D)|(kpr)|(kdp)|(\|lc)|(penalty))"</v>
      </c>
      <c r="AG211" s="1" t="str">
        <f t="shared" si="143"/>
        <v>Other</v>
      </c>
      <c r="AH211" s="86" t="str">
        <f t="shared" si="99"/>
        <v>"%USERPROFILE%\Documents\GitHub\eaglep3\Utilities\RefineRTDCRunTimes.py" --tripid 306-06 --locoid 4054 --swversion DE.1.0.9.0 --startMP 300:25126 --initTime 2017-03-06T03:47:52 --startdatetime 2017-03-06T03:58:56 --delay 1 --endMP 204:145 --enddatetime 2017-03-06T03:59:03 --enforcementcount 0 &gt;&gt;C:\Users\stu\Documents\GitHub\eaglep3-reporting\EC\2017-03-06-refined-times.txt</v>
      </c>
      <c r="AI211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{"issue":{"subject":"","project_id":79,"tracker_id":40,"status_id":1,"priority_id":2,"assigned_to_id":23,"start_date":"2017-03-06","description":"","custom_fields":[{"id":1,"name":"Subdivision","value":"Other"},{"id":4,"name":"Milepost","value":"0.0145"},{"id":17,"name":"Train ID","value":"306-06"},{"id":16,"name":"Locomotive ID","value":"4054"},{"id":130,"name":"Impact","value":""},{"id":150,"name":"Time of Event (Mountain Time)","value":"03:59:03"},{"id":151,"name":"Denver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101"/>
        <v>start /low /b %USERPROFILE%\Documents\GitHub\eaglep3\Utilities\DownloadLogsFromS3.py --loco 4054 --day 2017-03-06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"%USERPROFILE%\AppData\Local\Temp\OnboardLogs"\RTDC4054\*4054*20170306* | grep -SE "(Enforcement Action)|(\[TIMEOUT)|(CHR.+\|PRM\|1\|D.+(SWITCH|SIGNAL).+UNKNOWN)" - &gt;&gt; 2017-03-06-UncaughtWiMAX.txt</v>
      </c>
    </row>
    <row r="212" spans="1:40" x14ac:dyDescent="0.25">
      <c r="A212" s="33" t="s">
        <v>760</v>
      </c>
      <c r="B212" s="7">
        <v>4046</v>
      </c>
      <c r="C212" s="21" t="s">
        <v>245</v>
      </c>
      <c r="D212" s="21" t="s">
        <v>271</v>
      </c>
      <c r="E212" s="13">
        <v>42800.829479166663</v>
      </c>
      <c r="F212" s="13">
        <v>42800.832152777781</v>
      </c>
      <c r="G212" s="7">
        <v>1</v>
      </c>
      <c r="H212" s="21" t="s">
        <v>874</v>
      </c>
      <c r="I212" s="13">
        <v>42800.839675925927</v>
      </c>
      <c r="J212" s="7">
        <v>0</v>
      </c>
      <c r="K212" s="98" t="str">
        <f t="shared" si="133"/>
        <v>4045/4046</v>
      </c>
      <c r="L212" s="21" t="str">
        <f>VLOOKUP(A212,'Trips&amp;Operators'!$C$1:$G$99999,5,FALSE)</f>
        <v>DAVIDSON DAVID</v>
      </c>
      <c r="M212" s="6">
        <f t="shared" si="134"/>
        <v>7.5231481459923089E-3</v>
      </c>
      <c r="N212" s="7">
        <f t="shared" si="135"/>
        <v>10.833333330228925</v>
      </c>
      <c r="O212" s="7"/>
      <c r="P212" s="7"/>
      <c r="Q212" s="22"/>
      <c r="R212" s="22"/>
      <c r="S212" s="31">
        <f t="shared" si="136"/>
        <v>1</v>
      </c>
      <c r="T212" s="46" t="str">
        <f t="shared" si="137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130"/>
        <v>https://d0f6bd738d7f1b3e5a7ca70fe4ff75f0.us-east-1.aws.found.io/app/kibana#/discover/Steve-Slow-Train-Analysis-(2080s-and-2083s)?_g=(refreshInterval:(display:Off,pause:!f,section:0,value:0),time:(from:'2017-03-06T18:54:27-0700',mode:absolute,to:'2017-03-06T21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87" t="str">
        <f t="shared" si="138"/>
        <v>Y</v>
      </c>
      <c r="X212" s="187">
        <f t="shared" si="144"/>
        <v>1</v>
      </c>
      <c r="Y212" s="62">
        <f t="shared" si="139"/>
        <v>4.7300000000000002E-2</v>
      </c>
      <c r="Z212" s="62">
        <f t="shared" si="140"/>
        <v>2.3302</v>
      </c>
      <c r="AA212" s="62">
        <f t="shared" si="141"/>
        <v>2.2829000000000002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142"/>
        <v>0307-06</v>
      </c>
      <c r="AE212" s="85" t="str">
        <f t="shared" si="131"/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AF212" s="82" t="str">
        <f t="shared" si="132"/>
        <v>"C:\Program Files (x86)\AstroGrep\AstroGrep.exe" /e /r /s /spath="%USERPROFILE%\AppData\Local\Temp\OnboardLogs" /stypes="app*4046*20170307*" /stext=" 03:.+((SYSTEM_STATE.+slice.+state.+changed )|(ment ac)|(multiple cpu faults)|(system.+state.+changed )|(\[timeout)|(PRM\|1\|D)|(kpr)|(kdp)|(\|lc)|(penalty))"</v>
      </c>
      <c r="AG212" s="1" t="str">
        <f t="shared" si="143"/>
        <v>Other</v>
      </c>
      <c r="AH212" s="86" t="str">
        <f t="shared" si="99"/>
        <v>"%USERPROFILE%\Documents\GitHub\eaglep3\Utilities\RefineRTDCRunTimes.py" --tripid 307-06 --locoid 4046 --swversion DE.1.0.9.0 --startMP 204:473 --initTime 2017-03-06T19:54:27 --startdatetime 2017-03-06T19:58:18 --delay 1 --endMP 300:23302 --enddatetime 2017-03-06T20:09:08 --enforcementcount 0 &gt;&gt;C:\Users\stu\Documents\GitHub\eaglep3-reporting\EC\2017-03-06-refined-times.txt</v>
      </c>
      <c r="AI212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{"issue":{"subject":"","project_id":79,"tracker_id":40,"status_id":1,"priority_id":2,"assigned_to_id":23,"start_date":"2017-03-06","description":"","custom_fields":[{"id":1,"name":"Subdivision","value":"Other"},{"id":4,"name":"Milepost","value":"2.3302"},{"id":17,"name":"Train ID","value":"307-06"},{"id":16,"name":"Locomotive ID","value":"4046"},{"id":130,"name":"Impact","value":""},{"id":150,"name":"Time of Event (Mountain Time)","value":"20:09:08"},{"id":151,"name":"Denver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101"/>
        <v>start /low /b %USERPROFILE%\Documents\GitHub\eaglep3\Utilities\DownloadLogsFromS3.py --loco 4046 --day 2017-03-06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"%USERPROFILE%\AppData\Local\Temp\OnboardLogs"\RTDC4046\*4046*20170307* | grep -SE "(Enforcement Action)|(\[TIMEOUT)|(CHR.+\|PRM\|1\|D.+(SWITCH|SIGNAL).+UNKNOWN)" - &gt;&gt; 2017-03-06-UncaughtWiMAX.txt</v>
      </c>
    </row>
    <row r="213" spans="1:40" x14ac:dyDescent="0.25">
      <c r="A213" s="33" t="s">
        <v>614</v>
      </c>
      <c r="B213" s="7">
        <v>4010</v>
      </c>
      <c r="C213" s="21" t="s">
        <v>245</v>
      </c>
      <c r="D213" s="21" t="s">
        <v>878</v>
      </c>
      <c r="E213" s="13">
        <v>42800.169351851851</v>
      </c>
      <c r="F213" s="13">
        <v>42800.171631944446</v>
      </c>
      <c r="G213" s="7">
        <v>3</v>
      </c>
      <c r="H213" s="21" t="s">
        <v>235</v>
      </c>
      <c r="I213" s="13">
        <v>42800.178217592591</v>
      </c>
      <c r="J213" s="7">
        <v>0</v>
      </c>
      <c r="K213" s="98" t="str">
        <f t="shared" si="133"/>
        <v>4009/4010</v>
      </c>
      <c r="L213" s="21" t="str">
        <f>VLOOKUP(A213,'Trips&amp;Operators'!$C$1:$G$99999,5,FALSE)</f>
        <v>BONDS REYNALDO</v>
      </c>
      <c r="M213" s="6">
        <f t="shared" si="134"/>
        <v>6.5856481451191939E-3</v>
      </c>
      <c r="N213" s="7">
        <f t="shared" si="135"/>
        <v>9.4833333289716393</v>
      </c>
      <c r="O213" s="7"/>
      <c r="P213" s="7"/>
      <c r="Q213" s="22"/>
      <c r="R213" s="22"/>
      <c r="S213" s="31">
        <f t="shared" si="136"/>
        <v>1</v>
      </c>
      <c r="T213" s="46" t="str">
        <f t="shared" si="137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130"/>
        <v>https://d0f6bd738d7f1b3e5a7ca70fe4ff75f0.us-east-1.aws.found.io/app/kibana#/discover/Steve-Slow-Train-Analysis-(2080s-and-2083s)?_g=(refreshInterval:(display:Off,pause:!f,section:0,value:0),time:(from:'2017-03-06T03:03:52-0700',mode:absolute,to:'2017-03-06T05:16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3" s="187" t="str">
        <f t="shared" si="138"/>
        <v>Y</v>
      </c>
      <c r="X213" s="187">
        <f t="shared" si="144"/>
        <v>1</v>
      </c>
      <c r="Y213" s="62">
        <f t="shared" si="139"/>
        <v>2.3441999999999998</v>
      </c>
      <c r="Z213" s="62">
        <f t="shared" si="140"/>
        <v>1.5599999999999999E-2</v>
      </c>
      <c r="AA213" s="62">
        <f t="shared" si="141"/>
        <v>2.3285999999999998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142"/>
        <v>0308-06</v>
      </c>
      <c r="AE213" s="85" t="str">
        <f t="shared" si="131"/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AF213" s="82" t="str">
        <f t="shared" si="132"/>
        <v>"C:\Program Files (x86)\AstroGrep\AstroGrep.exe" /e /r /s /spath="%USERPROFILE%\AppData\Local\Temp\OnboardLogs" /stypes="app*4010*20170306*" /stext=" 11:.+((SYSTEM_STATE.+slice.+state.+changed )|(ment ac)|(multiple cpu faults)|(system.+state.+changed )|(\[timeout)|(PRM\|1\|D)|(kpr)|(kdp)|(\|lc)|(penalty))"</v>
      </c>
      <c r="AG213" s="1" t="str">
        <f t="shared" si="143"/>
        <v>Other</v>
      </c>
      <c r="AH213" s="86" t="str">
        <f t="shared" si="99"/>
        <v>"%USERPROFILE%\Documents\GitHub\eaglep3\Utilities\RefineRTDCRunTimes.py" --tripid 308-06 --locoid 4010 --swversion DE.1.0.9.0 --startMP 300:23442 --initTime 2017-03-06T04:03:52 --startdatetime 2017-03-06T04:07:09 --delay 3 --endMP 204:156 --enddatetime 2017-03-06T04:16:38 --enforcementcount 0 &gt;&gt;C:\Users\stu\Documents\GitHub\eaglep3-reporting\EC\2017-03-06-refined-times.txt</v>
      </c>
      <c r="AI213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{"issue":{"subject":"","project_id":79,"tracker_id":40,"status_id":1,"priority_id":2,"assigned_to_id":23,"start_date":"2017-03-06","description":"","custom_fields":[{"id":1,"name":"Subdivision","value":"Other"},{"id":4,"name":"Milepost","value":"0.0156"},{"id":17,"name":"Train ID","value":"308-06"},{"id":16,"name":"Locomotive ID","value":"4010"},{"id":130,"name":"Impact","value":""},{"id":150,"name":"Time of Event (Mountain Time)","value":"04:16:38"},{"id":151,"name":"Denver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101"/>
        <v>start /low /b %USERPROFILE%\Documents\GitHub\eaglep3\Utilities\DownloadLogsFromS3.py --loco 4010 --day 2017-03-06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"%USERPROFILE%\AppData\Local\Temp\OnboardLogs"\RTDC4010\*4010*20170306* | grep -SE "(Enforcement Action)|(\[TIMEOUT)|(CHR.+\|PRM\|1\|D.+(SWITCH|SIGNAL).+UNKNOWN)" - &gt;&gt; 2017-03-06-UncaughtWiMAX.txt</v>
      </c>
    </row>
    <row r="214" spans="1:40" x14ac:dyDescent="0.25">
      <c r="A214" s="33" t="s">
        <v>787</v>
      </c>
      <c r="B214" s="7">
        <v>4003</v>
      </c>
      <c r="C214" s="21" t="s">
        <v>245</v>
      </c>
      <c r="D214" s="21" t="s">
        <v>225</v>
      </c>
      <c r="E214" s="13">
        <v>42801.052847222221</v>
      </c>
      <c r="F214" s="13">
        <v>42801.054305555554</v>
      </c>
      <c r="G214" s="7">
        <v>1</v>
      </c>
      <c r="H214" s="21" t="s">
        <v>879</v>
      </c>
      <c r="I214" s="13">
        <v>42801.060671296298</v>
      </c>
      <c r="J214" s="7">
        <v>0</v>
      </c>
      <c r="K214" s="98" t="str">
        <f t="shared" si="133"/>
        <v>4003/4004</v>
      </c>
      <c r="L214" s="21" t="str">
        <f>VLOOKUP(A214,'Trips&amp;Operators'!$C$1:$G$99999,5,FALSE)</f>
        <v>SMITH MICHAEL</v>
      </c>
      <c r="M214" s="6">
        <f t="shared" si="134"/>
        <v>6.3657407445134595E-3</v>
      </c>
      <c r="N214" s="7">
        <f t="shared" si="135"/>
        <v>9.1666666720993817</v>
      </c>
      <c r="O214" s="7"/>
      <c r="P214" s="7"/>
      <c r="Q214" s="22"/>
      <c r="R214" s="22"/>
      <c r="S214" s="31">
        <f t="shared" si="136"/>
        <v>1</v>
      </c>
      <c r="T214" s="46" t="str">
        <f t="shared" si="137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130"/>
        <v>https://d0f6bd738d7f1b3e5a7ca70fe4ff75f0.us-east-1.aws.found.io/app/kibana#/discover/Steve-Slow-Train-Analysis-(2080s-and-2083s)?_g=(refreshInterval:(display:Off,pause:!f,section:0,value:0),time:(from:'2017-03-07T00:16:06-0700',mode:absolute,to:'2017-03-07T02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187" t="str">
        <f t="shared" si="138"/>
        <v>Y</v>
      </c>
      <c r="X214" s="187">
        <f t="shared" si="144"/>
        <v>1</v>
      </c>
      <c r="Y214" s="62">
        <f t="shared" si="139"/>
        <v>4.53E-2</v>
      </c>
      <c r="Z214" s="62">
        <f t="shared" si="140"/>
        <v>2.3296999999999999</v>
      </c>
      <c r="AA214" s="62">
        <f t="shared" si="141"/>
        <v>2.2843999999999998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142"/>
        <v>0309-06</v>
      </c>
      <c r="AE214" s="85" t="str">
        <f t="shared" si="131"/>
        <v>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 &amp; aws s3 cp s3://rtdc.mdm.uploadarchive.raw/RTDC4003/ "%USERPROFILE%\AppData\Local\Temp\OnboardLogs"\RTDC4003\2017-03-08 --exclude "*" --recursive --include "*20170308*" &amp; "%USERPROFILE%\Documents\GitHub\mrs-test-scripts\Headless Mode &amp; Sideloading\WalkAndUnGZ.bat" "%USERPROFILE%\AppData\Local\Temp\OnboardLogs"\RTDC4003\2017-03-08</v>
      </c>
      <c r="AF214" s="82" t="str">
        <f t="shared" si="132"/>
        <v>"C:\Program Files (x86)\AstroGrep\AstroGrep.exe" /e /r /s /spath="%USERPROFILE%\AppData\Local\Temp\OnboardLogs" /stypes="app*4003*20170307*" /stext=" 08:.+((SYSTEM_STATE.+slice.+state.+changed )|(ment ac)|(multiple cpu faults)|(system.+state.+changed )|(\[timeout)|(PRM\|1\|D)|(kpr)|(kdp)|(\|lc)|(penalty))"</v>
      </c>
      <c r="AG214" s="1" t="str">
        <f t="shared" si="143"/>
        <v>Other</v>
      </c>
      <c r="AH214" s="86" t="str">
        <f t="shared" si="99"/>
        <v>"%USERPROFILE%\Documents\GitHub\eaglep3\Utilities\RefineRTDCRunTimes.py" --tripid 309-06 --locoid 4003 --swversion DE.1.0.9.0 --startMP 204:453 --initTime 2017-03-07T01:16:06 --startdatetime 2017-03-07T01:18:12 --delay 1 --endMP 300:23297 --enddatetime 2017-03-07T01:27:22 --enforcementcount 0 &gt;&gt;C:\Users\stu\Documents\GitHub\eaglep3-reporting\EC\2017-03-06-refined-times.txt</v>
      </c>
      <c r="AI214" s="108" t="str">
        <f t="shared" si="100"/>
        <v>echo {"issue":{"subject":"","project_id":79,"tracker_id":40,"status_id":1,"priority_id":2,"assigned_to_id":23,"start_date":"2017-03-07","description":"","custom_fields":[{"id":1,"name":"Subdivision","value":"Other"},{"id":4,"name":"Milepost","value":"2.3297"},{"id":17,"name":"Train ID","value":"309-06"},{"id":16,"name":"Locomotive ID","value":"4003"},{"id":130,"name":"Impact","value":""},{"id":150,"name":"Time of Event (Mountain Time)","value":"01:27:22"},{"id":151,"name":"Denver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101"/>
        <v>start /low /b %USERPROFILE%\Documents\GitHub\eaglep3\Utilities\DownloadLogsFromS3.py --loco 4003 --day 2017-03-07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"%USERPROFILE%\AppData\Local\Temp\OnboardLogs"\RTDC4003\*4003*20170307* | grep -SE "(Enforcement Action)|(\[TIMEOUT)|(CHR.+\|PRM\|1\|D.+(SWITCH|SIGNAL).+UNKNOWN)" - &gt;&gt; 2017-03-06-UncaughtWiMAX.txt</v>
      </c>
    </row>
    <row r="215" spans="1:40" x14ac:dyDescent="0.25">
      <c r="A215" s="33" t="s">
        <v>618</v>
      </c>
      <c r="B215" s="7">
        <v>4017</v>
      </c>
      <c r="C215" s="21" t="s">
        <v>245</v>
      </c>
      <c r="D215" s="21" t="s">
        <v>880</v>
      </c>
      <c r="E215" s="13">
        <v>42800.174791666665</v>
      </c>
      <c r="F215" s="13">
        <v>42800.180127314816</v>
      </c>
      <c r="G215" s="7">
        <v>7</v>
      </c>
      <c r="H215" s="21" t="s">
        <v>281</v>
      </c>
      <c r="I215" s="13">
        <v>42800.185937499999</v>
      </c>
      <c r="J215" s="7">
        <v>0</v>
      </c>
      <c r="K215" s="98" t="str">
        <f t="shared" si="133"/>
        <v>4017/4018</v>
      </c>
      <c r="L215" s="21" t="str">
        <f>VLOOKUP(A215,'Trips&amp;Operators'!$C$1:$G$99999,5,FALSE)</f>
        <v>SHOOK JOHN</v>
      </c>
      <c r="M215" s="6">
        <f t="shared" si="134"/>
        <v>5.8101851827814244E-3</v>
      </c>
      <c r="N215" s="7">
        <f t="shared" si="135"/>
        <v>8.3666666632052511</v>
      </c>
      <c r="O215" s="7"/>
      <c r="P215" s="7"/>
      <c r="Q215" s="22"/>
      <c r="R215" s="22"/>
      <c r="S215" s="31">
        <f t="shared" si="136"/>
        <v>1</v>
      </c>
      <c r="T215" s="46" t="str">
        <f t="shared" si="137"/>
        <v>Southbound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130"/>
        <v>https://d0f6bd738d7f1b3e5a7ca70fe4ff75f0.us-east-1.aws.found.io/app/kibana#/discover/Steve-Slow-Train-Analysis-(2080s-and-2083s)?_g=(refreshInterval:(display:Off,pause:!f,section:0,value:0),time:(from:'2017-03-06T03:11:42-0700',mode:absolute,to:'2017-03-06T05:27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87" t="str">
        <f t="shared" si="138"/>
        <v>Y</v>
      </c>
      <c r="X215" s="187">
        <f t="shared" si="144"/>
        <v>1</v>
      </c>
      <c r="Y215" s="62">
        <f t="shared" si="139"/>
        <v>2.2743000000000002</v>
      </c>
      <c r="Z215" s="62">
        <f t="shared" si="140"/>
        <v>1.34E-2</v>
      </c>
      <c r="AA215" s="62">
        <f t="shared" si="141"/>
        <v>2.2609000000000004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142"/>
        <v>0310-06</v>
      </c>
      <c r="AE215" s="85" t="str">
        <f t="shared" si="131"/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AF215" s="82" t="str">
        <f t="shared" si="132"/>
        <v>"C:\Program Files (x86)\AstroGrep\AstroGrep.exe" /e /r /s /spath="%USERPROFILE%\AppData\Local\Temp\OnboardLogs" /stypes="app*4017*20170306*" /stext=" 11:.+((SYSTEM_STATE.+slice.+state.+changed )|(ment ac)|(multiple cpu faults)|(system.+state.+changed )|(\[timeout)|(PRM\|1\|D)|(kpr)|(kdp)|(\|lc)|(penalty))"</v>
      </c>
      <c r="AG215" s="1" t="str">
        <f t="shared" si="143"/>
        <v>Other</v>
      </c>
      <c r="AH215" s="86" t="str">
        <f t="shared" si="99"/>
        <v>"%USERPROFILE%\Documents\GitHub\eaglep3\Utilities\RefineRTDCRunTimes.py" --tripid 310-06 --locoid 4017 --swversion DE.1.0.9.0 --startMP 300:22743 --initTime 2017-03-06T04:11:42 --startdatetime 2017-03-06T04:19:23 --delay 7 --endMP 204:134 --enddatetime 2017-03-06T04:27:45 --enforcementcount 0 &gt;&gt;C:\Users\stu\Documents\GitHub\eaglep3-reporting\EC\2017-03-06-refined-times.txt</v>
      </c>
      <c r="AI215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{"issue":{"subject":"","project_id":79,"tracker_id":40,"status_id":1,"priority_id":2,"assigned_to_id":23,"start_date":"2017-03-06","description":"","custom_fields":[{"id":1,"name":"Subdivision","value":"Other"},{"id":4,"name":"Milepost","value":"0.0134"},{"id":17,"name":"Train ID","value":"310-06"},{"id":16,"name":"Locomotive ID","value":"4017"},{"id":130,"name":"Impact","value":""},{"id":150,"name":"Time of Event (Mountain Time)","value":"04:27:45"},{"id":151,"name":"Denver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101"/>
        <v>start /low /b %USERPROFILE%\Documents\GitHub\eaglep3\Utilities\DownloadLogsFromS3.py --loco 4017 --day 2017-03-06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"%USERPROFILE%\AppData\Local\Temp\OnboardLogs"\RTDC4017\*4017*20170306* | grep -SE "(Enforcement Action)|(\[TIMEOUT)|(CHR.+\|PRM\|1\|D.+(SWITCH|SIGNAL).+UNKNOWN)" - &gt;&gt; 2017-03-06-UncaughtWiMAX.txt</v>
      </c>
    </row>
    <row r="216" spans="1:40" x14ac:dyDescent="0.25">
      <c r="A216" s="33" t="s">
        <v>517</v>
      </c>
      <c r="B216" s="7">
        <v>4044</v>
      </c>
      <c r="C216" s="21" t="s">
        <v>245</v>
      </c>
      <c r="D216" s="21" t="s">
        <v>201</v>
      </c>
      <c r="E216" s="13">
        <v>42800.083043981482</v>
      </c>
      <c r="F216" s="13">
        <v>42800.089456018519</v>
      </c>
      <c r="G216" s="7">
        <v>1</v>
      </c>
      <c r="H216" s="21" t="s">
        <v>479</v>
      </c>
      <c r="I216" s="13">
        <v>42800.096018518518</v>
      </c>
      <c r="J216" s="7">
        <v>0</v>
      </c>
      <c r="K216" s="98" t="str">
        <f t="shared" si="133"/>
        <v>4043/4044</v>
      </c>
      <c r="L216" s="21" t="str">
        <f>VLOOKUP(A216,'Trips&amp;Operators'!$C$1:$G$99999,5,FALSE)</f>
        <v>SMITH MICHAEL</v>
      </c>
      <c r="M216" s="6">
        <f t="shared" si="134"/>
        <v>6.5624999988358468E-3</v>
      </c>
      <c r="N216" s="7">
        <f t="shared" si="135"/>
        <v>9.4499999983236194</v>
      </c>
      <c r="O216" s="7"/>
      <c r="P216" s="7"/>
      <c r="Q216" s="22"/>
      <c r="R216" s="22"/>
      <c r="S216" s="31">
        <f t="shared" si="136"/>
        <v>1</v>
      </c>
      <c r="T216" s="46" t="str">
        <f t="shared" si="137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130"/>
        <v>https://d0f6bd738d7f1b3e5a7ca70fe4ff75f0.us-east-1.aws.found.io/app/kibana#/discover/Steve-Slow-Train-Analysis-(2080s-and-2083s)?_g=(refreshInterval:(display:Off,pause:!f,section:0,value:0),time:(from:'2017-03-06T00:59:35-0700',mode:absolute,to:'2017-03-06T03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6" s="187" t="str">
        <f t="shared" si="138"/>
        <v>Y</v>
      </c>
      <c r="X216" s="187">
        <f t="shared" si="144"/>
        <v>1</v>
      </c>
      <c r="Y216" s="62">
        <f t="shared" si="139"/>
        <v>4.6199999999999998E-2</v>
      </c>
      <c r="Z216" s="62">
        <f t="shared" si="140"/>
        <v>2.3308</v>
      </c>
      <c r="AA216" s="62">
        <f t="shared" si="141"/>
        <v>2.2846000000000002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142"/>
        <v>0311-05</v>
      </c>
      <c r="AE216" s="85" t="str">
        <f t="shared" si="131"/>
        <v>aws s3 cp s3://rtdc.mdm.uploadarchive.raw/RTDC4044/ "%USERPROFILE%\AppData\Local\Temp\OnboardLogs"\RTDC4044\2017-03-06 --exclude "*" --recursive --include "*20170306*" &amp; "%USERPROFILE%\Documents\GitHub\mrs-test-scripts\Headless Mode &amp; Sideloading\WalkAndUnGZ.bat" "%USERPROFILE%\AppData\Local\Temp\OnboardLogs"\RTDC4044\2017-03-06 &amp; aws s3 cp s3://rtdc.mdm.uploadarchive.raw/RTDC4044/ "%USERPROFILE%\AppData\Local\Temp\OnboardLogs"\RTDC4044\2017-03-07 --exclude "*" --recursive --include "*20170307*" &amp; "%USERPROFILE%\Documents\GitHub\mrs-test-scripts\Headless Mode &amp; Sideloading\WalkAndUnGZ.bat" "%USERPROFILE%\AppData\Local\Temp\OnboardLogs"\RTDC4044\2017-03-07</v>
      </c>
      <c r="AF216" s="82" t="str">
        <f t="shared" si="132"/>
        <v>"C:\Program Files (x86)\AstroGrep\AstroGrep.exe" /e /r /s /spath="%USERPROFILE%\AppData\Local\Temp\OnboardLogs" /stypes="app*4044*20170306*" /stext=" 09:.+((SYSTEM_STATE.+slice.+state.+changed )|(ment ac)|(multiple cpu faults)|(system.+state.+changed )|(\[timeout)|(PRM\|1\|D)|(kpr)|(kdp)|(\|lc)|(penalty))"</v>
      </c>
      <c r="AG216" s="1" t="str">
        <f t="shared" si="143"/>
        <v>Other</v>
      </c>
      <c r="AH216" s="86" t="str">
        <f t="shared" si="99"/>
        <v>"%USERPROFILE%\Documents\GitHub\eaglep3\Utilities\RefineRTDCRunTimes.py" --tripid 311-05 --locoid 4044 --swversion DE.1.0.9.0 --startMP 204:462 --initTime 2017-03-06T01:59:35 --startdatetime 2017-03-06T02:08:49 --delay 1 --endMP 300:23308 --enddatetime 2017-03-06T02:18:16 --enforcementcount 0 &gt;&gt;C:\Users\stu\Documents\GitHub\eaglep3-reporting\EC\2017-03-06-refined-times.txt</v>
      </c>
      <c r="AI216" s="108" t="str">
        <f t="shared" si="100"/>
        <v>echo {"issue":{"subject":"","project_id":79,"tracker_id":40,"status_id":1,"priority_id":2,"assigned_to_id":23,"start_date":"2017-03-06","description":"","custom_fields":[{"id":1,"name":"Subdivision","value":"Other"},{"id":4,"name":"Milepost","value":"2.3308"},{"id":17,"name":"Train ID","value":"311-05"},{"id":16,"name":"Locomotive ID","value":"4044"},{"id":130,"name":"Impact","value":""},{"id":150,"name":"Time of Event (Mountain Time)","value":"02:18:16"},{"id":151,"name":"Denver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101"/>
        <v>start /low /b %USERPROFILE%\Documents\GitHub\eaglep3\Utilities\DownloadLogsFromS3.py --loco 4044 --day 2017-03-06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"%USERPROFILE%\AppData\Local\Temp\OnboardLogs"\RTDC4044\*4044*20170306* | grep -SE "(Enforcement Action)|(\[TIMEOUT)|(CHR.+\|PRM\|1\|D.+(SWITCH|SIGNAL).+UNKNOWN)" - &gt;&gt; 2017-03-06-UncaughtWiMAX.txt</v>
      </c>
    </row>
    <row r="217" spans="1:40" x14ac:dyDescent="0.25">
      <c r="A217" s="33" t="s">
        <v>789</v>
      </c>
      <c r="B217" s="7">
        <v>4051</v>
      </c>
      <c r="C217" s="21" t="s">
        <v>245</v>
      </c>
      <c r="D217" s="21" t="s">
        <v>229</v>
      </c>
      <c r="E217" s="13">
        <v>42801.069212962961</v>
      </c>
      <c r="F217" s="13">
        <v>42801.073136574072</v>
      </c>
      <c r="G217" s="7">
        <v>1</v>
      </c>
      <c r="H217" s="21" t="s">
        <v>881</v>
      </c>
      <c r="I217" s="13">
        <v>42801.079328703701</v>
      </c>
      <c r="J217" s="7">
        <v>0</v>
      </c>
      <c r="K217" s="98" t="str">
        <f t="shared" si="133"/>
        <v>4051/4052</v>
      </c>
      <c r="L217" s="21" t="str">
        <f>VLOOKUP(A217,'Trips&amp;Operators'!$C$1:$G$99999,5,FALSE)</f>
        <v>STAMBAUGH JAMES</v>
      </c>
      <c r="M217" s="6">
        <f t="shared" si="134"/>
        <v>6.1921296291984618E-3</v>
      </c>
      <c r="N217" s="7">
        <f t="shared" si="135"/>
        <v>8.916666666045785</v>
      </c>
      <c r="O217" s="7"/>
      <c r="P217" s="7"/>
      <c r="Q217" s="22"/>
      <c r="R217" s="22"/>
      <c r="S217" s="31">
        <f t="shared" si="136"/>
        <v>1</v>
      </c>
      <c r="T217" s="46" t="str">
        <f t="shared" si="137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130"/>
        <v>https://d0f6bd738d7f1b3e5a7ca70fe4ff75f0.us-east-1.aws.found.io/app/kibana#/discover/Steve-Slow-Train-Analysis-(2080s-and-2083s)?_g=(refreshInterval:(display:Off,pause:!f,section:0,value:0),time:(from:'2017-03-07T00:39:40-0700',mode:absolute,to:'2017-03-07T02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7" s="187" t="str">
        <f t="shared" si="138"/>
        <v>Y</v>
      </c>
      <c r="X217" s="187">
        <f t="shared" si="144"/>
        <v>0</v>
      </c>
      <c r="Y217" s="62">
        <f t="shared" si="139"/>
        <v>4.5499999999999999E-2</v>
      </c>
      <c r="Z217" s="62">
        <f t="shared" si="140"/>
        <v>2.3294999999999999</v>
      </c>
      <c r="AA217" s="62">
        <f t="shared" si="141"/>
        <v>2.2839999999999998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142"/>
        <v>0311-06</v>
      </c>
      <c r="AE217" s="85" t="str">
        <f t="shared" si="131"/>
        <v>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 &amp; aws s3 cp s3://rtdc.mdm.uploadarchive.raw/RTDC4051/ "%USERPROFILE%\AppData\Local\Temp\OnboardLogs"\RTDC4051\2017-03-08 --exclude "*" --recursive --include "*20170308*" &amp; "%USERPROFILE%\Documents\GitHub\mrs-test-scripts\Headless Mode &amp; Sideloading\WalkAndUnGZ.bat" "%USERPROFILE%\AppData\Local\Temp\OnboardLogs"\RTDC4051\2017-03-08</v>
      </c>
      <c r="AF217" s="82" t="str">
        <f t="shared" si="132"/>
        <v>"C:\Program Files (x86)\AstroGrep\AstroGrep.exe" /e /r /s /spath="%USERPROFILE%\AppData\Local\Temp\OnboardLogs" /stypes="app*4051*20170307*" /stext=" 08:.+((SYSTEM_STATE.+slice.+state.+changed )|(ment ac)|(multiple cpu faults)|(system.+state.+changed )|(\[timeout)|(PRM\|1\|D)|(kpr)|(kdp)|(\|lc)|(penalty))"</v>
      </c>
      <c r="AG217" s="1" t="str">
        <f t="shared" si="143"/>
        <v>Other</v>
      </c>
      <c r="AH217" s="86" t="str">
        <f t="shared" si="99"/>
        <v>"%USERPROFILE%\Documents\GitHub\eaglep3\Utilities\RefineRTDCRunTimes.py" --tripid 311-06 --locoid 4051 --swversion DE.1.0.9.0 --startMP 204:455 --initTime 2017-03-07T01:39:40 --startdatetime 2017-03-07T01:45:19 --delay 1 --endMP 300:23295 --enddatetime 2017-03-07T01:54:14 --enforcementcount 0 &gt;&gt;C:\Users\stu\Documents\GitHub\eaglep3-reporting\EC\2017-03-06-refined-times.txt</v>
      </c>
      <c r="AI217" s="108" t="str">
        <f t="shared" si="100"/>
        <v>echo {"issue":{"subject":"","project_id":79,"tracker_id":40,"status_id":1,"priority_id":2,"assigned_to_id":23,"start_date":"2017-03-07","description":"","custom_fields":[{"id":1,"name":"Subdivision","value":"Other"},{"id":4,"name":"Milepost","value":"2.3295"},{"id":17,"name":"Train ID","value":"311-06"},{"id":16,"name":"Locomotive ID","value":"4051"},{"id":130,"name":"Impact","value":""},{"id":150,"name":"Time of Event (Mountain Time)","value":"01:54:14"},{"id":151,"name":"Denver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101"/>
        <v>start /low /b %USERPROFILE%\Documents\GitHub\eaglep3\Utilities\DownloadLogsFromS3.py --loco 4051 --day 2017-03-07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"%USERPROFILE%\AppData\Local\Temp\OnboardLogs"\RTDC4051\*4051*20170307* | grep -SE "(Enforcement Action)|(\[TIMEOUT)|(CHR.+\|PRM\|1\|D.+(SWITCH|SIGNAL).+UNKNOWN)" - &gt;&gt; 2017-03-06-UncaughtWiMAX.txt</v>
      </c>
    </row>
    <row r="218" spans="1:40" x14ac:dyDescent="0.25">
      <c r="A218" s="33" t="s">
        <v>790</v>
      </c>
      <c r="B218" s="7">
        <v>4053</v>
      </c>
      <c r="C218" s="21" t="s">
        <v>245</v>
      </c>
      <c r="D218" s="21" t="s">
        <v>246</v>
      </c>
      <c r="E218" s="13">
        <v>42801.094490740739</v>
      </c>
      <c r="F218" s="13">
        <v>42801.096747685187</v>
      </c>
      <c r="G218" s="7">
        <v>2</v>
      </c>
      <c r="H218" s="21" t="s">
        <v>882</v>
      </c>
      <c r="I218" s="13">
        <v>42801.105451388888</v>
      </c>
      <c r="J218" s="7">
        <v>0</v>
      </c>
      <c r="K218" s="98" t="str">
        <f t="shared" si="133"/>
        <v>4053/4054</v>
      </c>
      <c r="L218" s="21" t="str">
        <f>VLOOKUP(A218,'Trips&amp;Operators'!$C$1:$G$99999,5,FALSE)</f>
        <v>STORY SAMANTHA</v>
      </c>
      <c r="M218" s="6">
        <f t="shared" si="134"/>
        <v>8.703703701030463E-3</v>
      </c>
      <c r="N218" s="7">
        <f t="shared" si="135"/>
        <v>12.533333329483867</v>
      </c>
      <c r="O218" s="7"/>
      <c r="P218" s="7"/>
      <c r="Q218" s="22"/>
      <c r="R218" s="22"/>
      <c r="S218" s="31">
        <f t="shared" si="136"/>
        <v>1</v>
      </c>
      <c r="T218" s="46" t="str">
        <f t="shared" si="137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130"/>
        <v>https://d0f6bd738d7f1b3e5a7ca70fe4ff75f0.us-east-1.aws.found.io/app/kibana#/discover/Steve-Slow-Train-Analysis-(2080s-and-2083s)?_g=(refreshInterval:(display:Off,pause:!f,section:0,value:0),time:(from:'2017-03-07T01:16:04-0700',mode:absolute,to:'2017-03-07T03:31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8" s="187" t="str">
        <f t="shared" si="138"/>
        <v>Y</v>
      </c>
      <c r="X218" s="187">
        <f t="shared" si="144"/>
        <v>2</v>
      </c>
      <c r="Y218" s="62">
        <f t="shared" si="139"/>
        <v>4.58E-2</v>
      </c>
      <c r="Z218" s="62">
        <f t="shared" si="140"/>
        <v>2.331</v>
      </c>
      <c r="AA218" s="62">
        <f t="shared" si="141"/>
        <v>2.2852000000000001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142"/>
        <v>0313-06</v>
      </c>
      <c r="AE218" s="85" t="str">
        <f t="shared" si="131"/>
        <v>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 &amp; aws s3 cp s3://rtdc.mdm.uploadarchive.raw/RTDC4053/ "%USERPROFILE%\AppData\Local\Temp\OnboardLogs"\RTDC4053\2017-03-08 --exclude "*" --recursive --include "*20170308*" &amp; "%USERPROFILE%\Documents\GitHub\mrs-test-scripts\Headless Mode &amp; Sideloading\WalkAndUnGZ.bat" "%USERPROFILE%\AppData\Local\Temp\OnboardLogs"\RTDC4053\2017-03-08</v>
      </c>
      <c r="AF218" s="82" t="str">
        <f t="shared" si="132"/>
        <v>"C:\Program Files (x86)\AstroGrep\AstroGrep.exe" /e /r /s /spath="%USERPROFILE%\AppData\Local\Temp\OnboardLogs" /stypes="app*4053*20170307*" /stext=" 09:.+((SYSTEM_STATE.+slice.+state.+changed )|(ment ac)|(multiple cpu faults)|(system.+state.+changed )|(\[timeout)|(PRM\|1\|D)|(kpr)|(kdp)|(\|lc)|(penalty))"</v>
      </c>
      <c r="AG218" s="1" t="str">
        <f t="shared" si="143"/>
        <v>Other</v>
      </c>
      <c r="AH218" s="86" t="str">
        <f t="shared" ref="AH218:AH237" si="145"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313-06 --locoid 4053 --swversion DE.1.0.9.0 --startMP 204:458 --initTime 2017-03-07T02:16:04 --startdatetime 2017-03-07T02:19:19 --delay 2 --endMP 300:23310 --enddatetime 2017-03-07T02:31:51 --enforcementcount 0 &gt;&gt;C:\Users\stu\Documents\GitHub\eaglep3-reporting\EC\2017-03-06-refined-times.txt</v>
      </c>
      <c r="AI218" s="108" t="str">
        <f t="shared" ref="AI218:AI237" si="146"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ID","value":"313-06"},{"id":16,"name":"Locomotive ID","value":"4053"},{"id":130,"name":"Impact","value":""},{"id":150,"name":"Time of Event (Mountain Time)","value":"02:31:51"},{"id":151,"name":"Denver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ref="AM218:AM237" si="147">"start /low /b "&amp;dls3logs&amp;" --loco "&amp;B218&amp;" --day "&amp;TEXT(F218,"YYYY-MM-DD")</f>
        <v>start /low /b %USERPROFILE%\Documents\GitHub\eaglep3\Utilities\DownloadLogsFromS3.py --loco 4053 --day 2017-03-07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"%USERPROFILE%\AppData\Local\Temp\OnboardLogs"\RTDC4053\*4053*20170307* | grep -SE "(Enforcement Action)|(\[TIMEOUT)|(CHR.+\|PRM\|1\|D.+(SWITCH|SIGNAL).+UNKNOWN)" - &gt;&gt; 2017-03-06-UncaughtWiMAX.txt</v>
      </c>
    </row>
    <row r="219" spans="1:40" x14ac:dyDescent="0.25">
      <c r="A219" s="33" t="s">
        <v>786</v>
      </c>
      <c r="B219" s="7">
        <v>4009</v>
      </c>
      <c r="C219" s="21" t="s">
        <v>245</v>
      </c>
      <c r="D219" s="21" t="s">
        <v>820</v>
      </c>
      <c r="E219" s="13">
        <v>42801.035520833335</v>
      </c>
      <c r="F219" s="13">
        <v>42801.038935185185</v>
      </c>
      <c r="G219" s="7">
        <v>3</v>
      </c>
      <c r="H219" s="21" t="s">
        <v>883</v>
      </c>
      <c r="I219" s="13">
        <v>42801.039259259262</v>
      </c>
      <c r="J219" s="7">
        <v>0</v>
      </c>
      <c r="K219" s="98" t="str">
        <f t="shared" si="133"/>
        <v>4009/4010</v>
      </c>
      <c r="L219" s="21" t="str">
        <f>VLOOKUP(A219,'Trips&amp;Operators'!$C$1:$G$99999,5,FALSE)</f>
        <v>CHANDLER KELVIN</v>
      </c>
      <c r="M219" s="6">
        <f t="shared" si="134"/>
        <v>3.2407407707069069E-4</v>
      </c>
      <c r="N219" s="7">
        <f t="shared" si="135"/>
        <v>0.4666666709817946</v>
      </c>
      <c r="O219" s="7"/>
      <c r="P219" s="7"/>
      <c r="Q219" s="22"/>
      <c r="R219" s="22"/>
      <c r="S219" s="31">
        <f t="shared" si="136"/>
        <v>1</v>
      </c>
      <c r="T219" s="46" t="str">
        <f t="shared" si="137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130"/>
        <v>https://d0f6bd738d7f1b3e5a7ca70fe4ff75f0.us-east-1.aws.found.io/app/kibana#/discover/Steve-Slow-Train-Analysis-(2080s-and-2083s)?_g=(refreshInterval:(display:Off,pause:!f,section:0,value:0),time:(from:'2017-03-06T23:51:09-0700',mode:absolute,to:'2017-03-07T01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187" t="str">
        <f t="shared" si="138"/>
        <v>Y</v>
      </c>
      <c r="X219" s="187">
        <f t="shared" si="144"/>
        <v>2</v>
      </c>
      <c r="Y219" s="62">
        <f t="shared" si="139"/>
        <v>0.1158</v>
      </c>
      <c r="Z219" s="62">
        <f t="shared" si="140"/>
        <v>2.2835000000000001</v>
      </c>
      <c r="AA219" s="62">
        <f t="shared" si="141"/>
        <v>2.1677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142"/>
        <v>0315-06</v>
      </c>
      <c r="AE219" s="85" t="str">
        <f t="shared" si="131"/>
        <v>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 &amp; aws s3 cp s3://rtdc.mdm.uploadarchive.raw/RTDC4009/ "%USERPROFILE%\AppData\Local\Temp\OnboardLogs"\RTDC4009\2017-03-08 --exclude "*" --recursive --include "*20170308*" &amp; "%USERPROFILE%\Documents\GitHub\mrs-test-scripts\Headless Mode &amp; Sideloading\WalkAndUnGZ.bat" "%USERPROFILE%\AppData\Local\Temp\OnboardLogs"\RTDC4009\2017-03-08</v>
      </c>
      <c r="AF219" s="82" t="str">
        <f t="shared" si="132"/>
        <v>"C:\Program Files (x86)\AstroGrep\AstroGrep.exe" /e /r /s /spath="%USERPROFILE%\AppData\Local\Temp\OnboardLogs" /stypes="app*4009*20170307*" /stext=" 07:.+((SYSTEM_STATE.+slice.+state.+changed )|(ment ac)|(multiple cpu faults)|(system.+state.+changed )|(\[timeout)|(PRM\|1\|D)|(kpr)|(kdp)|(\|lc)|(penalty))"</v>
      </c>
      <c r="AG219" s="1" t="str">
        <f t="shared" si="143"/>
        <v>Other</v>
      </c>
      <c r="AH219" s="86" t="str">
        <f t="shared" si="145"/>
        <v>"%USERPROFILE%\Documents\GitHub\eaglep3\Utilities\RefineRTDCRunTimes.py" --tripid 315-06 --locoid 4009 --swversion DE.1.0.9.0 --startMP 204:1158 --initTime 2017-03-07T00:51:09 --startdatetime 2017-03-07T00:56:04 --delay 3 --endMP 300:22835 --enddatetime 2017-03-07T00:56:32 --enforcementcount 0 &gt;&gt;C:\Users\stu\Documents\GitHub\eaglep3-reporting\EC\2017-03-06-refined-times.txt</v>
      </c>
      <c r="AI219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{"issue":{"subject":"","project_id":79,"tracker_id":40,"status_id":1,"priority_id":2,"assigned_to_id":23,"start_date":"2017-03-07","description":"","custom_fields":[{"id":1,"name":"Subdivision","value":"Other"},{"id":4,"name":"Milepost","value":"2.2835"},{"id":17,"name":"Train ID","value":"315-06"},{"id":16,"name":"Locomotive ID","value":"4009"},{"id":130,"name":"Impact","value":""},{"id":150,"name":"Time of Event (Mountain Time)","value":"00:56:32"},{"id":151,"name":"Denver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147"/>
        <v>start /low /b %USERPROFILE%\Documents\GitHub\eaglep3\Utilities\DownloadLogsFromS3.py --loco 4009 --day 2017-03-07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"%USERPROFILE%\AppData\Local\Temp\OnboardLogs"\RTDC4009\*4009*20170307* | grep -SE "(Enforcement Action)|(\[TIMEOUT)|(CHR.+\|PRM\|1\|D.+(SWITCH|SIGNAL).+UNKNOWN)" - &gt;&gt; 2017-03-06-UncaughtWiMAX.txt</v>
      </c>
    </row>
    <row r="220" spans="1:40" x14ac:dyDescent="0.25">
      <c r="A220" s="33" t="s">
        <v>551</v>
      </c>
      <c r="B220" s="7">
        <v>4014</v>
      </c>
      <c r="C220" s="21" t="s">
        <v>245</v>
      </c>
      <c r="D220" s="21" t="s">
        <v>955</v>
      </c>
      <c r="E220" s="13">
        <v>42800.204756944448</v>
      </c>
      <c r="F220" s="13">
        <v>42800.208923611113</v>
      </c>
      <c r="G220" s="7">
        <v>5</v>
      </c>
      <c r="H220" s="21" t="s">
        <v>956</v>
      </c>
      <c r="I220" s="13">
        <v>42800.215671296297</v>
      </c>
      <c r="J220" s="7">
        <v>0</v>
      </c>
      <c r="K220" s="98" t="str">
        <f t="shared" si="133"/>
        <v>4013/4014</v>
      </c>
      <c r="L220" s="21" t="str">
        <f>VLOOKUP(A220,'Trips&amp;Operators'!$C$1:$G$99999,5,FALSE)</f>
        <v>DAVIS WENDY</v>
      </c>
      <c r="M220" s="6">
        <f t="shared" si="134"/>
        <v>6.7476851836545393E-3</v>
      </c>
      <c r="N220" s="7">
        <f t="shared" si="135"/>
        <v>9.7166666644625366</v>
      </c>
      <c r="O220" s="7"/>
      <c r="P220" s="7"/>
      <c r="Q220" s="22"/>
      <c r="R220" s="22"/>
      <c r="S220" s="31">
        <f t="shared" si="136"/>
        <v>0</v>
      </c>
      <c r="T220" s="46" t="str">
        <f t="shared" si="137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130"/>
        <v>https://d0f6bd738d7f1b3e5a7ca70fe4ff75f0.us-east-1.aws.found.io/app/kibana#/discover/Steve-Slow-Train-Analysis-(2080s-and-2083s)?_g=(refreshInterval:(display:Off,pause:!f,section:0,value:0),time:(from:'2017-03-06T03:54:51-0700',mode:absolute,to:'2017-03-06T06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187" t="str">
        <f t="shared" si="138"/>
        <v>Y</v>
      </c>
      <c r="X220" s="187">
        <f t="shared" si="144"/>
        <v>586</v>
      </c>
      <c r="Y220" s="62">
        <f t="shared" si="139"/>
        <v>2.9664999999999999</v>
      </c>
      <c r="Z220" s="62">
        <f t="shared" si="140"/>
        <v>5.9001000000000001</v>
      </c>
      <c r="AA220" s="62">
        <f t="shared" si="141"/>
        <v>2.9336000000000002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142"/>
        <v>0901-06</v>
      </c>
      <c r="AE220" s="85" t="str">
        <f t="shared" si="131"/>
        <v>aws s3 cp s3://rtdc.mdm.uploadarchive.raw/RTDC4014/ "%USERPROFILE%\AppData\Local\Temp\OnboardLogs"\RTDC4014\2017-03-06 --exclude "*" --recursive --include "*20170306*" &amp; "%USERPROFILE%\Documents\GitHub\mrs-test-scripts\Headless Mode &amp; Sideloading\WalkAndUnGZ.bat" "%USERPROFILE%\AppData\Local\Temp\OnboardLogs"\RTDC4014\2017-03-06 &amp; aws s3 cp s3://rtdc.mdm.uploadarchive.raw/RTDC4014/ "%USERPROFILE%\AppData\Local\Temp\OnboardLogs"\RTDC4014\2017-03-07 --exclude "*" --recursive --include "*20170307*" &amp; "%USERPROFILE%\Documents\GitHub\mrs-test-scripts\Headless Mode &amp; Sideloading\WalkAndUnGZ.bat" "%USERPROFILE%\AppData\Local\Temp\OnboardLogs"\RTDC4014\2017-03-07</v>
      </c>
      <c r="AF220" s="82" t="str">
        <f t="shared" si="132"/>
        <v>"C:\Program Files (x86)\AstroGrep\AstroGrep.exe" /e /r /s /spath="%USERPROFILE%\AppData\Local\Temp\OnboardLogs" /stypes="app*4014*20170306*" /stext=" 12:.+((SYSTEM_STATE.+slice.+state.+changed )|(ment ac)|(multiple cpu faults)|(system.+state.+changed )|(\[timeout)|(PRM\|1\|D)|(kpr)|(kdp)|(\|lc)|(penalty))"</v>
      </c>
      <c r="AG220" s="1" t="str">
        <f t="shared" si="143"/>
        <v>Other</v>
      </c>
      <c r="AH220" s="86" t="str">
        <f t="shared" si="145"/>
        <v>"%USERPROFILE%\Documents\GitHub\eaglep3\Utilities\RefineRTDCRunTimes.py" --tripid 901-06 --locoid 4014 --swversion DE.1.0.9.0 --startMP 300:29665 --initTime 2017-03-06T04:54:51 --startdatetime 2017-03-06T05:00:51 --delay 5 --endMP 300:59001 --enddatetime 2017-03-06T05:10:34 --enforcementcount 0 &gt;&gt;C:\Users\stu\Documents\GitHub\eaglep3-reporting\EC\2017-03-06-refined-times.txt</v>
      </c>
      <c r="AI220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{"issue":{"subject":"","project_id":79,"tracker_id":40,"status_id":1,"priority_id":2,"assigned_to_id":23,"start_date":"2017-03-06","description":"","custom_fields":[{"id":1,"name":"Subdivision","value":"Other"},{"id":4,"name":"Milepost","value":"5.9001"},{"id":17,"name":"Train ID","value":"901-06"},{"id":16,"name":"Locomotive ID","value":"4014"},{"id":130,"name":"Impact","value":""},{"id":150,"name":"Time of Event (Mountain Time)","value":"05:10:34"},{"id":151,"name":"Denver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147"/>
        <v>start /low /b %USERPROFILE%\Documents\GitHub\eaglep3\Utilities\DownloadLogsFromS3.py --loco 4014 --day 2017-03-06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"%USERPROFILE%\AppData\Local\Temp\OnboardLogs"\RTDC4014\*4014*20170306* | grep -SE "(Enforcement Action)|(\[TIMEOUT)|(CHR.+\|PRM\|1\|D.+(SWITCH|SIGNAL).+UNKNOWN)" - &gt;&gt; 2017-03-06-UncaughtWiMAX.txt</v>
      </c>
    </row>
    <row r="221" spans="1:40" x14ac:dyDescent="0.25">
      <c r="A221" s="33" t="s">
        <v>555</v>
      </c>
      <c r="B221" s="7">
        <v>4008</v>
      </c>
      <c r="C221" s="21" t="s">
        <v>245</v>
      </c>
      <c r="D221" s="21" t="s">
        <v>957</v>
      </c>
      <c r="E221" s="13">
        <v>42800.250324074077</v>
      </c>
      <c r="F221" s="13">
        <v>42800.253761574073</v>
      </c>
      <c r="G221" s="7">
        <v>4</v>
      </c>
      <c r="H221" s="21" t="s">
        <v>894</v>
      </c>
      <c r="I221" s="13">
        <v>42800.258460648147</v>
      </c>
      <c r="J221" s="7">
        <v>0</v>
      </c>
      <c r="K221" s="98" t="str">
        <f t="shared" si="133"/>
        <v>4007/4008</v>
      </c>
      <c r="L221" s="21" t="str">
        <f>VLOOKUP(A221,'Trips&amp;Operators'!$C$1:$G$99999,5,FALSE)</f>
        <v>ROCHA YAOTL</v>
      </c>
      <c r="M221" s="6">
        <f t="shared" si="134"/>
        <v>4.6990740738692693E-3</v>
      </c>
      <c r="N221" s="7">
        <f t="shared" si="135"/>
        <v>6.7666666663717479</v>
      </c>
      <c r="O221" s="7"/>
      <c r="P221" s="7"/>
      <c r="Q221" s="22"/>
      <c r="R221" s="22"/>
      <c r="S221" s="31">
        <f t="shared" si="136"/>
        <v>1</v>
      </c>
      <c r="T221" s="46" t="str">
        <f t="shared" si="137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130"/>
        <v>https://d0f6bd738d7f1b3e5a7ca70fe4ff75f0.us-east-1.aws.found.io/app/kibana#/discover/Steve-Slow-Train-Analysis-(2080s-and-2083s)?_g=(refreshInterval:(display:Off,pause:!f,section:0,value:0),time:(from:'2017-03-06T05:00:28-0700',mode:absolute,to:'2017-03-06T07:12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7" t="str">
        <f t="shared" si="138"/>
        <v>Y</v>
      </c>
      <c r="X221" s="187">
        <f t="shared" si="144"/>
        <v>1</v>
      </c>
      <c r="Y221" s="62">
        <f t="shared" si="139"/>
        <v>2.3374999999999999</v>
      </c>
      <c r="Z221" s="62">
        <f t="shared" si="140"/>
        <v>9.4299999999999995E-2</v>
      </c>
      <c r="AA221" s="62">
        <f t="shared" si="141"/>
        <v>2.2431999999999999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142"/>
        <v>0902-06</v>
      </c>
      <c r="AE221" s="85" t="str">
        <f t="shared" si="131"/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AF221" s="82" t="str">
        <f t="shared" si="132"/>
        <v>"C:\Program Files (x86)\AstroGrep\AstroGrep.exe" /e /r /s /spath="%USERPROFILE%\AppData\Local\Temp\OnboardLogs" /stypes="app*4008*20170306*" /stext=" 13:.+((SYSTEM_STATE.+slice.+state.+changed )|(ment ac)|(multiple cpu faults)|(system.+state.+changed )|(\[timeout)|(PRM\|1\|D)|(kpr)|(kdp)|(\|lc)|(penalty))"</v>
      </c>
      <c r="AG221" s="1" t="str">
        <f t="shared" si="143"/>
        <v>Other</v>
      </c>
      <c r="AH221" s="86" t="str">
        <f t="shared" si="145"/>
        <v>"%USERPROFILE%\Documents\GitHub\eaglep3\Utilities\RefineRTDCRunTimes.py" --tripid 902-06 --locoid 4008 --swversion DE.1.0.9.0 --startMP 300:23375 --initTime 2017-03-06T06:00:28 --startdatetime 2017-03-06T06:05:25 --delay 4 --endMP 204:943 --enddatetime 2017-03-06T06:12:11 --enforcementcount 0 &gt;&gt;C:\Users\stu\Documents\GitHub\eaglep3-reporting\EC\2017-03-06-refined-times.txt</v>
      </c>
      <c r="AI221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{"issue":{"subject":"","project_id":79,"tracker_id":40,"status_id":1,"priority_id":2,"assigned_to_id":23,"start_date":"2017-03-06","description":"","custom_fields":[{"id":1,"name":"Subdivision","value":"Other"},{"id":4,"name":"Milepost","value":"0.0943"},{"id":17,"name":"Train ID","value":"902-06"},{"id":16,"name":"Locomotive ID","value":"4008"},{"id":130,"name":"Impact","value":""},{"id":150,"name":"Time of Event (Mountain Time)","value":"06:12:11"},{"id":151,"name":"Denver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147"/>
        <v>start /low /b %USERPROFILE%\Documents\GitHub\eaglep3\Utilities\DownloadLogsFromS3.py --loco 4008 --day 2017-03-06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"%USERPROFILE%\AppData\Local\Temp\OnboardLogs"\RTDC4008\*4008*20170306* | grep -SE "(Enforcement Action)|(\[TIMEOUT)|(CHR.+\|PRM\|1\|D.+(SWITCH|SIGNAL).+UNKNOWN)" - &gt;&gt; 2017-03-06-UncaughtWiMAX.txt</v>
      </c>
    </row>
    <row r="222" spans="1:40" x14ac:dyDescent="0.25">
      <c r="A222" s="33" t="s">
        <v>711</v>
      </c>
      <c r="B222" s="7">
        <v>4013</v>
      </c>
      <c r="C222" s="21" t="s">
        <v>245</v>
      </c>
      <c r="D222" s="21" t="s">
        <v>958</v>
      </c>
      <c r="E222" s="13">
        <v>42800.63621527778</v>
      </c>
      <c r="F222" s="13">
        <v>42800.638391203705</v>
      </c>
      <c r="G222" s="7">
        <v>3</v>
      </c>
      <c r="H222" s="21" t="s">
        <v>843</v>
      </c>
      <c r="I222" s="13">
        <v>42800.643611111111</v>
      </c>
      <c r="J222" s="7">
        <v>0</v>
      </c>
      <c r="K222" s="98" t="str">
        <f t="shared" si="133"/>
        <v>4013/4014</v>
      </c>
      <c r="L222" s="21" t="str">
        <f>VLOOKUP(A222,'Trips&amp;Operators'!$C$1:$G$99999,5,FALSE)</f>
        <v>NEWELL JAMES</v>
      </c>
      <c r="M222" s="6">
        <f t="shared" si="134"/>
        <v>5.2199074052623473E-3</v>
      </c>
      <c r="N222" s="7">
        <f t="shared" si="135"/>
        <v>7.5166666635777801</v>
      </c>
      <c r="O222" s="7"/>
      <c r="P222" s="7"/>
      <c r="Q222" s="22"/>
      <c r="R222" s="22"/>
      <c r="S222" s="31">
        <f t="shared" si="136"/>
        <v>1</v>
      </c>
      <c r="T222" s="46" t="str">
        <f t="shared" si="137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130"/>
        <v>https://d0f6bd738d7f1b3e5a7ca70fe4ff75f0.us-east-1.aws.found.io/app/kibana#/discover/Steve-Slow-Train-Analysis-(2080s-and-2083s)?_g=(refreshInterval:(display:Off,pause:!f,section:0,value:0),time:(from:'2017-03-06T14:16:09-0700',mode:absolute,to:'2017-03-06T16:26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87" t="str">
        <f t="shared" si="138"/>
        <v>Y</v>
      </c>
      <c r="X222" s="187">
        <f t="shared" si="144"/>
        <v>2</v>
      </c>
      <c r="Y222" s="62">
        <f t="shared" si="139"/>
        <v>2.3365999999999998</v>
      </c>
      <c r="Z222" s="62">
        <f t="shared" si="140"/>
        <v>6.7299999999999999E-2</v>
      </c>
      <c r="AA222" s="62">
        <f t="shared" si="141"/>
        <v>2.2692999999999999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142"/>
        <v>0904-06</v>
      </c>
      <c r="AE222" s="85" t="str">
        <f t="shared" si="131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222" s="82" t="str">
        <f t="shared" si="132"/>
        <v>"C:\Program Files (x86)\AstroGrep\AstroGrep.exe" /e /r /s /spath="%USERPROFILE%\AppData\Local\Temp\OnboardLogs" /stypes="app*4013*20170306*" /stext=" 22:.+((SYSTEM_STATE.+slice.+state.+changed )|(ment ac)|(multiple cpu faults)|(system.+state.+changed )|(\[timeout)|(PRM\|1\|D)|(kpr)|(kdp)|(\|lc)|(penalty))"</v>
      </c>
      <c r="AG222" s="1" t="str">
        <f t="shared" si="143"/>
        <v>Other</v>
      </c>
      <c r="AH222" s="86" t="str">
        <f t="shared" si="145"/>
        <v>"%USERPROFILE%\Documents\GitHub\eaglep3\Utilities\RefineRTDCRunTimes.py" --tripid 904-06 --locoid 4013 --swversion DE.1.0.9.0 --startMP 300:23366 --initTime 2017-03-06T15:16:09 --startdatetime 2017-03-06T15:19:17 --delay 3 --endMP 204:673 --enddatetime 2017-03-06T15:26:48 --enforcementcount 0 &gt;&gt;C:\Users\stu\Documents\GitHub\eaglep3-reporting\EC\2017-03-06-refined-times.txt</v>
      </c>
      <c r="AI222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{"issue":{"subject":"","project_id":79,"tracker_id":40,"status_id":1,"priority_id":2,"assigned_to_id":23,"start_date":"2017-03-06","description":"","custom_fields":[{"id":1,"name":"Subdivision","value":"Other"},{"id":4,"name":"Milepost","value":"0.0673"},{"id":17,"name":"Train ID","value":"904-06"},{"id":16,"name":"Locomotive ID","value":"4013"},{"id":130,"name":"Impact","value":""},{"id":150,"name":"Time of Event (Mountain Time)","value":"15:26:48"},{"id":151,"name":"Denver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147"/>
        <v>start /low /b %USERPROFILE%\Documents\GitHub\eaglep3\Utilities\DownloadLogsFromS3.py --loco 4013 --day 2017-03-06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"%USERPROFILE%\AppData\Local\Temp\OnboardLogs"\RTDC4013\*4013*20170306* | grep -SE "(Enforcement Action)|(\[TIMEOUT)|(CHR.+\|PRM\|1\|D.+(SWITCH|SIGNAL).+UNKNOWN)" - &gt;&gt; 2017-03-06-UncaughtWiMAX.txt</v>
      </c>
    </row>
    <row r="223" spans="1:40" x14ac:dyDescent="0.25">
      <c r="A223" s="33" t="s">
        <v>754</v>
      </c>
      <c r="B223" s="7">
        <v>4013</v>
      </c>
      <c r="C223" s="21" t="s">
        <v>245</v>
      </c>
      <c r="D223" s="21" t="s">
        <v>277</v>
      </c>
      <c r="E223" s="13">
        <v>42800.795555555553</v>
      </c>
      <c r="F223" s="13">
        <v>42800.797291666669</v>
      </c>
      <c r="G223" s="7">
        <v>1</v>
      </c>
      <c r="H223" s="21" t="s">
        <v>959</v>
      </c>
      <c r="I223" s="13">
        <v>42800.801550925928</v>
      </c>
      <c r="J223" s="7">
        <v>0</v>
      </c>
      <c r="K223" s="98" t="str">
        <f t="shared" si="133"/>
        <v>4013/4014</v>
      </c>
      <c r="L223" s="21" t="str">
        <f>VLOOKUP(A223,'Trips&amp;Operators'!$C$1:$G$99999,5,FALSE)</f>
        <v>NEWELL JAMES</v>
      </c>
      <c r="M223" s="6">
        <f t="shared" si="134"/>
        <v>4.2592592581058852E-3</v>
      </c>
      <c r="N223" s="7">
        <f t="shared" si="135"/>
        <v>6.1333333316724747</v>
      </c>
      <c r="O223" s="7"/>
      <c r="P223" s="7"/>
      <c r="Q223" s="22"/>
      <c r="R223" s="22"/>
      <c r="S223" s="31">
        <f t="shared" si="136"/>
        <v>0</v>
      </c>
      <c r="T223" s="46" t="str">
        <f t="shared" si="137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130"/>
        <v>https://d0f6bd738d7f1b3e5a7ca70fe4ff75f0.us-east-1.aws.found.io/app/kibana#/discover/Steve-Slow-Train-Analysis-(2080s-and-2083s)?_g=(refreshInterval:(display:Off,pause:!f,section:0,value:0),time:(from:'2017-03-06T18:05:36-0700',mode:absolute,to:'2017-03-06T20:14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 t="shared" si="138"/>
        <v>Y</v>
      </c>
      <c r="X223" s="187">
        <f t="shared" si="144"/>
        <v>2</v>
      </c>
      <c r="Y223" s="62">
        <f t="shared" si="139"/>
        <v>5.8623000000000003</v>
      </c>
      <c r="Z223" s="62">
        <f t="shared" si="140"/>
        <v>2.1738</v>
      </c>
      <c r="AA223" s="62">
        <f t="shared" si="141"/>
        <v>3.6885000000000003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142"/>
        <v>0906-06</v>
      </c>
      <c r="AE223" s="85" t="str">
        <f t="shared" si="131"/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AF223" s="82" t="str">
        <f t="shared" si="132"/>
        <v>"C:\Program Files (x86)\AstroGrep\AstroGrep.exe" /e /r /s /spath="%USERPROFILE%\AppData\Local\Temp\OnboardLogs" /stypes="app*4013*20170307*" /stext=" 02:.+((SYSTEM_STATE.+slice.+state.+changed )|(ment ac)|(multiple cpu faults)|(system.+state.+changed )|(\[timeout)|(PRM\|1\|D)|(kpr)|(kdp)|(\|lc)|(penalty))"</v>
      </c>
      <c r="AG223" s="1" t="str">
        <f t="shared" si="143"/>
        <v>Other</v>
      </c>
      <c r="AH223" s="86" t="str">
        <f t="shared" si="145"/>
        <v>"%USERPROFILE%\Documents\GitHub\eaglep3\Utilities\RefineRTDCRunTimes.py" --tripid 906-06 --locoid 4013 --swversion DE.1.0.9.0 --startMP 300:58623 --initTime 2017-03-06T19:05:36 --startdatetime 2017-03-06T19:08:06 --delay 1 --endMP 300:21738 --enddatetime 2017-03-06T19:14:14 --enforcementcount 0 &gt;&gt;C:\Users\stu\Documents\GitHub\eaglep3-reporting\EC\2017-03-06-refined-times.txt</v>
      </c>
      <c r="AI223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{"issue":{"subject":"","project_id":79,"tracker_id":40,"status_id":1,"priority_id":2,"assigned_to_id":23,"start_date":"2017-03-06","description":"","custom_fields":[{"id":1,"name":"Subdivision","value":"Other"},{"id":4,"name":"Milepost","value":"2.1738"},{"id":17,"name":"Train ID","value":"906-06"},{"id":16,"name":"Locomotive ID","value":"4013"},{"id":130,"name":"Impact","value":""},{"id":150,"name":"Time of Event (Mountain Time)","value":"19:14:14"},{"id":151,"name":"Denver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147"/>
        <v>start /low /b %USERPROFILE%\Documents\GitHub\eaglep3\Utilities\DownloadLogsFromS3.py --loco 4013 --day 2017-03-06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"%USERPROFILE%\AppData\Local\Temp\OnboardLogs"\RTDC4013\*4013*20170307* | grep -SE "(Enforcement Action)|(\[TIMEOUT)|(CHR.+\|PRM\|1\|D.+(SWITCH|SIGNAL).+UNKNOWN)" - &gt;&gt; 2017-03-06-UncaughtWiMAX.txt</v>
      </c>
    </row>
    <row r="224" spans="1:40" x14ac:dyDescent="0.25">
      <c r="A224" s="33" t="s">
        <v>573</v>
      </c>
      <c r="B224" s="7">
        <v>4012</v>
      </c>
      <c r="C224" s="21" t="s">
        <v>245</v>
      </c>
      <c r="D224" s="21" t="s">
        <v>884</v>
      </c>
      <c r="E224" s="13">
        <v>42800.451631944445</v>
      </c>
      <c r="F224" s="13">
        <v>42800.456875000003</v>
      </c>
      <c r="G224" s="7">
        <v>7</v>
      </c>
      <c r="H224" s="21">
        <v>8.5284722222222218</v>
      </c>
      <c r="I224" s="13">
        <v>42800.461689814816</v>
      </c>
      <c r="J224" s="7">
        <v>0</v>
      </c>
      <c r="K224" s="98" t="str">
        <f t="shared" si="133"/>
        <v>4011/4012</v>
      </c>
      <c r="L224" s="21" t="str">
        <f>VLOOKUP(A224,'Trips&amp;Operators'!$C$1:$G$99999,5,FALSE)</f>
        <v>ROMERO CHAD</v>
      </c>
      <c r="M224" s="6">
        <f t="shared" si="134"/>
        <v>4.8148148125619628E-3</v>
      </c>
      <c r="N224" s="7">
        <f t="shared" si="135"/>
        <v>6.9333333300892264</v>
      </c>
      <c r="O224" s="7"/>
      <c r="P224" s="7"/>
      <c r="Q224" s="22"/>
      <c r="R224" s="22"/>
      <c r="S224" s="31">
        <f t="shared" si="136"/>
        <v>0</v>
      </c>
      <c r="T224" s="46" t="e">
        <f t="shared" si="137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130"/>
        <v>https://d0f6bd738d7f1b3e5a7ca70fe4ff75f0.us-east-1.aws.found.io/app/kibana#/discover/Steve-Slow-Train-Analysis-(2080s-and-2083s)?_g=(refreshInterval:(display:Off,pause:!f,section:0,value:0),time:(from:'2017-03-06T09:50:21-0700',mode:absolute,to:'2017-03-06T12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4" s="187" t="str">
        <f t="shared" si="138"/>
        <v>N</v>
      </c>
      <c r="X224" s="187" t="e">
        <f t="shared" si="144"/>
        <v>#VALUE!</v>
      </c>
      <c r="Y224" s="62">
        <f t="shared" si="139"/>
        <v>2.1909000000000001</v>
      </c>
      <c r="Z224" s="62">
        <f t="shared" si="140"/>
        <v>84722222.222200006</v>
      </c>
      <c r="AA224" s="62">
        <f t="shared" si="141"/>
        <v>84722220.031300008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142"/>
        <v>50-06</v>
      </c>
      <c r="AE224" s="85" t="str">
        <f t="shared" si="131"/>
        <v>aws s3 cp s3://rtdc.mdm.uploadarchive.raw/RTDC4012/ "%USERPROFILE%\AppData\Local\Temp\OnboardLogs"\RTDC4012\2017-03-06 --exclude "*" --recursive --include "*20170306*" &amp; "%USERPROFILE%\Documents\GitHub\mrs-test-scripts\Headless Mode &amp; Sideloading\WalkAndUnGZ.bat" "%USERPROFILE%\AppData\Local\Temp\OnboardLogs"\RTDC4012\2017-03-06 &amp; 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</v>
      </c>
      <c r="AF224" s="82" t="str">
        <f t="shared" si="132"/>
        <v>"C:\Program Files (x86)\AstroGrep\AstroGrep.exe" /e /r /s /spath="%USERPROFILE%\AppData\Local\Temp\OnboardLogs" /stypes="app*4012*20170306*" /stext=" 18:.+((SYSTEM_STATE.+slice.+state.+changed )|(ment ac)|(multiple cpu faults)|(system.+state.+changed )|(\[timeout)|(PRM\|1\|D)|(kpr)|(kdp)|(\|lc)|(penalty))"</v>
      </c>
      <c r="AG224" s="1" t="str">
        <f t="shared" si="143"/>
        <v>Other</v>
      </c>
      <c r="AH224" s="86" t="str">
        <f t="shared" si="145"/>
        <v>"%USERPROFILE%\Documents\GitHub\eaglep3\Utilities\RefineRTDCRunTimes.py" --tripid 50-06 --locoid 4012 --swversion DE.1.0.9.0 --startMP 300:21909 --initTime 2017-03-06T10:50:21 --startdatetime 2017-03-06T10:57:54 --delay 7 --endMP 8.52847222222222 --enddatetime 2017-03-06T11:04:50 --enforcementcount 0 &gt;&gt;C:\Users\stu\Documents\GitHub\eaglep3-reporting\EC\2017-03-06-refined-times.txt</v>
      </c>
      <c r="AI224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84722222.2222"},{"id":17,"name":"Train ID","value":"50-06"},{"id":16,"name":"Locomotive ID","value":"4012"},{"id":130,"name":"Impact","value":""},{"id":150,"name":"Time of Event (Mountain Time)","value":"11:04:50"},{"id":151,"name":"Denver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147"/>
        <v>start /low /b %USERPROFILE%\Documents\GitHub\eaglep3\Utilities\DownloadLogsFromS3.py --loco 4012 --day 2017-03-06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"%USERPROFILE%\AppData\Local\Temp\OnboardLogs"\RTDC4012\*4012*20170306* | grep -SE "(Enforcement Action)|(\[TIMEOUT)|(CHR.+\|PRM\|1\|D.+(SWITCH|SIGNAL).+UNKNOWN)" - &gt;&gt; 2017-03-06-UncaughtWiMAX.txt</v>
      </c>
    </row>
    <row r="225" spans="1:40" x14ac:dyDescent="0.25">
      <c r="A225" s="33" t="s">
        <v>683</v>
      </c>
      <c r="B225" s="7">
        <v>4011</v>
      </c>
      <c r="C225" s="21" t="s">
        <v>245</v>
      </c>
      <c r="D225" s="21" t="s">
        <v>885</v>
      </c>
      <c r="E225" s="13">
        <v>42800.490057870367</v>
      </c>
      <c r="F225" s="13">
        <v>42800.492106481484</v>
      </c>
      <c r="G225" s="7">
        <v>1</v>
      </c>
      <c r="H225" s="21" t="s">
        <v>886</v>
      </c>
      <c r="I225" s="13">
        <v>42800.500289351854</v>
      </c>
      <c r="J225" s="7">
        <v>0</v>
      </c>
      <c r="K225" s="98" t="str">
        <f t="shared" si="133"/>
        <v>4011/4012</v>
      </c>
      <c r="L225" s="21" t="str">
        <f>VLOOKUP(A225,'Trips&amp;Operators'!$C$1:$G$99999,5,FALSE)</f>
        <v>SHOOK JOHN</v>
      </c>
      <c r="M225" s="6">
        <f t="shared" si="134"/>
        <v>8.182870369637385E-3</v>
      </c>
      <c r="N225" s="7">
        <f t="shared" si="135"/>
        <v>11.783333332277834</v>
      </c>
      <c r="O225" s="7"/>
      <c r="P225" s="7"/>
      <c r="Q225" s="22"/>
      <c r="R225" s="22"/>
      <c r="S225" s="31">
        <f t="shared" si="136"/>
        <v>0</v>
      </c>
      <c r="T225" s="46" t="e">
        <f t="shared" si="137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130"/>
        <v>https://d0f6bd738d7f1b3e5a7ca70fe4ff75f0.us-east-1.aws.found.io/app/kibana#/discover/Steve-Slow-Train-Analysis-(2080s-and-2083s)?_g=(refreshInterval:(display:Off,pause:!f,section:0,value:0),time:(from:'2017-03-06T10:45:41-0700',mode:absolute,to:'2017-03-06T13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5" s="187" t="str">
        <f t="shared" si="138"/>
        <v>Y</v>
      </c>
      <c r="X225" s="187" t="e">
        <f t="shared" si="144"/>
        <v>#VALUE!</v>
      </c>
      <c r="Y225" s="62">
        <f t="shared" si="139"/>
        <v>3.5900000000000001E-2</v>
      </c>
      <c r="Z225" s="62">
        <f t="shared" si="140"/>
        <v>2.4232999999999998</v>
      </c>
      <c r="AA225" s="62">
        <f t="shared" si="141"/>
        <v>2.3874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142"/>
        <v>51-06</v>
      </c>
      <c r="AE225" s="85" t="str">
        <f t="shared" si="131"/>
        <v>aws s3 cp s3://rtdc.mdm.uploadarchive.raw/RTDC4011/ "%USERPROFILE%\AppData\Local\Temp\OnboardLogs"\RTDC4011\2017-03-06 --exclude "*" --recursive --include "*20170306*" &amp; "%USERPROFILE%\Documents\GitHub\mrs-test-scripts\Headless Mode &amp; Sideloading\WalkAndUnGZ.bat" "%USERPROFILE%\AppData\Local\Temp\OnboardLogs"\RTDC4011\2017-03-06 &amp; 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</v>
      </c>
      <c r="AF225" s="82" t="str">
        <f t="shared" si="132"/>
        <v>"C:\Program Files (x86)\AstroGrep\AstroGrep.exe" /e /r /s /spath="%USERPROFILE%\AppData\Local\Temp\OnboardLogs" /stypes="app*4011*20170306*" /stext=" 19:.+((SYSTEM_STATE.+slice.+state.+changed )|(ment ac)|(multiple cpu faults)|(system.+state.+changed )|(\[timeout)|(PRM\|1\|D)|(kpr)|(kdp)|(\|lc)|(penalty))"</v>
      </c>
      <c r="AG225" s="1" t="str">
        <f t="shared" si="143"/>
        <v>Other</v>
      </c>
      <c r="AH225" s="86" t="str">
        <f t="shared" si="145"/>
        <v>"%USERPROFILE%\Documents\GitHub\eaglep3\Utilities\RefineRTDCRunTimes.py" --tripid 51-06 --locoid 4011 --swversion DE.1.0.9.0 --startMP 204:359 --initTime 2017-03-06T11:45:41 --startdatetime 2017-03-06T11:48:38 --delay 1 --endMP 300:24233 --enddatetime 2017-03-06T12:00:25 --enforcementcount 0 &gt;&gt;C:\Users\stu\Documents\GitHub\eaglep3-reporting\EC\2017-03-06-refined-times.txt</v>
      </c>
      <c r="AI225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{"issue":{"subject":"","project_id":79,"tracker_id":40,"status_id":1,"priority_id":2,"assigned_to_id":23,"start_date":"2017-03-06","description":"","custom_fields":[{"id":1,"name":"Subdivision","value":"Other"},{"id":4,"name":"Milepost","value":"2.4233"},{"id":17,"name":"Train ID","value":"51-06"},{"id":16,"name":"Locomotive ID","value":"4011"},{"id":130,"name":"Impact","value":""},{"id":150,"name":"Time of Event (Mountain Time)","value":"12:00:25"},{"id":151,"name":"Denver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147"/>
        <v>start /low /b %USERPROFILE%\Documents\GitHub\eaglep3\Utilities\DownloadLogsFromS3.py --loco 4011 --day 2017-03-06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"%USERPROFILE%\AppData\Local\Temp\OnboardLogs"\RTDC4011\*4011*20170306* | grep -SE "(Enforcement Action)|(\[TIMEOUT)|(CHR.+\|PRM\|1\|D.+(SWITCH|SIGNAL).+UNKNOWN)" - &gt;&gt; 2017-03-06-UncaughtWiMAX.txt</v>
      </c>
    </row>
    <row r="226" spans="1:40" x14ac:dyDescent="0.25">
      <c r="A226" s="33" t="s">
        <v>718</v>
      </c>
      <c r="B226" s="7">
        <v>4030</v>
      </c>
      <c r="C226" s="21" t="s">
        <v>245</v>
      </c>
      <c r="D226" s="21" t="s">
        <v>887</v>
      </c>
      <c r="E226" s="13">
        <v>42800.653437499997</v>
      </c>
      <c r="F226" s="13">
        <v>42800.654629629629</v>
      </c>
      <c r="G226" s="7">
        <v>1</v>
      </c>
      <c r="H226" s="21" t="s">
        <v>888</v>
      </c>
      <c r="I226" s="13">
        <v>42800.659502314818</v>
      </c>
      <c r="J226" s="7">
        <v>0</v>
      </c>
      <c r="K226" s="98" t="str">
        <f t="shared" si="133"/>
        <v>4029/4030</v>
      </c>
      <c r="L226" s="21" t="str">
        <f>VLOOKUP(A226,'Trips&amp;Operators'!$C$1:$G$99999,5,FALSE)</f>
        <v>LALONDE GREGORY</v>
      </c>
      <c r="M226" s="6">
        <f t="shared" si="134"/>
        <v>4.8726851891842671E-3</v>
      </c>
      <c r="N226" s="7">
        <f t="shared" si="135"/>
        <v>7.0166666724253446</v>
      </c>
      <c r="O226" s="7"/>
      <c r="P226" s="7"/>
      <c r="Q226" s="22"/>
      <c r="R226" s="22"/>
      <c r="S226" s="31">
        <f t="shared" si="136"/>
        <v>0</v>
      </c>
      <c r="T226" s="46" t="e">
        <f t="shared" si="137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130"/>
        <v>https://d0f6bd738d7f1b3e5a7ca70fe4ff75f0.us-east-1.aws.found.io/app/kibana#/discover/Steve-Slow-Train-Analysis-(2080s-and-2083s)?_g=(refreshInterval:(display:Off,pause:!f,section:0,value:0),time:(from:'2017-03-06T14:40:57-0700',mode:absolute,to:'2017-03-06T16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6" s="187" t="str">
        <f t="shared" si="138"/>
        <v>Y</v>
      </c>
      <c r="X226" s="187" t="e">
        <f t="shared" si="144"/>
        <v>#VALUE!</v>
      </c>
      <c r="Y226" s="62">
        <f t="shared" si="139"/>
        <v>2.1960000000000002</v>
      </c>
      <c r="Z226" s="62">
        <f t="shared" si="140"/>
        <v>0.09</v>
      </c>
      <c r="AA226" s="62">
        <f t="shared" si="141"/>
        <v>2.1060000000000003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142"/>
        <v>52-06</v>
      </c>
      <c r="AE226" s="85" t="str">
        <f t="shared" si="131"/>
        <v>aws s3 cp s3://rtdc.mdm.uploadarchive.raw/RTDC4030/ "%USERPROFILE%\AppData\Local\Temp\OnboardLogs"\RTDC4030\2017-03-06 --exclude "*" --recursive --include "*20170306*" &amp; "%USERPROFILE%\Documents\GitHub\mrs-test-scripts\Headless Mode &amp; Sideloading\WalkAndUnGZ.bat" "%USERPROFILE%\AppData\Local\Temp\OnboardLogs"\RTDC4030\2017-03-06 &amp; aws s3 cp s3://rtdc.mdm.uploadarchive.raw/RTDC4030/ "%USERPROFILE%\AppData\Local\Temp\OnboardLogs"\RTDC4030\2017-03-07 --exclude "*" --recursive --include "*20170307*" &amp; "%USERPROFILE%\Documents\GitHub\mrs-test-scripts\Headless Mode &amp; Sideloading\WalkAndUnGZ.bat" "%USERPROFILE%\AppData\Local\Temp\OnboardLogs"\RTDC4030\2017-03-07</v>
      </c>
      <c r="AF226" s="82" t="str">
        <f t="shared" si="132"/>
        <v>"C:\Program Files (x86)\AstroGrep\AstroGrep.exe" /e /r /s /spath="%USERPROFILE%\AppData\Local\Temp\OnboardLogs" /stypes="app*4030*20170306*" /stext=" 22:.+((SYSTEM_STATE.+slice.+state.+changed )|(ment ac)|(multiple cpu faults)|(system.+state.+changed )|(\[timeout)|(PRM\|1\|D)|(kpr)|(kdp)|(\|lc)|(penalty))"</v>
      </c>
      <c r="AG226" s="1" t="str">
        <f t="shared" si="143"/>
        <v>Other</v>
      </c>
      <c r="AH226" s="86" t="str">
        <f t="shared" si="145"/>
        <v>"%USERPROFILE%\Documents\GitHub\eaglep3\Utilities\RefineRTDCRunTimes.py" --tripid 52-06 --locoid 4030 --swversion DE.1.0.9.0 --startMP 300:21960 --initTime 2017-03-06T15:40:57 --startdatetime 2017-03-06T15:42:40 --delay 1 --endMP 204:900 --enddatetime 2017-03-06T15:49:41 --enforcementcount 0 &gt;&gt;C:\Users\stu\Documents\GitHub\eaglep3-reporting\EC\2017-03-06-refined-times.txt</v>
      </c>
      <c r="AI226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{"issue":{"subject":"","project_id":79,"tracker_id":40,"status_id":1,"priority_id":2,"assigned_to_id":23,"start_date":"2017-03-06","description":"","custom_fields":[{"id":1,"name":"Subdivision","value":"Other"},{"id":4,"name":"Milepost","value":"0.09"},{"id":17,"name":"Train ID","value":"52-06"},{"id":16,"name":"Locomotive ID","value":"4030"},{"id":130,"name":"Impact","value":""},{"id":150,"name":"Time of Event (Mountain Time)","value":"15:49:41"},{"id":151,"name":"Denver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147"/>
        <v>start /low /b %USERPROFILE%\Documents\GitHub\eaglep3\Utilities\DownloadLogsFromS3.py --loco 4030 --day 2017-03-06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"%USERPROFILE%\AppData\Local\Temp\OnboardLogs"\RTDC4030\*4030*20170306* | grep -SE "(Enforcement Action)|(\[TIMEOUT)|(CHR.+\|PRM\|1\|D.+(SWITCH|SIGNAL).+UNKNOWN)" - &gt;&gt; 2017-03-06-UncaughtWiMAX.txt</v>
      </c>
    </row>
    <row r="227" spans="1:40" x14ac:dyDescent="0.25">
      <c r="A227" s="33" t="s">
        <v>750</v>
      </c>
      <c r="B227" s="7">
        <v>4031</v>
      </c>
      <c r="C227" s="21" t="s">
        <v>245</v>
      </c>
      <c r="D227" s="21" t="s">
        <v>889</v>
      </c>
      <c r="E227" s="13">
        <v>42800.78496527778</v>
      </c>
      <c r="F227" s="13">
        <v>42800.791759259257</v>
      </c>
      <c r="G227" s="7">
        <v>1</v>
      </c>
      <c r="H227" s="21" t="s">
        <v>890</v>
      </c>
      <c r="I227" s="13">
        <v>42800.801307870373</v>
      </c>
      <c r="J227" s="7">
        <v>0</v>
      </c>
      <c r="K227" s="98" t="str">
        <f t="shared" si="133"/>
        <v>4031/4032</v>
      </c>
      <c r="L227" s="21" t="str">
        <f>VLOOKUP(A227,'Trips&amp;Operators'!$C$1:$G$99999,5,FALSE)</f>
        <v>CLARK KATHLEEN</v>
      </c>
      <c r="M227" s="6">
        <f t="shared" si="134"/>
        <v>9.5486111167701893E-3</v>
      </c>
      <c r="N227" s="7">
        <f t="shared" si="135"/>
        <v>13.750000008149073</v>
      </c>
      <c r="O227" s="7"/>
      <c r="P227" s="7"/>
      <c r="Q227" s="22"/>
      <c r="R227" s="22"/>
      <c r="S227" s="31">
        <f t="shared" si="136"/>
        <v>0</v>
      </c>
      <c r="T227" s="46" t="e">
        <f t="shared" si="137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130"/>
        <v>https://d0f6bd738d7f1b3e5a7ca70fe4ff75f0.us-east-1.aws.found.io/app/kibana#/discover/Steve-Slow-Train-Analysis-(2080s-and-2083s)?_g=(refreshInterval:(display:Off,pause:!f,section:0,value:0),time:(from:'2017-03-06T17:50:21-0700',mode:absolute,to:'2017-03-06T20:13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187" t="str">
        <f t="shared" si="138"/>
        <v>Y</v>
      </c>
      <c r="X227" s="187" t="e">
        <f t="shared" si="144"/>
        <v>#VALUE!</v>
      </c>
      <c r="Y227" s="62">
        <f t="shared" si="139"/>
        <v>7.0800000000000002E-2</v>
      </c>
      <c r="Z227" s="62">
        <f t="shared" si="140"/>
        <v>2.3346</v>
      </c>
      <c r="AA227" s="62">
        <f t="shared" si="141"/>
        <v>2.2637999999999998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142"/>
        <v>53-06</v>
      </c>
      <c r="AE227" s="85" t="str">
        <f t="shared" si="131"/>
        <v>aws s3 cp s3://rtdc.mdm.uploadarchive.raw/RTDC4031/ "%USERPROFILE%\AppData\Local\Temp\OnboardLogs"\RTDC4031\2017-03-06 --exclude "*" --recursive --include "*20170306*" &amp; "%USERPROFILE%\Documents\GitHub\mrs-test-scripts\Headless Mode &amp; Sideloading\WalkAndUnGZ.bat" "%USERPROFILE%\AppData\Local\Temp\OnboardLogs"\RTDC4031\2017-03-06 &amp; aws s3 cp s3://rtdc.mdm.uploadarchive.raw/RTDC4031/ "%USERPROFILE%\AppData\Local\Temp\OnboardLogs"\RTDC4031\2017-03-07 --exclude "*" --recursive --include "*20170307*" &amp; "%USERPROFILE%\Documents\GitHub\mrs-test-scripts\Headless Mode &amp; Sideloading\WalkAndUnGZ.bat" "%USERPROFILE%\AppData\Local\Temp\OnboardLogs"\RTDC4031\2017-03-07</v>
      </c>
      <c r="AF227" s="82" t="str">
        <f t="shared" si="132"/>
        <v>"C:\Program Files (x86)\AstroGrep\AstroGrep.exe" /e /r /s /spath="%USERPROFILE%\AppData\Local\Temp\OnboardLogs" /stypes="app*4031*20170307*" /stext=" 02:.+((SYSTEM_STATE.+slice.+state.+changed )|(ment ac)|(multiple cpu faults)|(system.+state.+changed )|(\[timeout)|(PRM\|1\|D)|(kpr)|(kdp)|(\|lc)|(penalty))"</v>
      </c>
      <c r="AG227" s="1" t="str">
        <f t="shared" si="143"/>
        <v>Other</v>
      </c>
      <c r="AH227" s="86" t="str">
        <f t="shared" si="145"/>
        <v>"%USERPROFILE%\Documents\GitHub\eaglep3\Utilities\RefineRTDCRunTimes.py" --tripid 53-06 --locoid 4031 --swversion DE.1.0.9.0 --startMP 204:708 --initTime 2017-03-06T18:50:21 --startdatetime 2017-03-06T19:00:08 --delay 1 --endMP 300:23346 --enddatetime 2017-03-06T19:13:53 --enforcementcount 0 &gt;&gt;C:\Users\stu\Documents\GitHub\eaglep3-reporting\EC\2017-03-06-refined-times.txt</v>
      </c>
      <c r="AI227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{"issue":{"subject":"","project_id":79,"tracker_id":40,"status_id":1,"priority_id":2,"assigned_to_id":23,"start_date":"2017-03-06","description":"","custom_fields":[{"id":1,"name":"Subdivision","value":"Other"},{"id":4,"name":"Milepost","value":"2.3346"},{"id":17,"name":"Train ID","value":"53-06"},{"id":16,"name":"Locomotive ID","value":"4031"},{"id":130,"name":"Impact","value":""},{"id":150,"name":"Time of Event (Mountain Time)","value":"19:13:53"},{"id":151,"name":"Denver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147"/>
        <v>start /low /b %USERPROFILE%\Documents\GitHub\eaglep3\Utilities\DownloadLogsFromS3.py --loco 4031 --day 2017-03-06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"%USERPROFILE%\AppData\Local\Temp\OnboardLogs"\RTDC4031\*4031*20170307* | grep -SE "(Enforcement Action)|(\[TIMEOUT)|(CHR.+\|PRM\|1\|D.+(SWITCH|SIGNAL).+UNKNOWN)" - &gt;&gt; 2017-03-06-UncaughtWiMAX.txt</v>
      </c>
    </row>
    <row r="228" spans="1:40" x14ac:dyDescent="0.25">
      <c r="A228" s="33" t="s">
        <v>735</v>
      </c>
      <c r="B228" s="7">
        <v>4012</v>
      </c>
      <c r="C228" s="21" t="s">
        <v>245</v>
      </c>
      <c r="D228" s="21" t="s">
        <v>891</v>
      </c>
      <c r="E228" s="13">
        <v>42800.732800925929</v>
      </c>
      <c r="F228" s="13">
        <v>42800.735520833332</v>
      </c>
      <c r="G228" s="7">
        <v>3</v>
      </c>
      <c r="H228" s="21" t="s">
        <v>892</v>
      </c>
      <c r="I228" s="13">
        <v>42800.741041666668</v>
      </c>
      <c r="J228" s="7">
        <v>0</v>
      </c>
      <c r="K228" s="98" t="str">
        <f t="shared" si="133"/>
        <v>4011/4012</v>
      </c>
      <c r="L228" s="21" t="str">
        <f>VLOOKUP(A228,'Trips&amp;Operators'!$C$1:$G$99999,5,FALSE)</f>
        <v>STAMBAUGH JAMES</v>
      </c>
      <c r="M228" s="6">
        <f t="shared" si="134"/>
        <v>5.5208333360496908E-3</v>
      </c>
      <c r="N228" s="7">
        <f t="shared" si="135"/>
        <v>7.9500000039115548</v>
      </c>
      <c r="O228" s="7"/>
      <c r="P228" s="7"/>
      <c r="Q228" s="22"/>
      <c r="R228" s="22"/>
      <c r="S228" s="31">
        <f t="shared" si="136"/>
        <v>0</v>
      </c>
      <c r="T228" s="46" t="e">
        <f t="shared" si="137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130"/>
        <v>https://d0f6bd738d7f1b3e5a7ca70fe4ff75f0.us-east-1.aws.found.io/app/kibana#/discover/Steve-Slow-Train-Analysis-(2080s-and-2083s)?_g=(refreshInterval:(display:Off,pause:!f,section:0,value:0),time:(from:'2017-03-06T16:35:14-0700',mode:absolute,to:'2017-03-06T18:47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8" s="187" t="str">
        <f t="shared" si="138"/>
        <v>Y</v>
      </c>
      <c r="X228" s="187" t="e">
        <f t="shared" si="144"/>
        <v>#VALUE!</v>
      </c>
      <c r="Y228" s="62">
        <f t="shared" si="139"/>
        <v>2.3559000000000001</v>
      </c>
      <c r="Z228" s="62">
        <f t="shared" si="140"/>
        <v>1.35E-2</v>
      </c>
      <c r="AA228" s="62">
        <f t="shared" si="141"/>
        <v>2.3424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42"/>
        <v>54-06</v>
      </c>
      <c r="AE228" s="85" t="str">
        <f t="shared" si="131"/>
        <v>aws s3 cp s3://rtdc.mdm.uploadarchive.raw/RTDC4012/ "%USERPROFILE%\AppData\Local\Temp\OnboardLogs"\RTDC4012\2017-03-06 --exclude "*" --recursive --include "*20170306*" &amp; "%USERPROFILE%\Documents\GitHub\mrs-test-scripts\Headless Mode &amp; Sideloading\WalkAndUnGZ.bat" "%USERPROFILE%\AppData\Local\Temp\OnboardLogs"\RTDC4012\2017-03-06 &amp; aws s3 cp s3://rtdc.mdm.uploadarchive.raw/RTDC4012/ "%USERPROFILE%\AppData\Local\Temp\OnboardLogs"\RTDC4012\2017-03-07 --exclude "*" --recursive --include "*20170307*" &amp; "%USERPROFILE%\Documents\GitHub\mrs-test-scripts\Headless Mode &amp; Sideloading\WalkAndUnGZ.bat" "%USERPROFILE%\AppData\Local\Temp\OnboardLogs"\RTDC4012\2017-03-07</v>
      </c>
      <c r="AF228" s="82" t="str">
        <f t="shared" si="132"/>
        <v>"C:\Program Files (x86)\AstroGrep\AstroGrep.exe" /e /r /s /spath="%USERPROFILE%\AppData\Local\Temp\OnboardLogs" /stypes="app*4012*20170307*" /stext=" 00:.+((SYSTEM_STATE.+slice.+state.+changed )|(ment ac)|(multiple cpu faults)|(system.+state.+changed )|(\[timeout)|(PRM\|1\|D)|(kpr)|(kdp)|(\|lc)|(penalty))"</v>
      </c>
      <c r="AG228" s="1" t="str">
        <f t="shared" si="143"/>
        <v>Other</v>
      </c>
      <c r="AH228" s="86" t="str">
        <f t="shared" si="145"/>
        <v>"%USERPROFILE%\Documents\GitHub\eaglep3\Utilities\RefineRTDCRunTimes.py" --tripid 54-06 --locoid 4012 --swversion DE.1.0.9.0 --startMP 300:23559 --initTime 2017-03-06T17:35:14 --startdatetime 2017-03-06T17:39:09 --delay 3 --endMP 204:135 --enddatetime 2017-03-06T17:47:06 --enforcementcount 0 &gt;&gt;C:\Users\stu\Documents\GitHub\eaglep3-reporting\EC\2017-03-06-refined-times.txt</v>
      </c>
      <c r="AI228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{"issue":{"subject":"","project_id":79,"tracker_id":40,"status_id":1,"priority_id":2,"assigned_to_id":23,"start_date":"2017-03-06","description":"","custom_fields":[{"id":1,"name":"Subdivision","value":"Other"},{"id":4,"name":"Milepost","value":"0.0135"},{"id":17,"name":"Train ID","value":"54-06"},{"id":16,"name":"Locomotive ID","value":"4012"},{"id":130,"name":"Impact","value":""},{"id":150,"name":"Time of Event (Mountain Time)","value":"17:47:06"},{"id":151,"name":"Denver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147"/>
        <v>start /low /b %USERPROFILE%\Documents\GitHub\eaglep3\Utilities\DownloadLogsFromS3.py --loco 4012 --day 2017-03-06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"%USERPROFILE%\AppData\Local\Temp\OnboardLogs"\RTDC4012\*4012*20170307* | grep -SE "(Enforcement Action)|(\[TIMEOUT)|(CHR.+\|PRM\|1\|D.+(SWITCH|SIGNAL).+UNKNOWN)" - &gt;&gt; 2017-03-06-UncaughtWiMAX.txt</v>
      </c>
    </row>
    <row r="229" spans="1:40" x14ac:dyDescent="0.25">
      <c r="A229" s="33" t="s">
        <v>764</v>
      </c>
      <c r="B229" s="7">
        <v>4065</v>
      </c>
      <c r="C229" s="21" t="s">
        <v>245</v>
      </c>
      <c r="D229" s="21" t="s">
        <v>893</v>
      </c>
      <c r="E229" s="13">
        <v>42800.847303240742</v>
      </c>
      <c r="F229" s="13">
        <v>42800.853634259256</v>
      </c>
      <c r="G229" s="7">
        <v>1</v>
      </c>
      <c r="H229" s="21" t="s">
        <v>894</v>
      </c>
      <c r="I229" s="13">
        <v>42800.854166666664</v>
      </c>
      <c r="J229" s="7">
        <v>0</v>
      </c>
      <c r="K229" s="98" t="str">
        <f t="shared" si="133"/>
        <v>4065/4066</v>
      </c>
      <c r="L229" s="21" t="str">
        <f>VLOOKUP(A229,'Trips&amp;Operators'!$C$1:$G$99999,5,FALSE)</f>
        <v>YANG JAN</v>
      </c>
      <c r="M229" s="6">
        <f t="shared" si="134"/>
        <v>5.3240740817273036E-4</v>
      </c>
      <c r="N229" s="7">
        <f t="shared" si="135"/>
        <v>0.76666666776873171</v>
      </c>
      <c r="O229" s="7"/>
      <c r="P229" s="7"/>
      <c r="Q229" s="22"/>
      <c r="R229" s="22"/>
      <c r="S229" s="31">
        <f t="shared" si="136"/>
        <v>0</v>
      </c>
      <c r="T229" s="46" t="e">
        <f t="shared" si="137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130"/>
        <v>https://d0f6bd738d7f1b3e5a7ca70fe4ff75f0.us-east-1.aws.found.io/app/kibana#/discover/Steve-Slow-Train-Analysis-(2080s-and-2083s)?_g=(refreshInterval:(display:Off,pause:!f,section:0,value:0),time:(from:'2017-03-06T19:20:07-0700',mode:absolute,to:'2017-03-06T21:30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9" s="187" t="str">
        <f t="shared" si="138"/>
        <v>Y</v>
      </c>
      <c r="X229" s="187" t="e">
        <f t="shared" si="144"/>
        <v>#VALUE!</v>
      </c>
      <c r="Y229" s="62">
        <f t="shared" si="139"/>
        <v>2.1846000000000001</v>
      </c>
      <c r="Z229" s="62">
        <f t="shared" si="140"/>
        <v>9.4299999999999995E-2</v>
      </c>
      <c r="AA229" s="62">
        <f t="shared" si="141"/>
        <v>2.0903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42"/>
        <v>55-06</v>
      </c>
      <c r="AE229" s="85" t="str">
        <f t="shared" si="131"/>
        <v>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 &amp; 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</v>
      </c>
      <c r="AF229" s="82" t="str">
        <f t="shared" si="132"/>
        <v>"C:\Program Files (x86)\AstroGrep\AstroGrep.exe" /e /r /s /spath="%USERPROFILE%\AppData\Local\Temp\OnboardLogs" /stypes="app*4065*20170307*" /stext=" 03:.+((SYSTEM_STATE.+slice.+state.+changed )|(ment ac)|(multiple cpu faults)|(system.+state.+changed )|(\[timeout)|(PRM\|1\|D)|(kpr)|(kdp)|(\|lc)|(penalty))"</v>
      </c>
      <c r="AG229" s="1" t="str">
        <f t="shared" si="143"/>
        <v>Other</v>
      </c>
      <c r="AH229" s="86" t="str">
        <f t="shared" si="145"/>
        <v>"%USERPROFILE%\Documents\GitHub\eaglep3\Utilities\RefineRTDCRunTimes.py" --tripid 55-06 --locoid 4065 --swversion DE.1.0.9.0 --startMP 300:21846 --initTime 2017-03-06T20:20:07 --startdatetime 2017-03-06T20:29:14 --delay 1 --endMP 204:943 --enddatetime 2017-03-06T20:30:00 --enforcementcount 0 &gt;&gt;C:\Users\stu\Documents\GitHub\eaglep3-reporting\EC\2017-03-06-refined-times.txt</v>
      </c>
      <c r="AI229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{"issue":{"subject":"","project_id":79,"tracker_id":40,"status_id":1,"priority_id":2,"assigned_to_id":23,"start_date":"2017-03-06","description":"","custom_fields":[{"id":1,"name":"Subdivision","value":"Other"},{"id":4,"name":"Milepost","value":"0.0943"},{"id":17,"name":"Train ID","value":"55-06"},{"id":16,"name":"Locomotive ID","value":"4065"},{"id":130,"name":"Impact","value":""},{"id":150,"name":"Time of Event (Mountain Time)","value":"20:30:00"},{"id":151,"name":"Denver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147"/>
        <v>start /low /b %USERPROFILE%\Documents\GitHub\eaglep3\Utilities\DownloadLogsFromS3.py --loco 4065 --day 2017-03-06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"%USERPROFILE%\AppData\Local\Temp\OnboardLogs"\RTDC4065\*4065*20170307* | grep -SE "(Enforcement Action)|(\[TIMEOUT)|(CHR.+\|PRM\|1\|D.+(SWITCH|SIGNAL).+UNKNOWN)" - &gt;&gt; 2017-03-06-UncaughtWiMAX.txt</v>
      </c>
    </row>
    <row r="230" spans="1:40" x14ac:dyDescent="0.25">
      <c r="A230" s="33" t="s">
        <v>603</v>
      </c>
      <c r="B230" s="7">
        <v>4066</v>
      </c>
      <c r="C230" s="21" t="s">
        <v>245</v>
      </c>
      <c r="D230" s="21" t="s">
        <v>895</v>
      </c>
      <c r="E230" s="13">
        <v>42800.87672453704</v>
      </c>
      <c r="F230" s="13">
        <v>42800.888009259259</v>
      </c>
      <c r="G230" s="7">
        <v>1</v>
      </c>
      <c r="H230" s="21" t="s">
        <v>255</v>
      </c>
      <c r="I230" s="13">
        <v>42800.921527777777</v>
      </c>
      <c r="J230" s="7">
        <v>0</v>
      </c>
      <c r="K230" s="98" t="str">
        <f t="shared" si="133"/>
        <v>4065/4066</v>
      </c>
      <c r="L230" s="21" t="str">
        <f>VLOOKUP(A230,'Trips&amp;Operators'!$C$1:$G$99999,5,FALSE)</f>
        <v>YANG JAN</v>
      </c>
      <c r="M230" s="6">
        <f t="shared" si="134"/>
        <v>3.3518518517666962E-2</v>
      </c>
      <c r="N230" s="7">
        <f t="shared" si="135"/>
        <v>48.266666665440425</v>
      </c>
      <c r="O230" s="7"/>
      <c r="P230" s="7"/>
      <c r="Q230" s="22"/>
      <c r="R230" s="22"/>
      <c r="S230" s="31">
        <f t="shared" si="136"/>
        <v>0</v>
      </c>
      <c r="T230" s="46" t="e">
        <f t="shared" si="137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130"/>
        <v>https://d0f6bd738d7f1b3e5a7ca70fe4ff75f0.us-east-1.aws.found.io/app/kibana#/discover/Steve-Slow-Train-Analysis-(2080s-and-2083s)?_g=(refreshInterval:(display:Off,pause:!f,section:0,value:0),time:(from:'2017-03-06T20:02:29-0700',mode:absolute,to:'2017-03-06T23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0" s="187" t="str">
        <f t="shared" si="138"/>
        <v>N</v>
      </c>
      <c r="X230" s="187" t="e">
        <f t="shared" si="144"/>
        <v>#VALUE!</v>
      </c>
      <c r="Y230" s="62">
        <f t="shared" si="139"/>
        <v>0.12620000000000001</v>
      </c>
      <c r="Z230" s="62">
        <f t="shared" si="140"/>
        <v>23.329899999999999</v>
      </c>
      <c r="AA230" s="62">
        <f t="shared" si="141"/>
        <v>23.203699999999998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42"/>
        <v>56-06</v>
      </c>
      <c r="AE230" s="85" t="str">
        <f t="shared" si="131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30" s="82" t="str">
        <f t="shared" si="132"/>
        <v>"C:\Program Files (x86)\AstroGrep\AstroGrep.exe" /e /r /s /spath="%USERPROFILE%\AppData\Local\Temp\OnboardLogs" /stypes="app*4066*20170307*" /stext=" 05:.+((SYSTEM_STATE.+slice.+state.+changed )|(ment ac)|(multiple cpu faults)|(system.+state.+changed )|(\[timeout)|(PRM\|1\|D)|(kpr)|(kdp)|(\|lc)|(penalty))"</v>
      </c>
      <c r="AG230" s="1" t="str">
        <f t="shared" si="143"/>
        <v>Other</v>
      </c>
      <c r="AH230" s="86" t="str">
        <f t="shared" si="145"/>
        <v>"%USERPROFILE%\Documents\GitHub\eaglep3\Utilities\RefineRTDCRunTimes.py" --tripid 56-06 --locoid 4066 --swversion DE.1.0.9.0 --startMP 204:1262 --initTime 2017-03-06T21:02:29 --startdatetime 2017-03-06T21:18:44 --delay 1 --endMP 204:233299 --enddatetime 2017-03-06T22:07:00 --enforcementcount 0 &gt;&gt;C:\Users\stu\Documents\GitHub\eaglep3-reporting\EC\2017-03-06-refined-times.txt</v>
      </c>
      <c r="AI230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{"issue":{"subject":"","project_id":79,"tracker_id":40,"status_id":1,"priority_id":2,"assigned_to_id":23,"start_date":"2017-03-06","description":"","custom_fields":[{"id":1,"name":"Subdivision","value":"Other"},{"id":4,"name":"Milepost","value":"23.3299"},{"id":17,"name":"Train ID","value":"56-06"},{"id":16,"name":"Locomotive ID","value":"4066"},{"id":130,"name":"Impact","value":""},{"id":150,"name":"Time of Event (Mountain Time)","value":"22:07:00"},{"id":151,"name":"Denver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147"/>
        <v>start /low /b %USERPROFILE%\Documents\GitHub\eaglep3\Utilities\DownloadLogsFromS3.py --loco 4066 --day 2017-03-06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2017-03-06-UncaughtWiMAX.txt</v>
      </c>
    </row>
    <row r="231" spans="1:40" x14ac:dyDescent="0.25">
      <c r="A231" s="33" t="s">
        <v>603</v>
      </c>
      <c r="B231" s="7">
        <v>4066</v>
      </c>
      <c r="C231" s="21" t="s">
        <v>245</v>
      </c>
      <c r="D231" s="21" t="s">
        <v>284</v>
      </c>
      <c r="E231" s="13">
        <v>42800.980937499997</v>
      </c>
      <c r="F231" s="13">
        <v>42800.983136574076</v>
      </c>
      <c r="G231" s="7">
        <v>1</v>
      </c>
      <c r="H231" s="21" t="s">
        <v>830</v>
      </c>
      <c r="I231" s="13">
        <v>42801.02238425926</v>
      </c>
      <c r="J231" s="7">
        <v>0</v>
      </c>
      <c r="K231" s="98" t="str">
        <f t="shared" si="133"/>
        <v>4065/4066</v>
      </c>
      <c r="L231" s="21" t="str">
        <f>VLOOKUP(A231,'Trips&amp;Operators'!$C$1:$G$99999,5,FALSE)</f>
        <v>YANG JAN</v>
      </c>
      <c r="M231" s="6">
        <f t="shared" si="134"/>
        <v>3.9247685184818693E-2</v>
      </c>
      <c r="N231" s="7">
        <f t="shared" si="135"/>
        <v>56.516666666138917</v>
      </c>
      <c r="O231" s="7"/>
      <c r="P231" s="7"/>
      <c r="Q231" s="22"/>
      <c r="R231" s="22"/>
      <c r="S231" s="31">
        <f t="shared" si="136"/>
        <v>0</v>
      </c>
      <c r="T231" s="46" t="e">
        <f t="shared" si="137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130"/>
        <v>https://d0f6bd738d7f1b3e5a7ca70fe4ff75f0.us-east-1.aws.found.io/app/kibana#/discover/Steve-Slow-Train-Analysis-(2080s-and-2083s)?_g=(refreshInterval:(display:Off,pause:!f,section:0,value:0),time:(from:'2017-03-06T22:32:33-0700',mode:absolute,to:'2017-03-07T01:32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1" s="187" t="str">
        <f t="shared" si="138"/>
        <v>N</v>
      </c>
      <c r="X231" s="187" t="e">
        <f t="shared" si="144"/>
        <v>#VALUE!</v>
      </c>
      <c r="Y231" s="62">
        <f t="shared" si="139"/>
        <v>4.4200000000000003E-2</v>
      </c>
      <c r="Z231" s="62">
        <f t="shared" si="140"/>
        <v>23.330100000000002</v>
      </c>
      <c r="AA231" s="62">
        <f t="shared" si="141"/>
        <v>23.285900000000002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42"/>
        <v>56-06</v>
      </c>
      <c r="AE231" s="85" t="str">
        <f t="shared" si="131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31" s="82" t="str">
        <f t="shared" si="132"/>
        <v>"C:\Program Files (x86)\AstroGrep\AstroGrep.exe" /e /r /s /spath="%USERPROFILE%\AppData\Local\Temp\OnboardLogs" /stypes="app*4066*20170307*" /stext=" 07:.+((SYSTEM_STATE.+slice.+state.+changed )|(ment ac)|(multiple cpu faults)|(system.+state.+changed )|(\[timeout)|(PRM\|1\|D)|(kpr)|(kdp)|(\|lc)|(penalty))"</v>
      </c>
      <c r="AG231" s="1" t="str">
        <f t="shared" si="143"/>
        <v>Other</v>
      </c>
      <c r="AH231" s="86" t="str">
        <f t="shared" si="145"/>
        <v>"%USERPROFILE%\Documents\GitHub\eaglep3\Utilities\RefineRTDCRunTimes.py" --tripid 56-06 --locoid 4066 --swversion DE.1.0.9.0 --startMP 204:442 --initTime 2017-03-06T23:32:33 --startdatetime 2017-03-06T23:35:43 --delay 1 --endMP 204:233301 --enddatetime 2017-03-07T00:32:14 --enforcementcount 0 &gt;&gt;C:\Users\stu\Documents\GitHub\eaglep3-reporting\EC\2017-03-06-refined-times.txt</v>
      </c>
      <c r="AI231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{"issue":{"subject":"","project_id":79,"tracker_id":40,"status_id":1,"priority_id":2,"assigned_to_id":23,"start_date":"2017-03-07","description":"","custom_fields":[{"id":1,"name":"Subdivision","value":"Other"},{"id":4,"name":"Milepost","value":"23.3301"},{"id":17,"name":"Train ID","value":"56-06"},{"id":16,"name":"Locomotive ID","value":"4066"},{"id":130,"name":"Impact","value":""},{"id":150,"name":"Time of Event (Mountain Time)","value":"00:32:14"},{"id":151,"name":"Denver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147"/>
        <v>start /low /b %USERPROFILE%\Documents\GitHub\eaglep3\Utilities\DownloadLogsFromS3.py --loco 4066 --day 2017-03-06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2017-03-06-UncaughtWiMAX.txt</v>
      </c>
    </row>
    <row r="232" spans="1:40" x14ac:dyDescent="0.25">
      <c r="A232" s="33" t="s">
        <v>603</v>
      </c>
      <c r="B232" s="7">
        <v>4066</v>
      </c>
      <c r="C232" s="21" t="s">
        <v>245</v>
      </c>
      <c r="D232" s="21" t="s">
        <v>225</v>
      </c>
      <c r="E232" s="13">
        <v>42801.081053240741</v>
      </c>
      <c r="F232" s="13">
        <v>42801.083240740743</v>
      </c>
      <c r="G232" s="7">
        <v>1</v>
      </c>
      <c r="H232" s="21" t="s">
        <v>882</v>
      </c>
      <c r="I232" s="13">
        <v>42801.091249999998</v>
      </c>
      <c r="J232" s="7">
        <v>0</v>
      </c>
      <c r="K232" s="98" t="str">
        <f t="shared" si="133"/>
        <v>4065/4066</v>
      </c>
      <c r="L232" s="21" t="str">
        <f>VLOOKUP(A232,'Trips&amp;Operators'!$C$1:$G$99999,5,FALSE)</f>
        <v>YANG JAN</v>
      </c>
      <c r="M232" s="6">
        <f t="shared" si="134"/>
        <v>8.0092592543223873E-3</v>
      </c>
      <c r="N232" s="7">
        <f t="shared" si="135"/>
        <v>11.533333326224238</v>
      </c>
      <c r="O232" s="7"/>
      <c r="P232" s="7"/>
      <c r="Q232" s="22"/>
      <c r="R232" s="22"/>
      <c r="S232" s="31">
        <f t="shared" si="136"/>
        <v>0</v>
      </c>
      <c r="T232" s="46" t="e">
        <f t="shared" si="137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130"/>
        <v>https://d0f6bd738d7f1b3e5a7ca70fe4ff75f0.us-east-1.aws.found.io/app/kibana#/discover/Steve-Slow-Train-Analysis-(2080s-and-2083s)?_g=(refreshInterval:(display:Off,pause:!f,section:0,value:0),time:(from:'2017-03-07T00:56:43-0700',mode:absolute,to:'2017-03-07T03:11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187" t="str">
        <f t="shared" si="138"/>
        <v>Y</v>
      </c>
      <c r="X232" s="187" t="e">
        <f t="shared" si="144"/>
        <v>#VALUE!</v>
      </c>
      <c r="Y232" s="62">
        <f t="shared" si="139"/>
        <v>4.53E-2</v>
      </c>
      <c r="Z232" s="62">
        <f t="shared" si="140"/>
        <v>2.331</v>
      </c>
      <c r="AA232" s="62">
        <f t="shared" si="141"/>
        <v>2.2856999999999998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42"/>
        <v>56-06</v>
      </c>
      <c r="AE232" s="85" t="str">
        <f t="shared" si="131"/>
        <v>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 &amp; aws s3 cp s3://rtdc.mdm.uploadarchive.raw/RTDC4066/ "%USERPROFILE%\AppData\Local\Temp\OnboardLogs"\RTDC4066\2017-03-08 --exclude "*" --recursive --include "*20170308*" &amp; "%USERPROFILE%\Documents\GitHub\mrs-test-scripts\Headless Mode &amp; Sideloading\WalkAndUnGZ.bat" "%USERPROFILE%\AppData\Local\Temp\OnboardLogs"\RTDC4066\2017-03-08</v>
      </c>
      <c r="AF232" s="82" t="str">
        <f t="shared" si="132"/>
        <v>"C:\Program Files (x86)\AstroGrep\AstroGrep.exe" /e /r /s /spath="%USERPROFILE%\AppData\Local\Temp\OnboardLogs" /stypes="app*4066*20170307*" /stext=" 09:.+((SYSTEM_STATE.+slice.+state.+changed )|(ment ac)|(multiple cpu faults)|(system.+state.+changed )|(\[timeout)|(PRM\|1\|D)|(kpr)|(kdp)|(\|lc)|(penalty))"</v>
      </c>
      <c r="AG232" s="1" t="str">
        <f t="shared" si="143"/>
        <v>Other</v>
      </c>
      <c r="AH232" s="86" t="str">
        <f t="shared" si="145"/>
        <v>"%USERPROFILE%\Documents\GitHub\eaglep3\Utilities\RefineRTDCRunTimes.py" --tripid 56-06 --locoid 4066 --swversion DE.1.0.9.0 --startMP 204:453 --initTime 2017-03-07T01:56:43 --startdatetime 2017-03-07T01:59:52 --delay 1 --endMP 300:23310 --enddatetime 2017-03-07T02:11:24 --enforcementcount 0 &gt;&gt;C:\Users\stu\Documents\GitHub\eaglep3-reporting\EC\2017-03-06-refined-times.txt</v>
      </c>
      <c r="AI232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{"issue":{"subject":"","project_id":79,"tracker_id":40,"status_id":1,"priority_id":2,"assigned_to_id":23,"start_date":"2017-03-07","description":"","custom_fields":[{"id":1,"name":"Subdivision","value":"Other"},{"id":4,"name":"Milepost","value":"2.331"},{"id":17,"name":"Train ID","value":"56-06"},{"id":16,"name":"Locomotive ID","value":"4066"},{"id":130,"name":"Impact","value":""},{"id":150,"name":"Time of Event (Mountain Time)","value":"02:11:24"},{"id":151,"name":"Denver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147"/>
        <v>start /low /b %USERPROFILE%\Documents\GitHub\eaglep3\Utilities\DownloadLogsFromS3.py --loco 4066 --day 2017-03-07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"%USERPROFILE%\AppData\Local\Temp\OnboardLogs"\RTDC4066\*4066*20170307* | grep -SE "(Enforcement Action)|(\[TIMEOUT)|(CHR.+\|PRM\|1\|D.+(SWITCH|SIGNAL).+UNKNOWN)" - &gt;&gt; 2017-03-06-UncaughtWiMAX.txt</v>
      </c>
    </row>
    <row r="233" spans="1:40" x14ac:dyDescent="0.25">
      <c r="A233" s="33" t="s">
        <v>766</v>
      </c>
      <c r="B233" s="7">
        <v>4011</v>
      </c>
      <c r="C233" s="21" t="s">
        <v>245</v>
      </c>
      <c r="D233" s="21" t="s">
        <v>218</v>
      </c>
      <c r="E233" s="13">
        <v>42800.850335648145</v>
      </c>
      <c r="F233" s="13">
        <v>42800.872766203705</v>
      </c>
      <c r="G233" s="7">
        <v>1</v>
      </c>
      <c r="H233" s="21" t="s">
        <v>896</v>
      </c>
      <c r="I233" s="13">
        <v>42800.880787037036</v>
      </c>
      <c r="J233" s="7">
        <v>0</v>
      </c>
      <c r="K233" s="98" t="str">
        <f t="shared" si="133"/>
        <v>4011/4012</v>
      </c>
      <c r="L233" s="21" t="str">
        <f>VLOOKUP(A233,'Trips&amp;Operators'!$C$1:$G$99999,5,FALSE)</f>
        <v>HOLCOMB KAMDEN</v>
      </c>
      <c r="M233" s="6">
        <f t="shared" si="134"/>
        <v>8.0208333311020397E-3</v>
      </c>
      <c r="N233" s="7">
        <f t="shared" si="135"/>
        <v>11.549999996786937</v>
      </c>
      <c r="O233" s="7"/>
      <c r="P233" s="7"/>
      <c r="Q233" s="22"/>
      <c r="R233" s="22"/>
      <c r="S233" s="31">
        <f t="shared" si="136"/>
        <v>0</v>
      </c>
      <c r="T233" s="46" t="e">
        <f t="shared" si="137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130"/>
        <v>https://d0f6bd738d7f1b3e5a7ca70fe4ff75f0.us-east-1.aws.found.io/app/kibana#/discover/Steve-Slow-Train-Analysis-(2080s-and-2083s)?_g=(refreshInterval:(display:Off,pause:!f,section:0,value:0),time:(from:'2017-03-06T19:24:29-0700',mode:absolute,to:'2017-03-06T22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3" s="187" t="str">
        <f t="shared" si="138"/>
        <v>Y</v>
      </c>
      <c r="X233" s="187" t="e">
        <f t="shared" si="144"/>
        <v>#VALUE!</v>
      </c>
      <c r="Y233" s="62">
        <f t="shared" si="139"/>
        <v>4.5100000000000001E-2</v>
      </c>
      <c r="Z233" s="62">
        <f t="shared" si="140"/>
        <v>9.0700000000000003E-2</v>
      </c>
      <c r="AA233" s="62">
        <f t="shared" si="141"/>
        <v>4.5600000000000002E-2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42"/>
        <v>57-06</v>
      </c>
      <c r="AE233" s="85" t="str">
        <f t="shared" si="131"/>
        <v>aws s3 cp s3://rtdc.mdm.uploadarchive.raw/RTDC4011/ "%USERPROFILE%\AppData\Local\Temp\OnboardLogs"\RTDC4011\2017-03-06 --exclude "*" --recursive --include "*20170306*" &amp; "%USERPROFILE%\Documents\GitHub\mrs-test-scripts\Headless Mode &amp; Sideloading\WalkAndUnGZ.bat" "%USERPROFILE%\AppData\Local\Temp\OnboardLogs"\RTDC4011\2017-03-06 &amp; 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</v>
      </c>
      <c r="AF233" s="82" t="str">
        <f t="shared" si="132"/>
        <v>"C:\Program Files (x86)\AstroGrep\AstroGrep.exe" /e /r /s /spath="%USERPROFILE%\AppData\Local\Temp\OnboardLogs" /stypes="app*4011*20170307*" /stext=" 04:.+((SYSTEM_STATE.+slice.+state.+changed )|(ment ac)|(multiple cpu faults)|(system.+state.+changed )|(\[timeout)|(PRM\|1\|D)|(kpr)|(kdp)|(\|lc)|(penalty))"</v>
      </c>
      <c r="AG233" s="1" t="str">
        <f t="shared" si="143"/>
        <v>Other</v>
      </c>
      <c r="AH233" s="86" t="str">
        <f t="shared" si="145"/>
        <v>"%USERPROFILE%\Documents\GitHub\eaglep3\Utilities\RefineRTDCRunTimes.py" --tripid 57-06 --locoid 4011 --swversion DE.1.0.9.0 --startMP 204:451 --initTime 2017-03-06T20:24:29 --startdatetime 2017-03-06T20:56:47 --delay 1 --endMP 204:907 --enddatetime 2017-03-06T21:08:20 --enforcementcount 0 &gt;&gt;C:\Users\stu\Documents\GitHub\eaglep3-reporting\EC\2017-03-06-refined-times.txt</v>
      </c>
      <c r="AI233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{"issue":{"subject":"","project_id":79,"tracker_id":40,"status_id":1,"priority_id":2,"assigned_to_id":23,"start_date":"2017-03-06","description":"","custom_fields":[{"id":1,"name":"Subdivision","value":"Other"},{"id":4,"name":"Milepost","value":"0.0907"},{"id":17,"name":"Train ID","value":"57-06"},{"id":16,"name":"Locomotive ID","value":"4011"},{"id":130,"name":"Impact","value":""},{"id":150,"name":"Time of Event (Mountain Time)","value":"21:08:20"},{"id":151,"name":"Denver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147"/>
        <v>start /low /b %USERPROFILE%\Documents\GitHub\eaglep3\Utilities\DownloadLogsFromS3.py --loco 4011 --day 2017-03-06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2017-03-06-UncaughtWiMAX.txt</v>
      </c>
    </row>
    <row r="234" spans="1:40" x14ac:dyDescent="0.25">
      <c r="A234" s="33" t="s">
        <v>766</v>
      </c>
      <c r="B234" s="7">
        <v>4011</v>
      </c>
      <c r="C234" s="21" t="s">
        <v>245</v>
      </c>
      <c r="D234" s="21" t="s">
        <v>888</v>
      </c>
      <c r="E234" s="13">
        <v>42800.870891203704</v>
      </c>
      <c r="F234" s="13">
        <v>42800.872766203705</v>
      </c>
      <c r="G234" s="7">
        <v>1</v>
      </c>
      <c r="H234" s="21" t="s">
        <v>548</v>
      </c>
      <c r="I234" s="13">
        <v>42800.880787037036</v>
      </c>
      <c r="J234" s="7">
        <v>0</v>
      </c>
      <c r="K234" s="98" t="str">
        <f t="shared" si="133"/>
        <v>4011/4012</v>
      </c>
      <c r="L234" s="21" t="str">
        <f>VLOOKUP(A234,'Trips&amp;Operators'!$C$1:$G$99999,5,FALSE)</f>
        <v>HOLCOMB KAMDEN</v>
      </c>
      <c r="M234" s="6">
        <f t="shared" si="134"/>
        <v>8.0208333311020397E-3</v>
      </c>
      <c r="N234" s="7">
        <f t="shared" si="135"/>
        <v>11.549999996786937</v>
      </c>
      <c r="O234" s="7"/>
      <c r="P234" s="7"/>
      <c r="Q234" s="22"/>
      <c r="R234" s="22"/>
      <c r="S234" s="31">
        <f t="shared" si="136"/>
        <v>0</v>
      </c>
      <c r="T234" s="46" t="e">
        <f t="shared" si="137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130"/>
        <v>https://d0f6bd738d7f1b3e5a7ca70fe4ff75f0.us-east-1.aws.found.io/app/kibana#/discover/Steve-Slow-Train-Analysis-(2080s-and-2083s)?_g=(refreshInterval:(display:Off,pause:!f,section:0,value:0),time:(from:'2017-03-06T19:54:05-0700',mode:absolute,to:'2017-03-06T22:08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187" t="str">
        <f t="shared" si="138"/>
        <v>Y</v>
      </c>
      <c r="X234" s="187" t="e">
        <f t="shared" si="144"/>
        <v>#VALUE!</v>
      </c>
      <c r="Y234" s="62">
        <f t="shared" si="139"/>
        <v>0.09</v>
      </c>
      <c r="Z234" s="62">
        <f t="shared" si="140"/>
        <v>2.3289</v>
      </c>
      <c r="AA234" s="62">
        <f t="shared" si="141"/>
        <v>2.2389000000000001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42"/>
        <v>57-06</v>
      </c>
      <c r="AE234" s="85" t="str">
        <f t="shared" si="131"/>
        <v>aws s3 cp s3://rtdc.mdm.uploadarchive.raw/RTDC4011/ "%USERPROFILE%\AppData\Local\Temp\OnboardLogs"\RTDC4011\2017-03-06 --exclude "*" --recursive --include "*20170306*" &amp; "%USERPROFILE%\Documents\GitHub\mrs-test-scripts\Headless Mode &amp; Sideloading\WalkAndUnGZ.bat" "%USERPROFILE%\AppData\Local\Temp\OnboardLogs"\RTDC4011\2017-03-06 &amp; aws s3 cp s3://rtdc.mdm.uploadarchive.raw/RTDC4011/ "%USERPROFILE%\AppData\Local\Temp\OnboardLogs"\RTDC4011\2017-03-07 --exclude "*" --recursive --include "*20170307*" &amp; "%USERPROFILE%\Documents\GitHub\mrs-test-scripts\Headless Mode &amp; Sideloading\WalkAndUnGZ.bat" "%USERPROFILE%\AppData\Local\Temp\OnboardLogs"\RTDC4011\2017-03-07</v>
      </c>
      <c r="AF234" s="82" t="str">
        <f t="shared" si="132"/>
        <v>"C:\Program Files (x86)\AstroGrep\AstroGrep.exe" /e /r /s /spath="%USERPROFILE%\AppData\Local\Temp\OnboardLogs" /stypes="app*4011*20170307*" /stext=" 04:.+((SYSTEM_STATE.+slice.+state.+changed )|(ment ac)|(multiple cpu faults)|(system.+state.+changed )|(\[timeout)|(PRM\|1\|D)|(kpr)|(kdp)|(\|lc)|(penalty))"</v>
      </c>
      <c r="AG234" s="1" t="str">
        <f t="shared" si="143"/>
        <v>Other</v>
      </c>
      <c r="AH234" s="86" t="str">
        <f t="shared" si="145"/>
        <v>"%USERPROFILE%\Documents\GitHub\eaglep3\Utilities\RefineRTDCRunTimes.py" --tripid 57-06 --locoid 4011 --swversion DE.1.0.9.0 --startMP 204:900 --initTime 2017-03-06T20:54:05 --startdatetime 2017-03-06T20:56:47 --delay 1 --endMP 300:23289 --enddatetime 2017-03-06T21:08:20 --enforcementcount 0 &gt;&gt;C:\Users\stu\Documents\GitHub\eaglep3-reporting\EC\2017-03-06-refined-times.txt</v>
      </c>
      <c r="AI234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{"issue":{"subject":"","project_id":79,"tracker_id":40,"status_id":1,"priority_id":2,"assigned_to_id":23,"start_date":"2017-03-06","description":"","custom_fields":[{"id":1,"name":"Subdivision","value":"Other"},{"id":4,"name":"Milepost","value":"2.3289"},{"id":17,"name":"Train ID","value":"57-06"},{"id":16,"name":"Locomotive ID","value":"4011"},{"id":130,"name":"Impact","value":""},{"id":150,"name":"Time of Event (Mountain Time)","value":"21:08:20"},{"id":151,"name":"Denver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147"/>
        <v>start /low /b %USERPROFILE%\Documents\GitHub\eaglep3\Utilities\DownloadLogsFromS3.py --loco 4011 --day 2017-03-06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"%USERPROFILE%\AppData\Local\Temp\OnboardLogs"\RTDC4011\*4011*20170307* | grep -SE "(Enforcement Action)|(\[TIMEOUT)|(CHR.+\|PRM\|1\|D.+(SWITCH|SIGNAL).+UNKNOWN)" - &gt;&gt; 2017-03-06-UncaughtWiMAX.txt</v>
      </c>
    </row>
    <row r="235" spans="1:40" x14ac:dyDescent="0.25">
      <c r="A235" s="33" t="s">
        <v>777</v>
      </c>
      <c r="B235" s="7">
        <v>4065</v>
      </c>
      <c r="C235" s="21" t="s">
        <v>245</v>
      </c>
      <c r="D235" s="21" t="s">
        <v>269</v>
      </c>
      <c r="E235" s="13">
        <v>42801.037986111114</v>
      </c>
      <c r="F235" s="13">
        <v>42801.048425925925</v>
      </c>
      <c r="G235" s="7">
        <v>2</v>
      </c>
      <c r="H235" s="21" t="s">
        <v>897</v>
      </c>
      <c r="I235" s="13">
        <v>42801.078877314816</v>
      </c>
      <c r="J235" s="7">
        <v>0</v>
      </c>
      <c r="K235" s="98" t="str">
        <f t="shared" si="133"/>
        <v>4065/4066</v>
      </c>
      <c r="L235" s="21" t="str">
        <f>VLOOKUP(A235,'Trips&amp;Operators'!$C$1:$G$99999,5,FALSE)</f>
        <v>YANG JAN</v>
      </c>
      <c r="M235" s="6">
        <f t="shared" si="134"/>
        <v>3.0451388891378883E-2</v>
      </c>
      <c r="N235" s="7">
        <f t="shared" si="135"/>
        <v>43.850000003585592</v>
      </c>
      <c r="O235" s="7"/>
      <c r="P235" s="7"/>
      <c r="Q235" s="22"/>
      <c r="R235" s="22"/>
      <c r="S235" s="31">
        <f t="shared" si="136"/>
        <v>0</v>
      </c>
      <c r="T235" s="46" t="e">
        <f t="shared" si="137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130"/>
        <v>https://d0f6bd738d7f1b3e5a7ca70fe4ff75f0.us-east-1.aws.found.io/app/kibana#/discover/Steve-Slow-Train-Analysis-(2080s-and-2083s)?_g=(refreshInterval:(display:Off,pause:!f,section:0,value:0),time:(from:'2017-03-06T23:54:42-0700',mode:absolute,to:'2017-03-07T02:53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187" t="str">
        <f t="shared" si="138"/>
        <v>N</v>
      </c>
      <c r="X235" s="187" t="e">
        <f t="shared" si="144"/>
        <v>#VALUE!</v>
      </c>
      <c r="Y235" s="62">
        <f t="shared" si="139"/>
        <v>23.297699999999999</v>
      </c>
      <c r="Z235" s="62">
        <f t="shared" si="140"/>
        <v>1.3299999999999999E-2</v>
      </c>
      <c r="AA235" s="62">
        <f t="shared" si="141"/>
        <v>23.284399999999998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42"/>
        <v>59-06</v>
      </c>
      <c r="AE235" s="85" t="str">
        <f t="shared" si="131"/>
        <v>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 &amp; aws s3 cp s3://rtdc.mdm.uploadarchive.raw/RTDC4065/ "%USERPROFILE%\AppData\Local\Temp\OnboardLogs"\RTDC4065\2017-03-08 --exclude "*" --recursive --include "*20170308*" &amp; "%USERPROFILE%\Documents\GitHub\mrs-test-scripts\Headless Mode &amp; Sideloading\WalkAndUnGZ.bat" "%USERPROFILE%\AppData\Local\Temp\OnboardLogs"\RTDC4065\2017-03-08</v>
      </c>
      <c r="AF235" s="82" t="str">
        <f t="shared" si="132"/>
        <v>"C:\Program Files (x86)\AstroGrep\AstroGrep.exe" /e /r /s /spath="%USERPROFILE%\AppData\Local\Temp\OnboardLogs" /stypes="app*4065*20170307*" /stext=" 08:.+((SYSTEM_STATE.+slice.+state.+changed )|(ment ac)|(multiple cpu faults)|(system.+state.+changed )|(\[timeout)|(PRM\|1\|D)|(kpr)|(kdp)|(\|lc)|(penalty))"</v>
      </c>
      <c r="AG235" s="1" t="str">
        <f t="shared" si="143"/>
        <v>Other</v>
      </c>
      <c r="AH235" s="86" t="str">
        <f t="shared" si="145"/>
        <v>"%USERPROFILE%\Documents\GitHub\eaglep3\Utilities\RefineRTDCRunTimes.py" --tripid 59-06 --locoid 4065 --swversion DE.1.0.9.0 --startMP 204:232977 --initTime 2017-03-07T00:54:42 --startdatetime 2017-03-07T01:09:44 --delay 2 --endMP 204:133 --enddatetime 2017-03-07T01:53:35 --enforcementcount 0 &gt;&gt;C:\Users\stu\Documents\GitHub\eaglep3-reporting\EC\2017-03-06-refined-times.txt</v>
      </c>
      <c r="AI235" s="108" t="str">
        <f t="shared" si="146"/>
        <v>echo {"issue":{"subject":"","project_id":79,"tracker_id":40,"status_id":1,"priority_id":2,"assigned_to_id":23,"start_date":"2017-03-07","description":"","custom_fields":[{"id":1,"name":"Subdivision","value":"Other"},{"id":4,"name":"Milepost","value":"0.0133"},{"id":17,"name":"Train ID","value":"59-06"},{"id":16,"name":"Locomotive ID","value":"4065"},{"id":130,"name":"Impact","value":""},{"id":150,"name":"Time of Event (Mountain Time)","value":"01:53:35"},{"id":151,"name":"Denver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147"/>
        <v>start /low /b %USERPROFILE%\Documents\GitHub\eaglep3\Utilities\DownloadLogsFromS3.py --loco 4065 --day 2017-03-07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"%USERPROFILE%\AppData\Local\Temp\OnboardLogs"\RTDC4065\*4065*20170307* | grep -SE "(Enforcement Action)|(\[TIMEOUT)|(CHR.+\|PRM\|1\|D.+(SWITCH|SIGNAL).+UNKNOWN)" - &gt;&gt; 2017-03-06-UncaughtWiMAX.txt</v>
      </c>
    </row>
    <row r="236" spans="1:40" x14ac:dyDescent="0.25">
      <c r="A236" s="33" t="s">
        <v>777</v>
      </c>
      <c r="B236" s="7">
        <v>4065</v>
      </c>
      <c r="C236" s="21" t="s">
        <v>245</v>
      </c>
      <c r="D236" s="21" t="s">
        <v>311</v>
      </c>
      <c r="E236" s="13">
        <v>42800.92832175926</v>
      </c>
      <c r="F236" s="13">
        <v>42800.942407407405</v>
      </c>
      <c r="G236" s="7">
        <v>1</v>
      </c>
      <c r="H236" s="21" t="s">
        <v>204</v>
      </c>
      <c r="I236" s="13">
        <v>42800.97619212963</v>
      </c>
      <c r="J236" s="7">
        <v>0</v>
      </c>
      <c r="K236" s="98" t="str">
        <f t="shared" si="133"/>
        <v>4065/4066</v>
      </c>
      <c r="L236" s="21" t="str">
        <f>VLOOKUP(A236,'Trips&amp;Operators'!$C$1:$G$99999,5,FALSE)</f>
        <v>YANG JAN</v>
      </c>
      <c r="M236" s="6">
        <f t="shared" si="134"/>
        <v>3.3784722225391306E-2</v>
      </c>
      <c r="N236" s="7">
        <f t="shared" si="135"/>
        <v>48.650000004563481</v>
      </c>
      <c r="O236" s="7"/>
      <c r="P236" s="7"/>
      <c r="Q236" s="22"/>
      <c r="R236" s="22"/>
      <c r="S236" s="31">
        <f t="shared" si="136"/>
        <v>0</v>
      </c>
      <c r="T236" s="46" t="e">
        <f t="shared" si="137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130"/>
        <v>https://d0f6bd738d7f1b3e5a7ca70fe4ff75f0.us-east-1.aws.found.io/app/kibana#/discover/Steve-Slow-Train-Analysis-(2080s-and-2083s)?_g=(refreshInterval:(display:Off,pause:!f,section:0,value:0),time:(from:'2017-03-06T21:16:47-0700',mode:absolute,to:'2017-03-07T00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6" s="187" t="str">
        <f t="shared" si="138"/>
        <v>N</v>
      </c>
      <c r="X236" s="187" t="e">
        <f t="shared" si="144"/>
        <v>#VALUE!</v>
      </c>
      <c r="Y236" s="62">
        <f t="shared" si="139"/>
        <v>23.297799999999999</v>
      </c>
      <c r="Z236" s="62">
        <f t="shared" si="140"/>
        <v>1.5800000000000002E-2</v>
      </c>
      <c r="AA236" s="62">
        <f t="shared" si="141"/>
        <v>23.282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42"/>
        <v>59-06</v>
      </c>
      <c r="AE236" s="85" t="str">
        <f t="shared" si="131"/>
        <v>aws s3 cp s3://rtdc.mdm.uploadarchive.raw/RTDC4065/ "%USERPROFILE%\AppData\Local\Temp\OnboardLogs"\RTDC4065\2017-03-06 --exclude "*" --recursive --include "*20170306*" &amp; "%USERPROFILE%\Documents\GitHub\mrs-test-scripts\Headless Mode &amp; Sideloading\WalkAndUnGZ.bat" "%USERPROFILE%\AppData\Local\Temp\OnboardLogs"\RTDC4065\2017-03-06 &amp; aws s3 cp s3://rtdc.mdm.uploadarchive.raw/RTDC4065/ "%USERPROFILE%\AppData\Local\Temp\OnboardLogs"\RTDC4065\2017-03-07 --exclude "*" --recursive --include "*20170307*" &amp; "%USERPROFILE%\Documents\GitHub\mrs-test-scripts\Headless Mode &amp; Sideloading\WalkAndUnGZ.bat" "%USERPROFILE%\AppData\Local\Temp\OnboardLogs"\RTDC4065\2017-03-07</v>
      </c>
      <c r="AF236" s="82" t="str">
        <f t="shared" si="132"/>
        <v>"C:\Program Files (x86)\AstroGrep\AstroGrep.exe" /e /r /s /spath="%USERPROFILE%\AppData\Local\Temp\OnboardLogs" /stypes="app*4065*20170307*" /stext=" 06:.+((SYSTEM_STATE.+slice.+state.+changed )|(ment ac)|(multiple cpu faults)|(system.+state.+changed )|(\[timeout)|(PRM\|1\|D)|(kpr)|(kdp)|(\|lc)|(penalty))"</v>
      </c>
      <c r="AG236" s="1" t="str">
        <f t="shared" si="143"/>
        <v>Other</v>
      </c>
      <c r="AH236" s="86" t="str">
        <f t="shared" si="145"/>
        <v>"%USERPROFILE%\Documents\GitHub\eaglep3\Utilities\RefineRTDCRunTimes.py" --tripid 59-06 --locoid 4065 --swversion DE.1.0.9.0 --startMP 204:232978 --initTime 2017-03-06T22:16:47 --startdatetime 2017-03-06T22:37:04 --delay 1 --endMP 204:158 --enddatetime 2017-03-06T23:25:43 --enforcementcount 0 &gt;&gt;C:\Users\stu\Documents\GitHub\eaglep3-reporting\EC\2017-03-06-refined-times.txt</v>
      </c>
      <c r="AI236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{"issue":{"subject":"","project_id":79,"tracker_id":40,"status_id":1,"priority_id":2,"assigned_to_id":23,"start_date":"2017-03-06","description":"","custom_fields":[{"id":1,"name":"Subdivision","value":"Other"},{"id":4,"name":"Milepost","value":"0.0158"},{"id":17,"name":"Train ID","value":"59-06"},{"id":16,"name":"Locomotive ID","value":"4065"},{"id":130,"name":"Impact","value":""},{"id":150,"name":"Time of Event (Mountain Time)","value":"23:25:43"},{"id":151,"name":"Denver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147"/>
        <v>start /low /b %USERPROFILE%\Documents\GitHub\eaglep3\Utilities\DownloadLogsFromS3.py --loco 4065 --day 2017-03-06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"%USERPROFILE%\AppData\Local\Temp\OnboardLogs"\RTDC4065\*4065*20170307* | grep -SE "(Enforcement Action)|(\[TIMEOUT)|(CHR.+\|PRM\|1\|D.+(SWITCH|SIGNAL).+UNKNOWN)" - &gt;&gt; 2017-03-06-UncaughtWiMAX.txt</v>
      </c>
    </row>
    <row r="237" spans="1:40" x14ac:dyDescent="0.25">
      <c r="A237" s="33" t="s">
        <v>513</v>
      </c>
      <c r="B237" s="7">
        <v>4066</v>
      </c>
      <c r="C237" s="21" t="s">
        <v>245</v>
      </c>
      <c r="D237" s="21" t="s">
        <v>237</v>
      </c>
      <c r="E237" s="13">
        <v>42800.090520833335</v>
      </c>
      <c r="F237" s="13">
        <v>42800.094710648147</v>
      </c>
      <c r="G237" s="7">
        <v>2</v>
      </c>
      <c r="H237" s="21" t="s">
        <v>480</v>
      </c>
      <c r="I237" s="13">
        <v>42800.101354166669</v>
      </c>
      <c r="J237" s="7">
        <v>0</v>
      </c>
      <c r="K237" s="98" t="str">
        <f t="shared" si="133"/>
        <v>4065/4066</v>
      </c>
      <c r="L237" s="21" t="str">
        <f>VLOOKUP(A237,'Trips&amp;Operators'!$C$1:$G$99999,5,FALSE)</f>
        <v>MAGEE KENYA</v>
      </c>
      <c r="M237" s="6">
        <f t="shared" si="134"/>
        <v>6.6435185217414983E-3</v>
      </c>
      <c r="N237" s="7">
        <f t="shared" si="135"/>
        <v>9.5666666713077575</v>
      </c>
      <c r="O237" s="7"/>
      <c r="P237" s="7"/>
      <c r="Q237" s="22"/>
      <c r="R237" s="22"/>
      <c r="S237" s="31">
        <f t="shared" si="136"/>
        <v>0</v>
      </c>
      <c r="T237" s="46" t="e">
        <f t="shared" si="137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130"/>
        <v>https://d0f6bd738d7f1b3e5a7ca70fe4ff75f0.us-east-1.aws.found.io/app/kibana#/discover/Steve-Slow-Train-Analysis-(2080s-and-2083s)?_g=(refreshInterval:(display:Off,pause:!f,section:0,value:0),time:(from:'2017-03-06T01:10:21-0700',mode:absolute,to:'2017-03-06T03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7" s="187" t="str">
        <f t="shared" si="138"/>
        <v>Y</v>
      </c>
      <c r="X237" s="187" t="e">
        <f t="shared" si="144"/>
        <v>#VALUE!</v>
      </c>
      <c r="Y237" s="62">
        <f t="shared" si="139"/>
        <v>4.4400000000000002E-2</v>
      </c>
      <c r="Z237" s="62">
        <f t="shared" si="140"/>
        <v>2.3325</v>
      </c>
      <c r="AA237" s="62">
        <f t="shared" si="141"/>
        <v>2.2881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142"/>
        <v>87-05</v>
      </c>
      <c r="AE237" s="85" t="str">
        <f t="shared" si="131"/>
        <v>aws s3 cp s3://rtdc.mdm.uploadarchive.raw/RTDC4066/ "%USERPROFILE%\AppData\Local\Temp\OnboardLogs"\RTDC4066\2017-03-06 --exclude "*" --recursive --include "*20170306*" &amp; "%USERPROFILE%\Documents\GitHub\mrs-test-scripts\Headless Mode &amp; Sideloading\WalkAndUnGZ.bat" "%USERPROFILE%\AppData\Local\Temp\OnboardLogs"\RTDC4066\2017-03-06 &amp; aws s3 cp s3://rtdc.mdm.uploadarchive.raw/RTDC4066/ "%USERPROFILE%\AppData\Local\Temp\OnboardLogs"\RTDC4066\2017-03-07 --exclude "*" --recursive --include "*20170307*" &amp; "%USERPROFILE%\Documents\GitHub\mrs-test-scripts\Headless Mode &amp; Sideloading\WalkAndUnGZ.bat" "%USERPROFILE%\AppData\Local\Temp\OnboardLogs"\RTDC4066\2017-03-07</v>
      </c>
      <c r="AF237" s="82" t="str">
        <f t="shared" si="132"/>
        <v>"C:\Program Files (x86)\AstroGrep\AstroGrep.exe" /e /r /s /spath="%USERPROFILE%\AppData\Local\Temp\OnboardLogs" /stypes="app*4066*20170306*" /stext=" 09:.+((SYSTEM_STATE.+slice.+state.+changed )|(ment ac)|(multiple cpu faults)|(system.+state.+changed )|(\[timeout)|(PRM\|1\|D)|(kpr)|(kdp)|(\|lc)|(penalty))"</v>
      </c>
      <c r="AG237" s="1" t="str">
        <f t="shared" si="143"/>
        <v>Other</v>
      </c>
      <c r="AH237" s="86" t="str">
        <f t="shared" si="145"/>
        <v>"%USERPROFILE%\Documents\GitHub\eaglep3\Utilities\RefineRTDCRunTimes.py" --tripid 87-05 --locoid 4066 --swversion DE.1.0.9.0 --startMP 204:444 --initTime 2017-03-06T02:10:21 --startdatetime 2017-03-06T02:16:23 --delay 2 --endMP 300:23325 --enddatetime 2017-03-06T02:25:57 --enforcementcount 0 &gt;&gt;C:\Users\stu\Documents\GitHub\eaglep3-reporting\EC\2017-03-06-refined-times.txt</v>
      </c>
      <c r="AI237" s="108" t="str">
        <f t="shared" si="146"/>
        <v>echo {"issue":{"subject":"","project_id":79,"tracker_id":40,"status_id":1,"priority_id":2,"assigned_to_id":23,"start_date":"2017-03-06","description":"","custom_fields":[{"id":1,"name":"Subdivision","value":"Other"},{"id":4,"name":"Milepost","value":"2.3325"},{"id":17,"name":"Train ID","value":"87-05"},{"id":16,"name":"Locomotive ID","value":"4066"},{"id":130,"name":"Impact","value":""},{"id":150,"name":"Time of Event (Mountain Time)","value":"02:25:57"},{"id":151,"name":"Denver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147"/>
        <v>start /low /b %USERPROFILE%\Documents\GitHub\eaglep3\Utilities\DownloadLogsFromS3.py --loco 4066 --day 2017-03-06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"%USERPROFILE%\AppData\Local\Temp\OnboardLogs"\RTDC4066\*4066*20170306* | grep -SE "(Enforcement Action)|(\[TIMEOUT)|(CHR.+\|PRM\|1\|D.+(SWITCH|SIGNAL).+UNKNOWN)" - &gt;&gt; 2017-03-06-UncaughtWiMAX.txt</v>
      </c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58"/>
  <sortState ref="A13:AH200">
    <sortCondition ref="AG13:AG200"/>
    <sortCondition ref="AD13:AD200"/>
  </sortState>
  <mergeCells count="1">
    <mergeCell ref="A11:P11"/>
  </mergeCells>
  <conditionalFormatting sqref="W11:W12 W277:X1048576 W13:X142 W152:X237 W146:W151 W143:W144 X143:X151">
    <cfRule type="cellIs" dxfId="15" priority="363" operator="equal">
      <formula>"Y"</formula>
    </cfRule>
  </conditionalFormatting>
  <conditionalFormatting sqref="X277:X1048576 X13:X237">
    <cfRule type="cellIs" dxfId="14" priority="346" operator="greaterThan">
      <formula>1</formula>
    </cfRule>
  </conditionalFormatting>
  <conditionalFormatting sqref="X277:X1048576 X12:X237">
    <cfRule type="cellIs" dxfId="13" priority="343" operator="equal">
      <formula>0</formula>
    </cfRule>
  </conditionalFormatting>
  <conditionalFormatting sqref="A13:S144 A146:S237">
    <cfRule type="expression" dxfId="12" priority="337" stopIfTrue="1">
      <formula>$P13&gt;0</formula>
    </cfRule>
    <cfRule type="expression" dxfId="11" priority="338" stopIfTrue="1">
      <formula>$O13&gt;0</formula>
    </cfRule>
  </conditionalFormatting>
  <conditionalFormatting sqref="W145">
    <cfRule type="cellIs" dxfId="10" priority="7" operator="equal">
      <formula>"Y"</formula>
    </cfRule>
  </conditionalFormatting>
  <conditionalFormatting sqref="A145:S145">
    <cfRule type="expression" dxfId="9" priority="2" stopIfTrue="1">
      <formula>$P145&gt;0</formula>
    </cfRule>
    <cfRule type="expression" dxfId="8" priority="3" stopIfTrue="1">
      <formula>$O145&gt;0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A13:S144 A146:S237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A13:S144 A146:S237</xm:sqref>
        </x14:conditionalFormatting>
        <x14:conditionalFormatting xmlns:xm="http://schemas.microsoft.com/office/excel/2006/main">
          <x14:cfRule type="expression" priority="4" stopIfTrue="1" id="{C3C94336-DBC5-45D9-AA92-2FF07E07D106}">
            <xm:f>IF($AG145="EC",OR($N145&gt;Variables!$C$2,$N145&lt;Variables!$C$5),OR($N145&gt;Variables!$D$2,$N145&lt;Variables!$D$5))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A145:S145</xm:sqref>
        </x14:conditionalFormatting>
        <x14:conditionalFormatting xmlns:xm="http://schemas.microsoft.com/office/excel/2006/main">
          <x14:cfRule type="expression" priority="1" stopIfTrue="1" id="{37824C9E-65A1-4D14-8EFF-2D540319C976}">
            <xm:f>IF($AG145="EC",OR($N145&gt;Variables!#REF!,$N145&lt;Variables!#REF!),OR($N145&gt;Variables!#REF!,$N145&lt;Variables!#REF!))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A145:S145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5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52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- 2017-03-06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206</v>
      </c>
    </row>
    <row r="7" spans="1:32" s="1" customFormat="1" x14ac:dyDescent="0.25">
      <c r="A7" s="32">
        <v>42800.255532407406</v>
      </c>
      <c r="B7" s="30" t="s">
        <v>302</v>
      </c>
      <c r="C7" s="30" t="s">
        <v>553</v>
      </c>
      <c r="D7" s="30" t="s">
        <v>49</v>
      </c>
      <c r="E7" s="30" t="s">
        <v>195</v>
      </c>
      <c r="F7" s="43">
        <v>0</v>
      </c>
      <c r="G7" s="43">
        <v>181</v>
      </c>
      <c r="H7" s="43">
        <v>26932</v>
      </c>
      <c r="I7" s="43">
        <v>27171</v>
      </c>
      <c r="J7" s="30" t="s">
        <v>196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-62.304000000000002</v>
      </c>
      <c r="N7" s="145" t="str">
        <f>VLOOKUP(C7,'Trips&amp;Operators'!$C$1:$G$99999,5,FALSE)</f>
        <v>STARKS ANGELINA</v>
      </c>
      <c r="O7" s="194" t="s">
        <v>185</v>
      </c>
      <c r="P7" s="146" t="s">
        <v>991</v>
      </c>
      <c r="Q7" s="30"/>
      <c r="R7" s="89" t="str">
        <f>IF(VLOOKUP(C7,'Train Runs'!$A$13:$AE$9946,1,1)=C7,VLOOKUP(C7,'Train Runs'!$A$13:$AE$9946,31,1),NA())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7" s="92" t="str">
        <f>IF(VLOOKUP(C7,'Train Runs'!$A$13:$AE$9946,1,1)=C7,VLOOKUP(C7,'Train Runs'!$A$13:$AE$9946,22,1),NA())</f>
        <v>https://d0f6bd738d7f1b3e5a7ca70fe4ff75f0.us-east-1.aws.found.io/app/kibana#/discover/Steve-Slow-Train-Analysis-(2080s-and-2083s)?_g=(refreshInterval:(display:Off,pause:!f,section:0,value:0),time:(from:'2017-03-06T04:59:31-0700',mode:absolute,to:'2017-03-06T07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/stypes="*4020*201703061*" /stext=" 13:.+((SYSTEM_STATE.+slice.+state.+changed )|(ment ac)|(multiple cpu faults)|(system.+state.+changed )|(\[timeout)|(PRM\|1\|D)|(kpr)|(kdp)|(\|lc)|(penalty))"</v>
      </c>
      <c r="U7" s="9" t="str">
        <f t="shared" ref="U7:U38" si="2">MID(B7,13,4)</f>
        <v>4020</v>
      </c>
      <c r="V7" s="32">
        <f t="shared" ref="V7:V38" si="3">A7-utc_offset/24</f>
        <v>42800.54719907407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C","project_id":79,"tracker_id":40,"status_id":1,"priority_id":2,"assigned_to_id":23,"start_date":"2017-03-06","description":"","custom_fields":[{"id":1,"name":"Subdivision","value":"EC"},{"id":4,"name":"Milepost","value":"2.7053"},{"id":17,"name":"Train ID","value":"119-06"},{"id":16,"name":"Locomotive ID","value":"4020"},{"id":130,"name":"Impact","value":""},{"id":150,"name":"Time of Event (Mountain Time)","value":"06:07:58"},{"id":151,"name":"Denver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21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"%USERPROFILE%\AppData\Local\Temp\OnboardLogs"\RTDC4020\*4020*201703061*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"%USERPROFILE%\AppData\Local\Temp\OnboardLogs"\RTDC4020\*4020*201703061* &gt;&gt; 2017-03-06-SliceDisagreementCheck.txt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4020 --day 2017-03-06</v>
      </c>
    </row>
    <row r="8" spans="1:32" s="1" customFormat="1" x14ac:dyDescent="0.25">
      <c r="A8" s="32">
        <v>42800.401724537034</v>
      </c>
      <c r="B8" s="30" t="s">
        <v>302</v>
      </c>
      <c r="C8" s="30" t="s">
        <v>569</v>
      </c>
      <c r="D8" s="30" t="s">
        <v>49</v>
      </c>
      <c r="E8" s="30" t="s">
        <v>195</v>
      </c>
      <c r="F8" s="43">
        <v>0</v>
      </c>
      <c r="G8" s="43">
        <v>92</v>
      </c>
      <c r="H8" s="43">
        <v>30407</v>
      </c>
      <c r="I8" s="43">
        <v>30557</v>
      </c>
      <c r="J8" s="30" t="s">
        <v>196</v>
      </c>
      <c r="K8" s="43">
        <v>30830</v>
      </c>
      <c r="L8" s="143" t="s">
        <v>50</v>
      </c>
      <c r="M8" s="144">
        <f t="shared" si="0"/>
        <v>144.14400000000001</v>
      </c>
      <c r="N8" s="145" t="str">
        <f>VLOOKUP(C8,'Trips&amp;Operators'!$C$1:$G$99999,5,FALSE)</f>
        <v>STARKS ANGELINA</v>
      </c>
      <c r="O8" s="194" t="s">
        <v>185</v>
      </c>
      <c r="P8" s="146" t="s">
        <v>991</v>
      </c>
      <c r="Q8" s="30"/>
      <c r="R8" s="89" t="str">
        <f>IF(VLOOKUP(C8,'Train Runs'!$A$13:$AE$9946,1,1)=C8,VLOOKUP(C8,'Train Runs'!$A$13:$AE$9946,31,1),NA())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8" s="92" t="str">
        <f>IF(VLOOKUP(C8,'Train Runs'!$A$13:$AE$9946,1,1)=C8,VLOOKUP(C8,'Train Runs'!$A$13:$AE$9946,22,1),NA())</f>
        <v>https://d0f6bd738d7f1b3e5a7ca70fe4ff75f0.us-east-1.aws.found.io/app/kibana#/discover/Steve-Slow-Train-Analysis-(2080s-and-2083s)?_g=(refreshInterval:(display:Off,pause:!f,section:0,value:0),time:(from:'2017-03-06T08:24:22-0700',mode:absolute,to:'2017-03-06T11:08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94" t="str">
        <f t="shared" si="1"/>
        <v>"C:\Program Files (x86)\AstroGrep\AstroGrep.exe" /e /r /s /spath="%USERPROFILE%\AppData\Local\Temp\OnboardLogs" /stypes="*4020*201703061*" /stext=" 16:.+((SYSTEM_STATE.+slice.+state.+changed )|(ment ac)|(multiple cpu faults)|(system.+state.+changed )|(\[timeout)|(PRM\|1\|D)|(kpr)|(kdp)|(\|lc)|(penalty))"</v>
      </c>
      <c r="U8" s="9" t="str">
        <f t="shared" si="2"/>
        <v>4020</v>
      </c>
      <c r="V8" s="32">
        <f t="shared" si="3"/>
        <v>42800.693391203698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C","project_id":79,"tracker_id":40,"status_id":1,"priority_id":2,"assigned_to_id":23,"start_date":"2017-03-06","description":"","custom_fields":[{"id":1,"name":"Subdivision","value":"EC"},{"id":4,"name":"Milepost","value":"3.083"},{"id":17,"name":"Train ID","value":"147-06"},{"id":16,"name":"Locomotive ID","value":"4020"},{"id":130,"name":"Impact","value":""},{"id":150,"name":"Time of Event (Mountain Time)","value":"09:38:29"},{"id":151,"name":"Denver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"%USERPROFILE%\AppData\Local\Temp\OnboardLogs"\RTDC4020\*4020*201703061*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"%USERPROFILE%\AppData\Local\Temp\OnboardLogs"\RTDC4020\*4020*201703061* &gt;&gt; 2017-03-06-SliceDisagreementCheck.txt</v>
      </c>
      <c r="AE8" s="157" t="str">
        <f t="shared" ref="AE8:AE63" si="9">"start /low /b "&amp;dls3logs&amp;" --loco "&amp;U8&amp;" --day "&amp;TEXT(V8,"YYYY-MM-DD")</f>
        <v>start /low /b %USERPROFILE%\Documents\GitHub\eaglep3\Utilities\DownloadLogsFromS3.py --loco 4020 --day 2017-03-06</v>
      </c>
    </row>
    <row r="9" spans="1:32" s="1" customFormat="1" x14ac:dyDescent="0.25">
      <c r="A9" s="32">
        <v>42800.360914351855</v>
      </c>
      <c r="B9" s="30" t="s">
        <v>300</v>
      </c>
      <c r="C9" s="30" t="s">
        <v>568</v>
      </c>
      <c r="D9" s="30" t="s">
        <v>49</v>
      </c>
      <c r="E9" s="30" t="s">
        <v>195</v>
      </c>
      <c r="F9" s="43">
        <v>350</v>
      </c>
      <c r="G9" s="43">
        <v>401</v>
      </c>
      <c r="H9" s="43">
        <v>32506</v>
      </c>
      <c r="I9" s="43">
        <v>33297</v>
      </c>
      <c r="J9" s="30" t="s">
        <v>196</v>
      </c>
      <c r="K9" s="43">
        <v>33137</v>
      </c>
      <c r="L9" s="143" t="s">
        <v>50</v>
      </c>
      <c r="M9" s="144">
        <f t="shared" si="0"/>
        <v>-84.48</v>
      </c>
      <c r="N9" s="145" t="str">
        <f>VLOOKUP(C9,'Trips&amp;Operators'!$C$1:$G$99999,5,FALSE)</f>
        <v>YORK EDGAR</v>
      </c>
      <c r="O9" s="194" t="s">
        <v>185</v>
      </c>
      <c r="P9" s="146" t="s">
        <v>278</v>
      </c>
      <c r="Q9" s="30"/>
      <c r="R9" s="89" t="str">
        <f>IF(VLOOKUP(C9,'Train Runs'!$A$13:$AE$9946,1,1)=C9,VLOOKUP(C9,'Train Runs'!$A$13:$AE$9946,31,1),NA())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S9" s="92" t="str">
        <f>IF(VLOOKUP(C9,'Train Runs'!$A$13:$AE$9946,1,1)=C9,VLOOKUP(C9,'Train Runs'!$A$13:$AE$9946,22,1),NA())</f>
        <v>https://d0f6bd738d7f1b3e5a7ca70fe4ff75f0.us-east-1.aws.found.io/app/kibana#/discover/Steve-Slow-Train-Analysis-(2080s-and-2083s)?_g=(refreshInterval:(display:Off,pause:!f,section:0,value:0),time:(from:'2017-03-06T07:24:56-0700',mode:absolute,to:'2017-03-06T10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9" s="94" t="str">
        <f t="shared" si="1"/>
        <v>"C:\Program Files (x86)\AstroGrep\AstroGrep.exe" /e /r /s /spath="%USERPROFILE%\AppData\Local\Temp\OnboardLogs" /stypes="*4002*201703061*" /stext=" 15:.+((SYSTEM_STATE.+slice.+state.+changed )|(ment ac)|(multiple cpu faults)|(system.+state.+changed )|(\[timeout)|(PRM\|1\|D)|(kpr)|(kdp)|(\|lc)|(penalty))"</v>
      </c>
      <c r="U9" s="9" t="str">
        <f t="shared" si="2"/>
        <v>4002</v>
      </c>
      <c r="V9" s="32">
        <f t="shared" si="3"/>
        <v>42800.652581018519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arrival","project_id":79,"tracker_id":40,"status_id":1,"priority_id":2,"assigned_to_id":23,"start_date":"2017-03-06","description":"","custom_fields":[{"id":1,"name":"Subdivision","value":"EC"},{"id":4,"name":"Milepost","value":"3.3137"},{"id":17,"name":"Train ID","value":"139-06"},{"id":16,"name":"Locomotive ID","value":"4002"},{"id":130,"name":"Impact","value":""},{"id":150,"name":"Time of Event (Mountain Time)","value":"08:39:43"},{"id":151,"name":"Denver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"%USERPROFILE%\AppData\Local\Temp\OnboardLogs"\RTDC4002\*4002*201703061*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"%USERPROFILE%\AppData\Local\Temp\OnboardLogs"\RTDC4002\*4002*201703061* &gt;&gt; 2017-03-06-SliceDisagreementCheck.txt</v>
      </c>
      <c r="AE9" s="157" t="str">
        <f t="shared" si="9"/>
        <v>start /low /b %USERPROFILE%\Documents\GitHub\eaglep3\Utilities\DownloadLogsFromS3.py --loco 4002 --day 2017-03-06</v>
      </c>
    </row>
    <row r="10" spans="1:32" s="1" customFormat="1" x14ac:dyDescent="0.25">
      <c r="A10" s="32">
        <v>42800.490185185183</v>
      </c>
      <c r="B10" s="30" t="s">
        <v>501</v>
      </c>
      <c r="C10" s="30" t="s">
        <v>577</v>
      </c>
      <c r="D10" s="30" t="s">
        <v>49</v>
      </c>
      <c r="E10" s="30" t="s">
        <v>195</v>
      </c>
      <c r="F10" s="43">
        <v>0</v>
      </c>
      <c r="G10" s="43">
        <v>156</v>
      </c>
      <c r="H10" s="43">
        <v>57383</v>
      </c>
      <c r="I10" s="43">
        <v>57646</v>
      </c>
      <c r="J10" s="30" t="s">
        <v>196</v>
      </c>
      <c r="K10" s="43">
        <v>58117</v>
      </c>
      <c r="L10" s="143" t="s">
        <v>50</v>
      </c>
      <c r="M10" s="144">
        <f t="shared" si="0"/>
        <v>248.68799999999999</v>
      </c>
      <c r="N10" s="145" t="str">
        <f>VLOOKUP(C10,'Trips&amp;Operators'!$C$1:$G$99999,5,FALSE)</f>
        <v>CLARK KATHLEEN</v>
      </c>
      <c r="O10" s="194" t="s">
        <v>185</v>
      </c>
      <c r="P10" s="146" t="s">
        <v>991</v>
      </c>
      <c r="Q10" s="30"/>
      <c r="R10" s="89" t="str">
        <f>IF(VLOOKUP(C10,'Train Runs'!$A$13:$AE$9946,1,1)=C10,VLOOKUP(C10,'Train Runs'!$A$13:$AE$9946,31,1),NA())</f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S10" s="92" t="str">
        <f>IF(VLOOKUP(C10,'Train Runs'!$A$13:$AE$9946,1,1)=C10,VLOOKUP(C10,'Train Runs'!$A$13:$AE$9946,22,1),NA())</f>
        <v>https://d0f6bd738d7f1b3e5a7ca70fe4ff75f0.us-east-1.aws.found.io/app/kibana#/discover/Steve-Slow-Train-Analysis-(2080s-and-2083s)?_g=(refreshInterval:(display:Off,pause:!f,section:0,value:0),time:(from:'2017-03-06T10:27:52-0700',mode:absolute,to:'2017-03-06T13:12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94" t="str">
        <f t="shared" si="1"/>
        <v>"C:\Program Files (x86)\AstroGrep\AstroGrep.exe" /e /r /s /spath="%USERPROFILE%\AppData\Local\Temp\OnboardLogs" /stypes="*4009*201703061*" /stext=" 18:.+((SYSTEM_STATE.+slice.+state.+changed )|(ment ac)|(multiple cpu faults)|(system.+state.+changed )|(\[timeout)|(PRM\|1\|D)|(kpr)|(kdp)|(\|lc)|(penalty))"</v>
      </c>
      <c r="U10" s="9" t="str">
        <f t="shared" si="2"/>
        <v>4009</v>
      </c>
      <c r="V10" s="32">
        <f t="shared" si="3"/>
        <v>42800.781851851847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C","project_id":79,"tracker_id":40,"status_id":1,"priority_id":2,"assigned_to_id":23,"start_date":"2017-03-06","description":"","custom_fields":[{"id":1,"name":"Subdivision","value":"EC"},{"id":4,"name":"Milepost","value":"5.8117"},{"id":17,"name":"Train ID","value":"163-06"},{"id":16,"name":"Locomotive ID","value":"4009"},{"id":130,"name":"Impact","value":""},{"id":150,"name":"Time of Event (Mountain Time)","value":"11:45:52"},{"id":151,"name":"Denver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"%USERPROFILE%\AppData\Local\Temp\OnboardLogs"\RTDC4009\*4009*201703061*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"%USERPROFILE%\AppData\Local\Temp\OnboardLogs"\RTDC4009\*4009*201703061* &gt;&gt; 2017-03-06-SliceDisagreementCheck.txt</v>
      </c>
      <c r="AE10" s="157" t="str">
        <f t="shared" si="9"/>
        <v>start /low /b %USERPROFILE%\Documents\GitHub\eaglep3\Utilities\DownloadLogsFromS3.py --loco 4009 --day 2017-03-06</v>
      </c>
    </row>
    <row r="11" spans="1:32" s="1" customFormat="1" x14ac:dyDescent="0.25">
      <c r="A11" s="32">
        <v>42800.541446759256</v>
      </c>
      <c r="B11" s="30" t="s">
        <v>212</v>
      </c>
      <c r="C11" s="30" t="s">
        <v>579</v>
      </c>
      <c r="D11" s="30" t="s">
        <v>49</v>
      </c>
      <c r="E11" s="30" t="s">
        <v>195</v>
      </c>
      <c r="F11" s="43">
        <v>0</v>
      </c>
      <c r="G11" s="43">
        <v>448</v>
      </c>
      <c r="H11" s="43">
        <v>62652</v>
      </c>
      <c r="I11" s="43">
        <v>63752</v>
      </c>
      <c r="J11" s="30" t="s">
        <v>196</v>
      </c>
      <c r="K11" s="43">
        <v>63069</v>
      </c>
      <c r="L11" s="143" t="s">
        <v>50</v>
      </c>
      <c r="M11" s="144">
        <f t="shared" si="0"/>
        <v>-360.62400000000002</v>
      </c>
      <c r="N11" s="145" t="str">
        <f>VLOOKUP(C11,'Trips&amp;Operators'!$C$1:$G$99999,5,FALSE)</f>
        <v>STEWART MICHAEL</v>
      </c>
      <c r="O11" s="194" t="s">
        <v>185</v>
      </c>
      <c r="P11" s="146" t="s">
        <v>278</v>
      </c>
      <c r="Q11" s="30"/>
      <c r="R11" s="89" t="str">
        <f>IF(VLOOKUP(C11,'Train Runs'!$A$13:$AE$9946,1,1)=C11,VLOOKUP(C11,'Train Runs'!$A$13:$AE$9946,31,1),NA())</f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S11" s="92" t="str">
        <f>IF(VLOOKUP(C11,'Train Runs'!$A$13:$AE$9946,1,1)=C11,VLOOKUP(C11,'Train Runs'!$A$13:$AE$9946,22,1),NA())</f>
        <v>https://d0f6bd738d7f1b3e5a7ca70fe4ff75f0.us-east-1.aws.found.io/app/kibana#/discover/Steve-Slow-Train-Analysis-(2080s-and-2083s)?_g=(refreshInterval:(display:Off,pause:!f,section:0,value:0),time:(from:'2017-03-06T11:43:50-0700',mode:absolute,to:'2017-03-06T14:30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1" s="94" t="str">
        <f t="shared" si="1"/>
        <v>"C:\Program Files (x86)\AstroGrep\AstroGrep.exe" /e /r /s /spath="%USERPROFILE%\AppData\Local\Temp\OnboardLogs" /stypes="*4046*201703061*" /stext=" 19:.+((SYSTEM_STATE.+slice.+state.+changed )|(ment ac)|(multiple cpu faults)|(system.+state.+changed )|(\[timeout)|(PRM\|1\|D)|(kpr)|(kdp)|(\|lc)|(penalty))"</v>
      </c>
      <c r="U11" s="9" t="str">
        <f t="shared" si="2"/>
        <v>4046</v>
      </c>
      <c r="V11" s="32">
        <f t="shared" si="3"/>
        <v>42800.833113425921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arrival","project_id":79,"tracker_id":40,"status_id":1,"priority_id":2,"assigned_to_id":23,"start_date":"2017-03-06","description":"","custom_fields":[{"id":1,"name":"Subdivision","value":"EC"},{"id":4,"name":"Milepost","value":"6.3069"},{"id":17,"name":"Train ID","value":"173-06"},{"id":16,"name":"Locomotive ID","value":"4046"},{"id":130,"name":"Impact","value":""},{"id":150,"name":"Time of Event (Mountain Time)","value":"12:59:41"},{"id":151,"name":"Denver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"%USERPROFILE%\AppData\Local\Temp\OnboardLogs"\RTDC4046\*4046*201703061*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"%USERPROFILE%\AppData\Local\Temp\OnboardLogs"\RTDC4046\*4046*201703061* &gt;&gt; 2017-03-06-SliceDisagreementCheck.txt</v>
      </c>
      <c r="AE11" s="157" t="str">
        <f t="shared" si="9"/>
        <v>start /low /b %USERPROFILE%\Documents\GitHub\eaglep3\Utilities\DownloadLogsFromS3.py --loco 4046 --day 2017-03-06</v>
      </c>
    </row>
    <row r="12" spans="1:32" s="1" customFormat="1" x14ac:dyDescent="0.25">
      <c r="A12" s="32">
        <v>42800.968460648146</v>
      </c>
      <c r="B12" s="30" t="s">
        <v>482</v>
      </c>
      <c r="C12" s="30" t="s">
        <v>601</v>
      </c>
      <c r="D12" s="30" t="s">
        <v>49</v>
      </c>
      <c r="E12" s="30" t="s">
        <v>195</v>
      </c>
      <c r="F12" s="43">
        <v>430</v>
      </c>
      <c r="G12" s="43">
        <v>513</v>
      </c>
      <c r="H12" s="43">
        <v>62005</v>
      </c>
      <c r="I12" s="43">
        <v>63668</v>
      </c>
      <c r="J12" s="30" t="s">
        <v>196</v>
      </c>
      <c r="K12" s="43">
        <v>63069</v>
      </c>
      <c r="L12" s="143" t="s">
        <v>50</v>
      </c>
      <c r="M12" s="144">
        <f t="shared" si="0"/>
        <v>-316.27199999999999</v>
      </c>
      <c r="N12" s="145" t="str">
        <f>VLOOKUP(C12,'Trips&amp;Operators'!$C$1:$G$99999,5,FALSE)</f>
        <v>CHANDLER KELVIN</v>
      </c>
      <c r="O12" s="194" t="s">
        <v>185</v>
      </c>
      <c r="P12" s="146" t="s">
        <v>278</v>
      </c>
      <c r="Q12" s="30"/>
      <c r="R12" s="89" t="str">
        <f>IF(VLOOKUP(C12,'Train Runs'!$A$13:$AE$9946,1,1)=C12,VLOOKUP(C12,'Train Runs'!$A$13:$AE$9946,31,1),NA())</f>
        <v>aws s3 cp s3://rtdc.mdm.uploadarchive.raw/RTDC4029/ "%USERPROFILE%\AppData\Local\Temp\OnboardLogs"\RTDC4029\2017-03-06 --exclude "*" --recursive --include "*20170306*" &amp; "%USERPROFILE%\Documents\GitHub\mrs-test-scripts\Headless Mode &amp; Sideloading\WalkAndUnGZ.bat" "%USERPROFILE%\AppData\Local\Temp\OnboardLogs"\RTDC4029\2017-03-06 &amp; aws s3 cp s3://rtdc.mdm.uploadarchive.raw/RTDC4029/ "%USERPROFILE%\AppData\Local\Temp\OnboardLogs"\RTDC4029\2017-03-07 --exclude "*" --recursive --include "*20170307*" &amp; "%USERPROFILE%\Documents\GitHub\mrs-test-scripts\Headless Mode &amp; Sideloading\WalkAndUnGZ.bat" "%USERPROFILE%\AppData\Local\Temp\OnboardLogs"\RTDC4029\2017-03-07</v>
      </c>
      <c r="S12" s="92" t="str">
        <f>IF(VLOOKUP(C12,'Train Runs'!$A$13:$AE$9946,1,1)=C12,VLOOKUP(C12,'Train Runs'!$A$13:$AE$9946,22,1),NA())</f>
        <v>https://d0f6bd738d7f1b3e5a7ca70fe4ff75f0.us-east-1.aws.found.io/app/kibana#/discover/Steve-Slow-Train-Analysis-(2080s-and-2083s)?_g=(refreshInterval:(display:Off,pause:!f,section:0,value:0),time:(from:'2017-03-06T21:54:00-0700',mode:absolute,to:'2017-03-07T00:48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 t="shared" si="1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)|(\[timeout)|(PRM\|1\|D)|(kpr)|(kdp)|(\|lc)|(penalty))"</v>
      </c>
      <c r="U12" s="9" t="str">
        <f t="shared" si="2"/>
        <v>4029</v>
      </c>
      <c r="V12" s="32">
        <f t="shared" si="3"/>
        <v>42801.26012731481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arrival","project_id":79,"tracker_id":40,"status_id":1,"priority_id":2,"assigned_to_id":23,"start_date":"2017-03-06","description":"","custom_fields":[{"id":1,"name":"Subdivision","value":"EC"},{"id":4,"name":"Milepost","value":"6.3069"},{"id":17,"name":"Train ID","value":"237-06"},{"id":16,"name":"Locomotive ID","value":"4029"},{"id":130,"name":"Impact","value":""},{"id":150,"name":"Time of Event (Mountain Time)","value":"23:14:35"},{"id":151,"name":"Denver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"%USERPROFILE%\AppData\Local\Temp\OnboardLogs"\RTDC4029\*4029*201703070*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"%USERPROFILE%\AppData\Local\Temp\OnboardLogs"\RTDC4029\*4029*201703070* &gt;&gt; 2017-03-06-SliceDisagreementCheck.txt</v>
      </c>
      <c r="AE12" s="157" t="str">
        <f t="shared" si="9"/>
        <v>start /low /b %USERPROFILE%\Documents\GitHub\eaglep3\Utilities\DownloadLogsFromS3.py --loco 4029 --day 2017-03-07</v>
      </c>
    </row>
    <row r="13" spans="1:32" s="1" customFormat="1" x14ac:dyDescent="0.25">
      <c r="A13" s="32">
        <v>42800.410787037035</v>
      </c>
      <c r="B13" s="30" t="s">
        <v>504</v>
      </c>
      <c r="C13" s="30" t="s">
        <v>570</v>
      </c>
      <c r="D13" s="30" t="s">
        <v>49</v>
      </c>
      <c r="E13" s="30" t="s">
        <v>195</v>
      </c>
      <c r="F13" s="43">
        <v>100</v>
      </c>
      <c r="G13" s="43">
        <v>440</v>
      </c>
      <c r="H13" s="43">
        <v>65785</v>
      </c>
      <c r="I13" s="43">
        <v>64576</v>
      </c>
      <c r="J13" s="30" t="s">
        <v>196</v>
      </c>
      <c r="K13" s="43">
        <v>63309</v>
      </c>
      <c r="L13" s="143" t="s">
        <v>51</v>
      </c>
      <c r="M13" s="144">
        <f t="shared" si="0"/>
        <v>668.976</v>
      </c>
      <c r="N13" s="145" t="str">
        <f>VLOOKUP(C13,'Trips&amp;Operators'!$C$1:$G$99999,5,FALSE)</f>
        <v>YORK EDGAR</v>
      </c>
      <c r="O13" s="194" t="s">
        <v>185</v>
      </c>
      <c r="P13" s="146" t="s">
        <v>278</v>
      </c>
      <c r="Q13" s="30"/>
      <c r="R13" s="89" t="str">
        <f>IF(VLOOKUP(C13,'Train Runs'!$A$13:$AE$9946,1,1)=C13,VLOOKUP(C13,'Train Runs'!$A$13:$AE$9946,31,1),NA())</f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S13" s="92" t="str">
        <f>IF(VLOOKUP(C13,'Train Runs'!$A$13:$AE$9946,1,1)=C13,VLOOKUP(C13,'Train Runs'!$A$13:$AE$9946,22,1),NA())</f>
        <v>https://d0f6bd738d7f1b3e5a7ca70fe4ff75f0.us-east-1.aws.found.io/app/kibana#/discover/Steve-Slow-Train-Analysis-(2080s-and-2083s)?_g=(refreshInterval:(display:Off,pause:!f,section:0,value:0),time:(from:'2017-03-06T08:08:10-0700',mode:absolute,to:'2017-03-06T11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94" t="str">
        <f t="shared" si="1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)|(\[timeout)|(PRM\|1\|D)|(kpr)|(kdp)|(\|lc)|(penalty))"</v>
      </c>
      <c r="U13" s="9" t="str">
        <f t="shared" si="2"/>
        <v>4001</v>
      </c>
      <c r="V13" s="32">
        <f t="shared" si="3"/>
        <v>42800.7024537037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arrival","project_id":79,"tracker_id":40,"status_id":1,"priority_id":2,"assigned_to_id":23,"start_date":"2017-03-06","description":"","custom_fields":[{"id":1,"name":"Subdivision","value":"EC"},{"id":4,"name":"Milepost","value":"6.3309"},{"id":17,"name":"Train ID","value":"140-06"},{"id":16,"name":"Locomotive ID","value":"4001"},{"id":130,"name":"Impact","value":""},{"id":150,"name":"Time of Event (Mountain Time)","value":"09:51:32"},{"id":151,"name":"Denver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"%USERPROFILE%\AppData\Local\Temp\OnboardLogs"\RTDC4001\*4001*201703061*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"%USERPROFILE%\AppData\Local\Temp\OnboardLogs"\RTDC4001\*4001*201703061* &gt;&gt; 2017-03-06-SliceDisagreementCheck.txt</v>
      </c>
      <c r="AE13" s="157" t="str">
        <f t="shared" si="9"/>
        <v>start /low /b %USERPROFILE%\Documents\GitHub\eaglep3\Utilities\DownloadLogsFromS3.py --loco 4001 --day 2017-03-06</v>
      </c>
    </row>
    <row r="14" spans="1:32" x14ac:dyDescent="0.25">
      <c r="A14" s="32">
        <v>42800.821782407409</v>
      </c>
      <c r="B14" s="30" t="s">
        <v>450</v>
      </c>
      <c r="C14" s="30" t="s">
        <v>599</v>
      </c>
      <c r="D14" s="30" t="s">
        <v>49</v>
      </c>
      <c r="E14" s="30" t="s">
        <v>195</v>
      </c>
      <c r="F14" s="43">
        <v>0</v>
      </c>
      <c r="G14" s="43">
        <v>208</v>
      </c>
      <c r="H14" s="43">
        <v>79138</v>
      </c>
      <c r="I14" s="43">
        <v>78752</v>
      </c>
      <c r="J14" s="30" t="s">
        <v>196</v>
      </c>
      <c r="K14" s="43">
        <v>78469</v>
      </c>
      <c r="L14" s="143" t="s">
        <v>51</v>
      </c>
      <c r="M14" s="144">
        <f t="shared" si="0"/>
        <v>149.42400000000001</v>
      </c>
      <c r="N14" s="145" t="str">
        <f>VLOOKUP(C14,'Trips&amp;Operators'!$C$1:$G$99999,5,FALSE)</f>
        <v>STAMBAUGH JAMES</v>
      </c>
      <c r="O14" s="194" t="s">
        <v>185</v>
      </c>
      <c r="P14" s="146" t="s">
        <v>991</v>
      </c>
      <c r="Q14" s="30"/>
      <c r="R14" s="89" t="str">
        <f>IF(VLOOKUP(C14,'Train Runs'!$A$13:$AE$9946,1,1)=C14,VLOOKUP(C14,'Train Runs'!$A$13:$AE$9946,31,1),NA())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14" s="92" t="str">
        <f>IF(VLOOKUP(C14,'Train Runs'!$A$13:$AE$9946,1,1)=C14,VLOOKUP(C14,'Train Runs'!$A$13:$AE$9946,22,1),NA())</f>
        <v>https://d0f6bd738d7f1b3e5a7ca70fe4ff75f0.us-east-1.aws.found.io/app/kibana#/discover/Steve-Slow-Train-Analysis-(2080s-and-2083s)?_g=(refreshInterval:(display:Off,pause:!f,section:0,value:0),time:(from:'2017-03-06T18:06:41-0700',mode:absolute,to:'2017-03-06T21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94" t="str">
        <f t="shared" si="1"/>
        <v>"C:\Program Files (x86)\AstroGrep\AstroGrep.exe" /e /r /s /spath="%USERPROFILE%\AppData\Local\Temp\OnboardLogs" /stypes="*4052*201703070*" /stext=" 02:.+((SYSTEM_STATE.+slice.+state.+changed )|(ment ac)|(multiple cpu faults)|(system.+state.+changed )|(\[timeout)|(PRM\|1\|D)|(kpr)|(kdp)|(\|lc)|(penalty))"</v>
      </c>
      <c r="U14" s="9" t="str">
        <f t="shared" si="2"/>
        <v>4052</v>
      </c>
      <c r="V14" s="32">
        <f t="shared" si="3"/>
        <v>42801.113449074073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C","project_id":79,"tracker_id":40,"status_id":1,"priority_id":2,"assigned_to_id":23,"start_date":"2017-03-06","description":"","custom_fields":[{"id":1,"name":"Subdivision","value":"EC"},{"id":4,"name":"Milepost","value":"7.8469"},{"id":17,"name":"Train ID","value":"218-06"},{"id":16,"name":"Locomotive ID","value":"4052"},{"id":130,"name":"Impact","value":""},{"id":150,"name":"Time of Event (Mountain Time)","value":"19:43:22"},{"id":151,"name":"Denver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"%USERPROFILE%\AppData\Local\Temp\OnboardLogs"\RTDC4052\*4052*201703070*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"%USERPROFILE%\AppData\Local\Temp\OnboardLogs"\RTDC4052\*4052*201703070* &gt;&gt; 2017-03-06-SliceDisagreementCheck.txt</v>
      </c>
      <c r="AE14" s="157" t="str">
        <f t="shared" si="9"/>
        <v>start /low /b %USERPROFILE%\Documents\GitHub\eaglep3\Utilities\DownloadLogsFromS3.py --loco 4052 --day 2017-03-07</v>
      </c>
      <c r="AF14" s="1"/>
    </row>
    <row r="15" spans="1:32" x14ac:dyDescent="0.25">
      <c r="A15" s="32">
        <v>42800.450497685182</v>
      </c>
      <c r="B15" s="30" t="s">
        <v>451</v>
      </c>
      <c r="C15" s="30" t="s">
        <v>572</v>
      </c>
      <c r="D15" s="30" t="s">
        <v>49</v>
      </c>
      <c r="E15" s="30" t="s">
        <v>195</v>
      </c>
      <c r="F15" s="43">
        <v>480</v>
      </c>
      <c r="G15" s="43">
        <v>628</v>
      </c>
      <c r="H15" s="43">
        <v>79607</v>
      </c>
      <c r="I15" s="43">
        <v>77286</v>
      </c>
      <c r="J15" s="30" t="s">
        <v>196</v>
      </c>
      <c r="K15" s="43">
        <v>78469</v>
      </c>
      <c r="L15" s="143" t="s">
        <v>51</v>
      </c>
      <c r="M15" s="144">
        <f t="shared" si="0"/>
        <v>-624.62400000000002</v>
      </c>
      <c r="N15" s="145" t="str">
        <f>VLOOKUP(C15,'Trips&amp;Operators'!$C$1:$G$99999,5,FALSE)</f>
        <v>STARKS ANGELINA</v>
      </c>
      <c r="O15" s="194" t="s">
        <v>185</v>
      </c>
      <c r="P15" s="146" t="s">
        <v>278</v>
      </c>
      <c r="Q15" s="30"/>
      <c r="R15" s="89" t="str">
        <f>IF(VLOOKUP(C15,'Train Runs'!$A$13:$AE$9946,1,1)=C15,VLOOKUP(C15,'Train Runs'!$A$13:$AE$9946,31,1),NA())</f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S15" s="92" t="str">
        <f>IF(VLOOKUP(C15,'Train Runs'!$A$13:$AE$9946,1,1)=C15,VLOOKUP(C15,'Train Runs'!$A$13:$AE$9946,22,1),NA())</f>
        <v>https://d0f6bd738d7f1b3e5a7ca70fe4ff75f0.us-east-1.aws.found.io/app/kibana#/discover/Steve-Slow-Train-Analysis-(2080s-and-2083s)?_g=(refreshInterval:(display:Off,pause:!f,section:0,value:0),time:(from:'2017-03-06T09:22:53-0700',mode:absolute,to:'2017-03-06T12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94" t="str">
        <f t="shared" si="1"/>
        <v>"C:\Program Files (x86)\AstroGrep\AstroGrep.exe" /e /r /s /spath="%USERPROFILE%\AppData\Local\Temp\OnboardLogs" /stypes="*4019*201703061*" /stext=" 17:.+((SYSTEM_STATE.+slice.+state.+changed )|(ment ac)|(multiple cpu faults)|(system.+state.+changed )|(\[timeout)|(PRM\|1\|D)|(kpr)|(kdp)|(\|lc)|(penalty))"</v>
      </c>
      <c r="U15" s="9" t="str">
        <f t="shared" si="2"/>
        <v>4019</v>
      </c>
      <c r="V15" s="32">
        <f t="shared" si="3"/>
        <v>42800.742164351846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arrival","project_id":79,"tracker_id":40,"status_id":1,"priority_id":2,"assigned_to_id":23,"start_date":"2017-03-06","description":"","custom_fields":[{"id":1,"name":"Subdivision","value":"EC"},{"id":4,"name":"Milepost","value":"7.8469"},{"id":17,"name":"Train ID","value":"148-06"},{"id":16,"name":"Locomotive ID","value":"4019"},{"id":130,"name":"Impact","value":""},{"id":150,"name":"Time of Event (Mountain Time)","value":"10:48:43"},{"id":151,"name":"Denver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"%USERPROFILE%\AppData\Local\Temp\OnboardLogs"\RTDC4019\*4019*201703061*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"%USERPROFILE%\AppData\Local\Temp\OnboardLogs"\RTDC4019\*4019*201703061* &gt;&gt; 2017-03-06-SliceDisagreementCheck.txt</v>
      </c>
      <c r="AE15" s="157" t="str">
        <f t="shared" si="9"/>
        <v>start /low /b %USERPROFILE%\Documents\GitHub\eaglep3\Utilities\DownloadLogsFromS3.py --loco 4019 --day 2017-03-06</v>
      </c>
      <c r="AF15" s="1"/>
    </row>
    <row r="16" spans="1:32" x14ac:dyDescent="0.25">
      <c r="A16" s="32">
        <v>42800.170555555553</v>
      </c>
      <c r="B16" s="30" t="s">
        <v>454</v>
      </c>
      <c r="C16" s="30" t="s">
        <v>550</v>
      </c>
      <c r="D16" s="30" t="s">
        <v>49</v>
      </c>
      <c r="E16" s="30" t="s">
        <v>195</v>
      </c>
      <c r="F16" s="43">
        <v>0</v>
      </c>
      <c r="G16" s="43">
        <v>204</v>
      </c>
      <c r="H16" s="43">
        <v>102789</v>
      </c>
      <c r="I16" s="43">
        <v>103098</v>
      </c>
      <c r="J16" s="30" t="s">
        <v>196</v>
      </c>
      <c r="K16" s="43">
        <v>103738</v>
      </c>
      <c r="L16" s="143" t="s">
        <v>50</v>
      </c>
      <c r="M16" s="144">
        <f t="shared" si="0"/>
        <v>337.92</v>
      </c>
      <c r="N16" s="145" t="str">
        <f>VLOOKUP(C16,'Trips&amp;Operators'!$C$1:$G$99999,5,FALSE)</f>
        <v>MAELZER KURT</v>
      </c>
      <c r="O16" s="194" t="s">
        <v>185</v>
      </c>
      <c r="P16" s="146" t="s">
        <v>278</v>
      </c>
      <c r="Q16" s="30"/>
      <c r="R16" s="89" t="str">
        <f>IF(VLOOKUP(C16,'Train Runs'!$A$13:$AE$9946,1,1)=C16,VLOOKUP(C16,'Train Runs'!$A$13:$AE$9946,31,1),NA())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16" s="92" t="str">
        <f>IF(VLOOKUP(C16,'Train Runs'!$A$13:$AE$9946,1,1)=C16,VLOOKUP(C16,'Train Runs'!$A$13:$AE$9946,22,1),NA())</f>
        <v>https://d0f6bd738d7f1b3e5a7ca70fe4ff75f0.us-east-1.aws.found.io/app/kibana#/discover/Steve-Slow-Train-Analysis-(2080s-and-2083s)?_g=(refreshInterval:(display:Off,pause:!f,section:0,value:0),time:(from:'2017-03-06T02:38:12-0700',mode:absolute,to:'2017-03-06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94" t="str">
        <f t="shared" si="1"/>
        <v>"C:\Program Files (x86)\AstroGrep\AstroGrep.exe" /e /r /s /spath="%USERPROFILE%\AppData\Local\Temp\OnboardLogs" /stypes="*4003*201703061*" /stext=" 11:.+((SYSTEM_STATE.+slice.+state.+changed )|(ment ac)|(multiple cpu faults)|(system.+state.+changed )|(\[timeout)|(PRM\|1\|D)|(kpr)|(kdp)|(\|lc)|(penalty))"</v>
      </c>
      <c r="U16" s="9" t="str">
        <f t="shared" si="2"/>
        <v>4003</v>
      </c>
      <c r="V16" s="32">
        <f t="shared" si="3"/>
        <v>42800.462222222217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arrival","project_id":79,"tracker_id":40,"status_id":1,"priority_id":2,"assigned_to_id":23,"start_date":"2017-03-06","description":"","custom_fields":[{"id":1,"name":"Subdivision","value":"EC"},{"id":4,"name":"Milepost","value":"10.3738"},{"id":17,"name":"Train ID","value":"103-06"},{"id":16,"name":"Locomotive ID","value":"4003"},{"id":130,"name":"Impact","value":""},{"id":150,"name":"Time of Event (Mountain Time)","value":"04:05:36"},{"id":151,"name":"Denver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"%USERPROFILE%\AppData\Local\Temp\OnboardLogs"\RTDC4003\*4003*201703061*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"%USERPROFILE%\AppData\Local\Temp\OnboardLogs"\RTDC4003\*4003*201703061* &gt;&gt; 2017-03-06-SliceDisagreementCheck.txt</v>
      </c>
      <c r="AE16" s="157" t="str">
        <f t="shared" si="9"/>
        <v>start /low /b %USERPROFILE%\Documents\GitHub\eaglep3\Utilities\DownloadLogsFromS3.py --loco 4003 --day 2017-03-06</v>
      </c>
      <c r="AF16" s="1"/>
    </row>
    <row r="17" spans="1:32" x14ac:dyDescent="0.25">
      <c r="A17" s="32">
        <v>42800.306666666664</v>
      </c>
      <c r="B17" s="30" t="s">
        <v>451</v>
      </c>
      <c r="C17" s="30" t="s">
        <v>561</v>
      </c>
      <c r="D17" s="30" t="s">
        <v>49</v>
      </c>
      <c r="E17" s="30" t="s">
        <v>195</v>
      </c>
      <c r="F17" s="43">
        <v>0</v>
      </c>
      <c r="G17" s="43">
        <v>60</v>
      </c>
      <c r="H17" s="43">
        <v>104072</v>
      </c>
      <c r="I17" s="43">
        <v>103959</v>
      </c>
      <c r="J17" s="30" t="s">
        <v>196</v>
      </c>
      <c r="K17" s="43">
        <v>103800</v>
      </c>
      <c r="L17" s="143" t="s">
        <v>51</v>
      </c>
      <c r="M17" s="144">
        <f t="shared" si="0"/>
        <v>83.951999999999998</v>
      </c>
      <c r="N17" s="145" t="str">
        <f>VLOOKUP(C17,'Trips&amp;Operators'!$C$1:$G$99999,5,FALSE)</f>
        <v>STARKS ANGELINA</v>
      </c>
      <c r="O17" s="194" t="s">
        <v>185</v>
      </c>
      <c r="P17" s="146" t="s">
        <v>991</v>
      </c>
      <c r="Q17" s="30"/>
      <c r="R17" s="89" t="str">
        <f>IF(VLOOKUP(C17,'Train Runs'!$A$13:$AE$9946,1,1)=C17,VLOOKUP(C17,'Train Runs'!$A$13:$AE$9946,31,1),NA())</f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S17" s="92" t="str">
        <f>IF(VLOOKUP(C17,'Train Runs'!$A$13:$AE$9946,1,1)=C17,VLOOKUP(C17,'Train Runs'!$A$13:$AE$9946,22,1),NA())</f>
        <v>https://d0f6bd738d7f1b3e5a7ca70fe4ff75f0.us-east-1.aws.found.io/app/kibana#/discover/Steve-Slow-Train-Analysis-(2080s-and-2083s)?_g=(refreshInterval:(display:Off,pause:!f,section:0,value:0),time:(from:'2017-03-06T05:53:26-0700',mode:absolute,to:'2017-03-06T08:45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94" t="str">
        <f t="shared" si="1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)|(\[timeout)|(PRM\|1\|D)|(kpr)|(kdp)|(\|lc)|(penalty))"</v>
      </c>
      <c r="U17" s="9" t="str">
        <f t="shared" si="2"/>
        <v>4019</v>
      </c>
      <c r="V17" s="32">
        <f t="shared" si="3"/>
        <v>42800.598333333328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{"issue":{"subject":"Form C","project_id":79,"tracker_id":40,"status_id":1,"priority_id":2,"assigned_to_id":23,"start_date":"2017-03-06","description":"","custom_fields":[{"id":1,"name":"Subdivision","value":"EC"},{"id":4,"name":"Milepost","value":"10.38"},{"id":17,"name":"Train ID","value":"120-06"},{"id":16,"name":"Locomotive ID","value":"4019"},{"id":130,"name":"Impact","value":""},{"id":150,"name":"Time of Event (Mountain Time)","value":"07:21:36"},{"id":151,"name":"Denver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"%USERPROFILE%\AppData\Local\Temp\OnboardLogs"\RTDC4019\*4019*201703061*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"%USERPROFILE%\AppData\Local\Temp\OnboardLogs"\RTDC4019\*4019*201703061* &gt;&gt; 2017-03-06-SliceDisagreementCheck.txt</v>
      </c>
      <c r="AE17" s="157" t="str">
        <f t="shared" si="9"/>
        <v>start /low /b %USERPROFILE%\Documents\GitHub\eaglep3\Utilities\DownloadLogsFromS3.py --loco 4019 --day 2017-03-06</v>
      </c>
      <c r="AF17" s="1"/>
    </row>
    <row r="18" spans="1:32" ht="15" customHeight="1" x14ac:dyDescent="0.25">
      <c r="A18" s="32">
        <v>42800.970601851855</v>
      </c>
      <c r="B18" s="30" t="s">
        <v>450</v>
      </c>
      <c r="C18" s="30" t="s">
        <v>602</v>
      </c>
      <c r="D18" s="30" t="s">
        <v>98</v>
      </c>
      <c r="E18" s="30" t="s">
        <v>195</v>
      </c>
      <c r="F18" s="43">
        <v>0</v>
      </c>
      <c r="G18" s="43">
        <v>68</v>
      </c>
      <c r="H18" s="43">
        <v>109118</v>
      </c>
      <c r="I18" s="43">
        <v>109085</v>
      </c>
      <c r="J18" s="30" t="s">
        <v>196</v>
      </c>
      <c r="K18" s="43">
        <v>109135</v>
      </c>
      <c r="L18" s="143" t="s">
        <v>51</v>
      </c>
      <c r="M18" s="144">
        <f t="shared" si="0"/>
        <v>-26.4</v>
      </c>
      <c r="N18" s="145" t="str">
        <f>VLOOKUP(C18,'Trips&amp;Operators'!$C$1:$G$99999,5,FALSE)</f>
        <v>STAMBAUGH JAMES</v>
      </c>
      <c r="O18" s="194" t="s">
        <v>185</v>
      </c>
      <c r="P18" s="146" t="s">
        <v>278</v>
      </c>
      <c r="Q18" s="30"/>
      <c r="R18" s="89" t="str">
        <f>IF(VLOOKUP(C18,'Train Runs'!$A$13:$AE$9946,1,1)=C18,VLOOKUP(C18,'Train Runs'!$A$13:$AE$9946,31,1),NA())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18" s="92" t="str">
        <f>IF(VLOOKUP(C18,'Train Runs'!$A$13:$AE$9946,1,1)=C18,VLOOKUP(C18,'Train Runs'!$A$13:$AE$9946,22,1),NA())</f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8" s="94" t="str">
        <f t="shared" si="1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)|(\[timeout)|(PRM\|1\|D)|(kpr)|(kdp)|(\|lc)|(penalty))"</v>
      </c>
      <c r="U18" s="9" t="str">
        <f t="shared" si="2"/>
        <v>4052</v>
      </c>
      <c r="V18" s="32">
        <f t="shared" si="3"/>
        <v>42801.26226851852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ID","value":"234-06"},{"id":16,"name":"Locomotive ID","value":"4052"},{"id":130,"name":"Impact","value":""},{"id":150,"name":"Time of Event (Mountain Time)","value":"23:17:40"},{"id":151,"name":"Denver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"%USERPROFILE%\AppData\Local\Temp\OnboardLogs"\RTDC4052\*4052*201703070*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"%USERPROFILE%\AppData\Local\Temp\OnboardLogs"\RTDC4052\*4052*201703070* &gt;&gt; 2017-03-06-SliceDisagreementCheck.txt</v>
      </c>
      <c r="AE18" s="157" t="str">
        <f t="shared" si="9"/>
        <v>start /low /b %USERPROFILE%\Documents\GitHub\eaglep3\Utilities\DownloadLogsFromS3.py --loco 4052 --day 2017-03-07</v>
      </c>
      <c r="AF18" s="1"/>
    </row>
    <row r="19" spans="1:32" x14ac:dyDescent="0.25">
      <c r="A19" s="32">
        <v>42800.479189814818</v>
      </c>
      <c r="B19" s="30" t="s">
        <v>504</v>
      </c>
      <c r="C19" s="30" t="s">
        <v>576</v>
      </c>
      <c r="D19" s="30" t="s">
        <v>98</v>
      </c>
      <c r="E19" s="30" t="s">
        <v>195</v>
      </c>
      <c r="F19" s="43">
        <v>360</v>
      </c>
      <c r="G19" s="43">
        <v>420</v>
      </c>
      <c r="H19" s="43">
        <v>108891</v>
      </c>
      <c r="I19" s="43">
        <v>107264</v>
      </c>
      <c r="J19" s="30" t="s">
        <v>196</v>
      </c>
      <c r="K19" s="43">
        <v>109135</v>
      </c>
      <c r="L19" s="143" t="s">
        <v>51</v>
      </c>
      <c r="M19" s="144">
        <f t="shared" si="0"/>
        <v>-987.88800000000003</v>
      </c>
      <c r="N19" s="145" t="str">
        <f>VLOOKUP(C19,'Trips&amp;Operators'!$C$1:$G$99999,5,FALSE)</f>
        <v>YORK EDGAR</v>
      </c>
      <c r="O19" s="194" t="s">
        <v>185</v>
      </c>
      <c r="P19" s="146" t="s">
        <v>278</v>
      </c>
      <c r="Q19" s="30"/>
      <c r="R19" s="89" t="str">
        <f>IF(VLOOKUP(C19,'Train Runs'!$A$13:$AE$9946,1,1)=C19,VLOOKUP(C19,'Train Runs'!$A$13:$AE$9946,31,1),NA())</f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S19" s="92" t="str">
        <f>IF(VLOOKUP(C19,'Train Runs'!$A$13:$AE$9946,1,1)=C19,VLOOKUP(C19,'Train Runs'!$A$13:$AE$9946,22,1),NA())</f>
        <v>https://d0f6bd738d7f1b3e5a7ca70fe4ff75f0.us-east-1.aws.found.io/app/kibana#/discover/Steve-Slow-Train-Analysis-(2080s-and-2083s)?_g=(refreshInterval:(display:Off,pause:!f,section:0,value:0),time:(from:'2017-03-06T09:52:04-0700',mode:absolute,to:'2017-03-06T12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94" t="str">
        <f t="shared" si="1"/>
        <v>"C:\Program Files (x86)\AstroGrep\AstroGrep.exe" /e /r /s /spath="%USERPROFILE%\AppData\Local\Temp\OnboardLogs" /stypes="*4001*201703061*" /stext=" 18:.+((SYSTEM_STATE.+slice.+state.+changed )|(ment ac)|(multiple cpu faults)|(system.+state.+changed )|(\[timeout)|(PRM\|1\|D)|(kpr)|(kdp)|(\|lc)|(penalty))"</v>
      </c>
      <c r="U19" s="9" t="str">
        <f t="shared" si="2"/>
        <v>4001</v>
      </c>
      <c r="V19" s="32">
        <f t="shared" si="3"/>
        <v>42800.770856481482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ID","value":"154-06"},{"id":16,"name":"Locomotive ID","value":"4001"},{"id":130,"name":"Impact","value":""},{"id":150,"name":"Time of Event (Mountain Time)","value":"11:30:02"},{"id":151,"name":"Denver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"%USERPROFILE%\AppData\Local\Temp\OnboardLogs"\RTDC4001\*4001*201703061*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"%USERPROFILE%\AppData\Local\Temp\OnboardLogs"\RTDC4001\*4001*201703061* &gt;&gt; 2017-03-06-SliceDisagreementCheck.txt</v>
      </c>
      <c r="AE19" s="157" t="str">
        <f t="shared" si="9"/>
        <v>start /low /b %USERPROFILE%\Documents\GitHub\eaglep3\Utilities\DownloadLogsFromS3.py --loco 4001 --day 2017-03-06</v>
      </c>
      <c r="AF19" s="1"/>
    </row>
    <row r="20" spans="1:32" x14ac:dyDescent="0.25">
      <c r="A20" s="32">
        <v>42800.63726851852</v>
      </c>
      <c r="B20" s="30" t="s">
        <v>450</v>
      </c>
      <c r="C20" s="30" t="s">
        <v>586</v>
      </c>
      <c r="D20" s="30" t="s">
        <v>49</v>
      </c>
      <c r="E20" s="30" t="s">
        <v>195</v>
      </c>
      <c r="F20" s="43">
        <v>370</v>
      </c>
      <c r="G20" s="43">
        <v>443</v>
      </c>
      <c r="H20" s="43">
        <v>110096</v>
      </c>
      <c r="I20" s="43">
        <v>108972</v>
      </c>
      <c r="J20" s="30" t="s">
        <v>196</v>
      </c>
      <c r="K20" s="43">
        <v>109135</v>
      </c>
      <c r="L20" s="143" t="s">
        <v>51</v>
      </c>
      <c r="M20" s="144">
        <f t="shared" si="0"/>
        <v>-86.063999999999993</v>
      </c>
      <c r="N20" s="145" t="str">
        <f>VLOOKUP(C20,'Trips&amp;Operators'!$C$1:$G$99999,5,FALSE)</f>
        <v>HOLCOMB KAMDEN</v>
      </c>
      <c r="O20" s="194" t="s">
        <v>185</v>
      </c>
      <c r="P20" s="146" t="s">
        <v>278</v>
      </c>
      <c r="Q20" s="30"/>
      <c r="R20" s="89" t="str">
        <f>IF(VLOOKUP(C20,'Train Runs'!$A$13:$AE$9946,1,1)=C20,VLOOKUP(C20,'Train Runs'!$A$13:$AE$9946,31,1),NA())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20" s="92" t="str">
        <f>IF(VLOOKUP(C20,'Train Runs'!$A$13:$AE$9946,1,1)=C20,VLOOKUP(C20,'Train Runs'!$A$13:$AE$9946,22,1),NA())</f>
        <v>https://d0f6bd738d7f1b3e5a7ca70fe4ff75f0.us-east-1.aws.found.io/app/kibana#/discover/Steve-Slow-Train-Analysis-(2080s-and-2083s)?_g=(refreshInterval:(display:Off,pause:!f,section:0,value:0),time:(from:'2017-03-06T13:51:53-0700',mode:absolute,to:'2017-03-06T16:42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94" t="str">
        <f t="shared" si="1"/>
        <v>"C:\Program Files (x86)\AstroGrep\AstroGrep.exe" /e /r /s /spath="%USERPROFILE%\AppData\Local\Temp\OnboardLogs" /stypes="*4052*201703062*" /stext=" 22:.+((SYSTEM_STATE.+slice.+state.+changed )|(ment ac)|(multiple cpu faults)|(system.+state.+changed )|(\[timeout)|(PRM\|1\|D)|(kpr)|(kdp)|(\|lc)|(penalty))"</v>
      </c>
      <c r="U20" s="9" t="str">
        <f t="shared" si="2"/>
        <v>4052</v>
      </c>
      <c r="V20" s="32">
        <f t="shared" si="3"/>
        <v>42800.928935185184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ID","value":"184-06"},{"id":16,"name":"Locomotive ID","value":"4052"},{"id":130,"name":"Impact","value":""},{"id":150,"name":"Time of Event (Mountain Time)","value":"15:17:40"},{"id":151,"name":"Denver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"%USERPROFILE%\AppData\Local\Temp\OnboardLogs"\RTDC4052\*4052*201703062*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"%USERPROFILE%\AppData\Local\Temp\OnboardLogs"\RTDC4052\*4052*201703062* &gt;&gt; 2017-03-06-SliceDisagreementCheck.txt</v>
      </c>
      <c r="AE20" s="157" t="str">
        <f t="shared" si="9"/>
        <v>start /low /b %USERPROFILE%\Documents\GitHub\eaglep3\Utilities\DownloadLogsFromS3.py --loco 4052 --day 2017-03-06</v>
      </c>
      <c r="AF20" s="1"/>
    </row>
    <row r="21" spans="1:32" x14ac:dyDescent="0.25">
      <c r="A21" s="32">
        <v>42800.63795138889</v>
      </c>
      <c r="B21" s="30" t="s">
        <v>450</v>
      </c>
      <c r="C21" s="30" t="s">
        <v>586</v>
      </c>
      <c r="D21" s="30" t="s">
        <v>49</v>
      </c>
      <c r="E21" s="30" t="s">
        <v>195</v>
      </c>
      <c r="F21" s="43">
        <v>370</v>
      </c>
      <c r="G21" s="43">
        <v>443</v>
      </c>
      <c r="H21" s="43">
        <v>110074</v>
      </c>
      <c r="I21" s="43">
        <v>107704</v>
      </c>
      <c r="J21" s="30" t="s">
        <v>196</v>
      </c>
      <c r="K21" s="43">
        <v>109135</v>
      </c>
      <c r="L21" s="143" t="s">
        <v>51</v>
      </c>
      <c r="M21" s="144">
        <f t="shared" si="0"/>
        <v>-755.56799999999998</v>
      </c>
      <c r="N21" s="145" t="str">
        <f>VLOOKUP(C21,'Trips&amp;Operators'!$C$1:$G$99999,5,FALSE)</f>
        <v>HOLCOMB KAMDEN</v>
      </c>
      <c r="O21" s="194" t="s">
        <v>185</v>
      </c>
      <c r="P21" s="146" t="s">
        <v>278</v>
      </c>
      <c r="Q21" s="30"/>
      <c r="R21" s="89" t="str">
        <f>IF(VLOOKUP(C21,'Train Runs'!$A$13:$AE$9946,1,1)=C21,VLOOKUP(C21,'Train Runs'!$A$13:$AE$9946,31,1),NA())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21" s="92" t="str">
        <f>IF(VLOOKUP(C21,'Train Runs'!$A$13:$AE$9946,1,1)=C21,VLOOKUP(C21,'Train Runs'!$A$13:$AE$9946,22,1),NA())</f>
        <v>https://d0f6bd738d7f1b3e5a7ca70fe4ff75f0.us-east-1.aws.found.io/app/kibana#/discover/Steve-Slow-Train-Analysis-(2080s-and-2083s)?_g=(refreshInterval:(display:Off,pause:!f,section:0,value:0),time:(from:'2017-03-06T13:51:53-0700',mode:absolute,to:'2017-03-06T16:42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/e /r /s /spath="%USERPROFILE%\AppData\Local\Temp\OnboardLogs" /stypes="*4052*201703062*" /stext=" 22:.+((SYSTEM_STATE.+slice.+state.+changed )|(ment ac)|(multiple cpu faults)|(system.+state.+changed )|(\[timeout)|(PRM\|1\|D)|(kpr)|(kdp)|(\|lc)|(penalty))"</v>
      </c>
      <c r="U21" s="9" t="str">
        <f t="shared" si="2"/>
        <v>4052</v>
      </c>
      <c r="V21" s="32">
        <f t="shared" si="3"/>
        <v>42800.929618055554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arrival","project_id":79,"tracker_id":40,"status_id":1,"priority_id":2,"assigned_to_id":23,"start_date":"2017-03-06","description":"","custom_fields":[{"id":1,"name":"Subdivision","value":"EC"},{"id":4,"name":"Milepost","value":"10.9135"},{"id":17,"name":"Train ID","value":"184-06"},{"id":16,"name":"Locomotive ID","value":"4052"},{"id":130,"name":"Impact","value":""},{"id":150,"name":"Time of Event (Mountain Time)","value":"15:18:39"},{"id":151,"name":"Denver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"%USERPROFILE%\AppData\Local\Temp\OnboardLogs"\RTDC4052\*4052*201703062*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"%USERPROFILE%\AppData\Local\Temp\OnboardLogs"\RTDC4052\*4052*201703062* &gt;&gt; 2017-03-06-SliceDisagreementCheck.txt</v>
      </c>
      <c r="AE21" s="157" t="str">
        <f t="shared" si="9"/>
        <v>start /low /b %USERPROFILE%\Documents\GitHub\eaglep3\Utilities\DownloadLogsFromS3.py --loco 4052 --day 2017-03-06</v>
      </c>
      <c r="AF21" s="1"/>
    </row>
    <row r="22" spans="1:32" x14ac:dyDescent="0.25">
      <c r="A22" s="32">
        <v>42800.623761574076</v>
      </c>
      <c r="B22" s="30" t="s">
        <v>302</v>
      </c>
      <c r="C22" s="30" t="s">
        <v>585</v>
      </c>
      <c r="D22" s="30" t="s">
        <v>98</v>
      </c>
      <c r="E22" s="30" t="s">
        <v>241</v>
      </c>
      <c r="F22" s="43">
        <v>150</v>
      </c>
      <c r="G22" s="43">
        <v>206</v>
      </c>
      <c r="H22" s="43">
        <v>3177</v>
      </c>
      <c r="I22" s="43">
        <v>3522</v>
      </c>
      <c r="J22" s="30" t="s">
        <v>242</v>
      </c>
      <c r="K22" s="43">
        <v>0</v>
      </c>
      <c r="L22" s="143" t="s">
        <v>50</v>
      </c>
      <c r="M22" s="144">
        <f t="shared" si="0"/>
        <v>-1859.616</v>
      </c>
      <c r="N22" s="145" t="str">
        <f>VLOOKUP(C22,'Trips&amp;Operators'!$C$1:$G$99999,5,FALSE)</f>
        <v>DAVIS MICHAEL</v>
      </c>
      <c r="O22" s="194" t="s">
        <v>185</v>
      </c>
      <c r="P22" s="146"/>
      <c r="Q22" s="30"/>
      <c r="R22" s="89" t="str">
        <f>IF(VLOOKUP(C22,'Train Runs'!$A$13:$AE$9946,1,1)=C22,VLOOKUP(C22,'Train Runs'!$A$13:$AE$9946,31,1),NA())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22" s="92" t="str">
        <f>IF(VLOOKUP(C22,'Train Runs'!$A$13:$AE$9946,1,1)=C22,VLOOKUP(C22,'Train Runs'!$A$13:$AE$9946,22,1),NA())</f>
        <v>https://d0f6bd738d7f1b3e5a7ca70fe4ff75f0.us-east-1.aws.found.io/app/kibana#/discover/Steve-Slow-Train-Analysis-(2080s-and-2083s)?_g=(refreshInterval:(display:Off,pause:!f,section:0,value:0),time:(from:'2017-03-06T13:53:27-0700',mode:absolute,to:'2017-03-06T16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94" t="str">
        <f t="shared" si="1"/>
        <v>"C:\Program Files (x86)\AstroGrep\AstroGrep.exe" /e /r /s /spath="%USERPROFILE%\AppData\Local\Temp\OnboardLogs" /stypes="*4020*201703062*" /stext=" 21:.+((SYSTEM_STATE.+slice.+state.+changed )|(ment ac)|(multiple cpu faults)|(system.+state.+changed )|(\[timeout)|(PRM\|1\|D)|(kpr)|(kdp)|(\|lc)|(penalty))"</v>
      </c>
      <c r="U22" s="9" t="str">
        <f t="shared" si="2"/>
        <v>4020</v>
      </c>
      <c r="V22" s="32">
        <f t="shared" si="3"/>
        <v>42800.91542824074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{"issue":{"subject":"","project_id":79,"tracker_id":40,"status_id":1,"priority_id":2,"assigned_to_id":23,"start_date":"2017-03-06","description":"","custom_fields":[{"id":1,"name":"Subdivision","value":"EC"},{"id":4,"name":"Milepost","value":"0"},{"id":17,"name":"Train ID","value":"189-06"},{"id":16,"name":"Locomotive ID","value":"4020"},{"id":130,"name":"Impact","value":""},{"id":150,"name":"Time of Event (Mountain Time)","value":"14:58:13"},{"id":151,"name":"Denver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ref="AC22:AC63" si="10"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"%USERPROFILE%\AppData\Local\Temp\OnboardLogs"\RTDC4020\*4020*201703062*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"%USERPROFILE%\AppData\Local\Temp\OnboardLogs"\RTDC4020\*4020*201703062* &gt;&gt; 2017-03-06-SliceDisagreementCheck.txt</v>
      </c>
      <c r="AE22" s="157" t="str">
        <f t="shared" si="9"/>
        <v>start /low /b %USERPROFILE%\Documents\GitHub\eaglep3\Utilities\DownloadLogsFromS3.py --loco 4020 --day 2017-03-06</v>
      </c>
      <c r="AF22" s="1"/>
    </row>
    <row r="23" spans="1:32" x14ac:dyDescent="0.25">
      <c r="A23" s="32">
        <v>42800.626064814816</v>
      </c>
      <c r="B23" s="30" t="s">
        <v>302</v>
      </c>
      <c r="C23" s="30" t="s">
        <v>585</v>
      </c>
      <c r="D23" s="30" t="s">
        <v>49</v>
      </c>
      <c r="E23" s="30" t="s">
        <v>241</v>
      </c>
      <c r="F23" s="43">
        <v>400</v>
      </c>
      <c r="G23" s="43">
        <v>582</v>
      </c>
      <c r="H23" s="43">
        <v>14155</v>
      </c>
      <c r="I23" s="43">
        <v>17683</v>
      </c>
      <c r="J23" s="30" t="s">
        <v>242</v>
      </c>
      <c r="K23" s="43">
        <v>17867</v>
      </c>
      <c r="L23" s="143" t="s">
        <v>50</v>
      </c>
      <c r="M23" s="144">
        <f t="shared" si="0"/>
        <v>97.152000000000001</v>
      </c>
      <c r="N23" s="145" t="str">
        <f>VLOOKUP(C23,'Trips&amp;Operators'!$C$1:$G$99999,5,FALSE)</f>
        <v>DAVIS MICHAEL</v>
      </c>
      <c r="O23" s="194" t="s">
        <v>185</v>
      </c>
      <c r="P23" s="146"/>
      <c r="Q23" s="30"/>
      <c r="R23" s="89" t="str">
        <f>IF(VLOOKUP(C23,'Train Runs'!$A$13:$AE$9946,1,1)=C23,VLOOKUP(C23,'Train Runs'!$A$13:$AE$9946,31,1),NA())</f>
        <v>aws s3 cp s3://rtdc.mdm.uploadarchive.raw/RTDC4020/ "%USERPROFILE%\AppData\Local\Temp\OnboardLogs"\RTDC4020\2017-03-06 --exclude "*" --recursive --include "*20170306*" &amp; "%USERPROFILE%\Documents\GitHub\mrs-test-scripts\Headless Mode &amp; Sideloading\WalkAndUnGZ.bat" "%USERPROFILE%\AppData\Local\Temp\OnboardLogs"\RTDC4020\2017-03-06 &amp; aws s3 cp s3://rtdc.mdm.uploadarchive.raw/RTDC4020/ "%USERPROFILE%\AppData\Local\Temp\OnboardLogs"\RTDC4020\2017-03-07 --exclude "*" --recursive --include "*20170307*" &amp; "%USERPROFILE%\Documents\GitHub\mrs-test-scripts\Headless Mode &amp; Sideloading\WalkAndUnGZ.bat" "%USERPROFILE%\AppData\Local\Temp\OnboardLogs"\RTDC4020\2017-03-07</v>
      </c>
      <c r="S23" s="92" t="str">
        <f>IF(VLOOKUP(C23,'Train Runs'!$A$13:$AE$9946,1,1)=C23,VLOOKUP(C23,'Train Runs'!$A$13:$AE$9946,22,1),NA())</f>
        <v>https://d0f6bd738d7f1b3e5a7ca70fe4ff75f0.us-east-1.aws.found.io/app/kibana#/discover/Steve-Slow-Train-Analysis-(2080s-and-2083s)?_g=(refreshInterval:(display:Off,pause:!f,section:0,value:0),time:(from:'2017-03-06T13:53:27-0700',mode:absolute,to:'2017-03-06T16:39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3" s="94" t="str">
        <f t="shared" si="1"/>
        <v>"C:\Program Files (x86)\AstroGrep\AstroGrep.exe" /e /r /s /spath="%USERPROFILE%\AppData\Local\Temp\OnboardLogs" /stypes="*4020*201703062*" /stext=" 22:.+((SYSTEM_STATE.+slice.+state.+changed )|(ment ac)|(multiple cpu faults)|(system.+state.+changed )|(\[timeout)|(PRM\|1\|D)|(kpr)|(kdp)|(\|lc)|(penalty))"</v>
      </c>
      <c r="U23" s="9" t="str">
        <f t="shared" si="2"/>
        <v>4020</v>
      </c>
      <c r="V23" s="32">
        <f t="shared" si="3"/>
        <v>42800.917731481481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{"issue":{"subject":"","project_id":79,"tracker_id":40,"status_id":1,"priority_id":2,"assigned_to_id":23,"start_date":"2017-03-06","description":"","custom_fields":[{"id":1,"name":"Subdivision","value":"EC"},{"id":4,"name":"Milepost","value":"1.7867"},{"id":17,"name":"Train ID","value":"189-06"},{"id":16,"name":"Locomotive ID","value":"4020"},{"id":130,"name":"Impact","value":""},{"id":150,"name":"Time of Event (Mountain Time)","value":"15:01:32"},{"id":151,"name":"Denver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10"/>
        <v>grep -hSE -A400 "Enforcement Action" "%USERPROFILE%\AppData\Local\Temp\OnboardLogs"\RTDC4020\*4020*201703062*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"%USERPROFILE%\AppData\Local\Temp\OnboardLogs"\RTDC4020\*4020*201703062* &gt;&gt; 2017-03-06-SliceDisagreementCheck.txt</v>
      </c>
      <c r="AE23" s="157" t="str">
        <f t="shared" si="9"/>
        <v>start /low /b %USERPROFILE%\Documents\GitHub\eaglep3\Utilities\DownloadLogsFromS3.py --loco 4020 --day 2017-03-06</v>
      </c>
      <c r="AF23" s="1"/>
    </row>
    <row r="24" spans="1:32" x14ac:dyDescent="0.25">
      <c r="A24" s="32">
        <v>42800.766435185185</v>
      </c>
      <c r="B24" s="30" t="s">
        <v>583</v>
      </c>
      <c r="C24" s="30" t="s">
        <v>596</v>
      </c>
      <c r="D24" s="30" t="s">
        <v>49</v>
      </c>
      <c r="E24" s="30" t="s">
        <v>241</v>
      </c>
      <c r="F24" s="43">
        <v>400</v>
      </c>
      <c r="G24" s="43">
        <v>502</v>
      </c>
      <c r="H24" s="43">
        <v>17416</v>
      </c>
      <c r="I24" s="43">
        <v>18157</v>
      </c>
      <c r="J24" s="30" t="s">
        <v>242</v>
      </c>
      <c r="K24" s="43">
        <v>17867</v>
      </c>
      <c r="L24" s="143" t="s">
        <v>50</v>
      </c>
      <c r="M24" s="144">
        <f t="shared" si="0"/>
        <v>-153.12</v>
      </c>
      <c r="N24" s="145" t="str">
        <f>VLOOKUP(C24,'Trips&amp;Operators'!$C$1:$G$99999,5,FALSE)</f>
        <v>STAMBAUGH JAMES</v>
      </c>
      <c r="O24" s="194" t="s">
        <v>185</v>
      </c>
      <c r="P24" s="146"/>
      <c r="Q24" s="30"/>
      <c r="R24" s="89" t="str">
        <f>IF(VLOOKUP(C24,'Train Runs'!$A$13:$AE$9946,1,1)=C24,VLOOKUP(C24,'Train Runs'!$A$13:$AE$9946,31,1),NA())</f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S24" s="92" t="str">
        <f>IF(VLOOKUP(C24,'Train Runs'!$A$13:$AE$9946,1,1)=C24,VLOOKUP(C24,'Train Runs'!$A$13:$AE$9946,22,1),NA())</f>
        <v>https://d0f6bd738d7f1b3e5a7ca70fe4ff75f0.us-east-1.aws.found.io/app/kibana#/discover/Steve-Slow-Train-Analysis-(2080s-and-2083s)?_g=(refreshInterval:(display:Off,pause:!f,section:0,value:0),time:(from:'2017-03-06T17:18:16-0700',mode:absolute,to:'2017-03-06T20:02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94" t="str">
        <f t="shared" si="1"/>
        <v>"C:\Program Files (x86)\AstroGrep\AstroGrep.exe" /e /r /s /spath="%USERPROFILE%\AppData\Local\Temp\OnboardLogs" /stypes="*4051*201703070*" /stext=" 01:.+((SYSTEM_STATE.+slice.+state.+changed )|(ment ac)|(multiple cpu faults)|(system.+state.+changed )|(\[timeout)|(PRM\|1\|D)|(kpr)|(kdp)|(\|lc)|(penalty))"</v>
      </c>
      <c r="U24" s="9" t="str">
        <f t="shared" si="2"/>
        <v>4051</v>
      </c>
      <c r="V24" s="32">
        <f t="shared" si="3"/>
        <v>42801.05810185185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{"issue":{"subject":"","project_id":79,"tracker_id":40,"status_id":1,"priority_id":2,"assigned_to_id":23,"start_date":"2017-03-06","description":"","custom_fields":[{"id":1,"name":"Subdivision","value":"EC"},{"id":4,"name":"Milepost","value":"1.7867"},{"id":17,"name":"Train ID","value":"217-06"},{"id":16,"name":"Locomotive ID","value":"4051"},{"id":130,"name":"Impact","value":""},{"id":150,"name":"Time of Event (Mountain Time)","value":"18:23:40"},{"id":151,"name":"Denver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10"/>
        <v>grep -hSE -A400 "Enforcement Action" "%USERPROFILE%\AppData\Local\Temp\OnboardLogs"\RTDC4051\*4051*201703070*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"%USERPROFILE%\AppData\Local\Temp\OnboardLogs"\RTDC4051\*4051*201703070* &gt;&gt; 2017-03-06-SliceDisagreementCheck.txt</v>
      </c>
      <c r="AE24" s="157" t="str">
        <f t="shared" si="9"/>
        <v>start /low /b %USERPROFILE%\Documents\GitHub\eaglep3\Utilities\DownloadLogsFromS3.py --loco 4051 --day 2017-03-07</v>
      </c>
      <c r="AF24" s="1"/>
    </row>
    <row r="25" spans="1:32" x14ac:dyDescent="0.25">
      <c r="A25" s="32">
        <v>42800.325543981482</v>
      </c>
      <c r="B25" s="30" t="s">
        <v>498</v>
      </c>
      <c r="C25" s="30" t="s">
        <v>566</v>
      </c>
      <c r="D25" s="30" t="s">
        <v>49</v>
      </c>
      <c r="E25" s="30" t="s">
        <v>241</v>
      </c>
      <c r="F25" s="43">
        <v>300</v>
      </c>
      <c r="G25" s="43">
        <v>402</v>
      </c>
      <c r="H25" s="43">
        <v>23179</v>
      </c>
      <c r="I25" s="43">
        <v>22215</v>
      </c>
      <c r="J25" s="30" t="s">
        <v>242</v>
      </c>
      <c r="K25" s="43">
        <v>21848</v>
      </c>
      <c r="L25" s="143" t="s">
        <v>51</v>
      </c>
      <c r="M25" s="144">
        <f t="shared" si="0"/>
        <v>193.77600000000001</v>
      </c>
      <c r="N25" s="145" t="str">
        <f>VLOOKUP(C25,'Trips&amp;Operators'!$C$1:$G$99999,5,FALSE)</f>
        <v>BONDS REYNALDO</v>
      </c>
      <c r="O25" s="194" t="s">
        <v>185</v>
      </c>
      <c r="P25" s="146"/>
      <c r="Q25" s="30"/>
      <c r="R25" s="89" t="str">
        <f>IF(VLOOKUP(C25,'Train Runs'!$A$13:$AE$9946,1,1)=C25,VLOOKUP(C25,'Train Runs'!$A$13:$AE$9946,31,1),NA())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25" s="92" t="str">
        <f>IF(VLOOKUP(C25,'Train Runs'!$A$13:$AE$9946,1,1)=C25,VLOOKUP(C25,'Train Runs'!$A$13:$AE$9946,22,1),NA())</f>
        <v>https://d0f6bd738d7f1b3e5a7ca70fe4ff75f0.us-east-1.aws.found.io/app/kibana#/discover/Steve-Slow-Train-Analysis-(2080s-and-2083s)?_g=(refreshInterval:(display:Off,pause:!f,section:0,value:0),time:(from:'2017-03-06T06:08:25-0700',mode:absolute,to:'2017-03-06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94" t="str">
        <f t="shared" si="1"/>
        <v>"C:\Program Files (x86)\AstroGrep\AstroGrep.exe" /e /r /s /spath="%USERPROFILE%\AppData\Local\Temp\OnboardLogs" /stypes="*4010*201703061*" /stext=" 14:.+((SYSTEM_STATE.+slice.+state.+changed )|(ment ac)|(multiple cpu faults)|(system.+state.+changed )|(\[timeout)|(PRM\|1\|D)|(kpr)|(kdp)|(\|lc)|(penalty))"</v>
      </c>
      <c r="U25" s="9" t="str">
        <f t="shared" si="2"/>
        <v>4010</v>
      </c>
      <c r="V25" s="32">
        <f t="shared" si="3"/>
        <v>42800.617210648146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{"issue":{"subject":"","project_id":79,"tracker_id":40,"status_id":1,"priority_id":2,"assigned_to_id":23,"start_date":"2017-03-06","description":"","custom_fields":[{"id":1,"name":"Subdivision","value":"EC"},{"id":4,"name":"Milepost","value":"2.1848"},{"id":17,"name":"Train ID","value":"122-06"},{"id":16,"name":"Locomotive ID","value":"4010"},{"id":130,"name":"Impact","value":""},{"id":150,"name":"Time of Event (Mountain Time)","value":"07:48:47"},{"id":151,"name":"Denver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10"/>
        <v>grep -hSE -A400 "Enforcement Action" "%USERPROFILE%\AppData\Local\Temp\OnboardLogs"\RTDC4010\*4010*201703061*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"%USERPROFILE%\AppData\Local\Temp\OnboardLogs"\RTDC4010\*4010*201703061* &gt;&gt; 2017-03-06-SliceDisagreementCheck.txt</v>
      </c>
      <c r="AE25" s="157" t="str">
        <f t="shared" si="9"/>
        <v>start /low /b %USERPROFILE%\Documents\GitHub\eaglep3\Utilities\DownloadLogsFromS3.py --loco 4010 --day 2017-03-06</v>
      </c>
      <c r="AF25" s="1"/>
    </row>
    <row r="26" spans="1:32" x14ac:dyDescent="0.25">
      <c r="A26" s="32">
        <v>42800.657777777778</v>
      </c>
      <c r="B26" s="30" t="s">
        <v>453</v>
      </c>
      <c r="C26" s="30" t="s">
        <v>587</v>
      </c>
      <c r="D26" s="30" t="s">
        <v>49</v>
      </c>
      <c r="E26" s="30" t="s">
        <v>241</v>
      </c>
      <c r="F26" s="43">
        <v>300</v>
      </c>
      <c r="G26" s="43">
        <v>384</v>
      </c>
      <c r="H26" s="43">
        <v>23000</v>
      </c>
      <c r="I26" s="43">
        <v>21944</v>
      </c>
      <c r="J26" s="30" t="s">
        <v>242</v>
      </c>
      <c r="K26" s="43">
        <v>21848</v>
      </c>
      <c r="L26" s="143" t="s">
        <v>51</v>
      </c>
      <c r="M26" s="144">
        <f t="shared" si="0"/>
        <v>50.688000000000002</v>
      </c>
      <c r="N26" s="145" t="str">
        <f>VLOOKUP(C26,'Trips&amp;Operators'!$C$1:$G$99999,5,FALSE)</f>
        <v>DAVIDSON DAVID</v>
      </c>
      <c r="O26" s="194" t="s">
        <v>185</v>
      </c>
      <c r="P26" s="146"/>
      <c r="Q26" s="30"/>
      <c r="R26" s="89" t="str">
        <f>IF(VLOOKUP(C26,'Train Runs'!$A$13:$AE$9946,1,1)=C26,VLOOKUP(C26,'Train Runs'!$A$13:$AE$9946,31,1),NA())</f>
        <v>aws s3 cp s3://rtdc.mdm.uploadarchive.raw/RTDC4004/ "%USERPROFILE%\AppData\Local\Temp\OnboardLogs"\RTDC4004\2017-03-06 --exclude "*" --recursive --include "*20170306*" &amp; "%USERPROFILE%\Documents\GitHub\mrs-test-scripts\Headless Mode &amp; Sideloading\WalkAndUnGZ.bat" "%USERPROFILE%\AppData\Local\Temp\OnboardLogs"\RTDC4004\2017-03-06 &amp; aws s3 cp s3://rtdc.mdm.uploadarchive.raw/RTDC4004/ "%USERPROFILE%\AppData\Local\Temp\OnboardLogs"\RTDC4004\2017-03-07 --exclude "*" --recursive --include "*20170307*" &amp; "%USERPROFILE%\Documents\GitHub\mrs-test-scripts\Headless Mode &amp; Sideloading\WalkAndUnGZ.bat" "%USERPROFILE%\AppData\Local\Temp\OnboardLogs"\RTDC4004\2017-03-07</v>
      </c>
      <c r="S26" s="92" t="str">
        <f>IF(VLOOKUP(C26,'Train Runs'!$A$13:$AE$9946,1,1)=C26,VLOOKUP(C26,'Train Runs'!$A$13:$AE$9946,22,1),NA())</f>
        <v>https://d0f6bd738d7f1b3e5a7ca70fe4ff75f0.us-east-1.aws.found.io/app/kibana#/discover/Steve-Slow-Train-Analysis-(2080s-and-2083s)?_g=(refreshInterval:(display:Off,pause:!f,section:0,value:0),time:(from:'2017-03-06T14:06:04-0700',mode:absolute,to:'2017-03-06T16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6" s="94" t="str">
        <f t="shared" si="1"/>
        <v>"C:\Program Files (x86)\AstroGrep\AstroGrep.exe" /e /r /s /spath="%USERPROFILE%\AppData\Local\Temp\OnboardLogs" /stypes="*4004*201703062*" /stext=" 22:.+((SYSTEM_STATE.+slice.+state.+changed )|(ment ac)|(multiple cpu faults)|(system.+state.+changed )|(\[timeout)|(PRM\|1\|D)|(kpr)|(kdp)|(\|lc)|(penalty))"</v>
      </c>
      <c r="U26" s="9" t="str">
        <f t="shared" si="2"/>
        <v>4004</v>
      </c>
      <c r="V26" s="32">
        <f t="shared" si="3"/>
        <v>42800.949444444443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{"issue":{"subject":"","project_id":79,"tracker_id":40,"status_id":1,"priority_id":2,"assigned_to_id":23,"start_date":"2017-03-06","description":"","custom_fields":[{"id":1,"name":"Subdivision","value":"EC"},{"id":4,"name":"Milepost","value":"2.1848"},{"id":17,"name":"Train ID","value":"186-06"},{"id":16,"name":"Locomotive ID","value":"4004"},{"id":130,"name":"Impact","value":""},{"id":150,"name":"Time of Event (Mountain Time)","value":"15:47:12"},{"id":151,"name":"Denver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10"/>
        <v>grep -hSE -A400 "Enforcement Action" "%USERPROFILE%\AppData\Local\Temp\OnboardLogs"\RTDC4004\*4004*201703062*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"%USERPROFILE%\AppData\Local\Temp\OnboardLogs"\RTDC4004\*4004*201703062* &gt;&gt; 2017-03-06-SliceDisagreementCheck.txt</v>
      </c>
      <c r="AE26" s="157" t="str">
        <f t="shared" si="9"/>
        <v>start /low /b %USERPROFILE%\Documents\GitHub\eaglep3\Utilities\DownloadLogsFromS3.py --loco 4004 --day 2017-03-06</v>
      </c>
      <c r="AF26" s="1"/>
    </row>
    <row r="27" spans="1:32" x14ac:dyDescent="0.25">
      <c r="A27" s="32">
        <v>42800.442372685182</v>
      </c>
      <c r="B27" s="30" t="s">
        <v>300</v>
      </c>
      <c r="C27" s="30" t="s">
        <v>571</v>
      </c>
      <c r="D27" s="30" t="s">
        <v>98</v>
      </c>
      <c r="E27" s="30" t="s">
        <v>241</v>
      </c>
      <c r="F27" s="43">
        <v>600</v>
      </c>
      <c r="G27" s="43">
        <v>650</v>
      </c>
      <c r="H27" s="43">
        <v>124213</v>
      </c>
      <c r="I27" s="43">
        <v>127283</v>
      </c>
      <c r="J27" s="30" t="s">
        <v>242</v>
      </c>
      <c r="K27" s="43">
        <v>119716</v>
      </c>
      <c r="L27" s="143" t="s">
        <v>50</v>
      </c>
      <c r="M27" s="144">
        <f t="shared" si="0"/>
        <v>-3995.3760000000002</v>
      </c>
      <c r="N27" s="145" t="str">
        <f>VLOOKUP(C27,'Trips&amp;Operators'!$C$1:$G$99999,5,FALSE)</f>
        <v>YORK EDGAR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s3://rtdc.mdm.uploadarchive.raw/RTDC4002/ "%USERPROFILE%\AppData\Local\Temp\OnboardLogs"\RTDC4002\2017-03-06 --exclude "*" --recursive --include "*20170306*" &amp; "%USERPROFILE%\Documents\GitHub\mrs-test-scripts\Headless Mode &amp; Sideloading\WalkAndUnGZ.bat" "%USERPROFILE%\AppData\Local\Temp\OnboardLogs"\RTDC4002\2017-03-06 &amp; aws s3 cp s3://rtdc.mdm.uploadarchive.raw/RTDC4002/ "%USERPROFILE%\AppData\Local\Temp\OnboardLogs"\RTDC4002\2017-03-07 --exclude "*" --recursive --include "*20170307*" &amp; "%USERPROFILE%\Documents\GitHub\mrs-test-scripts\Headless Mode &amp; Sideloading\WalkAndUnGZ.bat" "%USERPROFILE%\AppData\Local\Temp\OnboardLogs"\RTDC4002\2017-03-07</v>
      </c>
      <c r="S27" s="92" t="str">
        <f>IF(VLOOKUP(C27,'Train Runs'!$A$13:$AE$9946,1,1)=C27,VLOOKUP(C27,'Train Runs'!$A$13:$AE$9946,22,1),NA())</f>
        <v>https://d0f6bd738d7f1b3e5a7ca70fe4ff75f0.us-east-1.aws.found.io/app/kibana#/discover/Steve-Slow-Train-Analysis-(2080s-and-2083s)?_g=(refreshInterval:(display:Off,pause:!f,section:0,value:0),time:(from:'2017-03-06T09:12:43-0700',mode:absolute,to:'2017-03-06T11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94" t="str">
        <f t="shared" si="1"/>
        <v>"C:\Program Files (x86)\AstroGrep\AstroGrep.exe" /e /r /s /spath="%USERPROFILE%\AppData\Local\Temp\OnboardLogs" /stypes="*4002*201703061*" /stext=" 17:.+((SYSTEM_STATE.+slice.+state.+changed )|(ment ac)|(multiple cpu faults)|(system.+state.+changed )|(\[timeout)|(PRM\|1\|D)|(kpr)|(kdp)|(\|lc)|(penalty))"</v>
      </c>
      <c r="U27" s="9" t="str">
        <f t="shared" si="2"/>
        <v>4002</v>
      </c>
      <c r="V27" s="32">
        <f t="shared" si="3"/>
        <v>42800.734039351846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{"issue":{"subject":"","project_id":79,"tracker_id":40,"status_id":1,"priority_id":2,"assigned_to_id":23,"start_date":"2017-03-06","description":"","custom_fields":[{"id":1,"name":"Subdivision","value":"EC"},{"id":4,"name":"Milepost","value":"11.9716"},{"id":17,"name":"Train ID","value":"153-06"},{"id":16,"name":"Locomotive ID","value":"4002"},{"id":130,"name":"Impact","value":""},{"id":150,"name":"Time of Event (Mountain Time)","value":"10:37:01"},{"id":151,"name":"Denver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10"/>
        <v>grep -hSE -A400 "Enforcement Action" "%USERPROFILE%\AppData\Local\Temp\OnboardLogs"\RTDC4002\*4002*201703061*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"%USERPROFILE%\AppData\Local\Temp\OnboardLogs"\RTDC4002\*4002*201703061* &gt;&gt; 2017-03-06-SliceDisagreementCheck.txt</v>
      </c>
      <c r="AE27" s="157" t="str">
        <f t="shared" si="9"/>
        <v>start /low /b %USERPROFILE%\Documents\GitHub\eaglep3\Utilities\DownloadLogsFromS3.py --loco 4002 --day 2017-03-06</v>
      </c>
      <c r="AF27" s="1"/>
    </row>
    <row r="28" spans="1:32" x14ac:dyDescent="0.25">
      <c r="A28" s="32">
        <v>42800.294594907406</v>
      </c>
      <c r="B28" s="30" t="s">
        <v>485</v>
      </c>
      <c r="C28" s="30" t="s">
        <v>560</v>
      </c>
      <c r="D28" s="30" t="s">
        <v>98</v>
      </c>
      <c r="E28" s="30" t="s">
        <v>241</v>
      </c>
      <c r="F28" s="43">
        <v>700</v>
      </c>
      <c r="G28" s="43">
        <v>750</v>
      </c>
      <c r="H28" s="43">
        <v>174354</v>
      </c>
      <c r="I28" s="43">
        <v>177301</v>
      </c>
      <c r="J28" s="30" t="s">
        <v>242</v>
      </c>
      <c r="K28" s="43">
        <v>161962</v>
      </c>
      <c r="L28" s="143" t="s">
        <v>50</v>
      </c>
      <c r="M28" s="144">
        <f t="shared" si="0"/>
        <v>-8098.9920000000002</v>
      </c>
      <c r="N28" s="145" t="str">
        <f>VLOOKUP(C28,'Trips&amp;Operators'!$C$1:$G$99999,5,FALSE)</f>
        <v>SHOOK JOHN</v>
      </c>
      <c r="O28" s="194" t="s">
        <v>185</v>
      </c>
      <c r="P28" s="146"/>
      <c r="Q28" s="30"/>
      <c r="R28" s="89" t="str">
        <f>IF(VLOOKUP(C28,'Train Runs'!$A$13:$AE$9946,1,1)=C28,VLOOKUP(C28,'Train Runs'!$A$13:$AE$9946,31,1),NA())</f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S28" s="92" t="str">
        <f>IF(VLOOKUP(C28,'Train Runs'!$A$13:$AE$9946,1,1)=C28,VLOOKUP(C28,'Train Runs'!$A$13:$AE$9946,22,1),NA())</f>
        <v>https://d0f6bd738d7f1b3e5a7ca70fe4ff75f0.us-east-1.aws.found.io/app/kibana#/discover/Steve-Slow-Train-Analysis-(2080s-and-2083s)?_g=(refreshInterval:(display:Off,pause:!f,section:0,value:0),time:(from:'2017-03-06T05:25:31-0700',mode:absolute,to:'2017-03-06T08:13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8" s="94" t="str">
        <f t="shared" si="1"/>
        <v>"C:\Program Files (x86)\AstroGrep\AstroGrep.exe" /e /r /s /spath="%USERPROFILE%\AppData\Local\Temp\OnboardLogs" /stypes="*4018*201703061*" /stext=" 14:.+((SYSTEM_STATE.+slice.+state.+changed )|(ment ac)|(multiple cpu faults)|(system.+state.+changed )|(\[timeout)|(PRM\|1\|D)|(kpr)|(kdp)|(\|lc)|(penalty))"</v>
      </c>
      <c r="U28" s="9" t="str">
        <f t="shared" si="2"/>
        <v>4018</v>
      </c>
      <c r="V28" s="32">
        <f t="shared" si="3"/>
        <v>42800.58626157407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{"issue":{"subject":"","project_id":79,"tracker_id":40,"status_id":1,"priority_id":2,"assigned_to_id":23,"start_date":"2017-03-06","description":"","custom_fields":[{"id":1,"name":"Subdivision","value":"EC"},{"id":4,"name":"Milepost","value":"16.1962"},{"id":17,"name":"Train ID","value":"123-06"},{"id":16,"name":"Locomotive ID","value":"4018"},{"id":130,"name":"Impact","value":""},{"id":150,"name":"Time of Event (Mountain Time)","value":"07:04:13"},{"id":151,"name":"Denver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10"/>
        <v>grep -hSE -A400 "Enforcement Action" "%USERPROFILE%\AppData\Local\Temp\OnboardLogs"\RTDC4018\*4018*201703061*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"%USERPROFILE%\AppData\Local\Temp\OnboardLogs"\RTDC4018\*4018*201703061* &gt;&gt; 2017-03-06-SliceDisagreementCheck.txt</v>
      </c>
      <c r="AE28" s="157" t="str">
        <f t="shared" si="9"/>
        <v>start /low /b %USERPROFILE%\Documents\GitHub\eaglep3\Utilities\DownloadLogsFromS3.py --loco 4018 --day 2017-03-06</v>
      </c>
      <c r="AF28" s="1"/>
    </row>
    <row r="29" spans="1:32" x14ac:dyDescent="0.25">
      <c r="A29" s="32">
        <v>42800.467789351853</v>
      </c>
      <c r="B29" s="30" t="s">
        <v>454</v>
      </c>
      <c r="C29" s="30" t="s">
        <v>574</v>
      </c>
      <c r="D29" s="30" t="s">
        <v>98</v>
      </c>
      <c r="E29" s="30" t="s">
        <v>241</v>
      </c>
      <c r="F29" s="43">
        <v>700</v>
      </c>
      <c r="G29" s="43">
        <v>751</v>
      </c>
      <c r="H29" s="43">
        <v>174444</v>
      </c>
      <c r="I29" s="43">
        <v>177446</v>
      </c>
      <c r="J29" s="30" t="s">
        <v>242</v>
      </c>
      <c r="K29" s="43">
        <v>161962</v>
      </c>
      <c r="L29" s="143" t="s">
        <v>50</v>
      </c>
      <c r="M29" s="144">
        <f t="shared" si="0"/>
        <v>-8175.5519999999997</v>
      </c>
      <c r="N29" s="145" t="str">
        <f>VLOOKUP(C29,'Trips&amp;Operators'!$C$1:$G$99999,5,FALSE)</f>
        <v>ROBINSON KADDIBA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29" s="92" t="str">
        <f>IF(VLOOKUP(C29,'Train Runs'!$A$13:$AE$9946,1,1)=C29,VLOOKUP(C29,'Train Runs'!$A$13:$AE$9946,22,1),NA())</f>
        <v>https://d0f6bd738d7f1b3e5a7ca70fe4ff75f0.us-east-1.aws.found.io/app/kibana#/discover/Steve-Slow-Train-Analysis-(2080s-and-2083s)?_g=(refreshInterval:(display:Off,pause:!f,section:0,value:0),time:(from:'2017-03-06T09:39:21-0700',mode:absolute,to:'2017-03-06T12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9" s="94" t="str">
        <f t="shared" si="1"/>
        <v>"C:\Program Files (x86)\AstroGrep\AstroGrep.exe" /e /r /s /spath="%USERPROFILE%\AppData\Local\Temp\OnboardLogs" /stypes="*4003*201703061*" /stext=" 18:.+((SYSTEM_STATE.+slice.+state.+changed )|(ment ac)|(multiple cpu faults)|(system.+state.+changed )|(\[timeout)|(PRM\|1\|D)|(kpr)|(kdp)|(\|lc)|(penalty))"</v>
      </c>
      <c r="U29" s="9" t="str">
        <f t="shared" si="2"/>
        <v>4003</v>
      </c>
      <c r="V29" s="32">
        <f t="shared" si="3"/>
        <v>42800.759456018517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{"issue":{"subject":"","project_id":79,"tracker_id":40,"status_id":1,"priority_id":2,"assigned_to_id":23,"start_date":"2017-03-06","description":"","custom_fields":[{"id":1,"name":"Subdivision","value":"EC"},{"id":4,"name":"Milepost","value":"16.1962"},{"id":17,"name":"Train ID","value":"157-06"},{"id":16,"name":"Locomotive ID","value":"4003"},{"id":130,"name":"Impact","value":""},{"id":150,"name":"Time of Event (Mountain Time)","value":"11:13:37"},{"id":151,"name":"Denver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10"/>
        <v>grep -hSE -A400 "Enforcement Action" "%USERPROFILE%\AppData\Local\Temp\OnboardLogs"\RTDC4003\*4003*201703061*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"%USERPROFILE%\AppData\Local\Temp\OnboardLogs"\RTDC4003\*4003*201703061* &gt;&gt; 2017-03-06-SliceDisagreementCheck.txt</v>
      </c>
      <c r="AE29" s="157" t="str">
        <f t="shared" si="9"/>
        <v>start /low /b %USERPROFILE%\Documents\GitHub\eaglep3\Utilities\DownloadLogsFromS3.py --loco 4003 --day 2017-03-06</v>
      </c>
      <c r="AF29" s="1"/>
    </row>
    <row r="30" spans="1:32" x14ac:dyDescent="0.25">
      <c r="A30" s="32">
        <v>42800.737743055557</v>
      </c>
      <c r="B30" s="30" t="s">
        <v>485</v>
      </c>
      <c r="C30" s="30" t="s">
        <v>594</v>
      </c>
      <c r="D30" s="30" t="s">
        <v>98</v>
      </c>
      <c r="E30" s="30" t="s">
        <v>241</v>
      </c>
      <c r="F30" s="43">
        <v>700</v>
      </c>
      <c r="G30" s="43">
        <v>750</v>
      </c>
      <c r="H30" s="43">
        <v>173976</v>
      </c>
      <c r="I30" s="43">
        <v>177164</v>
      </c>
      <c r="J30" s="30" t="s">
        <v>242</v>
      </c>
      <c r="K30" s="43">
        <v>161962</v>
      </c>
      <c r="L30" s="143" t="s">
        <v>50</v>
      </c>
      <c r="M30" s="144">
        <f t="shared" si="0"/>
        <v>-8026.6559999999999</v>
      </c>
      <c r="N30" s="145" t="str">
        <f>VLOOKUP(C30,'Trips&amp;Operators'!$C$1:$G$99999,5,FALSE)</f>
        <v>ROMERO CHAD</v>
      </c>
      <c r="O30" s="194" t="s">
        <v>185</v>
      </c>
      <c r="P30" s="146"/>
      <c r="Q30" s="30"/>
      <c r="R30" s="89" t="str">
        <f>IF(VLOOKUP(C30,'Train Runs'!$A$13:$AE$9946,1,1)=C30,VLOOKUP(C30,'Train Runs'!$A$13:$AE$9946,31,1),NA())</f>
        <v>aws s3 cp s3://rtdc.mdm.uploadarchive.raw/RTDC4018/ "%USERPROFILE%\AppData\Local\Temp\OnboardLogs"\RTDC4018\2017-03-06 --exclude "*" --recursive --include "*20170306*" &amp; "%USERPROFILE%\Documents\GitHub\mrs-test-scripts\Headless Mode &amp; Sideloading\WalkAndUnGZ.bat" "%USERPROFILE%\AppData\Local\Temp\OnboardLogs"\RTDC4018\2017-03-06 &amp; aws s3 cp s3://rtdc.mdm.uploadarchive.raw/RTDC4018/ "%USERPROFILE%\AppData\Local\Temp\OnboardLogs"\RTDC4018\2017-03-07 --exclude "*" --recursive --include "*20170307*" &amp; "%USERPROFILE%\Documents\GitHub\mrs-test-scripts\Headless Mode &amp; Sideloading\WalkAndUnGZ.bat" "%USERPROFILE%\AppData\Local\Temp\OnboardLogs"\RTDC4018\2017-03-07</v>
      </c>
      <c r="S30" s="92" t="str">
        <f>IF(VLOOKUP(C30,'Train Runs'!$A$13:$AE$9946,1,1)=C30,VLOOKUP(C30,'Train Runs'!$A$13:$AE$9946,22,1),NA())</f>
        <v>https://d0f6bd738d7f1b3e5a7ca70fe4ff75f0.us-east-1.aws.found.io/app/kibana#/discover/Steve-Slow-Train-Analysis-(2080s-and-2083s)?_g=(refreshInterval:(display:Off,pause:!f,section:0,value:0),time:(from:'2017-03-06T16:00:20-0700',mode:absolute,to:'2017-03-06T18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94" t="str">
        <f t="shared" si="1"/>
        <v>"C:\Program Files (x86)\AstroGrep\AstroGrep.exe" /e /r /s /spath="%USERPROFILE%\AppData\Local\Temp\OnboardLogs" /stypes="*4018*201703070*" /stext=" 00:.+((SYSTEM_STATE.+slice.+state.+changed )|(ment ac)|(multiple cpu faults)|(system.+state.+changed )|(\[timeout)|(PRM\|1\|D)|(kpr)|(kdp)|(\|lc)|(penalty))"</v>
      </c>
      <c r="U30" s="9" t="str">
        <f t="shared" si="2"/>
        <v>4018</v>
      </c>
      <c r="V30" s="32">
        <f t="shared" si="3"/>
        <v>42801.029409722221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{"issue":{"subject":"","project_id":79,"tracker_id":40,"status_id":1,"priority_id":2,"assigned_to_id":23,"start_date":"2017-03-06","description":"","custom_fields":[{"id":1,"name":"Subdivision","value":"EC"},{"id":4,"name":"Milepost","value":"16.1962"},{"id":17,"name":"Train ID","value":"207-06"},{"id":16,"name":"Locomotive ID","value":"4018"},{"id":130,"name":"Impact","value":""},{"id":150,"name":"Time of Event (Mountain Time)","value":"17:42:21"},{"id":151,"name":"Denver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10"/>
        <v>grep -hSE -A400 "Enforcement Action" "%USERPROFILE%\AppData\Local\Temp\OnboardLogs"\RTDC4018\*4018*201703070*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"%USERPROFILE%\AppData\Local\Temp\OnboardLogs"\RTDC4018\*4018*201703070* &gt;&gt; 2017-03-06-SliceDisagreementCheck.txt</v>
      </c>
      <c r="AE30" s="157" t="str">
        <f t="shared" si="9"/>
        <v>start /low /b %USERPROFILE%\Documents\GitHub\eaglep3\Utilities\DownloadLogsFromS3.py --loco 4018 --day 2017-03-07</v>
      </c>
      <c r="AF30" s="1"/>
    </row>
    <row r="31" spans="1:32" x14ac:dyDescent="0.25">
      <c r="A31" s="32">
        <v>42800.543749999997</v>
      </c>
      <c r="B31" s="30" t="s">
        <v>504</v>
      </c>
      <c r="C31" s="30" t="s">
        <v>580</v>
      </c>
      <c r="D31" s="30" t="s">
        <v>98</v>
      </c>
      <c r="E31" s="30" t="s">
        <v>241</v>
      </c>
      <c r="F31" s="43">
        <v>600</v>
      </c>
      <c r="G31" s="43">
        <v>651</v>
      </c>
      <c r="H31" s="43">
        <v>184083</v>
      </c>
      <c r="I31" s="43">
        <v>181165</v>
      </c>
      <c r="J31" s="30" t="s">
        <v>242</v>
      </c>
      <c r="K31" s="43">
        <v>190834</v>
      </c>
      <c r="L31" s="143" t="s">
        <v>51</v>
      </c>
      <c r="M31" s="144">
        <f t="shared" si="0"/>
        <v>-5105.232</v>
      </c>
      <c r="N31" s="145" t="str">
        <f>VLOOKUP(C31,'Trips&amp;Operators'!$C$1:$G$99999,5,FALSE)</f>
        <v>LOCKLEAR TRAVIS</v>
      </c>
      <c r="O31" s="194" t="s">
        <v>185</v>
      </c>
      <c r="P31" s="146"/>
      <c r="Q31" s="30"/>
      <c r="R31" s="89" t="str">
        <f>IF(VLOOKUP(C31,'Train Runs'!$A$13:$AE$9946,1,1)=C31,VLOOKUP(C31,'Train Runs'!$A$13:$AE$9946,31,1),NA())</f>
        <v>aws s3 cp s3://rtdc.mdm.uploadarchive.raw/RTDC4001/ "%USERPROFILE%\AppData\Local\Temp\OnboardLogs"\RTDC4001\2017-03-06 --exclude "*" --recursive --include "*20170306*" &amp; "%USERPROFILE%\Documents\GitHub\mrs-test-scripts\Headless Mode &amp; Sideloading\WalkAndUnGZ.bat" "%USERPROFILE%\AppData\Local\Temp\OnboardLogs"\RTDC4001\2017-03-06 &amp; aws s3 cp s3://rtdc.mdm.uploadarchive.raw/RTDC4001/ "%USERPROFILE%\AppData\Local\Temp\OnboardLogs"\RTDC4001\2017-03-07 --exclude "*" --recursive --include "*20170307*" &amp; "%USERPROFILE%\Documents\GitHub\mrs-test-scripts\Headless Mode &amp; Sideloading\WalkAndUnGZ.bat" "%USERPROFILE%\AppData\Local\Temp\OnboardLogs"\RTDC4001\2017-03-07</v>
      </c>
      <c r="S31" s="92" t="str">
        <f>IF(VLOOKUP(C31,'Train Runs'!$A$13:$AE$9946,1,1)=C31,VLOOKUP(C31,'Train Runs'!$A$13:$AE$9946,22,1),NA())</f>
        <v>https://d0f6bd738d7f1b3e5a7ca70fe4ff75f0.us-east-1.aws.found.io/app/kibana#/discover/Steve-Slow-Train-Analysis-(2080s-and-2083s)?_g=(refreshInterval:(display:Off,pause:!f,section:0,value:0),time:(from:'2017-03-06T11:49:33-0700',mode:absolute,to:'2017-03-06T14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94" t="str">
        <f t="shared" si="1"/>
        <v>"C:\Program Files (x86)\AstroGrep\AstroGrep.exe" /e /r /s /spath="%USERPROFILE%\AppData\Local\Temp\OnboardLogs" /stypes="*4001*201703062*" /stext=" 20:.+((SYSTEM_STATE.+slice.+state.+changed )|(ment ac)|(multiple cpu faults)|(system.+state.+changed )|(\[timeout)|(PRM\|1\|D)|(kpr)|(kdp)|(\|lc)|(penalty))"</v>
      </c>
      <c r="U31" s="9" t="str">
        <f t="shared" si="2"/>
        <v>4001</v>
      </c>
      <c r="V31" s="32">
        <f t="shared" si="3"/>
        <v>42800.835416666661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{"issue":{"subject":"","project_id":79,"tracker_id":40,"status_id":1,"priority_id":2,"assigned_to_id":23,"start_date":"2017-03-06","description":"","custom_fields":[{"id":1,"name":"Subdivision","value":"EC"},{"id":4,"name":"Milepost","value":"19.0834"},{"id":17,"name":"Train ID","value":"168-06"},{"id":16,"name":"Locomotive ID","value":"4001"},{"id":130,"name":"Impact","value":""},{"id":150,"name":"Time of Event (Mountain Time)","value":"13:03:00"},{"id":151,"name":"Denver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10"/>
        <v>grep -hSE -A400 "Enforcement Action" "%USERPROFILE%\AppData\Local\Temp\OnboardLogs"\RTDC4001\*4001*201703062*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"%USERPROFILE%\AppData\Local\Temp\OnboardLogs"\RTDC4001\*4001*201703062* &gt;&gt; 2017-03-06-SliceDisagreementCheck.txt</v>
      </c>
      <c r="AE31" s="157" t="str">
        <f t="shared" si="9"/>
        <v>start /low /b %USERPROFILE%\Documents\GitHub\eaglep3\Utilities\DownloadLogsFromS3.py --loco 4001 --day 2017-03-06</v>
      </c>
      <c r="AF31" s="1"/>
    </row>
    <row r="32" spans="1:32" x14ac:dyDescent="0.25">
      <c r="A32" s="32">
        <v>42800.579340277778</v>
      </c>
      <c r="B32" s="30" t="s">
        <v>501</v>
      </c>
      <c r="C32" s="30" t="s">
        <v>582</v>
      </c>
      <c r="D32" s="30" t="s">
        <v>98</v>
      </c>
      <c r="E32" s="30" t="s">
        <v>558</v>
      </c>
      <c r="F32" s="43">
        <v>0</v>
      </c>
      <c r="G32" s="43">
        <v>152</v>
      </c>
      <c r="H32" s="43">
        <v>1982</v>
      </c>
      <c r="I32" s="43">
        <v>2197</v>
      </c>
      <c r="J32" s="30" t="s">
        <v>559</v>
      </c>
      <c r="K32" s="43">
        <v>1692</v>
      </c>
      <c r="L32" s="143" t="s">
        <v>50</v>
      </c>
      <c r="M32" s="144">
        <f t="shared" si="0"/>
        <v>-266.64</v>
      </c>
      <c r="N32" s="145" t="str">
        <f>VLOOKUP(C32,'Trips&amp;Operators'!$C$1:$G$99999,5,FALSE)</f>
        <v>LOCKLEAR TRAVIS</v>
      </c>
      <c r="O32" s="194" t="s">
        <v>185</v>
      </c>
      <c r="P32" s="146" t="s">
        <v>987</v>
      </c>
      <c r="Q32" s="30"/>
      <c r="R32" s="89" t="str">
        <f>IF(VLOOKUP(C32,'Train Runs'!$A$13:$AE$9946,1,1)=C32,VLOOKUP(C32,'Train Runs'!$A$13:$AE$9946,31,1),NA())</f>
        <v>aws s3 cp s3://rtdc.mdm.uploadarchive.raw/RTDC4009/ "%USERPROFILE%\AppData\Local\Temp\OnboardLogs"\RTDC4009\2017-03-06 --exclude "*" --recursive --include "*20170306*" &amp; "%USERPROFILE%\Documents\GitHub\mrs-test-scripts\Headless Mode &amp; Sideloading\WalkAndUnGZ.bat" "%USERPROFILE%\AppData\Local\Temp\OnboardLogs"\RTDC4009\2017-03-06 &amp; aws s3 cp s3://rtdc.mdm.uploadarchive.raw/RTDC4009/ "%USERPROFILE%\AppData\Local\Temp\OnboardLogs"\RTDC4009\2017-03-07 --exclude "*" --recursive --include "*20170307*" &amp; "%USERPROFILE%\Documents\GitHub\mrs-test-scripts\Headless Mode &amp; Sideloading\WalkAndUnGZ.bat" "%USERPROFILE%\AppData\Local\Temp\OnboardLogs"\RTDC4009\2017-03-07</v>
      </c>
      <c r="S32" s="92" t="str">
        <f>IF(VLOOKUP(C32,'Train Runs'!$A$13:$AE$9946,1,1)=C32,VLOOKUP(C32,'Train Runs'!$A$13:$AE$9946,22,1),NA())</f>
        <v>https://d0f6bd738d7f1b3e5a7ca70fe4ff75f0.us-east-1.aws.found.io/app/kibana#/discover/Steve-Slow-Train-Analysis-(2080s-and-2083s)?_g=(refreshInterval:(display:Off,pause:!f,section:0,value:0),time:(from:'2017-03-06T12:58:21-0700',mode:absolute,to:'2017-03-06T15:33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2" s="94" t="str">
        <f t="shared" si="1"/>
        <v>"C:\Program Files (x86)\AstroGrep\AstroGrep.exe" /e /r /s /spath="%USERPROFILE%\AppData\Local\Temp\OnboardLogs" /stypes="*4009*201703062*" /stext=" 20:.+((SYSTEM_STATE.+slice.+state.+changed )|(ment ac)|(multiple cpu faults)|(system.+state.+changed )|(\[timeout)|(PRM\|1\|D)|(kpr)|(kdp)|(\|lc)|(penalty))"</v>
      </c>
      <c r="U32" s="9" t="str">
        <f t="shared" si="2"/>
        <v>4009</v>
      </c>
      <c r="V32" s="32">
        <f t="shared" si="3"/>
        <v>42800.871006944442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{"issue":{"subject":"Main 3 departure","project_id":79,"tracker_id":40,"status_id":1,"priority_id":2,"assigned_to_id":23,"start_date":"2017-03-06","description":"","custom_fields":[{"id":1,"name":"Subdivision","value":"EC"},{"id":4,"name":"Milepost","value":"0.1692"},{"id":17,"name":"Train ID","value":"181-06"},{"id":16,"name":"Locomotive ID","value":"4009"},{"id":130,"name":"Impact","value":""},{"id":150,"name":"Time of Event (Mountain Time)","value":"13:54:15"},{"id":151,"name":"Denver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10"/>
        <v>grep -hSE -A400 "Enforcement Action" "%USERPROFILE%\AppData\Local\Temp\OnboardLogs"\RTDC4009\*4009*201703062*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"%USERPROFILE%\AppData\Local\Temp\OnboardLogs"\RTDC4009\*4009*201703062* &gt;&gt; 2017-03-06-SliceDisagreementCheck.txt</v>
      </c>
      <c r="AE32" s="157" t="str">
        <f t="shared" si="9"/>
        <v>start /low /b %USERPROFILE%\Documents\GitHub\eaglep3\Utilities\DownloadLogsFromS3.py --loco 4009 --day 2017-03-06</v>
      </c>
      <c r="AF32" s="1"/>
    </row>
    <row r="33" spans="1:32" x14ac:dyDescent="0.25">
      <c r="A33" s="32">
        <v>42800.603634259256</v>
      </c>
      <c r="B33" s="30" t="s">
        <v>583</v>
      </c>
      <c r="C33" s="30" t="s">
        <v>584</v>
      </c>
      <c r="D33" s="30" t="s">
        <v>49</v>
      </c>
      <c r="E33" s="30" t="s">
        <v>558</v>
      </c>
      <c r="F33" s="43">
        <v>0</v>
      </c>
      <c r="G33" s="43">
        <v>148</v>
      </c>
      <c r="H33" s="43">
        <v>107295</v>
      </c>
      <c r="I33" s="43">
        <v>107517</v>
      </c>
      <c r="J33" s="30" t="s">
        <v>559</v>
      </c>
      <c r="K33" s="43">
        <v>107939</v>
      </c>
      <c r="L33" s="143" t="s">
        <v>50</v>
      </c>
      <c r="M33" s="144">
        <f t="shared" si="0"/>
        <v>222.816</v>
      </c>
      <c r="N33" s="145" t="str">
        <f>VLOOKUP(C33,'Trips&amp;Operators'!$C$1:$G$99999,5,FALSE)</f>
        <v>HOLCOMB KAMDEN</v>
      </c>
      <c r="O33" s="194" t="s">
        <v>185</v>
      </c>
      <c r="P33" s="146" t="s">
        <v>993</v>
      </c>
      <c r="Q33" s="30"/>
      <c r="R33" s="89" t="str">
        <f>IF(VLOOKUP(C33,'Train Runs'!$A$13:$AE$9946,1,1)=C33,VLOOKUP(C33,'Train Runs'!$A$13:$AE$9946,31,1),NA())</f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S33" s="92" t="str">
        <f>IF(VLOOKUP(C33,'Train Runs'!$A$13:$AE$9946,1,1)=C33,VLOOKUP(C33,'Train Runs'!$A$13:$AE$9946,22,1),NA())</f>
        <v>https://d0f6bd738d7f1b3e5a7ca70fe4ff75f0.us-east-1.aws.found.io/app/kibana#/discover/Steve-Slow-Train-Analysis-(2080s-and-2083s)?_g=(refreshInterval:(display:Off,pause:!f,section:0,value:0),time:(from:'2017-03-06T12:53:38-0700',mode:absolute,to:'2017-03-06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 t="shared" si="1"/>
        <v>"C:\Program Files (x86)\AstroGrep\AstroGrep.exe" /e /r /s /spath="%USERPROFILE%\AppData\Local\Temp\OnboardLogs" /stypes="*4051*201703062*" /stext=" 21:.+((SYSTEM_STATE.+slice.+state.+changed )|(ment ac)|(multiple cpu faults)|(system.+state.+changed )|(\[timeout)|(PRM\|1\|D)|(kpr)|(kdp)|(\|lc)|(penalty))"</v>
      </c>
      <c r="U33" s="9" t="str">
        <f t="shared" si="2"/>
        <v>4051</v>
      </c>
      <c r="V33" s="32">
        <f t="shared" si="3"/>
        <v>42800.89530092592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{"issue":{"subject":"Chambers 2N STOP","project_id":79,"tracker_id":40,"status_id":1,"priority_id":2,"assigned_to_id":23,"start_date":"2017-03-06","description":"","custom_fields":[{"id":1,"name":"Subdivision","value":"EC"},{"id":4,"name":"Milepost","value":"10.7939"},{"id":17,"name":"Train ID","value":"183-06"},{"id":16,"name":"Locomotive ID","value":"4051"},{"id":130,"name":"Impact","value":""},{"id":150,"name":"Time of Event (Mountain Time)","value":"14:29:14"},{"id":151,"name":"Denver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10"/>
        <v>grep -hSE -A400 "Enforcement Action" "%USERPROFILE%\AppData\Local\Temp\OnboardLogs"\RTDC4051\*4051*201703062*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"%USERPROFILE%\AppData\Local\Temp\OnboardLogs"\RTDC4051\*4051*201703062* &gt;&gt; 2017-03-06-SliceDisagreementCheck.txt</v>
      </c>
      <c r="AE33" s="157" t="str">
        <f t="shared" si="9"/>
        <v>start /low /b %USERPROFILE%\Documents\GitHub\eaglep3\Utilities\DownloadLogsFromS3.py --loco 4051 --day 2017-03-06</v>
      </c>
      <c r="AF33" s="1"/>
    </row>
    <row r="34" spans="1:32" x14ac:dyDescent="0.25">
      <c r="A34" s="32">
        <v>42800.685960648145</v>
      </c>
      <c r="B34" s="30" t="s">
        <v>483</v>
      </c>
      <c r="C34" s="30" t="s">
        <v>590</v>
      </c>
      <c r="D34" s="30" t="s">
        <v>49</v>
      </c>
      <c r="E34" s="30" t="s">
        <v>558</v>
      </c>
      <c r="F34" s="43">
        <v>0</v>
      </c>
      <c r="G34" s="43">
        <v>109</v>
      </c>
      <c r="H34" s="43">
        <v>127922</v>
      </c>
      <c r="I34" s="43">
        <v>127837</v>
      </c>
      <c r="J34" s="30" t="s">
        <v>559</v>
      </c>
      <c r="K34" s="43">
        <v>127587</v>
      </c>
      <c r="L34" s="143" t="s">
        <v>51</v>
      </c>
      <c r="M34" s="144">
        <f t="shared" si="0"/>
        <v>132</v>
      </c>
      <c r="N34" s="145" t="str">
        <f>VLOOKUP(C34,'Trips&amp;Operators'!$C$1:$G$99999,5,FALSE)</f>
        <v>ROMERO CHAD</v>
      </c>
      <c r="O34" s="194" t="s">
        <v>185</v>
      </c>
      <c r="P34" s="146" t="s">
        <v>994</v>
      </c>
      <c r="Q34" s="30"/>
      <c r="R34" s="89" t="str">
        <f>IF(VLOOKUP(C34,'Train Runs'!$A$13:$AE$9946,1,1)=C34,VLOOKUP(C34,'Train Runs'!$A$13:$AE$9946,31,1),NA())</f>
        <v>aws s3 cp s3://rtdc.mdm.uploadarchive.raw/RTDC4017/ "%USERPROFILE%\AppData\Local\Temp\OnboardLogs"\RTDC4017\2017-03-06 --exclude "*" --recursive --include "*20170306*" &amp; "%USERPROFILE%\Documents\GitHub\mrs-test-scripts\Headless Mode &amp; Sideloading\WalkAndUnGZ.bat" "%USERPROFILE%\AppData\Local\Temp\OnboardLogs"\RTDC4017\2017-03-06 &amp; aws s3 cp s3://rtdc.mdm.uploadarchive.raw/RTDC4017/ "%USERPROFILE%\AppData\Local\Temp\OnboardLogs"\RTDC4017\2017-03-07 --exclude "*" --recursive --include "*20170307*" &amp; "%USERPROFILE%\Documents\GitHub\mrs-test-scripts\Headless Mode &amp; Sideloading\WalkAndUnGZ.bat" "%USERPROFILE%\AppData\Local\Temp\OnboardLogs"\RTDC4017\2017-03-07</v>
      </c>
      <c r="S34" s="92" t="str">
        <f>IF(VLOOKUP(C34,'Train Runs'!$A$13:$AE$9946,1,1)=C34,VLOOKUP(C34,'Train Runs'!$A$13:$AE$9946,22,1),NA())</f>
        <v>https://d0f6bd738d7f1b3e5a7ca70fe4ff75f0.us-east-1.aws.found.io/app/kibana#/discover/Steve-Slow-Train-Analysis-(2080s-and-2083s)?_g=(refreshInterval:(display:Off,pause:!f,section:0,value:0),time:(from:'2017-03-06T15:01:11-0700',mode:absolute,to:'2017-03-06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94" t="str">
        <f t="shared" si="1"/>
        <v>"C:\Program Files (x86)\AstroGrep\AstroGrep.exe" /e /r /s /spath="%USERPROFILE%\AppData\Local\Temp\OnboardLogs" /stypes="*4017*201703062*" /stext=" 23:.+((SYSTEM_STATE.+slice.+state.+changed )|(ment ac)|(multiple cpu faults)|(system.+state.+changed )|(\[timeout)|(PRM\|1\|D)|(kpr)|(kdp)|(\|lc)|(penalty))"</v>
      </c>
      <c r="U34" s="9" t="str">
        <f t="shared" si="2"/>
        <v>4017</v>
      </c>
      <c r="V34" s="32">
        <f t="shared" si="3"/>
        <v>42800.977627314809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{"issue":{"subject":"40th 4S STOP","project_id":79,"tracker_id":40,"status_id":1,"priority_id":2,"assigned_to_id":23,"start_date":"2017-03-06","description":"","custom_fields":[{"id":1,"name":"Subdivision","value":"EC"},{"id":4,"name":"Milepost","value":"12.7587"},{"id":17,"name":"Train ID","value":"194-06"},{"id":16,"name":"Locomotive ID","value":"4017"},{"id":130,"name":"Impact","value":""},{"id":150,"name":"Time of Event (Mountain Time)","value":"16:27:47"},{"id":151,"name":"Denver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10"/>
        <v>grep -hSE -A400 "Enforcement Action" "%USERPROFILE%\AppData\Local\Temp\OnboardLogs"\RTDC4017\*4017*201703062*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"%USERPROFILE%\AppData\Local\Temp\OnboardLogs"\RTDC4017\*4017*201703062* &gt;&gt; 2017-03-06-SliceDisagreementCheck.txt</v>
      </c>
      <c r="AE34" s="157" t="str">
        <f t="shared" si="9"/>
        <v>start /low /b %USERPROFILE%\Documents\GitHub\eaglep3\Utilities\DownloadLogsFromS3.py --loco 4017 --day 2017-03-06</v>
      </c>
      <c r="AF34" s="1"/>
    </row>
    <row r="35" spans="1:32" x14ac:dyDescent="0.25">
      <c r="A35" s="32">
        <v>42800.682141203702</v>
      </c>
      <c r="B35" s="30" t="s">
        <v>588</v>
      </c>
      <c r="C35" s="30" t="s">
        <v>589</v>
      </c>
      <c r="D35" s="30" t="s">
        <v>98</v>
      </c>
      <c r="E35" s="30" t="s">
        <v>452</v>
      </c>
      <c r="F35" s="43">
        <v>150</v>
      </c>
      <c r="G35" s="43">
        <v>204</v>
      </c>
      <c r="H35" s="43">
        <v>108490</v>
      </c>
      <c r="I35" s="43">
        <v>108090</v>
      </c>
      <c r="J35" s="30" t="s">
        <v>196</v>
      </c>
      <c r="K35" s="43">
        <v>109100</v>
      </c>
      <c r="L35" s="143" t="s">
        <v>51</v>
      </c>
      <c r="M35" s="144">
        <f t="shared" si="0"/>
        <v>-533.28</v>
      </c>
      <c r="N35" s="145" t="str">
        <f>VLOOKUP(C35,'Trips&amp;Operators'!$C$1:$G$99999,5,FALSE)</f>
        <v>CLARK KATHLEEN</v>
      </c>
      <c r="O35" s="194" t="s">
        <v>185</v>
      </c>
      <c r="P35" s="146"/>
      <c r="Q35" s="30"/>
      <c r="R35" s="89" t="str">
        <f>IF(VLOOKUP(C35,'Train Runs'!$A$13:$AE$9946,1,1)=C35,VLOOKUP(C35,'Train Runs'!$A$13:$AE$9946,31,1),NA())</f>
        <v>aws s3 cp s3://rtdc.mdm.uploadarchive.raw/RTDC4054/ "%USERPROFILE%\AppData\Local\Temp\OnboardLogs"\RTDC4054\2017-03-06 --exclude "*" --recursive --include "*20170306*" &amp; "%USERPROFILE%\Documents\GitHub\mrs-test-scripts\Headless Mode &amp; Sideloading\WalkAndUnGZ.bat" "%USERPROFILE%\AppData\Local\Temp\OnboardLogs"\RTDC4054\2017-03-06 &amp; aws s3 cp s3://rtdc.mdm.uploadarchive.raw/RTDC4054/ "%USERPROFILE%\AppData\Local\Temp\OnboardLogs"\RTDC4054\2017-03-07 --exclude "*" --recursive --include "*20170307*" &amp; "%USERPROFILE%\Documents\GitHub\mrs-test-scripts\Headless Mode &amp; Sideloading\WalkAndUnGZ.bat" "%USERPROFILE%\AppData\Local\Temp\OnboardLogs"\RTDC4054\2017-03-07</v>
      </c>
      <c r="S35" s="92" t="str">
        <f>IF(VLOOKUP(C35,'Train Runs'!$A$13:$AE$9946,1,1)=C35,VLOOKUP(C35,'Train Runs'!$A$13:$AE$9946,22,1),NA())</f>
        <v>https://d0f6bd738d7f1b3e5a7ca70fe4ff75f0.us-east-1.aws.found.io/app/kibana#/discover/Steve-Slow-Train-Analysis-(2080s-and-2083s)?_g=(refreshInterval:(display:Off,pause:!f,section:0,value:0),time:(from:'2017-03-06T14:55:49-0700',mode:absolute,to:'2017-03-06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5" s="94" t="str">
        <f t="shared" si="1"/>
        <v>"C:\Program Files (x86)\AstroGrep\AstroGrep.exe" /e /r /s /spath="%USERPROFILE%\AppData\Local\Temp\OnboardLogs" /stypes="*4054*201703062*" /stext=" 23:.+((SYSTEM_STATE.+slice.+state.+changed )|(ment ac)|(multiple cpu faults)|(system.+state.+changed )|(\[timeout)|(PRM\|1\|D)|(kpr)|(kdp)|(\|lc)|(penalty))"</v>
      </c>
      <c r="U35" s="9" t="str">
        <f t="shared" si="2"/>
        <v>4054</v>
      </c>
      <c r="V35" s="32">
        <f t="shared" si="3"/>
        <v>42800.973807870367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{"issue":{"subject":"","project_id":79,"tracker_id":40,"status_id":1,"priority_id":2,"assigned_to_id":23,"start_date":"2017-03-06","description":"","custom_fields":[{"id":1,"name":"Subdivision","value":"EC"},{"id":4,"name":"Milepost","value":"10.91"},{"id":17,"name":"Train ID","value":"192-06"},{"id":16,"name":"Locomotive ID","value":"4054"},{"id":130,"name":"Impact","value":""},{"id":150,"name":"Time of Event (Mountain Time)","value":"16:22:17"},{"id":151,"name":"Denver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10"/>
        <v>grep -hSE -A400 "Enforcement Action" "%USERPROFILE%\AppData\Local\Temp\OnboardLogs"\RTDC4054\*4054*201703062*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"%USERPROFILE%\AppData\Local\Temp\OnboardLogs"\RTDC4054\*4054*201703062* &gt;&gt; 2017-03-06-SliceDisagreementCheck.txt</v>
      </c>
      <c r="AE35" s="157" t="str">
        <f t="shared" si="9"/>
        <v>start /low /b %USERPROFILE%\Documents\GitHub\eaglep3\Utilities\DownloadLogsFromS3.py --loco 4054 --day 2017-03-06</v>
      </c>
      <c r="AF35" s="1"/>
    </row>
    <row r="36" spans="1:32" x14ac:dyDescent="0.25">
      <c r="A36" s="32">
        <v>42800.771469907406</v>
      </c>
      <c r="B36" s="30" t="s">
        <v>498</v>
      </c>
      <c r="C36" s="30" t="s">
        <v>597</v>
      </c>
      <c r="D36" s="30" t="s">
        <v>98</v>
      </c>
      <c r="E36" s="30" t="s">
        <v>452</v>
      </c>
      <c r="F36" s="43">
        <v>150</v>
      </c>
      <c r="G36" s="43">
        <v>212</v>
      </c>
      <c r="H36" s="43">
        <v>108990</v>
      </c>
      <c r="I36" s="43">
        <v>108594</v>
      </c>
      <c r="J36" s="30" t="s">
        <v>196</v>
      </c>
      <c r="K36" s="43">
        <v>109100</v>
      </c>
      <c r="L36" s="143" t="s">
        <v>51</v>
      </c>
      <c r="M36" s="144">
        <f t="shared" si="0"/>
        <v>-267.16800000000001</v>
      </c>
      <c r="N36" s="145" t="str">
        <f>VLOOKUP(C36,'Trips&amp;Operators'!$C$1:$G$99999,5,FALSE)</f>
        <v>CHANDLER KELVIN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36" s="92" t="str">
        <f>IF(VLOOKUP(C36,'Train Runs'!$A$13:$AE$9946,1,1)=C36,VLOOKUP(C36,'Train Runs'!$A$13:$AE$9946,22,1),NA())</f>
        <v>https://d0f6bd738d7f1b3e5a7ca70fe4ff75f0.us-east-1.aws.found.io/app/kibana#/discover/Steve-Slow-Train-Analysis-(2080s-and-2083s)?_g=(refreshInterval:(display:Off,pause:!f,section:0,value:0),time:(from:'2017-03-06T17:05:08-0700',mode:absolute,to:'2017-03-06T20:02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6" s="94" t="str">
        <f t="shared" si="1"/>
        <v>"C:\Program Files (x86)\AstroGrep\AstroGrep.exe" /e /r /s /spath="%USERPROFILE%\AppData\Local\Temp\OnboardLogs" /stypes="*4010*201703070*" /stext=" 01:.+((SYSTEM_STATE.+slice.+state.+changed )|(ment ac)|(multiple cpu faults)|(system.+state.+changed )|(\[timeout)|(PRM\|1\|D)|(kpr)|(kdp)|(\|lc)|(penalty))"</v>
      </c>
      <c r="U36" s="9" t="str">
        <f t="shared" si="2"/>
        <v>4010</v>
      </c>
      <c r="V36" s="32">
        <f t="shared" si="3"/>
        <v>42801.06313657407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{"issue":{"subject":"","project_id":79,"tracker_id":40,"status_id":1,"priority_id":2,"assigned_to_id":23,"start_date":"2017-03-06","description":"","custom_fields":[{"id":1,"name":"Subdivision","value":"EC"},{"id":4,"name":"Milepost","value":"10.91"},{"id":17,"name":"Train ID","value":"210-06"},{"id":16,"name":"Locomotive ID","value":"4010"},{"id":130,"name":"Impact","value":""},{"id":150,"name":"Time of Event (Mountain Time)","value":"18:30:55"},{"id":151,"name":"Denver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10"/>
        <v>grep -hSE -A400 "Enforcement Action" "%USERPROFILE%\AppData\Local\Temp\OnboardLogs"\RTDC4010\*4010*201703070*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"%USERPROFILE%\AppData\Local\Temp\OnboardLogs"\RTDC4010\*4010*201703070* &gt;&gt; 2017-03-06-SliceDisagreementCheck.txt</v>
      </c>
      <c r="AE36" s="157" t="str">
        <f t="shared" si="9"/>
        <v>start /low /b %USERPROFILE%\Documents\GitHub\eaglep3\Utilities\DownloadLogsFromS3.py --loco 4010 --day 2017-03-07</v>
      </c>
      <c r="AF36" s="1"/>
    </row>
    <row r="37" spans="1:32" x14ac:dyDescent="0.25">
      <c r="A37" s="32">
        <v>42800.969768518517</v>
      </c>
      <c r="B37" s="30" t="s">
        <v>450</v>
      </c>
      <c r="C37" s="30" t="s">
        <v>602</v>
      </c>
      <c r="D37" s="30" t="s">
        <v>49</v>
      </c>
      <c r="E37" s="30" t="s">
        <v>452</v>
      </c>
      <c r="F37" s="43">
        <v>150</v>
      </c>
      <c r="G37" s="43">
        <v>432</v>
      </c>
      <c r="H37" s="43">
        <v>111605</v>
      </c>
      <c r="I37" s="43">
        <v>110304</v>
      </c>
      <c r="J37" s="30" t="s">
        <v>196</v>
      </c>
      <c r="K37" s="43">
        <v>109100</v>
      </c>
      <c r="L37" s="143" t="s">
        <v>51</v>
      </c>
      <c r="M37" s="144">
        <f t="shared" si="0"/>
        <v>635.71199999999999</v>
      </c>
      <c r="N37" s="145" t="str">
        <f>VLOOKUP(C37,'Trips&amp;Operators'!$C$1:$G$99999,5,FALSE)</f>
        <v>STAMBAUGH JAMES</v>
      </c>
      <c r="O37" s="194" t="s">
        <v>185</v>
      </c>
      <c r="P37" s="146"/>
      <c r="Q37" s="30"/>
      <c r="R37" s="89" t="str">
        <f>IF(VLOOKUP(C37,'Train Runs'!$A$13:$AE$9946,1,1)=C37,VLOOKUP(C37,'Train Runs'!$A$13:$AE$9946,31,1),NA())</f>
        <v>aws s3 cp s3://rtdc.mdm.uploadarchive.raw/RTDC4052/ "%USERPROFILE%\AppData\Local\Temp\OnboardLogs"\RTDC4052\2017-03-06 --exclude "*" --recursive --include "*20170306*" &amp; "%USERPROFILE%\Documents\GitHub\mrs-test-scripts\Headless Mode &amp; Sideloading\WalkAndUnGZ.bat" "%USERPROFILE%\AppData\Local\Temp\OnboardLogs"\RTDC4052\2017-03-06 &amp; aws s3 cp s3://rtdc.mdm.uploadarchive.raw/RTDC4052/ "%USERPROFILE%\AppData\Local\Temp\OnboardLogs"\RTDC4052\2017-03-07 --exclude "*" --recursive --include "*20170307*" &amp; "%USERPROFILE%\Documents\GitHub\mrs-test-scripts\Headless Mode &amp; Sideloading\WalkAndUnGZ.bat" "%USERPROFILE%\AppData\Local\Temp\OnboardLogs"\RTDC4052\2017-03-07</v>
      </c>
      <c r="S37" s="92" t="str">
        <f>IF(VLOOKUP(C37,'Train Runs'!$A$13:$AE$9946,1,1)=C37,VLOOKUP(C37,'Train Runs'!$A$13:$AE$9946,22,1),NA())</f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7" s="94" t="str">
        <f t="shared" si="1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)|(\[timeout)|(PRM\|1\|D)|(kpr)|(kdp)|(\|lc)|(penalty))"</v>
      </c>
      <c r="U37" s="9" t="str">
        <f t="shared" si="2"/>
        <v>4052</v>
      </c>
      <c r="V37" s="32">
        <f t="shared" si="3"/>
        <v>42801.261435185181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{"issue":{"subject":"","project_id":79,"tracker_id":40,"status_id":1,"priority_id":2,"assigned_to_id":23,"start_date":"2017-03-06","description":"","custom_fields":[{"id":1,"name":"Subdivision","value":"EC"},{"id":4,"name":"Milepost","value":"10.91"},{"id":17,"name":"Train ID","value":"234-06"},{"id":16,"name":"Locomotive ID","value":"4052"},{"id":130,"name":"Impact","value":""},{"id":150,"name":"Time of Event (Mountain Time)","value":"23:16:28"},{"id":151,"name":"Denver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10"/>
        <v>grep -hSE -A400 "Enforcement Action" "%USERPROFILE%\AppData\Local\Temp\OnboardLogs"\RTDC4052\*4052*201703070*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"%USERPROFILE%\AppData\Local\Temp\OnboardLogs"\RTDC4052\*4052*201703070* &gt;&gt; 2017-03-06-SliceDisagreementCheck.txt</v>
      </c>
      <c r="AE37" s="157" t="str">
        <f t="shared" si="9"/>
        <v>start /low /b %USERPROFILE%\Documents\GitHub\eaglep3\Utilities\DownloadLogsFromS3.py --loco 4052 --day 2017-03-07</v>
      </c>
      <c r="AF37" s="1"/>
    </row>
    <row r="38" spans="1:32" x14ac:dyDescent="0.25">
      <c r="A38" s="32">
        <v>42800.330509259256</v>
      </c>
      <c r="B38" s="30" t="s">
        <v>498</v>
      </c>
      <c r="C38" s="30" t="s">
        <v>566</v>
      </c>
      <c r="D38" s="30" t="s">
        <v>49</v>
      </c>
      <c r="E38" s="30" t="s">
        <v>186</v>
      </c>
      <c r="F38" s="43">
        <v>0</v>
      </c>
      <c r="G38" s="43">
        <v>40</v>
      </c>
      <c r="H38" s="43">
        <v>141</v>
      </c>
      <c r="I38" s="43">
        <v>127</v>
      </c>
      <c r="J38" s="30" t="s">
        <v>187</v>
      </c>
      <c r="K38" s="43">
        <v>1</v>
      </c>
      <c r="L38" s="143" t="s">
        <v>51</v>
      </c>
      <c r="M38" s="144">
        <f t="shared" si="0"/>
        <v>66.528000000000006</v>
      </c>
      <c r="N38" s="145" t="str">
        <f>VLOOKUP(C38,'Trips&amp;Operators'!$C$1:$G$99999,5,FALSE)</f>
        <v>BONDS REYNALDO</v>
      </c>
      <c r="O38" s="194" t="s">
        <v>185</v>
      </c>
      <c r="P38" s="146"/>
      <c r="Q38" s="30"/>
      <c r="R38" s="89" t="str">
        <f>IF(VLOOKUP(C38,'Train Runs'!$A$13:$AE$9946,1,1)=C38,VLOOKUP(C38,'Train Runs'!$A$13:$AE$9946,31,1),NA())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38" s="92" t="str">
        <f>IF(VLOOKUP(C38,'Train Runs'!$A$13:$AE$9946,1,1)=C38,VLOOKUP(C38,'Train Runs'!$A$13:$AE$9946,22,1),NA())</f>
        <v>https://d0f6bd738d7f1b3e5a7ca70fe4ff75f0.us-east-1.aws.found.io/app/kibana#/discover/Steve-Slow-Train-Analysis-(2080s-and-2083s)?_g=(refreshInterval:(display:Off,pause:!f,section:0,value:0),time:(from:'2017-03-06T06:08:25-0700',mode:absolute,to:'2017-03-06T08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94" t="str">
        <f t="shared" si="1"/>
        <v>"C:\Program Files (x86)\AstroGrep\AstroGrep.exe" /e /r /s /spath="%USERPROFILE%\AppData\Local\Temp\OnboardLogs" /stypes="*4010*201703061*" /stext=" 14:.+((SYSTEM_STATE.+slice.+state.+changed )|(ment ac)|(multiple cpu faults)|(system.+state.+changed )|(\[timeout)|(PRM\|1\|D)|(kpr)|(kdp)|(\|lc)|(penalty))"</v>
      </c>
      <c r="U38" s="9" t="str">
        <f t="shared" si="2"/>
        <v>4010</v>
      </c>
      <c r="V38" s="32">
        <f t="shared" si="3"/>
        <v>42800.622175925921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ID","value":"122-06"},{"id":16,"name":"Locomotive ID","value":"4010"},{"id":130,"name":"Impact","value":""},{"id":150,"name":"Time of Event (Mountain Time)","value":"07:55:56"},{"id":151,"name":"Denver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10"/>
        <v>grep -hSE -A400 "Enforcement Action" "%USERPROFILE%\AppData\Local\Temp\OnboardLogs"\RTDC4010\*4010*201703061*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"%USERPROFILE%\AppData\Local\Temp\OnboardLogs"\RTDC4010\*4010*201703061* &gt;&gt; 2017-03-06-SliceDisagreementCheck.txt</v>
      </c>
      <c r="AE38" s="157" t="str">
        <f t="shared" si="9"/>
        <v>start /low /b %USERPROFILE%\Documents\GitHub\eaglep3\Utilities\DownloadLogsFromS3.py --loco 4010 --day 2017-03-06</v>
      </c>
      <c r="AF38" s="1"/>
    </row>
    <row r="39" spans="1:32" x14ac:dyDescent="0.25">
      <c r="A39" s="32">
        <v>42800.716168981482</v>
      </c>
      <c r="B39" s="30" t="s">
        <v>498</v>
      </c>
      <c r="C39" s="30" t="s">
        <v>592</v>
      </c>
      <c r="D39" s="30" t="s">
        <v>49</v>
      </c>
      <c r="E39" s="30" t="s">
        <v>186</v>
      </c>
      <c r="F39" s="43">
        <v>0</v>
      </c>
      <c r="G39" s="43">
        <v>52</v>
      </c>
      <c r="H39" s="43">
        <v>192</v>
      </c>
      <c r="I39" s="43">
        <v>143</v>
      </c>
      <c r="J39" s="30" t="s">
        <v>187</v>
      </c>
      <c r="K39" s="43">
        <v>1</v>
      </c>
      <c r="L39" s="143" t="s">
        <v>51</v>
      </c>
      <c r="M39" s="144">
        <f t="shared" ref="M39:M63" si="11">CONVERT((I39-K39)/10000,"mi","ft")*IF(L39="Increasing Mileposts (1)",-1,1)</f>
        <v>74.975999999999999</v>
      </c>
      <c r="N39" s="145" t="str">
        <f>VLOOKUP(C39,'Trips&amp;Operators'!$C$1:$G$99999,5,FALSE)</f>
        <v>LOCKLEAR TRAVIS</v>
      </c>
      <c r="O39" s="194" t="s">
        <v>185</v>
      </c>
      <c r="P39" s="146"/>
      <c r="Q39" s="30"/>
      <c r="R39" s="89" t="str">
        <f>IF(VLOOKUP(C39,'Train Runs'!$A$13:$AE$9946,1,1)=C39,VLOOKUP(C39,'Train Runs'!$A$13:$AE$9946,31,1),NA())</f>
        <v>aws s3 cp s3://rtdc.mdm.uploadarchive.raw/RTDC4010/ "%USERPROFILE%\AppData\Local\Temp\OnboardLogs"\RTDC4010\2017-03-06 --exclude "*" --recursive --include "*20170306*" &amp; "%USERPROFILE%\Documents\GitHub\mrs-test-scripts\Headless Mode &amp; Sideloading\WalkAndUnGZ.bat" "%USERPROFILE%\AppData\Local\Temp\OnboardLogs"\RTDC4010\2017-03-06 &amp; aws s3 cp s3://rtdc.mdm.uploadarchive.raw/RTDC4010/ "%USERPROFILE%\AppData\Local\Temp\OnboardLogs"\RTDC4010\2017-03-07 --exclude "*" --recursive --include "*20170307*" &amp; "%USERPROFILE%\Documents\GitHub\mrs-test-scripts\Headless Mode &amp; Sideloading\WalkAndUnGZ.bat" "%USERPROFILE%\AppData\Local\Temp\OnboardLogs"\RTDC4010\2017-03-07</v>
      </c>
      <c r="S39" s="92" t="str">
        <f>IF(VLOOKUP(C39,'Train Runs'!$A$13:$AE$9946,1,1)=C39,VLOOKUP(C39,'Train Runs'!$A$13:$AE$9946,22,1),NA())</f>
        <v>https://d0f6bd738d7f1b3e5a7ca70fe4ff75f0.us-east-1.aws.found.io/app/kibana#/discover/Steve-Slow-Train-Analysis-(2080s-and-2083s)?_g=(refreshInterval:(display:Off,pause:!f,section:0,value:0),time:(from:'2017-03-06T15:22:32-0700',mode:absolute,to:'2017-03-06T18:11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9" s="94" t="str">
        <f t="shared" ref="T39:T63" si="12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/stypes="*4010*201703070*" /stext=" 00:.+((SYSTEM_STATE.+slice.+state.+changed )|(ment ac)|(multiple cpu faults)|(system.+state.+changed )|(\[timeout)|(PRM\|1\|D)|(kpr)|(kdp)|(\|lc)|(penalty))"</v>
      </c>
      <c r="U39" s="9" t="str">
        <f t="shared" ref="U39:U63" si="13">MID(B39,13,4)</f>
        <v>4010</v>
      </c>
      <c r="V39" s="32">
        <f t="shared" ref="V39:V63" si="14">A39-utc_offset/24</f>
        <v>42801.007835648146</v>
      </c>
      <c r="W39" s="46" t="str">
        <f t="shared" ref="W39:W63" si="15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3" si="16">IF(AND(E39="TRACK WARRANT AUTHORITY",G39&lt;10),"OMIT","KEEP")</f>
        <v>KEEP</v>
      </c>
      <c r="Y39" s="108" t="str">
        <f t="shared" ref="Y39:Y63" si="17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ID","value":"196-06"},{"id":16,"name":"Locomotive ID","value":"4010"},{"id":130,"name":"Impact","value":""},{"id":150,"name":"Time of Event (Mountain Time)","value":"17:11:17"},{"id":151,"name":"Denver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10"/>
        <v>grep -hSE -A400 "Enforcement Action" "%USERPROFILE%\AppData\Local\Temp\OnboardLogs"\RTDC4010\*4010*201703070*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"%USERPROFILE%\AppData\Local\Temp\OnboardLogs"\RTDC4010\*4010*201703070* &gt;&gt; 2017-03-06-SliceDisagreementCheck.txt</v>
      </c>
      <c r="AE39" s="157" t="str">
        <f t="shared" si="9"/>
        <v>start /low /b %USERPROFILE%\Documents\GitHub\eaglep3\Utilities\DownloadLogsFromS3.py --loco 4010 --day 2017-03-07</v>
      </c>
      <c r="AF39" s="1"/>
    </row>
    <row r="40" spans="1:32" x14ac:dyDescent="0.25">
      <c r="A40" s="32">
        <v>42800.744687500002</v>
      </c>
      <c r="B40" s="30" t="s">
        <v>213</v>
      </c>
      <c r="C40" s="30" t="s">
        <v>595</v>
      </c>
      <c r="D40" s="30" t="s">
        <v>49</v>
      </c>
      <c r="E40" s="30" t="s">
        <v>186</v>
      </c>
      <c r="F40" s="43">
        <v>0</v>
      </c>
      <c r="G40" s="43">
        <v>142</v>
      </c>
      <c r="H40" s="43">
        <v>582</v>
      </c>
      <c r="I40" s="43">
        <v>391</v>
      </c>
      <c r="J40" s="30" t="s">
        <v>187</v>
      </c>
      <c r="K40" s="43">
        <v>1</v>
      </c>
      <c r="L40" s="143" t="s">
        <v>51</v>
      </c>
      <c r="M40" s="144">
        <f t="shared" si="11"/>
        <v>205.92</v>
      </c>
      <c r="N40" s="145" t="str">
        <f>VLOOKUP(C40,'Trips&amp;Operators'!$C$1:$G$99999,5,FALSE)</f>
        <v>STEWART MICHAEL</v>
      </c>
      <c r="O40" s="194" t="s">
        <v>185</v>
      </c>
      <c r="P40" s="146"/>
      <c r="Q40" s="30"/>
      <c r="R40" s="89" t="str">
        <f>IF(VLOOKUP(C40,'Train Runs'!$A$13:$AE$9946,1,1)=C40,VLOOKUP(C40,'Train Runs'!$A$13:$AE$9946,31,1),NA())</f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S40" s="92" t="str">
        <f>IF(VLOOKUP(C40,'Train Runs'!$A$13:$AE$9946,1,1)=C40,VLOOKUP(C40,'Train Runs'!$A$13:$AE$9946,22,1),NA())</f>
        <v>https://d0f6bd738d7f1b3e5a7ca70fe4ff75f0.us-east-1.aws.found.io/app/kibana#/discover/Steve-Slow-Train-Analysis-(2080s-and-2083s)?_g=(refreshInterval:(display:Off,pause:!f,section:0,value:0),time:(from:'2017-03-06T16:07:13-0700',mode:absolute,to:'2017-03-06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0" s="94" t="str">
        <f t="shared" si="12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)|(\[timeout)|(PRM\|1\|D)|(kpr)|(kdp)|(\|lc)|(penalty))"</v>
      </c>
      <c r="U40" s="9" t="str">
        <f t="shared" si="13"/>
        <v>4045</v>
      </c>
      <c r="V40" s="32">
        <f t="shared" si="14"/>
        <v>42801.036354166667</v>
      </c>
      <c r="W40" s="46" t="str">
        <f t="shared" si="15"/>
        <v>EC</v>
      </c>
      <c r="X40" s="46" t="str">
        <f t="shared" si="16"/>
        <v>KEEP</v>
      </c>
      <c r="Y40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ID","value":"202-06"},{"id":16,"name":"Locomotive ID","value":"4045"},{"id":130,"name":"Impact","value":""},{"id":150,"name":"Time of Event (Mountain Time)","value":"17:52:21"},{"id":151,"name":"Denver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0"/>
        <v>grep -hSE -A400 "Enforcement Action" "%USERPROFILE%\AppData\Local\Temp\OnboardLogs"\RTDC4045\*4045*201703070*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"%USERPROFILE%\AppData\Local\Temp\OnboardLogs"\RTDC4045\*4045*201703070* &gt;&gt; 2017-03-06-SliceDisagreementCheck.txt</v>
      </c>
      <c r="AE40" s="157" t="str">
        <f t="shared" si="9"/>
        <v>start /low /b %USERPROFILE%\Documents\GitHub\eaglep3\Utilities\DownloadLogsFromS3.py --loco 4045 --day 2017-03-07</v>
      </c>
      <c r="AF40" s="1"/>
    </row>
    <row r="41" spans="1:32" x14ac:dyDescent="0.25">
      <c r="A41" s="32">
        <v>42800.745162037034</v>
      </c>
      <c r="B41" s="30" t="s">
        <v>213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70</v>
      </c>
      <c r="H41" s="43">
        <v>227</v>
      </c>
      <c r="I41" s="43">
        <v>160</v>
      </c>
      <c r="J41" s="30" t="s">
        <v>187</v>
      </c>
      <c r="K41" s="43">
        <v>1</v>
      </c>
      <c r="L41" s="143" t="s">
        <v>51</v>
      </c>
      <c r="M41" s="144">
        <f t="shared" si="11"/>
        <v>83.951999999999998</v>
      </c>
      <c r="N41" s="145" t="str">
        <f>VLOOKUP(C41,'Trips&amp;Operators'!$C$1:$G$99999,5,FALSE)</f>
        <v>STEWART MICHAEL</v>
      </c>
      <c r="O41" s="194" t="s">
        <v>185</v>
      </c>
      <c r="P41" s="146"/>
      <c r="Q41" s="30"/>
      <c r="R41" s="89" t="str">
        <f>IF(VLOOKUP(C41,'Train Runs'!$A$13:$AE$9946,1,1)=C41,VLOOKUP(C41,'Train Runs'!$A$13:$AE$9946,31,1),NA())</f>
        <v>aws s3 cp s3://rtdc.mdm.uploadarchive.raw/RTDC4045/ "%USERPROFILE%\AppData\Local\Temp\OnboardLogs"\RTDC4045\2017-03-06 --exclude "*" --recursive --include "*20170306*" &amp; "%USERPROFILE%\Documents\GitHub\mrs-test-scripts\Headless Mode &amp; Sideloading\WalkAndUnGZ.bat" "%USERPROFILE%\AppData\Local\Temp\OnboardLogs"\RTDC4045\2017-03-06 &amp; aws s3 cp s3://rtdc.mdm.uploadarchive.raw/RTDC4045/ "%USERPROFILE%\AppData\Local\Temp\OnboardLogs"\RTDC4045\2017-03-07 --exclude "*" --recursive --include "*20170307*" &amp; "%USERPROFILE%\Documents\GitHub\mrs-test-scripts\Headless Mode &amp; Sideloading\WalkAndUnGZ.bat" "%USERPROFILE%\AppData\Local\Temp\OnboardLogs"\RTDC4045\2017-03-07</v>
      </c>
      <c r="S41" s="92" t="str">
        <f>IF(VLOOKUP(C41,'Train Runs'!$A$13:$AE$9946,1,1)=C41,VLOOKUP(C41,'Train Runs'!$A$13:$AE$9946,22,1),NA())</f>
        <v>https://d0f6bd738d7f1b3e5a7ca70fe4ff75f0.us-east-1.aws.found.io/app/kibana#/discover/Steve-Slow-Train-Analysis-(2080s-and-2083s)?_g=(refreshInterval:(display:Off,pause:!f,section:0,value:0),time:(from:'2017-03-06T16:07:13-0700',mode:absolute,to:'2017-03-06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1" s="94" t="str">
        <f t="shared" si="12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)|(\[timeout)|(PRM\|1\|D)|(kpr)|(kdp)|(\|lc)|(penalty))"</v>
      </c>
      <c r="U41" s="9" t="str">
        <f t="shared" si="13"/>
        <v>4045</v>
      </c>
      <c r="V41" s="32">
        <f t="shared" si="14"/>
        <v>42801.036828703698</v>
      </c>
      <c r="W41" s="46" t="str">
        <f t="shared" si="15"/>
        <v>EC</v>
      </c>
      <c r="X41" s="46" t="str">
        <f t="shared" si="16"/>
        <v>KEEP</v>
      </c>
      <c r="Y41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{"issue":{"subject":"","project_id":79,"tracker_id":40,"status_id":1,"priority_id":2,"assigned_to_id":23,"start_date":"2017-03-06","description":"","custom_fields":[{"id":1,"name":"Subdivision","value":"EC"},{"id":4,"name":"Milepost","value":"0.0001"},{"id":17,"name":"Train ID","value":"202-06"},{"id":16,"name":"Locomotive ID","value":"4045"},{"id":130,"name":"Impact","value":""},{"id":150,"name":"Time of Event (Mountain Time)","value":"17:53:02"},{"id":151,"name":"Denver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0"/>
        <v>grep -hSE -A400 "Enforcement Action" "%USERPROFILE%\AppData\Local\Temp\OnboardLogs"\RTDC4045\*4045*201703070*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"%USERPROFILE%\AppData\Local\Temp\OnboardLogs"\RTDC4045\*4045*201703070* &gt;&gt; 2017-03-06-SliceDisagreementCheck.txt</v>
      </c>
      <c r="AE41" s="157" t="str">
        <f t="shared" si="9"/>
        <v>start /low /b %USERPROFILE%\Documents\GitHub\eaglep3\Utilities\DownloadLogsFromS3.py --loco 4045 --day 2017-03-07</v>
      </c>
      <c r="AF41" s="1"/>
    </row>
    <row r="42" spans="1:32" x14ac:dyDescent="0.25">
      <c r="A42" s="32">
        <v>42800.697546296295</v>
      </c>
      <c r="B42" s="30" t="s">
        <v>451</v>
      </c>
      <c r="C42" s="30" t="s">
        <v>591</v>
      </c>
      <c r="D42" s="30" t="s">
        <v>49</v>
      </c>
      <c r="E42" s="30" t="s">
        <v>186</v>
      </c>
      <c r="F42" s="43">
        <v>0</v>
      </c>
      <c r="G42" s="43">
        <v>31</v>
      </c>
      <c r="H42" s="43">
        <v>899</v>
      </c>
      <c r="I42" s="43">
        <v>875</v>
      </c>
      <c r="J42" s="30" t="s">
        <v>187</v>
      </c>
      <c r="K42" s="43">
        <v>839</v>
      </c>
      <c r="L42" s="143" t="s">
        <v>51</v>
      </c>
      <c r="M42" s="144">
        <f t="shared" si="11"/>
        <v>19.007999999999999</v>
      </c>
      <c r="N42" s="145" t="str">
        <f>VLOOKUP(C42,'Trips&amp;Operators'!$C$1:$G$99999,5,FALSE)</f>
        <v>DAVIS MICHAEL</v>
      </c>
      <c r="O42" s="194" t="s">
        <v>185</v>
      </c>
      <c r="P42" s="146"/>
      <c r="Q42" s="30"/>
      <c r="R42" s="89" t="str">
        <f>IF(VLOOKUP(C42,'Train Runs'!$A$13:$AE$9946,1,1)=C42,VLOOKUP(C42,'Train Runs'!$A$13:$AE$9946,31,1),NA())</f>
        <v>aws s3 cp s3://rtdc.mdm.uploadarchive.raw/RTDC4019/ "%USERPROFILE%\AppData\Local\Temp\OnboardLogs"\RTDC4019\2017-03-06 --exclude "*" --recursive --include "*20170306*" &amp; "%USERPROFILE%\Documents\GitHub\mrs-test-scripts\Headless Mode &amp; Sideloading\WalkAndUnGZ.bat" "%USERPROFILE%\AppData\Local\Temp\OnboardLogs"\RTDC4019\2017-03-06 &amp; aws s3 cp s3://rtdc.mdm.uploadarchive.raw/RTDC4019/ "%USERPROFILE%\AppData\Local\Temp\OnboardLogs"\RTDC4019\2017-03-07 --exclude "*" --recursive --include "*20170307*" &amp; "%USERPROFILE%\Documents\GitHub\mrs-test-scripts\Headless Mode &amp; Sideloading\WalkAndUnGZ.bat" "%USERPROFILE%\AppData\Local\Temp\OnboardLogs"\RTDC4019\2017-03-07</v>
      </c>
      <c r="S42" s="92" t="str">
        <f>IF(VLOOKUP(C42,'Train Runs'!$A$13:$AE$9946,1,1)=C42,VLOOKUP(C42,'Train Runs'!$A$13:$AE$9946,22,1),NA())</f>
        <v>https://d0f6bd738d7f1b3e5a7ca70fe4ff75f0.us-east-1.aws.found.io/app/kibana#/discover/Steve-Slow-Train-Analysis-(2080s-and-2083s)?_g=(refreshInterval:(display:Off,pause:!f,section:0,value:0),time:(from:'2017-03-06T14:45:07-0700',mode:absolute,to:'2017-03-06T17:44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42" s="94" t="str">
        <f t="shared" si="12"/>
        <v>"C:\Program Files (x86)\AstroGrep\AstroGrep.exe" /e /r /s /spath="%USERPROFILE%\AppData\Local\Temp\OnboardLogs" /stypes="*4019*201703062*" /stext=" 23:.+((SYSTEM_STATE.+slice.+state.+changed )|(ment ac)|(multiple cpu faults)|(system.+state.+changed )|(\[timeout)|(PRM\|1\|D)|(kpr)|(kdp)|(\|lc)|(penalty))"</v>
      </c>
      <c r="U42" s="9" t="str">
        <f t="shared" si="13"/>
        <v>4019</v>
      </c>
      <c r="V42" s="32">
        <f t="shared" si="14"/>
        <v>42800.989212962959</v>
      </c>
      <c r="W42" s="46" t="str">
        <f t="shared" si="15"/>
        <v>EC</v>
      </c>
      <c r="X42" s="46" t="str">
        <f t="shared" si="16"/>
        <v>KEEP</v>
      </c>
      <c r="Y42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{"issue":{"subject":"","project_id":79,"tracker_id":40,"status_id":1,"priority_id":2,"assigned_to_id":23,"start_date":"2017-03-06","description":"","custom_fields":[{"id":1,"name":"Subdivision","value":"EC"},{"id":4,"name":"Milepost","value":"0.0839"},{"id":17,"name":"Train ID","value":"190-06"},{"id":16,"name":"Locomotive ID","value":"4019"},{"id":130,"name":"Impact","value":""},{"id":150,"name":"Time of Event (Mountain Time)","value":"16:44:28"},{"id":151,"name":"Denver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0"/>
        <v>grep -hSE -A400 "Enforcement Action" "%USERPROFILE%\AppData\Local\Temp\OnboardLogs"\RTDC4019\*4019*201703062*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"%USERPROFILE%\AppData\Local\Temp\OnboardLogs"\RTDC4019\*4019*201703062* &gt;&gt; 2017-03-06-SliceDisagreementCheck.txt</v>
      </c>
      <c r="AE42" s="157" t="str">
        <f t="shared" si="9"/>
        <v>start /low /b %USERPROFILE%\Documents\GitHub\eaglep3\Utilities\DownloadLogsFromS3.py --loco 4019 --day 2017-03-06</v>
      </c>
      <c r="AF42" s="1"/>
    </row>
    <row r="43" spans="1:32" x14ac:dyDescent="0.25">
      <c r="A43" s="32">
        <v>42800.183842592596</v>
      </c>
      <c r="B43" s="30" t="s">
        <v>454</v>
      </c>
      <c r="C43" s="30" t="s">
        <v>550</v>
      </c>
      <c r="D43" s="30" t="s">
        <v>49</v>
      </c>
      <c r="E43" s="30" t="s">
        <v>186</v>
      </c>
      <c r="F43" s="43">
        <v>0</v>
      </c>
      <c r="G43" s="43">
        <v>73</v>
      </c>
      <c r="H43" s="43">
        <v>233232</v>
      </c>
      <c r="I43" s="43">
        <v>233281</v>
      </c>
      <c r="J43" s="30" t="s">
        <v>187</v>
      </c>
      <c r="K43" s="43">
        <v>233491</v>
      </c>
      <c r="L43" s="143" t="s">
        <v>50</v>
      </c>
      <c r="M43" s="144">
        <f t="shared" si="11"/>
        <v>110.88</v>
      </c>
      <c r="N43" s="145" t="str">
        <f>VLOOKUP(C43,'Trips&amp;Operators'!$C$1:$G$99999,5,FALSE)</f>
        <v>MAELZER KURT</v>
      </c>
      <c r="O43" s="194" t="s">
        <v>185</v>
      </c>
      <c r="P43" s="146"/>
      <c r="Q43" s="30"/>
      <c r="R43" s="89" t="str">
        <f>IF(VLOOKUP(C43,'Train Runs'!$A$13:$AE$9946,1,1)=C43,VLOOKUP(C43,'Train Runs'!$A$13:$AE$9946,31,1),NA())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43" s="92" t="str">
        <f>IF(VLOOKUP(C43,'Train Runs'!$A$13:$AE$9946,1,1)=C43,VLOOKUP(C43,'Train Runs'!$A$13:$AE$9946,22,1),NA())</f>
        <v>https://d0f6bd738d7f1b3e5a7ca70fe4ff75f0.us-east-1.aws.found.io/app/kibana#/discover/Steve-Slow-Train-Analysis-(2080s-and-2083s)?_g=(refreshInterval:(display:Off,pause:!f,section:0,value:0),time:(from:'2017-03-06T02:38:12-0700',mode:absolute,to:'2017-03-06T05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3" s="94" t="str">
        <f t="shared" si="12"/>
        <v>"C:\Program Files (x86)\AstroGrep\AstroGrep.exe" /e /r /s /spath="%USERPROFILE%\AppData\Local\Temp\OnboardLogs" /stypes="*4003*201703061*" /stext=" 11:.+((SYSTEM_STATE.+slice.+state.+changed )|(ment ac)|(multiple cpu faults)|(system.+state.+changed )|(\[timeout)|(PRM\|1\|D)|(kpr)|(kdp)|(\|lc)|(penalty))"</v>
      </c>
      <c r="U43" s="9" t="str">
        <f t="shared" si="13"/>
        <v>4003</v>
      </c>
      <c r="V43" s="32">
        <f t="shared" si="14"/>
        <v>42800.47550925926</v>
      </c>
      <c r="W43" s="46" t="str">
        <f t="shared" si="15"/>
        <v>EC</v>
      </c>
      <c r="X43" s="46" t="str">
        <f t="shared" si="16"/>
        <v>KEEP</v>
      </c>
      <c r="Y43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ID","value":"103-06"},{"id":16,"name":"Locomotive ID","value":"4003"},{"id":130,"name":"Impact","value":""},{"id":150,"name":"Time of Event (Mountain Time)","value":"04:24:44"},{"id":151,"name":"Denver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0"/>
        <v>grep -hSE -A400 "Enforcement Action" "%USERPROFILE%\AppData\Local\Temp\OnboardLogs"\RTDC4003\*4003*201703061*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"%USERPROFILE%\AppData\Local\Temp\OnboardLogs"\RTDC4003\*4003*201703061* &gt;&gt; 2017-03-06-SliceDisagreementCheck.txt</v>
      </c>
      <c r="AE43" s="157" t="str">
        <f t="shared" si="9"/>
        <v>start /low /b %USERPROFILE%\Documents\GitHub\eaglep3\Utilities\DownloadLogsFromS3.py --loco 4003 --day 2017-03-06</v>
      </c>
      <c r="AF43" s="1"/>
    </row>
    <row r="44" spans="1:32" x14ac:dyDescent="0.25">
      <c r="A44" s="32">
        <v>42800.55541666667</v>
      </c>
      <c r="B44" s="30" t="s">
        <v>454</v>
      </c>
      <c r="C44" s="30" t="s">
        <v>581</v>
      </c>
      <c r="D44" s="30" t="s">
        <v>49</v>
      </c>
      <c r="E44" s="30" t="s">
        <v>186</v>
      </c>
      <c r="F44" s="43">
        <v>0</v>
      </c>
      <c r="G44" s="43">
        <v>116</v>
      </c>
      <c r="H44" s="43">
        <v>229440</v>
      </c>
      <c r="I44" s="43">
        <v>229685</v>
      </c>
      <c r="J44" s="30" t="s">
        <v>187</v>
      </c>
      <c r="K44" s="43">
        <v>233491</v>
      </c>
      <c r="L44" s="143" t="s">
        <v>50</v>
      </c>
      <c r="M44" s="144">
        <f t="shared" si="11"/>
        <v>2009.568</v>
      </c>
      <c r="N44" s="145" t="str">
        <f>VLOOKUP(C44,'Trips&amp;Operators'!$C$1:$G$99999,5,FALSE)</f>
        <v>DAVIDSON DAVID</v>
      </c>
      <c r="O44" s="194" t="s">
        <v>185</v>
      </c>
      <c r="P44" s="146"/>
      <c r="Q44" s="30"/>
      <c r="R44" s="89" t="str">
        <f>IF(VLOOKUP(C44,'Train Runs'!$A$13:$AE$9946,1,1)=C44,VLOOKUP(C44,'Train Runs'!$A$13:$AE$9946,31,1),NA())</f>
        <v>aws s3 cp s3://rtdc.mdm.uploadarchive.raw/RTDC4003/ "%USERPROFILE%\AppData\Local\Temp\OnboardLogs"\RTDC4003\2017-03-06 --exclude "*" --recursive --include "*20170306*" &amp; "%USERPROFILE%\Documents\GitHub\mrs-test-scripts\Headless Mode &amp; Sideloading\WalkAndUnGZ.bat" "%USERPROFILE%\AppData\Local\Temp\OnboardLogs"\RTDC4003\2017-03-06 &amp; aws s3 cp s3://rtdc.mdm.uploadarchive.raw/RTDC4003/ "%USERPROFILE%\AppData\Local\Temp\OnboardLogs"\RTDC4003\2017-03-07 --exclude "*" --recursive --include "*20170307*" &amp; "%USERPROFILE%\Documents\GitHub\mrs-test-scripts\Headless Mode &amp; Sideloading\WalkAndUnGZ.bat" "%USERPROFILE%\AppData\Local\Temp\OnboardLogs"\RTDC4003\2017-03-07</v>
      </c>
      <c r="S44" s="92" t="str">
        <f>IF(VLOOKUP(C44,'Train Runs'!$A$13:$AE$9946,1,1)=C44,VLOOKUP(C44,'Train Runs'!$A$13:$AE$9946,22,1),NA())</f>
        <v>https://d0f6bd738d7f1b3e5a7ca70fe4ff75f0.us-east-1.aws.found.io/app/kibana#/discover/Steve-Slow-Train-Analysis-(2080s-and-2083s)?_g=(refreshInterval:(display:Off,pause:!f,section:0,value:0),time:(from:'2017-03-06T11:30:48-0700',mode:absolute,to:'2017-03-06T14:23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4" s="94" t="str">
        <f t="shared" si="12"/>
        <v>"C:\Program Files (x86)\AstroGrep\AstroGrep.exe" /e /r /s /spath="%USERPROFILE%\AppData\Local\Temp\OnboardLogs" /stypes="*4003*201703062*" /stext=" 20:.+((SYSTEM_STATE.+slice.+state.+changed )|(ment ac)|(multiple cpu faults)|(system.+state.+changed )|(\[timeout)|(PRM\|1\|D)|(kpr)|(kdp)|(\|lc)|(penalty))"</v>
      </c>
      <c r="U44" s="9" t="str">
        <f t="shared" si="13"/>
        <v>4003</v>
      </c>
      <c r="V44" s="32">
        <f t="shared" si="14"/>
        <v>42800.847083333334</v>
      </c>
      <c r="W44" s="46" t="str">
        <f t="shared" si="15"/>
        <v>EC</v>
      </c>
      <c r="X44" s="46" t="str">
        <f t="shared" si="16"/>
        <v>KEEP</v>
      </c>
      <c r="Y44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ID","value":"171-06"},{"id":16,"name":"Locomotive ID","value":"4003"},{"id":130,"name":"Impact","value":""},{"id":150,"name":"Time of Event (Mountain Time)","value":"13:19:48"},{"id":151,"name":"Denver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0"/>
        <v>grep -hSE -A400 "Enforcement Action" "%USERPROFILE%\AppData\Local\Temp\OnboardLogs"\RTDC4003\*4003*201703062*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"%USERPROFILE%\AppData\Local\Temp\OnboardLogs"\RTDC4003\*4003*201703062* &gt;&gt; 2017-03-06-SliceDisagreementCheck.txt</v>
      </c>
      <c r="AE44" s="157" t="str">
        <f t="shared" si="9"/>
        <v>start /low /b %USERPROFILE%\Documents\GitHub\eaglep3\Utilities\DownloadLogsFromS3.py --loco 4003 --day 2017-03-06</v>
      </c>
      <c r="AF44" s="1"/>
    </row>
    <row r="45" spans="1:32" x14ac:dyDescent="0.25">
      <c r="A45" s="32">
        <v>42800.56287037037</v>
      </c>
      <c r="B45" s="30" t="s">
        <v>212</v>
      </c>
      <c r="C45" s="30" t="s">
        <v>579</v>
      </c>
      <c r="D45" s="30" t="s">
        <v>49</v>
      </c>
      <c r="E45" s="30" t="s">
        <v>186</v>
      </c>
      <c r="F45" s="43">
        <v>0</v>
      </c>
      <c r="G45" s="43">
        <v>80</v>
      </c>
      <c r="H45" s="43">
        <v>233224</v>
      </c>
      <c r="I45" s="43">
        <v>233303</v>
      </c>
      <c r="J45" s="30" t="s">
        <v>187</v>
      </c>
      <c r="K45" s="43">
        <v>233491</v>
      </c>
      <c r="L45" s="143" t="s">
        <v>50</v>
      </c>
      <c r="M45" s="144">
        <f t="shared" si="11"/>
        <v>99.263999999999996</v>
      </c>
      <c r="N45" s="145" t="str">
        <f>VLOOKUP(C45,'Trips&amp;Operators'!$C$1:$G$99999,5,FALSE)</f>
        <v>STEWART MICHAEL</v>
      </c>
      <c r="O45" s="194" t="s">
        <v>185</v>
      </c>
      <c r="P45" s="146"/>
      <c r="Q45" s="30"/>
      <c r="R45" s="89" t="str">
        <f>IF(VLOOKUP(C45,'Train Runs'!$A$13:$AE$9946,1,1)=C45,VLOOKUP(C45,'Train Runs'!$A$13:$AE$9946,31,1),NA())</f>
        <v>aws s3 cp s3://rtdc.mdm.uploadarchive.raw/RTDC4046/ "%USERPROFILE%\AppData\Local\Temp\OnboardLogs"\RTDC4046\2017-03-06 --exclude "*" --recursive --include "*20170306*" &amp; "%USERPROFILE%\Documents\GitHub\mrs-test-scripts\Headless Mode &amp; Sideloading\WalkAndUnGZ.bat" "%USERPROFILE%\AppData\Local\Temp\OnboardLogs"\RTDC4046\2017-03-06 &amp; aws s3 cp s3://rtdc.mdm.uploadarchive.raw/RTDC4046/ "%USERPROFILE%\AppData\Local\Temp\OnboardLogs"\RTDC4046\2017-03-07 --exclude "*" --recursive --include "*20170307*" &amp; "%USERPROFILE%\Documents\GitHub\mrs-test-scripts\Headless Mode &amp; Sideloading\WalkAndUnGZ.bat" "%USERPROFILE%\AppData\Local\Temp\OnboardLogs"\RTDC4046\2017-03-07</v>
      </c>
      <c r="S45" s="92" t="str">
        <f>IF(VLOOKUP(C45,'Train Runs'!$A$13:$AE$9946,1,1)=C45,VLOOKUP(C45,'Train Runs'!$A$13:$AE$9946,22,1),NA())</f>
        <v>https://d0f6bd738d7f1b3e5a7ca70fe4ff75f0.us-east-1.aws.found.io/app/kibana#/discover/Steve-Slow-Train-Analysis-(2080s-and-2083s)?_g=(refreshInterval:(display:Off,pause:!f,section:0,value:0),time:(from:'2017-03-06T11:43:50-0700',mode:absolute,to:'2017-03-06T14:30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5" s="94" t="str">
        <f t="shared" si="12"/>
        <v>"C:\Program Files (x86)\AstroGrep\AstroGrep.exe" /e /r /s /spath="%USERPROFILE%\AppData\Local\Temp\OnboardLogs" /stypes="*4046*201703062*" /stext=" 20:.+((SYSTEM_STATE.+slice.+state.+changed )|(ment ac)|(multiple cpu faults)|(system.+state.+changed )|(\[timeout)|(PRM\|1\|D)|(kpr)|(kdp)|(\|lc)|(penalty))"</v>
      </c>
      <c r="U45" s="9" t="str">
        <f t="shared" si="13"/>
        <v>4046</v>
      </c>
      <c r="V45" s="32">
        <f t="shared" si="14"/>
        <v>42800.854537037034</v>
      </c>
      <c r="W45" s="46" t="str">
        <f t="shared" si="15"/>
        <v>EC</v>
      </c>
      <c r="X45" s="46" t="str">
        <f t="shared" si="16"/>
        <v>KEEP</v>
      </c>
      <c r="Y45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ID","value":"173-06"},{"id":16,"name":"Locomotive ID","value":"4046"},{"id":130,"name":"Impact","value":""},{"id":150,"name":"Time of Event (Mountain Time)","value":"13:30:32"},{"id":151,"name":"Denver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0"/>
        <v>grep -hSE -A400 "Enforcement Action" "%USERPROFILE%\AppData\Local\Temp\OnboardLogs"\RTDC4046\*4046*201703062*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"%USERPROFILE%\AppData\Local\Temp\OnboardLogs"\RTDC4046\*4046*201703062* &gt;&gt; 2017-03-06-SliceDisagreementCheck.txt</v>
      </c>
      <c r="AE45" s="157" t="str">
        <f t="shared" si="9"/>
        <v>start /low /b %USERPROFILE%\Documents\GitHub\eaglep3\Utilities\DownloadLogsFromS3.py --loco 4046 --day 2017-03-06</v>
      </c>
      <c r="AF45" s="1"/>
    </row>
    <row r="46" spans="1:32" x14ac:dyDescent="0.25">
      <c r="A46" s="32">
        <v>42800.809201388889</v>
      </c>
      <c r="B46" s="30" t="s">
        <v>456</v>
      </c>
      <c r="C46" s="30" t="s">
        <v>598</v>
      </c>
      <c r="D46" s="30" t="s">
        <v>49</v>
      </c>
      <c r="E46" s="30" t="s">
        <v>186</v>
      </c>
      <c r="F46" s="43">
        <v>0</v>
      </c>
      <c r="G46" s="43">
        <v>54</v>
      </c>
      <c r="H46" s="43">
        <v>233306</v>
      </c>
      <c r="I46" s="43">
        <v>233347</v>
      </c>
      <c r="J46" s="30" t="s">
        <v>187</v>
      </c>
      <c r="K46" s="43">
        <v>233491</v>
      </c>
      <c r="L46" s="143" t="s">
        <v>50</v>
      </c>
      <c r="M46" s="144">
        <f t="shared" si="11"/>
        <v>76.031999999999996</v>
      </c>
      <c r="N46" s="145" t="str">
        <f>VLOOKUP(C46,'Trips&amp;Operators'!$C$1:$G$99999,5,FALSE)</f>
        <v>STORY SAMANTHA</v>
      </c>
      <c r="O46" s="194" t="s">
        <v>185</v>
      </c>
      <c r="P46" s="146"/>
      <c r="Q46" s="30"/>
      <c r="R46" s="89" t="str">
        <f>IF(VLOOKUP(C46,'Train Runs'!$A$13:$AE$9946,1,1)=C46,VLOOKUP(C46,'Train Runs'!$A$13:$AE$9946,31,1),NA())</f>
        <v>aws s3 cp s3://rtdc.mdm.uploadarchive.raw/RTDC4053/ "%USERPROFILE%\AppData\Local\Temp\OnboardLogs"\RTDC4053\2017-03-06 --exclude "*" --recursive --include "*20170306*" &amp; "%USERPROFILE%\Documents\GitHub\mrs-test-scripts\Headless Mode &amp; Sideloading\WalkAndUnGZ.bat" "%USERPROFILE%\AppData\Local\Temp\OnboardLogs"\RTDC4053\2017-03-06 &amp; aws s3 cp s3://rtdc.mdm.uploadarchive.raw/RTDC4053/ "%USERPROFILE%\AppData\Local\Temp\OnboardLogs"\RTDC4053\2017-03-07 --exclude "*" --recursive --include "*20170307*" &amp; "%USERPROFILE%\Documents\GitHub\mrs-test-scripts\Headless Mode &amp; Sideloading\WalkAndUnGZ.bat" "%USERPROFILE%\AppData\Local\Temp\OnboardLogs"\RTDC4053\2017-03-07</v>
      </c>
      <c r="S46" s="92" t="str">
        <f>IF(VLOOKUP(C46,'Train Runs'!$A$13:$AE$9946,1,1)=C46,VLOOKUP(C46,'Train Runs'!$A$13:$AE$9946,22,1),NA())</f>
        <v>https://d0f6bd738d7f1b3e5a7ca70fe4ff75f0.us-east-1.aws.found.io/app/kibana#/discover/Steve-Slow-Train-Analysis-(2080s-and-2083s)?_g=(refreshInterval:(display:Off,pause:!f,section:0,value:0),time:(from:'2017-03-06T17:38:00-0700',mode:absolute,to:'2017-03-06T20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6" s="94" t="str">
        <f t="shared" si="12"/>
        <v>"C:\Program Files (x86)\AstroGrep\AstroGrep.exe" /e /r /s /spath="%USERPROFILE%\AppData\Local\Temp\OnboardLogs" /stypes="*4053*201703070*" /stext=" 02:.+((SYSTEM_STATE.+slice.+state.+changed )|(ment ac)|(multiple cpu faults)|(system.+state.+changed )|(\[timeout)|(PRM\|1\|D)|(kpr)|(kdp)|(\|lc)|(penalty))"</v>
      </c>
      <c r="U46" s="9" t="str">
        <f t="shared" si="13"/>
        <v>4053</v>
      </c>
      <c r="V46" s="32">
        <f t="shared" si="14"/>
        <v>42801.100868055553</v>
      </c>
      <c r="W46" s="46" t="str">
        <f t="shared" si="15"/>
        <v>EC</v>
      </c>
      <c r="X46" s="46" t="str">
        <f t="shared" si="16"/>
        <v>KEEP</v>
      </c>
      <c r="Y46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ID","value":"219-06"},{"id":16,"name":"Locomotive ID","value":"4053"},{"id":130,"name":"Impact","value":""},{"id":150,"name":"Time of Event (Mountain Time)","value":"19:25:15"},{"id":151,"name":"Denver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0"/>
        <v>grep -hSE -A400 "Enforcement Action" "%USERPROFILE%\AppData\Local\Temp\OnboardLogs"\RTDC4053\*4053*201703070*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"%USERPROFILE%\AppData\Local\Temp\OnboardLogs"\RTDC4053\*4053*201703070* &gt;&gt; 2017-03-06-SliceDisagreementCheck.txt</v>
      </c>
      <c r="AE46" s="157" t="str">
        <f t="shared" si="9"/>
        <v>start /low /b %USERPROFILE%\Documents\GitHub\eaglep3\Utilities\DownloadLogsFromS3.py --loco 4053 --day 2017-03-07</v>
      </c>
      <c r="AF46" s="1"/>
    </row>
    <row r="47" spans="1:32" x14ac:dyDescent="0.25">
      <c r="A47" s="32">
        <v>42800.942997685182</v>
      </c>
      <c r="B47" s="30" t="s">
        <v>583</v>
      </c>
      <c r="C47" s="30" t="s">
        <v>600</v>
      </c>
      <c r="D47" s="30" t="s">
        <v>49</v>
      </c>
      <c r="E47" s="30" t="s">
        <v>186</v>
      </c>
      <c r="F47" s="43">
        <v>0</v>
      </c>
      <c r="G47" s="43">
        <v>50</v>
      </c>
      <c r="H47" s="43">
        <v>233321</v>
      </c>
      <c r="I47" s="43">
        <v>233383</v>
      </c>
      <c r="J47" s="30" t="s">
        <v>187</v>
      </c>
      <c r="K47" s="43">
        <v>233491</v>
      </c>
      <c r="L47" s="143" t="s">
        <v>50</v>
      </c>
      <c r="M47" s="144">
        <f t="shared" si="11"/>
        <v>57.024000000000001</v>
      </c>
      <c r="N47" s="145" t="str">
        <f>VLOOKUP(C47,'Trips&amp;Operators'!$C$1:$G$99999,5,FALSE)</f>
        <v>STAMBAUGH JAMES</v>
      </c>
      <c r="O47" s="194" t="s">
        <v>185</v>
      </c>
      <c r="P47" s="146"/>
      <c r="Q47" s="30"/>
      <c r="R47" s="89" t="str">
        <f>IF(VLOOKUP(C47,'Train Runs'!$A$13:$AE$9946,1,1)=C47,VLOOKUP(C47,'Train Runs'!$A$13:$AE$9946,31,1),NA())</f>
        <v>aws s3 cp s3://rtdc.mdm.uploadarchive.raw/RTDC4051/ "%USERPROFILE%\AppData\Local\Temp\OnboardLogs"\RTDC4051\2017-03-06 --exclude "*" --recursive --include "*20170306*" &amp; "%USERPROFILE%\Documents\GitHub\mrs-test-scripts\Headless Mode &amp; Sideloading\WalkAndUnGZ.bat" "%USERPROFILE%\AppData\Local\Temp\OnboardLogs"\RTDC4051\2017-03-06 &amp; aws s3 cp s3://rtdc.mdm.uploadarchive.raw/RTDC4051/ "%USERPROFILE%\AppData\Local\Temp\OnboardLogs"\RTDC4051\2017-03-07 --exclude "*" --recursive --include "*20170307*" &amp; "%USERPROFILE%\Documents\GitHub\mrs-test-scripts\Headless Mode &amp; Sideloading\WalkAndUnGZ.bat" "%USERPROFILE%\AppData\Local\Temp\OnboardLogs"\RTDC4051\2017-03-07</v>
      </c>
      <c r="S47" s="92" t="str">
        <f>IF(VLOOKUP(C47,'Train Runs'!$A$13:$AE$9946,1,1)=C47,VLOOKUP(C47,'Train Runs'!$A$13:$AE$9946,22,1),NA())</f>
        <v>https://d0f6bd738d7f1b3e5a7ca70fe4ff75f0.us-east-1.aws.found.io/app/kibana#/discover/Steve-Slow-Train-Analysis-(2080s-and-2083s)?_g=(refreshInterval:(display:Off,pause:!f,section:0,value:0),time:(from:'2017-03-06T20:40:00-0700',mode:absolute,to:'2017-03-06T23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7" s="94" t="str">
        <f t="shared" si="12"/>
        <v>"C:\Program Files (x86)\AstroGrep\AstroGrep.exe" /e /r /s /spath="%USERPROFILE%\AppData\Local\Temp\OnboardLogs" /stypes="*4051*201703070*" /stext=" 05:.+((SYSTEM_STATE.+slice.+state.+changed )|(ment ac)|(multiple cpu faults)|(system.+state.+changed )|(\[timeout)|(PRM\|1\|D)|(kpr)|(kdp)|(\|lc)|(penalty))"</v>
      </c>
      <c r="U47" s="9" t="str">
        <f t="shared" si="13"/>
        <v>4051</v>
      </c>
      <c r="V47" s="32">
        <f t="shared" si="14"/>
        <v>42801.234664351847</v>
      </c>
      <c r="W47" s="46" t="str">
        <f t="shared" si="15"/>
        <v>EC</v>
      </c>
      <c r="X47" s="46" t="str">
        <f t="shared" si="16"/>
        <v>KEEP</v>
      </c>
      <c r="Y47" s="108" t="str">
        <f t="shared" si="17"/>
        <v>echo {"issue":{"subject":"","project_id":79,"tracker_id":40,"status_id":1,"priority_id":2,"assigned_to_id":23,"start_date":"2017-03-06","description":"","custom_fields":[{"id":1,"name":"Subdivision","value":"EC"},{"id":4,"name":"Milepost","value":"23.3491"},{"id":17,"name":"Train ID","value":"233-06"},{"id":16,"name":"Locomotive ID","value":"4051"},{"id":130,"name":"Impact","value":""},{"id":150,"name":"Time of Event (Mountain Time)","value":"22:37:55"},{"id":151,"name":"Denver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0"/>
        <v>grep -hSE -A400 "Enforcement Action" "%USERPROFILE%\AppData\Local\Temp\OnboardLogs"\RTDC4051\*4051*201703070*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"%USERPROFILE%\AppData\Local\Temp\OnboardLogs"\RTDC4051\*4051*201703070* &gt;&gt; 2017-03-06-SliceDisagreementCheck.txt</v>
      </c>
      <c r="AE47" s="157" t="str">
        <f t="shared" si="9"/>
        <v>start /low /b %USERPROFILE%\Documents\GitHub\eaglep3\Utilities\DownloadLogsFromS3.py --loco 4051 --day 2017-03-07</v>
      </c>
      <c r="AF47" s="1"/>
    </row>
    <row r="48" spans="1:32" x14ac:dyDescent="0.25">
      <c r="A48" s="32">
        <v>42800.530891203707</v>
      </c>
      <c r="B48" s="30" t="s">
        <v>554</v>
      </c>
      <c r="C48" s="30" t="s">
        <v>578</v>
      </c>
      <c r="D48" s="30" t="s">
        <v>49</v>
      </c>
      <c r="E48" s="30" t="s">
        <v>241</v>
      </c>
      <c r="F48" s="43">
        <v>400</v>
      </c>
      <c r="G48" s="43">
        <v>487</v>
      </c>
      <c r="H48" s="43">
        <v>51366</v>
      </c>
      <c r="I48" s="43">
        <v>49957</v>
      </c>
      <c r="J48" s="30" t="s">
        <v>242</v>
      </c>
      <c r="K48" s="43">
        <v>49775</v>
      </c>
      <c r="L48" s="143" t="s">
        <v>51</v>
      </c>
      <c r="M48" s="144">
        <f t="shared" si="11"/>
        <v>96.096000000000004</v>
      </c>
      <c r="N48" s="145" t="str">
        <f>VLOOKUP(C48,'Trips&amp;Operators'!$C$1:$G$99999,5,FALSE)</f>
        <v>ROCHA YAOTL</v>
      </c>
      <c r="O48" s="194" t="s">
        <v>185</v>
      </c>
      <c r="P48" s="146"/>
      <c r="Q48" s="30"/>
      <c r="R48" s="89" t="str">
        <f>IF(VLOOKUP(C48,'Train Runs'!$A$13:$AE$9946,1,1)=C48,VLOOKUP(C48,'Train Runs'!$A$13:$AE$9946,31,1),NA())</f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S48" s="92" t="str">
        <f>IF(VLOOKUP(C48,'Train Runs'!$A$13:$AE$9946,1,1)=C48,VLOOKUP(C48,'Train Runs'!$A$13:$AE$9946,22,1),NA())</f>
        <v>https://d0f6bd738d7f1b3e5a7ca70fe4ff75f0.us-east-1.aws.found.io/app/kibana#/discover/Steve-Slow-Train-Analysis-(2080s-and-2083s)?_g=(refreshInterval:(display:Off,pause:!f,section:0,value:0),time:(from:'2017-03-06T11:36:23-0700',mode:absolute,to:'2017-03-06T13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8" s="94" t="str">
        <f t="shared" si="12"/>
        <v>"C:\Program Files (x86)\AstroGrep\AstroGrep.exe" /e /r /s /spath="%USERPROFILE%\AppData\Local\Temp\OnboardLogs" /stypes="*4008*201703061*" /stext=" 19:.+((SYSTEM_STATE.+slice.+state.+changed )|(ment ac)|(multiple cpu faults)|(system.+state.+changed )|(\[timeout)|(PRM\|1\|D)|(kpr)|(kdp)|(\|lc)|(penalty))"</v>
      </c>
      <c r="U48" s="9" t="str">
        <f t="shared" si="13"/>
        <v>4008</v>
      </c>
      <c r="V48" s="32">
        <f t="shared" si="14"/>
        <v>42800.822557870371</v>
      </c>
      <c r="W48" s="46" t="str">
        <f t="shared" si="15"/>
        <v>NW</v>
      </c>
      <c r="X48" s="46" t="str">
        <f t="shared" si="16"/>
        <v>KEEP</v>
      </c>
      <c r="Y48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{"issue":{"subject":"","project_id":79,"tracker_id":40,"status_id":1,"priority_id":2,"assigned_to_id":23,"start_date":"2017-03-06","description":"","custom_fields":[{"id":1,"name":"Subdivision","value":"NW"},{"id":4,"name":"Milepost","value":"4.9775"},{"id":17,"name":"Train ID","value":"820-06"},{"id":16,"name":"Locomotive ID","value":"4008"},{"id":130,"name":"Impact","value":""},{"id":150,"name":"Time of Event (Mountain Time)","value":"12:44:29"},{"id":151,"name":"Denver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0"/>
        <v>grep -hSE -A400 "Enforcement Action" "%USERPROFILE%\AppData\Local\Temp\OnboardLogs"\RTDC4008\*4008*201703061*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"%USERPROFILE%\AppData\Local\Temp\OnboardLogs"\RTDC4008\*4008*201703061* &gt;&gt; 2017-03-06-SliceDisagreementCheck.txt</v>
      </c>
      <c r="AE48" s="157" t="str">
        <f t="shared" si="9"/>
        <v>start /low /b %USERPROFILE%\Documents\GitHub\eaglep3\Utilities\DownloadLogsFromS3.py --loco 4008 --day 2017-03-06</v>
      </c>
      <c r="AF48" s="1"/>
    </row>
    <row r="49" spans="1:32" x14ac:dyDescent="0.25">
      <c r="A49" s="32">
        <v>42800.286782407406</v>
      </c>
      <c r="B49" s="30" t="s">
        <v>554</v>
      </c>
      <c r="C49" s="30" t="s">
        <v>557</v>
      </c>
      <c r="D49" s="30" t="s">
        <v>49</v>
      </c>
      <c r="E49" s="30" t="s">
        <v>558</v>
      </c>
      <c r="F49" s="43">
        <v>0</v>
      </c>
      <c r="G49" s="43">
        <v>120</v>
      </c>
      <c r="H49" s="43">
        <v>5212</v>
      </c>
      <c r="I49" s="43">
        <v>5083</v>
      </c>
      <c r="J49" s="30" t="s">
        <v>559</v>
      </c>
      <c r="K49" s="43">
        <v>4790</v>
      </c>
      <c r="L49" s="143" t="s">
        <v>51</v>
      </c>
      <c r="M49" s="144">
        <f t="shared" si="11"/>
        <v>154.70400000000001</v>
      </c>
      <c r="N49" s="145" t="str">
        <f>VLOOKUP(C49,'Trips&amp;Operators'!$C$1:$G$99999,5,FALSE)</f>
        <v>ROCHA YAOTL</v>
      </c>
      <c r="O49" s="194" t="s">
        <v>604</v>
      </c>
      <c r="P49" s="146" t="s">
        <v>996</v>
      </c>
      <c r="Q49" s="30"/>
      <c r="R49" s="89" t="str">
        <f>IF(VLOOKUP(C49,'Train Runs'!$A$13:$AE$9946,1,1)=C49,VLOOKUP(C49,'Train Runs'!$A$13:$AE$9946,31,1),NA())</f>
        <v>aws s3 cp s3://rtdc.mdm.uploadarchive.raw/RTDC4008/ "%USERPROFILE%\AppData\Local\Temp\OnboardLogs"\RTDC4008\2017-03-06 --exclude "*" --recursive --include "*20170306*" &amp; "%USERPROFILE%\Documents\GitHub\mrs-test-scripts\Headless Mode &amp; Sideloading\WalkAndUnGZ.bat" "%USERPROFILE%\AppData\Local\Temp\OnboardLogs"\RTDC4008\2017-03-06 &amp; aws s3 cp s3://rtdc.mdm.uploadarchive.raw/RTDC4008/ "%USERPROFILE%\AppData\Local\Temp\OnboardLogs"\RTDC4008\2017-03-07 --exclude "*" --recursive --include "*20170307*" &amp; "%USERPROFILE%\Documents\GitHub\mrs-test-scripts\Headless Mode &amp; Sideloading\WalkAndUnGZ.bat" "%USERPROFILE%\AppData\Local\Temp\OnboardLogs"\RTDC4008\2017-03-07</v>
      </c>
      <c r="S49" s="92" t="str">
        <f>IF(VLOOKUP(C49,'Train Runs'!$A$13:$AE$9946,1,1)=C49,VLOOKUP(C49,'Train Runs'!$A$13:$AE$9946,22,1),NA())</f>
        <v>https://d0f6bd738d7f1b3e5a7ca70fe4ff75f0.us-east-1.aws.found.io/app/kibana#/discover/Steve-Slow-Train-Analysis-(2080s-and-2083s)?_g=(refreshInterval:(display:Off,pause:!f,section:0,value:0),time:(from:'2017-03-06T05:35:37-0700',mode:absolute,to:'2017-03-06T07:55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9" s="94" t="str">
        <f t="shared" si="12"/>
        <v>"C:\Program Files (x86)\AstroGrep\AstroGrep.exe" /e /r /s /spath="%USERPROFILE%\AppData\Local\Temp\OnboardLogs" /stypes="*4008*201703061*" /stext=" 13:.+((SYSTEM_STATE.+slice.+state.+changed )|(ment ac)|(multiple cpu faults)|(system.+state.+changed )|(\[timeout)|(PRM\|1\|D)|(kpr)|(kdp)|(\|lc)|(penalty))"</v>
      </c>
      <c r="U49" s="9" t="str">
        <f t="shared" si="13"/>
        <v>4008</v>
      </c>
      <c r="V49" s="32">
        <f t="shared" si="14"/>
        <v>42800.57844907407</v>
      </c>
      <c r="W49" s="46" t="str">
        <f t="shared" si="15"/>
        <v>NW</v>
      </c>
      <c r="X49" s="46" t="str">
        <f t="shared" si="16"/>
        <v>KEEP</v>
      </c>
      <c r="Y49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down)","project_id":79,"tracker_id":40,"status_id":1,"priority_id":2,"assigned_to_id":23,"start_date":"2017-03-06","description":"","custom_fields":[{"id":1,"name":"Subdivision","value":"NW"},{"id":4,"name":"Milepost","value":"0.479"},{"id":17,"name":"Train ID","value":"804-06"},{"id":16,"name":"Locomotive ID","value":"4008"},{"id":130,"name":"Impact","value":""},{"id":150,"name":"Time of Event (Mountain Time)","value":"06:52:58"},{"id":151,"name":"Denver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0"/>
        <v>grep -hSE -A400 "Enforcement Action" "%USERPROFILE%\AppData\Local\Temp\OnboardLogs"\RTDC4008\*4008*201703061*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"%USERPROFILE%\AppData\Local\Temp\OnboardLogs"\RTDC4008\*4008*201703061* &gt;&gt; 2017-03-06-SliceDisagreementCheck.txt</v>
      </c>
      <c r="AE49" s="157" t="str">
        <f t="shared" si="9"/>
        <v>start /low /b %USERPROFILE%\Documents\GitHub\eaglep3\Utilities\DownloadLogsFromS3.py --loco 4008 --day 2017-03-06</v>
      </c>
      <c r="AF49" s="1"/>
    </row>
    <row r="50" spans="1:32" x14ac:dyDescent="0.25">
      <c r="A50" s="32">
        <v>42800.349374999998</v>
      </c>
      <c r="B50" s="30" t="s">
        <v>256</v>
      </c>
      <c r="C50" s="30" t="s">
        <v>567</v>
      </c>
      <c r="D50" s="30" t="s">
        <v>49</v>
      </c>
      <c r="E50" s="30" t="s">
        <v>558</v>
      </c>
      <c r="F50" s="43">
        <v>0</v>
      </c>
      <c r="G50" s="43">
        <v>124</v>
      </c>
      <c r="H50" s="43">
        <v>5266</v>
      </c>
      <c r="I50" s="43">
        <v>5124</v>
      </c>
      <c r="J50" s="30" t="s">
        <v>559</v>
      </c>
      <c r="K50" s="43">
        <v>4790</v>
      </c>
      <c r="L50" s="143" t="s">
        <v>51</v>
      </c>
      <c r="M50" s="144">
        <f t="shared" si="11"/>
        <v>176.352</v>
      </c>
      <c r="N50" s="145" t="str">
        <f>VLOOKUP(C50,'Trips&amp;Operators'!$C$1:$G$99999,5,FALSE)</f>
        <v>DAVIS WENDY</v>
      </c>
      <c r="O50" s="194" t="s">
        <v>185</v>
      </c>
      <c r="P50" s="146" t="s">
        <v>995</v>
      </c>
      <c r="Q50" s="30"/>
      <c r="R50" s="89" t="str">
        <f>IF(VLOOKUP(C50,'Train Runs'!$A$13:$AE$9946,1,1)=C50,VLOOKUP(C50,'Train Runs'!$A$13:$AE$9946,31,1),NA())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0" s="92" t="str">
        <f>IF(VLOOKUP(C50,'Train Runs'!$A$13:$AE$9946,1,1)=C50,VLOOKUP(C50,'Train Runs'!$A$13:$AE$9946,22,1),NA())</f>
        <v>https://d0f6bd738d7f1b3e5a7ca70fe4ff75f0.us-east-1.aws.found.io/app/kibana#/discover/Steve-Slow-Train-Analysis-(2080s-and-2083s)?_g=(refreshInterval:(display:Off,pause:!f,section:0,value:0),time:(from:'2017-03-06T07:06:25-0700',mode:absolute,to:'2017-03-06T09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0" s="94" t="str">
        <f t="shared" si="12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)|(\[timeout)|(PRM\|1\|D)|(kpr)|(kdp)|(\|lc)|(penalty))"</v>
      </c>
      <c r="U50" s="9" t="str">
        <f t="shared" si="13"/>
        <v>4013</v>
      </c>
      <c r="V50" s="32">
        <f t="shared" si="14"/>
        <v>42800.641041666662</v>
      </c>
      <c r="W50" s="46" t="str">
        <f t="shared" si="15"/>
        <v>NW</v>
      </c>
      <c r="X50" s="46" t="str">
        <f t="shared" si="16"/>
        <v>KEEP</v>
      </c>
      <c r="Y50" s="108" t="str">
        <f t="shared" si="17"/>
        <v>echo {"issue":{"subject":"DUS 28S STOP","project_id":79,"tracker_id":40,"status_id":1,"priority_id":2,"assigned_to_id":23,"start_date":"2017-03-06","description":"","custom_fields":[{"id":1,"name":"Subdivision","value":"NW"},{"id":4,"name":"Milepost","value":"0.479"},{"id":17,"name":"Train ID","value":"810-06"},{"id":16,"name":"Locomotive ID","value":"4013"},{"id":130,"name":"Impact","value":""},{"id":150,"name":"Time of Event (Mountain Time)","value":"08:23:06"},{"id":151,"name":"Denver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0"/>
        <v>grep -hSE -A400 "Enforcement Action" "%USERPROFILE%\AppData\Local\Temp\OnboardLogs"\RTDC4013\*4013*201703061*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0" s="157" t="str">
        <f t="shared" si="9"/>
        <v>start /low /b %USERPROFILE%\Documents\GitHub\eaglep3\Utilities\DownloadLogsFromS3.py --loco 4013 --day 2017-03-06</v>
      </c>
      <c r="AF50" s="1"/>
    </row>
    <row r="51" spans="1:32" x14ac:dyDescent="0.25">
      <c r="A51" s="32">
        <v>42800.723900462966</v>
      </c>
      <c r="B51" s="30" t="s">
        <v>256</v>
      </c>
      <c r="C51" s="30" t="s">
        <v>593</v>
      </c>
      <c r="D51" s="30" t="s">
        <v>49</v>
      </c>
      <c r="E51" s="30" t="s">
        <v>558</v>
      </c>
      <c r="F51" s="43">
        <v>0</v>
      </c>
      <c r="G51" s="43">
        <v>136</v>
      </c>
      <c r="H51" s="43">
        <v>5195</v>
      </c>
      <c r="I51" s="43">
        <v>5074</v>
      </c>
      <c r="J51" s="30" t="s">
        <v>559</v>
      </c>
      <c r="K51" s="43">
        <v>4790</v>
      </c>
      <c r="L51" s="143" t="s">
        <v>51</v>
      </c>
      <c r="M51" s="144">
        <f t="shared" si="11"/>
        <v>149.952</v>
      </c>
      <c r="N51" s="145" t="str">
        <f>VLOOKUP(C51,'Trips&amp;Operators'!$C$1:$G$99999,5,FALSE)</f>
        <v>NEWELL JAMES</v>
      </c>
      <c r="O51" s="194" t="s">
        <v>185</v>
      </c>
      <c r="P51" s="146" t="s">
        <v>995</v>
      </c>
      <c r="Q51" s="30"/>
      <c r="R51" s="89" t="str">
        <f>IF(VLOOKUP(C51,'Train Runs'!$A$13:$AE$9946,1,1)=C51,VLOOKUP(C51,'Train Runs'!$A$13:$AE$9946,31,1),NA())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1" s="92" t="str">
        <f>IF(VLOOKUP(C51,'Train Runs'!$A$13:$AE$9946,1,1)=C51,VLOOKUP(C51,'Train Runs'!$A$13:$AE$9946,22,1),NA())</f>
        <v>https://d0f6bd738d7f1b3e5a7ca70fe4ff75f0.us-east-1.aws.found.io/app/kibana#/discover/Steve-Slow-Train-Analysis-(2080s-and-2083s)?_g=(refreshInterval:(display:Off,pause:!f,section:0,value:0),time:(from:'2017-03-06T16:05:40-0700',mode:absolute,to:'2017-03-06T18:24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1" s="94" t="str">
        <f t="shared" si="12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)|(\[timeout)|(PRM\|1\|D)|(kpr)|(kdp)|(\|lc)|(penalty))"</v>
      </c>
      <c r="U51" s="9" t="str">
        <f t="shared" si="13"/>
        <v>4013</v>
      </c>
      <c r="V51" s="32">
        <f t="shared" si="14"/>
        <v>42801.015567129631</v>
      </c>
      <c r="W51" s="46" t="str">
        <f t="shared" si="15"/>
        <v>NW</v>
      </c>
      <c r="X51" s="46" t="str">
        <f t="shared" si="16"/>
        <v>KEEP</v>
      </c>
      <c r="Y51" s="108" t="str">
        <f t="shared" si="17"/>
        <v>echo {"issue":{"subject":"DUS 28S STOP","project_id":79,"tracker_id":40,"status_id":1,"priority_id":2,"assigned_to_id":23,"start_date":"2017-03-06","description":"","custom_fields":[{"id":1,"name":"Subdivision","value":"NW"},{"id":4,"name":"Milepost","value":"0.479"},{"id":17,"name":"Train ID","value":"832-06"},{"id":16,"name":"Locomotive ID","value":"4013"},{"id":130,"name":"Impact","value":""},{"id":150,"name":"Time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0"/>
        <v>grep -hSE -A400 "Enforcement Action" "%USERPROFILE%\AppData\Local\Temp\OnboardLogs"\RTDC4013\*4013*201703070*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"%USERPROFILE%\AppData\Local\Temp\OnboardLogs"\RTDC4013\*4013*201703070* &gt;&gt; 2017-03-06-SliceDisagreementCheck.txt</v>
      </c>
      <c r="AE51" s="157" t="str">
        <f t="shared" si="9"/>
        <v>start /low /b %USERPROFILE%\Documents\GitHub\eaglep3\Utilities\DownloadLogsFromS3.py --loco 4013 --day 2017-03-07</v>
      </c>
      <c r="AF51" s="1"/>
    </row>
    <row r="52" spans="1:32" x14ac:dyDescent="0.25">
      <c r="A52" s="32">
        <v>42800.309837962966</v>
      </c>
      <c r="B52" s="30" t="s">
        <v>272</v>
      </c>
      <c r="C52" s="30" t="s">
        <v>563</v>
      </c>
      <c r="D52" s="30" t="s">
        <v>49</v>
      </c>
      <c r="E52" s="30" t="s">
        <v>558</v>
      </c>
      <c r="F52" s="43">
        <v>0</v>
      </c>
      <c r="G52" s="43">
        <v>298</v>
      </c>
      <c r="H52" s="43">
        <v>20648</v>
      </c>
      <c r="I52" s="43">
        <v>21498</v>
      </c>
      <c r="J52" s="30" t="s">
        <v>559</v>
      </c>
      <c r="K52" s="43">
        <v>22206</v>
      </c>
      <c r="L52" s="143" t="s">
        <v>50</v>
      </c>
      <c r="M52" s="144">
        <f t="shared" si="11"/>
        <v>373.82400000000001</v>
      </c>
      <c r="N52" s="145" t="str">
        <f>VLOOKUP(C52,'Trips&amp;Operators'!$C$1:$G$99999,5,FALSE)</f>
        <v>ROCHA YAOTL</v>
      </c>
      <c r="O52" s="194" t="s">
        <v>604</v>
      </c>
      <c r="P52" s="146" t="s">
        <v>996</v>
      </c>
      <c r="Q52" s="30"/>
      <c r="R52" s="89" t="str">
        <f>IF(VLOOKUP(C52,'Train Runs'!$A$13:$AE$9946,1,1)=C52,VLOOKUP(C52,'Train Runs'!$A$13:$AE$9946,31,1),NA())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2" s="92" t="str">
        <f>IF(VLOOKUP(C52,'Train Runs'!$A$13:$AE$9946,1,1)=C52,VLOOKUP(C52,'Train Runs'!$A$13:$AE$9946,22,1),NA())</f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2" s="94" t="str">
        <f t="shared" si="12"/>
        <v>"C:\Program Files (x86)\AstroGrep\AstroGrep.exe" /e /r /s /spath="%USERPROFILE%\AppData\Local\Temp\OnboardLogs" /stypes="*4007*201703061*" /stext=" 14:.+((SYSTEM_STATE.+slice.+state.+changed )|(ment ac)|(multiple cpu faults)|(system.+state.+changed )|(\[timeout)|(PRM\|1\|D)|(kpr)|(kdp)|(\|lc)|(penalty))"</v>
      </c>
      <c r="U52" s="9" t="str">
        <f t="shared" si="13"/>
        <v>4007</v>
      </c>
      <c r="V52" s="32">
        <f t="shared" si="14"/>
        <v>42800.601504629631</v>
      </c>
      <c r="W52" s="46" t="str">
        <f t="shared" si="15"/>
        <v>NW</v>
      </c>
      <c r="X52" s="46" t="str">
        <f t="shared" si="16"/>
        <v>KEEP</v>
      </c>
      <c r="Y52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down)","project_id":79,"tracker_id":40,"status_id":1,"priority_id":2,"assigned_to_id":23,"start_date":"2017-03-06","description":"","custom_fields":[{"id":1,"name":"Subdivision","value":"NW"},{"id":4,"name":"Milepost","value":"2.2206"},{"id":17,"name":"Train ID","value":"807-06"},{"id":16,"name":"Locomotive ID","value":"4007"},{"id":130,"name":"Impact","value":""},{"id":150,"name":"Time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0"/>
        <v>grep -hSE -A400 "Enforcement Action" "%USERPROFILE%\AppData\Local\Temp\OnboardLogs"\RTDC4007\*4007*201703061*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2" s="157" t="str">
        <f t="shared" si="9"/>
        <v>start /low /b %USERPROFILE%\Documents\GitHub\eaglep3\Utilities\DownloadLogsFromS3.py --loco 4007 --day 2017-03-06</v>
      </c>
      <c r="AF52" s="1"/>
    </row>
    <row r="53" spans="1:32" x14ac:dyDescent="0.25">
      <c r="A53" s="32">
        <v>42800.310266203705</v>
      </c>
      <c r="B53" s="30" t="s">
        <v>272</v>
      </c>
      <c r="C53" s="30" t="s">
        <v>563</v>
      </c>
      <c r="D53" s="30" t="s">
        <v>49</v>
      </c>
      <c r="E53" s="30" t="s">
        <v>564</v>
      </c>
      <c r="F53" s="43">
        <v>0</v>
      </c>
      <c r="G53" s="43">
        <v>53</v>
      </c>
      <c r="H53" s="43">
        <v>21475</v>
      </c>
      <c r="I53" s="43">
        <v>21685</v>
      </c>
      <c r="J53" s="30" t="s">
        <v>565</v>
      </c>
      <c r="K53" s="43">
        <v>22372</v>
      </c>
      <c r="L53" s="143" t="s">
        <v>50</v>
      </c>
      <c r="M53" s="144">
        <f t="shared" si="11"/>
        <v>362.73599999999999</v>
      </c>
      <c r="N53" s="145" t="str">
        <f>VLOOKUP(C53,'Trips&amp;Operators'!$C$1:$G$99999,5,FALSE)</f>
        <v>ROCHA YAOTL</v>
      </c>
      <c r="O53" s="194" t="s">
        <v>604</v>
      </c>
      <c r="P53" s="146" t="s">
        <v>996</v>
      </c>
      <c r="Q53" s="30"/>
      <c r="R53" s="89" t="str">
        <f>IF(VLOOKUP(C53,'Train Runs'!$A$13:$AE$9946,1,1)=C53,VLOOKUP(C53,'Train Runs'!$A$13:$AE$9946,31,1),NA())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3" s="92" t="str">
        <f>IF(VLOOKUP(C53,'Train Runs'!$A$13:$AE$9946,1,1)=C53,VLOOKUP(C53,'Train Runs'!$A$13:$AE$9946,22,1),NA())</f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3" s="94" t="str">
        <f t="shared" si="12"/>
        <v>"C:\Program Files (x86)\AstroGrep\AstroGrep.exe" /e /r /s /spath="%USERPROFILE%\AppData\Local\Temp\OnboardLogs" /stypes="*4007*201703061*" /stext=" 14:.+((SYSTEM_STATE.+slice.+state.+changed )|(ment ac)|(multiple cpu faults)|(system.+state.+changed )|(\[timeout)|(PRM\|1\|D)|(kpr)|(kdp)|(\|lc)|(penalty))"</v>
      </c>
      <c r="U53" s="9" t="str">
        <f t="shared" si="13"/>
        <v>4007</v>
      </c>
      <c r="V53" s="32">
        <f t="shared" si="14"/>
        <v>42800.60193287037</v>
      </c>
      <c r="W53" s="46" t="str">
        <f t="shared" si="15"/>
        <v>NW</v>
      </c>
      <c r="X53" s="46" t="str">
        <f t="shared" si="16"/>
        <v>KEEP</v>
      </c>
      <c r="Y53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down)","project_id":79,"tracker_id":40,"status_id":1,"priority_id":2,"assigned_to_id":23,"start_date":"2017-03-06","description":"","custom_fields":[{"id":1,"name":"Subdivision","value":"NW"},{"id":4,"name":"Milepost","value":"2.2372"},{"id":17,"name":"Train ID","value":"807-06"},{"id":16,"name":"Locomotive ID","value":"4007"},{"id":130,"name":"Impact","value":""},{"id":150,"name":"Time of Event (Mountain Time)","value":"07:26:47"},{"id":151,"name":"Denver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0"/>
        <v>grep -hSE -A400 "Enforcement Action" "%USERPROFILE%\AppData\Local\Temp\OnboardLogs"\RTDC4007\*4007*201703061*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3" s="157" t="str">
        <f t="shared" si="9"/>
        <v>start /low /b %USERPROFILE%\Documents\GitHub\eaglep3\Utilities\DownloadLogsFromS3.py --loco 4007 --day 2017-03-06</v>
      </c>
      <c r="AF53" s="1"/>
    </row>
    <row r="54" spans="1:32" x14ac:dyDescent="0.25">
      <c r="A54" s="32">
        <v>42800.476423611108</v>
      </c>
      <c r="B54" s="30" t="s">
        <v>272</v>
      </c>
      <c r="C54" s="30" t="s">
        <v>575</v>
      </c>
      <c r="D54" s="30" t="s">
        <v>49</v>
      </c>
      <c r="E54" s="30" t="s">
        <v>564</v>
      </c>
      <c r="F54" s="43">
        <v>0</v>
      </c>
      <c r="G54" s="43">
        <v>286</v>
      </c>
      <c r="H54" s="43">
        <v>21305</v>
      </c>
      <c r="I54" s="43">
        <v>21964</v>
      </c>
      <c r="J54" s="30" t="s">
        <v>565</v>
      </c>
      <c r="K54" s="43">
        <v>22372</v>
      </c>
      <c r="L54" s="143" t="s">
        <v>50</v>
      </c>
      <c r="M54" s="144">
        <f t="shared" si="11"/>
        <v>215.42400000000001</v>
      </c>
      <c r="N54" s="145" t="str">
        <f>VLOOKUP(C54,'Trips&amp;Operators'!$C$1:$G$99999,5,FALSE)</f>
        <v>ROCHA YAOTL</v>
      </c>
      <c r="O54" s="194" t="s">
        <v>604</v>
      </c>
      <c r="P54" s="146" t="s">
        <v>996</v>
      </c>
      <c r="Q54" s="30"/>
      <c r="R54" s="89" t="str">
        <f>IF(VLOOKUP(C54,'Train Runs'!$A$13:$AE$9946,1,1)=C54,VLOOKUP(C54,'Train Runs'!$A$13:$AE$9946,31,1),NA())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4" s="92" t="str">
        <f>IF(VLOOKUP(C54,'Train Runs'!$A$13:$AE$9946,1,1)=C54,VLOOKUP(C54,'Train Runs'!$A$13:$AE$9946,22,1),NA())</f>
        <v>https://d0f6bd738d7f1b3e5a7ca70fe4ff75f0.us-east-1.aws.found.io/app/kibana#/discover/Steve-Slow-Train-Analysis-(2080s-and-2083s)?_g=(refreshInterval:(display:Off,pause:!f,section:0,value:0),time:(from:'2017-03-06T09:57:46-0700',mode:absolute,to:'2017-03-06T12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4" s="94" t="str">
        <f t="shared" si="12"/>
        <v>"C:\Program Files (x86)\AstroGrep\AstroGrep.exe" /e /r /s /spath="%USERPROFILE%\AppData\Local\Temp\OnboardLogs" /stypes="*4007*201703061*" /stext=" 18:.+((SYSTEM_STATE.+slice.+state.+changed )|(ment ac)|(multiple cpu faults)|(system.+state.+changed )|(\[timeout)|(PRM\|1\|D)|(kpr)|(kdp)|(\|lc)|(penalty))"</v>
      </c>
      <c r="U54" s="9" t="str">
        <f t="shared" si="13"/>
        <v>4007</v>
      </c>
      <c r="V54" s="32">
        <f t="shared" si="14"/>
        <v>42800.768090277772</v>
      </c>
      <c r="W54" s="46" t="str">
        <f t="shared" si="15"/>
        <v>NW</v>
      </c>
      <c r="X54" s="46" t="str">
        <f t="shared" si="16"/>
        <v>KEEP</v>
      </c>
      <c r="Y54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down)","project_id":79,"tracker_id":40,"status_id":1,"priority_id":2,"assigned_to_id":23,"start_date":"2017-03-06","description":"","custom_fields":[{"id":1,"name":"Subdivision","value":"NW"},{"id":4,"name":"Milepost","value":"2.2372"},{"id":17,"name":"Train ID","value":"817-06"},{"id":16,"name":"Locomotive ID","value":"4007"},{"id":130,"name":"Impact","value":""},{"id":150,"name":"Time of Event (Mountain Time)","value":"11:26:03"},{"id":151,"name":"Denver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0"/>
        <v>grep -hSE -A400 "Enforcement Action" "%USERPROFILE%\AppData\Local\Temp\OnboardLogs"\RTDC4007\*4007*201703061*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4" s="157" t="str">
        <f t="shared" si="9"/>
        <v>start /low /b %USERPROFILE%\Documents\GitHub\eaglep3\Utilities\DownloadLogsFromS3.py --loco 4007 --day 2017-03-06</v>
      </c>
      <c r="AF54" s="1"/>
    </row>
    <row r="55" spans="1:32" x14ac:dyDescent="0.25">
      <c r="A55" s="32">
        <v>42800.311006944445</v>
      </c>
      <c r="B55" s="30" t="s">
        <v>272</v>
      </c>
      <c r="C55" s="30" t="s">
        <v>563</v>
      </c>
      <c r="D55" s="30" t="s">
        <v>49</v>
      </c>
      <c r="E55" s="30" t="s">
        <v>564</v>
      </c>
      <c r="F55" s="43">
        <v>0</v>
      </c>
      <c r="G55" s="43">
        <v>243</v>
      </c>
      <c r="H55" s="43">
        <v>22416</v>
      </c>
      <c r="I55" s="43">
        <v>23154</v>
      </c>
      <c r="J55" s="30" t="s">
        <v>565</v>
      </c>
      <c r="K55" s="43">
        <v>23574</v>
      </c>
      <c r="L55" s="143" t="s">
        <v>50</v>
      </c>
      <c r="M55" s="144">
        <f t="shared" si="11"/>
        <v>221.76</v>
      </c>
      <c r="N55" s="145" t="str">
        <f>VLOOKUP(C55,'Trips&amp;Operators'!$C$1:$G$99999,5,FALSE)</f>
        <v>ROCHA YAOTL</v>
      </c>
      <c r="O55" s="194" t="s">
        <v>604</v>
      </c>
      <c r="P55" s="146" t="s">
        <v>996</v>
      </c>
      <c r="Q55" s="30"/>
      <c r="R55" s="89" t="str">
        <f>IF(VLOOKUP(C55,'Train Runs'!$A$13:$AE$9946,1,1)=C55,VLOOKUP(C55,'Train Runs'!$A$13:$AE$9946,31,1),NA())</f>
        <v>aws s3 cp s3://rtdc.mdm.uploadarchive.raw/RTDC4007/ "%USERPROFILE%\AppData\Local\Temp\OnboardLogs"\RTDC4007\2017-03-06 --exclude "*" --recursive --include "*20170306*" &amp; "%USERPROFILE%\Documents\GitHub\mrs-test-scripts\Headless Mode &amp; Sideloading\WalkAndUnGZ.bat" "%USERPROFILE%\AppData\Local\Temp\OnboardLogs"\RTDC4007\2017-03-06 &amp; aws s3 cp s3://rtdc.mdm.uploadarchive.raw/RTDC4007/ "%USERPROFILE%\AppData\Local\Temp\OnboardLogs"\RTDC4007\2017-03-07 --exclude "*" --recursive --include "*20170307*" &amp; "%USERPROFILE%\Documents\GitHub\mrs-test-scripts\Headless Mode &amp; Sideloading\WalkAndUnGZ.bat" "%USERPROFILE%\AppData\Local\Temp\OnboardLogs"\RTDC4007\2017-03-07</v>
      </c>
      <c r="S55" s="92" t="str">
        <f>IF(VLOOKUP(C55,'Train Runs'!$A$13:$AE$9946,1,1)=C55,VLOOKUP(C55,'Train Runs'!$A$13:$AE$9946,22,1),NA())</f>
        <v>https://d0f6bd738d7f1b3e5a7ca70fe4ff75f0.us-east-1.aws.found.io/app/kibana#/discover/Steve-Slow-Train-Analysis-(2080s-and-2083s)?_g=(refreshInterval:(display:Off,pause:!f,section:0,value:0),time:(from:'2017-03-06T06:19:30-0700',mode:absolute,to:'2017-03-06T08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55" s="94" t="str">
        <f t="shared" si="12"/>
        <v>"C:\Program Files (x86)\AstroGrep\AstroGrep.exe" /e /r /s /spath="%USERPROFILE%\AppData\Local\Temp\OnboardLogs" /stypes="*4007*201703061*" /stext=" 14:.+((SYSTEM_STATE.+slice.+state.+changed )|(ment ac)|(multiple cpu faults)|(system.+state.+changed )|(\[timeout)|(PRM\|1\|D)|(kpr)|(kdp)|(\|lc)|(penalty))"</v>
      </c>
      <c r="U55" s="9" t="str">
        <f t="shared" si="13"/>
        <v>4007</v>
      </c>
      <c r="V55" s="32">
        <f t="shared" si="14"/>
        <v>42800.602673611109</v>
      </c>
      <c r="W55" s="46" t="str">
        <f t="shared" si="15"/>
        <v>NW</v>
      </c>
      <c r="X55" s="46" t="str">
        <f t="shared" si="16"/>
        <v>KEEP</v>
      </c>
      <c r="Y55" s="108" t="str">
        <f t="shared" si="17"/>
        <v>echo {"issue":{"subject":"Wi-MAX data drop (4007 WAN2 down)","project_id":79,"tracker_id":40,"status_id":1,"priority_id":2,"assigned_to_id":23,"start_date":"2017-03-06","description":"","custom_fields":[{"id":1,"name":"Subdivision","value":"NW"},{"id":4,"name":"Milepost","value":"2.3574"},{"id":17,"name":"Train ID","value":"807-06"},{"id":16,"name":"Locomotive ID","value":"4007"},{"id":130,"name":"Impact","value":""},{"id":150,"name":"Time of Event (Mountain Time)","value":"07:27:51"},{"id":151,"name":"Denver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0"/>
        <v>grep -hSE -A400 "Enforcement Action" "%USERPROFILE%\AppData\Local\Temp\OnboardLogs"\RTDC4007\*4007*201703061*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"%USERPROFILE%\AppData\Local\Temp\OnboardLogs"\RTDC4007\*4007*201703061* &gt;&gt; 2017-03-06-SliceDisagreementCheck.txt</v>
      </c>
      <c r="AE55" s="157" t="str">
        <f t="shared" si="9"/>
        <v>start /low /b %USERPROFILE%\Documents\GitHub\eaglep3\Utilities\DownloadLogsFromS3.py --loco 4007 --day 2017-03-06</v>
      </c>
      <c r="AF55" s="1"/>
    </row>
    <row r="56" spans="1:32" x14ac:dyDescent="0.25">
      <c r="A56" s="32">
        <v>42800.227372685185</v>
      </c>
      <c r="B56" s="30" t="s">
        <v>256</v>
      </c>
      <c r="C56" s="30" t="s">
        <v>552</v>
      </c>
      <c r="D56" s="30" t="s">
        <v>49</v>
      </c>
      <c r="E56" s="30" t="s">
        <v>186</v>
      </c>
      <c r="F56" s="43">
        <v>0</v>
      </c>
      <c r="G56" s="43">
        <v>26</v>
      </c>
      <c r="H56" s="43">
        <v>619</v>
      </c>
      <c r="I56" s="43">
        <v>601</v>
      </c>
      <c r="J56" s="30" t="s">
        <v>187</v>
      </c>
      <c r="K56" s="43">
        <v>575</v>
      </c>
      <c r="L56" s="143" t="s">
        <v>51</v>
      </c>
      <c r="M56" s="144">
        <f t="shared" si="11"/>
        <v>13.728</v>
      </c>
      <c r="N56" s="145" t="str">
        <f>VLOOKUP(C56,'Trips&amp;Operators'!$C$1:$G$99999,5,FALSE)</f>
        <v>DAVIS WENDY</v>
      </c>
      <c r="O56" s="194" t="s">
        <v>185</v>
      </c>
      <c r="P56" s="146"/>
      <c r="Q56" s="30"/>
      <c r="R56" s="89" t="str">
        <f>IF(VLOOKUP(C56,'Train Runs'!$A$13:$AE$9946,1,1)=C56,VLOOKUP(C56,'Train Runs'!$A$13:$AE$9946,31,1),NA())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6" s="92" t="str">
        <f>IF(VLOOKUP(C56,'Train Runs'!$A$13:$AE$9946,1,1)=C56,VLOOKUP(C56,'Train Runs'!$A$13:$AE$9946,22,1),NA())</f>
        <v>https://d0f6bd738d7f1b3e5a7ca70fe4ff75f0.us-east-1.aws.found.io/app/kibana#/discover/Steve-Slow-Train-Analysis-(2080s-and-2083s)?_g=(refreshInterval:(display:Off,pause:!f,section:0,value:0),time:(from:'2017-03-06T04:12:21-0700',mode:absolute,to:'2017-03-06T06:27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6" s="94" t="str">
        <f t="shared" si="12"/>
        <v>"C:\Program Files (x86)\AstroGrep\AstroGrep.exe" /e /r /s /spath="%USERPROFILE%\AppData\Local\Temp\OnboardLogs" /stypes="*4013*201703061*" /stext=" 12:.+((SYSTEM_STATE.+slice.+state.+changed )|(ment ac)|(multiple cpu faults)|(system.+state.+changed )|(\[timeout)|(PRM\|1\|D)|(kpr)|(kdp)|(\|lc)|(penalty))"</v>
      </c>
      <c r="U56" s="9" t="str">
        <f t="shared" si="13"/>
        <v>4013</v>
      </c>
      <c r="V56" s="32">
        <f t="shared" si="14"/>
        <v>42800.51903935185</v>
      </c>
      <c r="W56" s="46" t="str">
        <f t="shared" si="15"/>
        <v>NW</v>
      </c>
      <c r="X56" s="46" t="str">
        <f t="shared" si="16"/>
        <v>KEEP</v>
      </c>
      <c r="Y56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ID","value":"800-06"},{"id":16,"name":"Locomotive ID","value":"4013"},{"id":130,"name":"Impact","value":""},{"id":150,"name":"Time of Event (Mountain Time)","value":"05:27:25"},{"id":151,"name":"Denver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0"/>
        <v>grep -hSE -A400 "Enforcement Action" "%USERPROFILE%\AppData\Local\Temp\OnboardLogs"\RTDC4013\*4013*201703061*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6" s="157" t="str">
        <f t="shared" si="9"/>
        <v>start /low /b %USERPROFILE%\Documents\GitHub\eaglep3\Utilities\DownloadLogsFromS3.py --loco 4013 --day 2017-03-06</v>
      </c>
      <c r="AF56" s="1"/>
    </row>
    <row r="57" spans="1:32" x14ac:dyDescent="0.25">
      <c r="A57" s="32">
        <v>42800.267488425925</v>
      </c>
      <c r="B57" s="30" t="s">
        <v>256</v>
      </c>
      <c r="C57" s="30" t="s">
        <v>556</v>
      </c>
      <c r="D57" s="30" t="s">
        <v>49</v>
      </c>
      <c r="E57" s="30" t="s">
        <v>186</v>
      </c>
      <c r="F57" s="43">
        <v>0</v>
      </c>
      <c r="G57" s="43">
        <v>19</v>
      </c>
      <c r="H57" s="43">
        <v>622</v>
      </c>
      <c r="I57" s="43">
        <v>617</v>
      </c>
      <c r="J57" s="30" t="s">
        <v>187</v>
      </c>
      <c r="K57" s="43">
        <v>575</v>
      </c>
      <c r="L57" s="143" t="s">
        <v>51</v>
      </c>
      <c r="M57" s="144">
        <f t="shared" si="11"/>
        <v>22.175999999999998</v>
      </c>
      <c r="N57" s="145" t="str">
        <f>VLOOKUP(C57,'Trips&amp;Operators'!$C$1:$G$99999,5,FALSE)</f>
        <v>DAVIS WENDY</v>
      </c>
      <c r="O57" s="194" t="s">
        <v>185</v>
      </c>
      <c r="P57" s="146"/>
      <c r="Q57" s="30"/>
      <c r="R57" s="89" t="str">
        <f>IF(VLOOKUP(C57,'Train Runs'!$A$13:$AE$9946,1,1)=C57,VLOOKUP(C57,'Train Runs'!$A$13:$AE$9946,31,1),NA())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7" s="92" t="str">
        <f>IF(VLOOKUP(C57,'Train Runs'!$A$13:$AE$9946,1,1)=C57,VLOOKUP(C57,'Train Runs'!$A$13:$AE$9946,22,1),NA())</f>
        <v>https://d0f6bd738d7f1b3e5a7ca70fe4ff75f0.us-east-1.aws.found.io/app/kibana#/discover/Steve-Slow-Train-Analysis-(2080s-and-2083s)?_g=(refreshInterval:(display:Off,pause:!f,section:0,value:0),time:(from:'2017-03-06T05:06:26-0700',mode:absolute,to:'2017-03-06T07:25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7" s="94" t="str">
        <f t="shared" si="12"/>
        <v>"C:\Program Files (x86)\AstroGrep\AstroGrep.exe" /e /r /s /spath="%USERPROFILE%\AppData\Local\Temp\OnboardLogs" /stypes="*4013*201703061*" /stext=" 13:.+((SYSTEM_STATE.+slice.+state.+changed )|(ment ac)|(multiple cpu faults)|(system.+state.+changed )|(\[timeout)|(PRM\|1\|D)|(kpr)|(kdp)|(\|lc)|(penalty))"</v>
      </c>
      <c r="U57" s="9" t="str">
        <f t="shared" si="13"/>
        <v>4013</v>
      </c>
      <c r="V57" s="32">
        <f t="shared" si="14"/>
        <v>42800.559155092589</v>
      </c>
      <c r="W57" s="46" t="str">
        <f t="shared" si="15"/>
        <v>NW</v>
      </c>
      <c r="X57" s="46" t="str">
        <f t="shared" si="16"/>
        <v>KEEP</v>
      </c>
      <c r="Y57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ID","value":"802-06"},{"id":16,"name":"Locomotive ID","value":"4013"},{"id":130,"name":"Impact","value":""},{"id":150,"name":"Time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0"/>
        <v>grep -hSE -A400 "Enforcement Action" "%USERPROFILE%\AppData\Local\Temp\OnboardLogs"\RTDC4013\*4013*201703061*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7" s="157" t="str">
        <f t="shared" si="9"/>
        <v>start /low /b %USERPROFILE%\Documents\GitHub\eaglep3\Utilities\DownloadLogsFromS3.py --loco 4013 --day 2017-03-06</v>
      </c>
      <c r="AF57" s="1"/>
    </row>
    <row r="58" spans="1:32" x14ac:dyDescent="0.25">
      <c r="A58" s="32">
        <v>42800.309293981481</v>
      </c>
      <c r="B58" s="30" t="s">
        <v>256</v>
      </c>
      <c r="C58" s="30" t="s">
        <v>562</v>
      </c>
      <c r="D58" s="30" t="s">
        <v>49</v>
      </c>
      <c r="E58" s="30" t="s">
        <v>186</v>
      </c>
      <c r="F58" s="43">
        <v>0</v>
      </c>
      <c r="G58" s="43">
        <v>23</v>
      </c>
      <c r="H58" s="43">
        <v>624</v>
      </c>
      <c r="I58" s="43">
        <v>605</v>
      </c>
      <c r="J58" s="30" t="s">
        <v>187</v>
      </c>
      <c r="K58" s="43">
        <v>575</v>
      </c>
      <c r="L58" s="143" t="s">
        <v>51</v>
      </c>
      <c r="M58" s="144">
        <f t="shared" si="11"/>
        <v>15.84</v>
      </c>
      <c r="N58" s="145" t="str">
        <f>VLOOKUP(C58,'Trips&amp;Operators'!$C$1:$G$99999,5,FALSE)</f>
        <v>DAVIS WENDY</v>
      </c>
      <c r="O58" s="194" t="s">
        <v>185</v>
      </c>
      <c r="P58" s="146"/>
      <c r="Q58" s="30"/>
      <c r="R58" s="89" t="str">
        <f>IF(VLOOKUP(C58,'Train Runs'!$A$13:$AE$9946,1,1)=C58,VLOOKUP(C58,'Train Runs'!$A$13:$AE$9946,31,1),NA())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8" s="92" t="str">
        <f>IF(VLOOKUP(C58,'Train Runs'!$A$13:$AE$9946,1,1)=C58,VLOOKUP(C58,'Train Runs'!$A$13:$AE$9946,22,1),NA())</f>
        <v>https://d0f6bd738d7f1b3e5a7ca70fe4ff75f0.us-east-1.aws.found.io/app/kibana#/discover/Steve-Slow-Train-Analysis-(2080s-and-2083s)?_g=(refreshInterval:(display:Off,pause:!f,section:0,value:0),time:(from:'2017-03-06T06:05:53-0700',mode:absolute,to:'2017-03-06T08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8" s="94" t="str">
        <f t="shared" si="12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)|(\[timeout)|(PRM\|1\|D)|(kpr)|(kdp)|(\|lc)|(penalty))"</v>
      </c>
      <c r="U58" s="9" t="str">
        <f t="shared" si="13"/>
        <v>4013</v>
      </c>
      <c r="V58" s="32">
        <f t="shared" si="14"/>
        <v>42800.600960648146</v>
      </c>
      <c r="W58" s="46" t="str">
        <f t="shared" si="15"/>
        <v>NW</v>
      </c>
      <c r="X58" s="46" t="str">
        <f t="shared" si="16"/>
        <v>KEEP</v>
      </c>
      <c r="Y58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ID","value":"806-06"},{"id":16,"name":"Locomotive ID","value":"4013"},{"id":130,"name":"Impact","value":""},{"id":150,"name":"Time of Event (Mountain Time)","value":"07:25:23"},{"id":151,"name":"Denver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0"/>
        <v>grep -hSE -A400 "Enforcement Action" "%USERPROFILE%\AppData\Local\Temp\OnboardLogs"\RTDC4013\*4013*201703061*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8" s="157" t="str">
        <f t="shared" si="9"/>
        <v>start /low /b %USERPROFILE%\Documents\GitHub\eaglep3\Utilities\DownloadLogsFromS3.py --loco 4013 --day 2017-03-06</v>
      </c>
      <c r="AF58" s="1"/>
    </row>
    <row r="59" spans="1:32" x14ac:dyDescent="0.25">
      <c r="A59" s="32">
        <v>42800.351446759261</v>
      </c>
      <c r="B59" s="30" t="s">
        <v>256</v>
      </c>
      <c r="C59" s="30" t="s">
        <v>567</v>
      </c>
      <c r="D59" s="30" t="s">
        <v>49</v>
      </c>
      <c r="E59" s="30" t="s">
        <v>186</v>
      </c>
      <c r="F59" s="43">
        <v>0</v>
      </c>
      <c r="G59" s="43">
        <v>50</v>
      </c>
      <c r="H59" s="43">
        <v>748</v>
      </c>
      <c r="I59" s="43">
        <v>712</v>
      </c>
      <c r="J59" s="30" t="s">
        <v>187</v>
      </c>
      <c r="K59" s="43">
        <v>575</v>
      </c>
      <c r="L59" s="143" t="s">
        <v>51</v>
      </c>
      <c r="M59" s="144">
        <f t="shared" si="11"/>
        <v>72.335999999999999</v>
      </c>
      <c r="N59" s="145" t="str">
        <f>VLOOKUP(C59,'Trips&amp;Operators'!$C$1:$G$99999,5,FALSE)</f>
        <v>DAVIS WENDY</v>
      </c>
      <c r="O59" s="194" t="s">
        <v>185</v>
      </c>
      <c r="P59" s="146"/>
      <c r="Q59" s="30"/>
      <c r="R59" s="89" t="str">
        <f>IF(VLOOKUP(C59,'Train Runs'!$A$13:$AE$9946,1,1)=C59,VLOOKUP(C59,'Train Runs'!$A$13:$AE$9946,31,1),NA())</f>
        <v>aws s3 cp s3://rtdc.mdm.uploadarchive.raw/RTDC4013/ "%USERPROFILE%\AppData\Local\Temp\OnboardLogs"\RTDC4013\2017-03-06 --exclude "*" --recursive --include "*20170306*" &amp; "%USERPROFILE%\Documents\GitHub\mrs-test-scripts\Headless Mode &amp; Sideloading\WalkAndUnGZ.bat" "%USERPROFILE%\AppData\Local\Temp\OnboardLogs"\RTDC4013\2017-03-06 &amp; aws s3 cp s3://rtdc.mdm.uploadarchive.raw/RTDC4013/ "%USERPROFILE%\AppData\Local\Temp\OnboardLogs"\RTDC4013\2017-03-07 --exclude "*" --recursive --include "*20170307*" &amp; "%USERPROFILE%\Documents\GitHub\mrs-test-scripts\Headless Mode &amp; Sideloading\WalkAndUnGZ.bat" "%USERPROFILE%\AppData\Local\Temp\OnboardLogs"\RTDC4013\2017-03-07</v>
      </c>
      <c r="S59" s="92" t="str">
        <f>IF(VLOOKUP(C59,'Train Runs'!$A$13:$AE$9946,1,1)=C59,VLOOKUP(C59,'Train Runs'!$A$13:$AE$9946,22,1),NA())</f>
        <v>https://d0f6bd738d7f1b3e5a7ca70fe4ff75f0.us-east-1.aws.found.io/app/kibana#/discover/Steve-Slow-Train-Analysis-(2080s-and-2083s)?_g=(refreshInterval:(display:Off,pause:!f,section:0,value:0),time:(from:'2017-03-06T07:06:25-0700',mode:absolute,to:'2017-03-06T09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9" s="94" t="str">
        <f t="shared" si="12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)|(\[timeout)|(PRM\|1\|D)|(kpr)|(kdp)|(\|lc)|(penalty))"</v>
      </c>
      <c r="U59" s="9" t="str">
        <f t="shared" si="13"/>
        <v>4013</v>
      </c>
      <c r="V59" s="32">
        <f t="shared" si="14"/>
        <v>42800.643113425926</v>
      </c>
      <c r="W59" s="46" t="str">
        <f t="shared" si="15"/>
        <v>NW</v>
      </c>
      <c r="X59" s="46" t="str">
        <f t="shared" si="16"/>
        <v>KEEP</v>
      </c>
      <c r="Y59" s="108" t="str">
        <f t="shared" si="17"/>
        <v>echo {"issue":{"subject":"","project_id":79,"tracker_id":40,"status_id":1,"priority_id":2,"assigned_to_id":23,"start_date":"2017-03-06","description":"","custom_fields":[{"id":1,"name":"Subdivision","value":"NW"},{"id":4,"name":"Milepost","value":"0.0575"},{"id":17,"name":"Train ID","value":"810-06"},{"id":16,"name":"Locomotive ID","value":"4013"},{"id":130,"name":"Impact","value":""},{"id":150,"name":"Time of Event (Mountain Time)","value":"08:26:05"},{"id":151,"name":"Denver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0"/>
        <v>grep -hSE -A400 "Enforcement Action" "%USERPROFILE%\AppData\Local\Temp\OnboardLogs"\RTDC4013\*4013*201703061*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"%USERPROFILE%\AppData\Local\Temp\OnboardLogs"\RTDC4013\*4013*201703061* &gt;&gt; 2017-03-06-SliceDisagreementCheck.txt</v>
      </c>
      <c r="AE59" s="157" t="str">
        <f t="shared" si="9"/>
        <v>start /low /b %USERPROFILE%\Documents\GitHub\eaglep3\Utilities\DownloadLogsFromS3.py --loco 4013 --day 2017-03-06</v>
      </c>
      <c r="AF59" s="1"/>
    </row>
    <row r="60" spans="1:32" x14ac:dyDescent="0.25">
      <c r="A60" s="32">
        <v>42800.995370370372</v>
      </c>
      <c r="B60" s="30" t="s">
        <v>308</v>
      </c>
      <c r="C60" s="30" t="s">
        <v>603</v>
      </c>
      <c r="D60" s="30" t="s">
        <v>98</v>
      </c>
      <c r="E60" s="30" t="s">
        <v>195</v>
      </c>
      <c r="F60" s="43">
        <v>350</v>
      </c>
      <c r="G60" s="43">
        <v>400</v>
      </c>
      <c r="H60" s="43">
        <v>33147</v>
      </c>
      <c r="I60" s="43">
        <v>33937</v>
      </c>
      <c r="J60" s="30" t="s">
        <v>196</v>
      </c>
      <c r="K60" s="43">
        <v>33137</v>
      </c>
      <c r="L60" s="143" t="s">
        <v>50</v>
      </c>
      <c r="M60" s="144">
        <f t="shared" si="11"/>
        <v>-422.4</v>
      </c>
      <c r="N60" s="145" t="str">
        <f>VLOOKUP(C60,'Trips&amp;Operators'!$C$1:$G$99999,5,FALSE)</f>
        <v>YANG JAN</v>
      </c>
      <c r="O60" s="194" t="s">
        <v>185</v>
      </c>
      <c r="P60" s="146"/>
      <c r="Q60" s="30"/>
      <c r="R60" s="89" t="e">
        <f>IF(VLOOKUP(C60,'Train Runs'!$A$13:$AE$9946,1,1)=C60,VLOOKUP(C60,'Train Runs'!$A$13:$AE$9946,31,1),NA())</f>
        <v>#N/A</v>
      </c>
      <c r="S60" s="92" t="e">
        <f>IF(VLOOKUP(C60,'Train Runs'!$A$13:$AE$9946,1,1)=C60,VLOOKUP(C60,'Train Runs'!$A$13:$AE$9946,22,1),NA())</f>
        <v>#N/A</v>
      </c>
      <c r="T60" s="94" t="str">
        <f t="shared" si="12"/>
        <v>"C:\Program Files (x86)\AstroGrep\AstroGrep.exe" /e /r /s /spath="%USERPROFILE%\AppData\Local\Temp\OnboardLogs" /stypes="*4066*201703070*" /stext=" 06:.+((SYSTEM_STATE.+slice.+state.+changed )|(ment ac)|(multiple cpu faults)|(system.+state.+changed )|(\[timeout)|(PRM\|1\|D)|(kpr)|(kdp)|(\|lc)|(penalty))"</v>
      </c>
      <c r="U60" s="9" t="str">
        <f t="shared" si="13"/>
        <v>4066</v>
      </c>
      <c r="V60" s="32">
        <f t="shared" si="14"/>
        <v>42801.287037037036</v>
      </c>
      <c r="W60" s="46" t="str">
        <f t="shared" si="15"/>
        <v>Other</v>
      </c>
      <c r="X60" s="46" t="str">
        <f t="shared" si="16"/>
        <v>KEEP</v>
      </c>
      <c r="Y60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{"issue":{"subject":"","project_id":79,"tracker_id":40,"status_id":1,"priority_id":2,"assigned_to_id":23,"start_date":"2017-03-06","description":"","custom_fields":[{"id":1,"name":"Subdivision","value":"Other"},{"id":4,"name":"Milepost","value":"3.3137"},{"id":17,"name":"Train ID","value":"56-06"},{"id":16,"name":"Locomotive ID","value":"4066"},{"id":130,"name":"Impact","value":""},{"id":150,"name":"Time of Event (Mountain Time)","value":"23:53:20"},{"id":151,"name":"Denver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0"/>
        <v>grep -hSE -A400 "Enforcement Action" "%USERPROFILE%\AppData\Local\Temp\OnboardLogs"\RTDC4066\*4066*201703070*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"%USERPROFILE%\AppData\Local\Temp\OnboardLogs"\RTDC4066\*4066*201703070* &gt;&gt; 2017-03-06-SliceDisagreementCheck.txt</v>
      </c>
      <c r="AE60" s="157" t="str">
        <f t="shared" si="9"/>
        <v>start /low /b %USERPROFILE%\Documents\GitHub\eaglep3\Utilities\DownloadLogsFromS3.py --loco 4066 --day 2017-03-07</v>
      </c>
      <c r="AF60" s="1"/>
    </row>
    <row r="61" spans="1:32" x14ac:dyDescent="0.25">
      <c r="A61" s="32">
        <v>42800.461689814816</v>
      </c>
      <c r="B61" s="30" t="s">
        <v>234</v>
      </c>
      <c r="C61" s="30" t="s">
        <v>573</v>
      </c>
      <c r="D61" s="30" t="s">
        <v>49</v>
      </c>
      <c r="E61" s="30" t="s">
        <v>186</v>
      </c>
      <c r="F61" s="43">
        <v>0</v>
      </c>
      <c r="G61" s="43">
        <v>15</v>
      </c>
      <c r="H61" s="43">
        <v>19</v>
      </c>
      <c r="I61" s="43">
        <v>10</v>
      </c>
      <c r="J61" s="30" t="s">
        <v>187</v>
      </c>
      <c r="K61" s="43">
        <v>1</v>
      </c>
      <c r="L61" s="143" t="s">
        <v>51</v>
      </c>
      <c r="M61" s="144">
        <f t="shared" si="11"/>
        <v>4.7519999999999998</v>
      </c>
      <c r="N61" s="145" t="str">
        <f>VLOOKUP(C61,'Trips&amp;Operators'!$C$1:$G$99999,5,FALSE)</f>
        <v>ROMERO CHAD</v>
      </c>
      <c r="O61" s="194" t="s">
        <v>185</v>
      </c>
      <c r="P61" s="146"/>
      <c r="Q61" s="30"/>
      <c r="R61" s="89" t="e">
        <f>IF(VLOOKUP(C61,'Train Runs'!$A$13:$AE$9946,1,1)=C61,VLOOKUP(C61,'Train Runs'!$A$13:$AE$9946,31,1),NA())</f>
        <v>#N/A</v>
      </c>
      <c r="S61" s="92" t="e">
        <f>IF(VLOOKUP(C61,'Train Runs'!$A$13:$AE$9946,1,1)=C61,VLOOKUP(C61,'Train Runs'!$A$13:$AE$9946,22,1),NA())</f>
        <v>#N/A</v>
      </c>
      <c r="T61" s="94" t="str">
        <f t="shared" si="12"/>
        <v>"C:\Program Files (x86)\AstroGrep\AstroGrep.exe" /e /r /s /spath="%USERPROFILE%\AppData\Local\Temp\OnboardLogs" /stypes="*4012*201703061*" /stext=" 18:.+((SYSTEM_STATE.+slice.+state.+changed )|(ment ac)|(multiple cpu faults)|(system.+state.+changed )|(\[timeout)|(PRM\|1\|D)|(kpr)|(kdp)|(\|lc)|(penalty))"</v>
      </c>
      <c r="U61" s="9" t="str">
        <f t="shared" si="13"/>
        <v>4012</v>
      </c>
      <c r="V61" s="32">
        <f t="shared" si="14"/>
        <v>42800.75335648148</v>
      </c>
      <c r="W61" s="46" t="str">
        <f t="shared" si="15"/>
        <v>Other</v>
      </c>
      <c r="X61" s="46" t="str">
        <f t="shared" si="16"/>
        <v>KEEP</v>
      </c>
      <c r="Y61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{"issue":{"subject":"","project_id":79,"tracker_id":40,"status_id":1,"priority_id":2,"assigned_to_id":23,"start_date":"2017-03-06","description":"","custom_fields":[{"id":1,"name":"Subdivision","value":"Other"},{"id":4,"name":"Milepost","value":"0.0001"},{"id":17,"name":"Train ID","value":"50-06"},{"id":16,"name":"Locomotive ID","value":"4012"},{"id":130,"name":"Impact","value":""},{"id":150,"name":"Time of Event (Mountain Time)","value":"11:04:50"},{"id":151,"name":"Denver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0"/>
        <v>grep -hSE -A400 "Enforcement Action" "%USERPROFILE%\AppData\Local\Temp\OnboardLogs"\RTDC4012\*4012*201703061*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"%USERPROFILE%\AppData\Local\Temp\OnboardLogs"\RTDC4012\*4012*201703061* &gt;&gt; 2017-03-06-SliceDisagreementCheck.txt</v>
      </c>
      <c r="AE61" s="157" t="str">
        <f t="shared" si="9"/>
        <v>start /low /b %USERPROFILE%\Documents\GitHub\eaglep3\Utilities\DownloadLogsFromS3.py --loco 4012 --day 2017-03-06</v>
      </c>
      <c r="AF61" s="1"/>
    </row>
    <row r="62" spans="1:32" x14ac:dyDescent="0.25">
      <c r="A62" s="32">
        <v>42800.258935185186</v>
      </c>
      <c r="B62" s="30" t="s">
        <v>554</v>
      </c>
      <c r="C62" s="30" t="s">
        <v>555</v>
      </c>
      <c r="D62" s="30" t="s">
        <v>49</v>
      </c>
      <c r="E62" s="30" t="s">
        <v>186</v>
      </c>
      <c r="F62" s="43">
        <v>0</v>
      </c>
      <c r="G62" s="43">
        <v>73</v>
      </c>
      <c r="H62" s="43">
        <v>983</v>
      </c>
      <c r="I62" s="43">
        <v>913</v>
      </c>
      <c r="J62" s="30" t="s">
        <v>187</v>
      </c>
      <c r="K62" s="43">
        <v>575</v>
      </c>
      <c r="L62" s="143" t="s">
        <v>51</v>
      </c>
      <c r="M62" s="144">
        <f t="shared" si="11"/>
        <v>178.46399999999997</v>
      </c>
      <c r="N62" s="145" t="str">
        <f>VLOOKUP(C62,'Trips&amp;Operators'!$C$1:$G$99999,5,FALSE)</f>
        <v>ROCHA YAOTL</v>
      </c>
      <c r="O62" s="194" t="s">
        <v>185</v>
      </c>
      <c r="P62" s="146"/>
      <c r="Q62" s="30"/>
      <c r="R62" s="89" t="e">
        <f>IF(VLOOKUP(C62,'Train Runs'!$A$13:$AE$9946,1,1)=C62,VLOOKUP(C62,'Train Runs'!$A$13:$AE$9946,31,1),NA())</f>
        <v>#N/A</v>
      </c>
      <c r="S62" s="92" t="e">
        <f>IF(VLOOKUP(C62,'Train Runs'!$A$13:$AE$9946,1,1)=C62,VLOOKUP(C62,'Train Runs'!$A$13:$AE$9946,22,1),NA())</f>
        <v>#N/A</v>
      </c>
      <c r="T62" s="94" t="str">
        <f t="shared" si="12"/>
        <v>"C:\Program Files (x86)\AstroGrep\AstroGrep.exe" /e /r /s /spath="%USERPROFILE%\AppData\Local\Temp\OnboardLogs" /stypes="*4008*201703061*" /stext=" 13:.+((SYSTEM_STATE.+slice.+state.+changed )|(ment ac)|(multiple cpu faults)|(system.+state.+changed )|(\[timeout)|(PRM\|1\|D)|(kpr)|(kdp)|(\|lc)|(penalty))"</v>
      </c>
      <c r="U62" s="9" t="str">
        <f t="shared" si="13"/>
        <v>4008</v>
      </c>
      <c r="V62" s="32">
        <f t="shared" si="14"/>
        <v>42800.55060185185</v>
      </c>
      <c r="W62" s="46" t="str">
        <f t="shared" si="15"/>
        <v>Other</v>
      </c>
      <c r="X62" s="46" t="str">
        <f t="shared" si="16"/>
        <v>KEEP</v>
      </c>
      <c r="Y62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{"issue":{"subject":"","project_id":79,"tracker_id":40,"status_id":1,"priority_id":2,"assigned_to_id":23,"start_date":"2017-03-06","description":"","custom_fields":[{"id":1,"name":"Subdivision","value":"Other"},{"id":4,"name":"Milepost","value":"0.0575"},{"id":17,"name":"Train ID","value":"902-06"},{"id":16,"name":"Locomotive ID","value":"4008"},{"id":130,"name":"Impact","value":""},{"id":150,"name":"Time of Event (Mountain Time)","value":"06:12:52"},{"id":151,"name":"Denver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0"/>
        <v>grep -hSE -A400 "Enforcement Action" "%USERPROFILE%\AppData\Local\Temp\OnboardLogs"\RTDC4008\*4008*201703061*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"%USERPROFILE%\AppData\Local\Temp\OnboardLogs"\RTDC4008\*4008*201703061* &gt;&gt; 2017-03-06-SliceDisagreementCheck.txt</v>
      </c>
      <c r="AE62" s="157" t="str">
        <f t="shared" si="9"/>
        <v>start /low /b %USERPROFILE%\Documents\GitHub\eaglep3\Utilities\DownloadLogsFromS3.py --loco 4008 --day 2017-03-06</v>
      </c>
      <c r="AF62" s="1"/>
    </row>
    <row r="63" spans="1:32" x14ac:dyDescent="0.25">
      <c r="A63" s="32">
        <v>42800.215844907405</v>
      </c>
      <c r="B63" s="30" t="s">
        <v>258</v>
      </c>
      <c r="C63" s="30" t="s">
        <v>551</v>
      </c>
      <c r="D63" s="30" t="s">
        <v>98</v>
      </c>
      <c r="E63" s="30" t="s">
        <v>186</v>
      </c>
      <c r="F63" s="43">
        <v>0</v>
      </c>
      <c r="G63" s="43">
        <v>3</v>
      </c>
      <c r="H63" s="43">
        <v>59048</v>
      </c>
      <c r="I63" s="43">
        <v>0</v>
      </c>
      <c r="J63" s="30" t="s">
        <v>187</v>
      </c>
      <c r="K63" s="43">
        <v>59048</v>
      </c>
      <c r="L63" s="143" t="s">
        <v>50</v>
      </c>
      <c r="M63" s="144">
        <f t="shared" si="11"/>
        <v>31177.344000000001</v>
      </c>
      <c r="N63" s="145" t="str">
        <f>VLOOKUP(C63,'Trips&amp;Operators'!$C$1:$G$99999,5,FALSE)</f>
        <v>DAVIS WENDY</v>
      </c>
      <c r="O63" s="194" t="s">
        <v>185</v>
      </c>
      <c r="P63" s="146"/>
      <c r="Q63" s="30"/>
      <c r="R63" s="89" t="e">
        <f>IF(VLOOKUP(C63,'Train Runs'!$A$13:$AE$9946,1,1)=C63,VLOOKUP(C63,'Train Runs'!$A$13:$AE$9946,31,1),NA())</f>
        <v>#N/A</v>
      </c>
      <c r="S63" s="92" t="e">
        <f>IF(VLOOKUP(C63,'Train Runs'!$A$13:$AE$9946,1,1)=C63,VLOOKUP(C63,'Train Runs'!$A$13:$AE$9946,22,1),NA())</f>
        <v>#N/A</v>
      </c>
      <c r="T63" s="94" t="str">
        <f t="shared" si="12"/>
        <v>"C:\Program Files (x86)\AstroGrep\AstroGrep.exe" /e /r /s /spath="%USERPROFILE%\AppData\Local\Temp\OnboardLogs" /stypes="*4014*201703061*" /stext=" 12:.+((SYSTEM_STATE.+slice.+state.+changed )|(ment ac)|(multiple cpu faults)|(system.+state.+changed )|(\[timeout)|(PRM\|1\|D)|(kpr)|(kdp)|(\|lc)|(penalty))"</v>
      </c>
      <c r="U63" s="9" t="str">
        <f t="shared" si="13"/>
        <v>4014</v>
      </c>
      <c r="V63" s="32">
        <f t="shared" si="14"/>
        <v>42800.507511574069</v>
      </c>
      <c r="W63" s="46" t="str">
        <f t="shared" si="15"/>
        <v>Other</v>
      </c>
      <c r="X63" s="46" t="str">
        <f t="shared" si="16"/>
        <v>OMIT</v>
      </c>
      <c r="Y63" s="108" t="str">
        <f t="shared" si="17"/>
        <v>echo {"issue":{"subject":"","project_id":79,"tracker_id":40,"status_id":1,"priority_id":2,"assigned_to_id":23,"start_date":"2017-03-06","description":"","custom_fields":[{"id":1,"name":"Subdivision","value":"Other"},{"id":4,"name":"Milepost","value":"5.9048"},{"id":17,"name":"Train ID","value":"901-06"},{"id":16,"name":"Locomotive ID","value":"4014"},{"id":130,"name":"Impact","value":""},{"id":150,"name":"Time of Event (Mountain Time)","value":"05:10:49"},{"id":151,"name":"Denver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0"/>
        <v>grep -hSE -A400 "Enforcement Action" "%USERPROFILE%\AppData\Local\Temp\OnboardLogs"\RTDC4014\*4014*201703061*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"%USERPROFILE%\AppData\Local\Temp\OnboardLogs"\RTDC4014\*4014*201703061* &gt;&gt; 2017-03-06-SliceDisagreementCheck.txt</v>
      </c>
      <c r="AE63" s="157" t="str">
        <f t="shared" si="9"/>
        <v>start /low /b %USERPROFILE%\Documents\GitHub\eaglep3\Utilities\DownloadLogsFromS3.py --loco 4014 --day 2017-03-06</v>
      </c>
      <c r="AF63" s="1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63"/>
      <sortCondition ref="E7:E63"/>
      <sortCondition ref="K7:K63"/>
      <sortCondition ref="F7:F6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AA7:AA63</xm:sqref>
        </x14:dataValidation>
        <x14:dataValidation type="list" allowBlank="1" showInputMessage="1" showErrorMessage="1">
          <x14:formula1>
            <xm:f>'Redmine List Values'!$C$2:$C$15</xm:f>
          </x14:formula1>
          <xm:sqref>AB7:AB63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1"/>
  <sheetViews>
    <sheetView workbookViewId="0">
      <selection activeCell="I3" sqref="I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2017-03-06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103</v>
      </c>
      <c r="B3" s="43" t="str">
        <f>A3&amp;"-"&amp;IF(DAY(Variables!$A$2)&lt;10,0,"")&amp;DAY(Variables!$A$2)</f>
        <v>103-06</v>
      </c>
      <c r="C3" s="147"/>
      <c r="D3" s="165"/>
      <c r="E3" s="30"/>
      <c r="F3" s="21" t="str">
        <f>VLOOKUP(B3,'Trips&amp;Operators'!$C$2:$E$10000,3,FALSE)</f>
        <v>MAELZER</v>
      </c>
      <c r="G3" s="21" t="str">
        <f>VLOOKUP(B3,'Trips&amp;Operators'!$C$1:$F$10000,4,FALSE)</f>
        <v>KURT</v>
      </c>
      <c r="H3" s="29" t="str">
        <f>VLOOKUP(B3,'Trips&amp;Operators'!$C$1:$H$10000,5,FALSE)</f>
        <v>MAELZER KURT</v>
      </c>
      <c r="I3" s="46" t="str">
        <f t="shared" ref="I3:I1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22103-06%22)),sort:!(Time.ISO8601,asc))</v>
      </c>
      <c r="J3" s="30" t="str">
        <f>VLOOKUP(B3,'Train Runs'!$A$13:$A$99943,1,FALSE)</f>
        <v>103-06</v>
      </c>
    </row>
    <row r="4" spans="1:10" x14ac:dyDescent="0.25">
      <c r="A4" s="185"/>
      <c r="B4" s="43" t="str">
        <f>A4&amp;"-"&amp;IF(DAY(Variables!$A$2)&lt;10,0,"")&amp;DAY(Variables!$A$2)</f>
        <v>-06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Runs'!$A$13:$A$99943,1,FALSE)</f>
        <v>#N/A</v>
      </c>
    </row>
    <row r="5" spans="1:10" x14ac:dyDescent="0.25">
      <c r="A5" s="185"/>
      <c r="B5" s="43" t="str">
        <f>A5&amp;"-"&amp;IF(DAY(Variables!$A$2)&lt;10,0,"")&amp;DAY(Variables!$A$2)</f>
        <v>-06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Runs'!$A$13:$A$99943,1,FALSE)</f>
        <v>#N/A</v>
      </c>
    </row>
    <row r="6" spans="1:10" x14ac:dyDescent="0.25">
      <c r="A6" s="185"/>
      <c r="B6" s="43" t="str">
        <f>A6&amp;"-"&amp;IF(DAY(Variables!$A$2)&lt;10,0,"")&amp;DAY(Variables!$A$2)</f>
        <v>-06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Runs'!$A$13:$A$99943,1,FALSE)</f>
        <v>#N/A</v>
      </c>
    </row>
    <row r="7" spans="1:10" x14ac:dyDescent="0.25">
      <c r="A7" s="185"/>
      <c r="B7" s="43" t="str">
        <f>A7&amp;"-"&amp;IF(DAY(Variables!$A$2)&lt;10,0,"")&amp;DAY(Variables!$A$2)</f>
        <v>-06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Runs'!$A$13:$A$99943,1,FALSE)</f>
        <v>#N/A</v>
      </c>
    </row>
    <row r="8" spans="1:10" x14ac:dyDescent="0.25">
      <c r="A8" s="185"/>
      <c r="B8" s="43" t="str">
        <f>A8&amp;"-"&amp;IF(DAY(Variables!$A$2)&lt;10,0,"")&amp;DAY(Variables!$A$2)</f>
        <v>-06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Runs'!$A$13:$A$99943,1,FALSE)</f>
        <v>#N/A</v>
      </c>
    </row>
    <row r="9" spans="1:10" x14ac:dyDescent="0.25">
      <c r="A9" s="185"/>
      <c r="B9" s="43" t="str">
        <f>A9&amp;"-"&amp;IF(DAY(Variables!$A$2)&lt;10,0,"")&amp;DAY(Variables!$A$2)</f>
        <v>-06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Runs'!$A$13:$A$99943,1,FALSE)</f>
        <v>#N/A</v>
      </c>
    </row>
    <row r="10" spans="1:10" x14ac:dyDescent="0.25">
      <c r="A10" s="185"/>
      <c r="B10" s="43" t="str">
        <f>A10&amp;"-"&amp;IF(DAY(Variables!$A$2)&lt;10,0,"")&amp;DAY(Variables!$A$2)</f>
        <v>-06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Runs'!$A$13:$A$99943,1,FALSE)</f>
        <v>#N/A</v>
      </c>
    </row>
    <row r="11" spans="1:10" x14ac:dyDescent="0.25">
      <c r="A11" s="185"/>
      <c r="B11" s="43" t="str">
        <f>A11&amp;"-"&amp;IF(DAY(Variables!$A$2)&lt;10,0,"")&amp;DAY(Variables!$A$2)</f>
        <v>-06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Runs'!$A$13:$A$99943,1,FALSE)</f>
        <v>#N/A</v>
      </c>
    </row>
    <row r="12" spans="1:10" x14ac:dyDescent="0.25">
      <c r="A12" s="185"/>
      <c r="B12" s="43" t="str">
        <f>A12&amp;"-"&amp;IF(DAY(Variables!$A$2)&lt;10,0,"")&amp;DAY(Variables!$A$2)</f>
        <v>-06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Runs'!$A$13:$A$99943,1,FALSE)</f>
        <v>#N/A</v>
      </c>
    </row>
    <row r="13" spans="1:10" x14ac:dyDescent="0.25">
      <c r="A13" s="185"/>
      <c r="B13" s="43" t="str">
        <f>A13&amp;"-"&amp;IF(DAY(Variables!$A$2)&lt;10,0,"")&amp;DAY(Variables!$A$2)</f>
        <v>-06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Runs'!$A$13:$A$99943,1,FALSE)</f>
        <v>#N/A</v>
      </c>
    </row>
    <row r="14" spans="1:10" x14ac:dyDescent="0.25">
      <c r="A14" s="185"/>
      <c r="B14" s="43" t="str">
        <f>A14&amp;"-"&amp;IF(DAY(Variables!$A$2)&lt;10,0,"")&amp;DAY(Variables!$A$2)</f>
        <v>-06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Runs'!$A$13:$A$99943,1,FALSE)</f>
        <v>#N/A</v>
      </c>
    </row>
    <row r="15" spans="1:10" x14ac:dyDescent="0.25">
      <c r="A15" s="185"/>
      <c r="B15" s="43" t="str">
        <f>A15&amp;"-"&amp;IF(DAY(Variables!$A$2)&lt;10,0,"")&amp;DAY(Variables!$A$2)</f>
        <v>-06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Runs'!$A$13:$A$99943,1,FALSE)</f>
        <v>#N/A</v>
      </c>
    </row>
    <row r="16" spans="1:10" x14ac:dyDescent="0.25">
      <c r="A16" s="185"/>
      <c r="B16" s="43" t="str">
        <f>A16&amp;"-"&amp;IF(DAY(Variables!$A$2)&lt;10,0,"")&amp;DAY(Variables!$A$2)</f>
        <v>-06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ref="I1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Runs'!$A$13:$A$99943,1,FALSE)</f>
        <v>#N/A</v>
      </c>
    </row>
    <row r="17" spans="1:10" x14ac:dyDescent="0.25">
      <c r="A17" s="185"/>
      <c r="B17" s="43" t="str">
        <f>A17&amp;"-"&amp;IF(DAY(Variables!$A$2)&lt;10,0,"")&amp;DAY(Variables!$A$2)</f>
        <v>-06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Runs'!$A$13:$A$99943,1,FALSE)</f>
        <v>#N/A</v>
      </c>
    </row>
    <row r="18" spans="1:10" x14ac:dyDescent="0.25">
      <c r="A18" s="185"/>
      <c r="B18" s="43" t="str">
        <f>A18&amp;"-"&amp;IF(DAY(Variables!$A$2)&lt;10,0,"")&amp;DAY(Variables!$A$2)</f>
        <v>-06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Runs'!$A$13:$A$99943,1,FALSE)</f>
        <v>#N/A</v>
      </c>
    </row>
    <row r="19" spans="1:10" x14ac:dyDescent="0.25">
      <c r="A19" s="185"/>
      <c r="B19" s="43" t="str">
        <f>A19&amp;"-"&amp;IF(DAY(Variables!$A$2)&lt;10,0,"")&amp;DAY(Variables!$A$2)</f>
        <v>-06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-06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-06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-06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-06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-06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-06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-06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-06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-06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-06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-06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-06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-06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-06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-06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-06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-06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-06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-06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-06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-06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-06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-06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-06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-06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-06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-06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-06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-06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ref="I48:I79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-06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-06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-06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-06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-06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-06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-06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-06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-06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-06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-06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-06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-06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-06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-06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-06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-06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-06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-06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-06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-06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-06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-06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-06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-06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-06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-06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-06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-06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-06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-06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-06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ref="I80:I101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-06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-06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-06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-06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-06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-06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-06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-06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8" s="30" t="e">
        <f>VLOOKUP(B88,'Train Runs'!$A$13:$A$99943,1,FALSE)</f>
        <v>#N/A</v>
      </c>
    </row>
    <row r="89" spans="1:10" x14ac:dyDescent="0.25">
      <c r="A89" s="185"/>
      <c r="B89" s="43" t="str">
        <f>A89&amp;"-"&amp;IF(DAY(Variables!$A$2)&lt;10,0,"")&amp;DAY(Variables!$A$2)</f>
        <v>-06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9" s="30" t="e">
        <f>VLOOKUP(B89,'Train Runs'!$A$13:$A$99943,1,FALSE)</f>
        <v>#N/A</v>
      </c>
    </row>
    <row r="90" spans="1:10" x14ac:dyDescent="0.25">
      <c r="A90" s="185"/>
      <c r="B90" s="43" t="str">
        <f>A90&amp;"-"&amp;IF(DAY(Variables!$A$2)&lt;10,0,"")&amp;DAY(Variables!$A$2)</f>
        <v>-06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0" s="30" t="e">
        <f>VLOOKUP(B90,'Train Runs'!$A$13:$A$99943,1,FALSE)</f>
        <v>#N/A</v>
      </c>
    </row>
    <row r="91" spans="1:10" x14ac:dyDescent="0.25">
      <c r="A91" s="185"/>
      <c r="B91" s="43" t="str">
        <f>A91&amp;"-"&amp;IF(DAY(Variables!$A$2)&lt;10,0,"")&amp;DAY(Variables!$A$2)</f>
        <v>-06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1" s="30" t="e">
        <f>VLOOKUP(B91,'Train Runs'!$A$13:$A$99943,1,FALSE)</f>
        <v>#N/A</v>
      </c>
    </row>
    <row r="92" spans="1:10" x14ac:dyDescent="0.25">
      <c r="A92" s="185"/>
      <c r="B92" s="43" t="str">
        <f>A92&amp;"-"&amp;IF(DAY(Variables!$A$2)&lt;10,0,"")&amp;DAY(Variables!$A$2)</f>
        <v>-06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2" s="30" t="e">
        <f>VLOOKUP(B92,'Train Runs'!$A$13:$A$99943,1,FALSE)</f>
        <v>#N/A</v>
      </c>
    </row>
    <row r="93" spans="1:10" x14ac:dyDescent="0.25">
      <c r="A93" s="185"/>
      <c r="B93" s="43" t="str">
        <f>A93&amp;"-"&amp;IF(DAY(Variables!$A$2)&lt;10,0,"")&amp;DAY(Variables!$A$2)</f>
        <v>-06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3" s="30" t="e">
        <f>VLOOKUP(B93,'Train Runs'!$A$13:$A$99943,1,FALSE)</f>
        <v>#N/A</v>
      </c>
    </row>
    <row r="94" spans="1:10" x14ac:dyDescent="0.25">
      <c r="A94" s="185"/>
      <c r="B94" s="43" t="str">
        <f>A94&amp;"-"&amp;IF(DAY(Variables!$A$2)&lt;10,0,"")&amp;DAY(Variables!$A$2)</f>
        <v>-06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4" s="30" t="e">
        <f>VLOOKUP(B94,'Train Runs'!$A$13:$A$99943,1,FALSE)</f>
        <v>#N/A</v>
      </c>
    </row>
    <row r="95" spans="1:10" x14ac:dyDescent="0.25">
      <c r="A95" s="185"/>
      <c r="B95" s="43" t="str">
        <f>A95&amp;"-"&amp;IF(DAY(Variables!$A$2)&lt;10,0,"")&amp;DAY(Variables!$A$2)</f>
        <v>-06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5" s="30" t="e">
        <f>VLOOKUP(B95,'Train Runs'!$A$13:$A$99943,1,FALSE)</f>
        <v>#N/A</v>
      </c>
    </row>
    <row r="96" spans="1:10" x14ac:dyDescent="0.25">
      <c r="A96" s="185"/>
      <c r="B96" s="43" t="str">
        <f>A96&amp;"-"&amp;IF(DAY(Variables!$A$2)&lt;10,0,"")&amp;DAY(Variables!$A$2)</f>
        <v>-06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6" s="30" t="e">
        <f>VLOOKUP(B96,'Train Runs'!$A$13:$A$99943,1,FALSE)</f>
        <v>#N/A</v>
      </c>
    </row>
    <row r="97" spans="1:10" x14ac:dyDescent="0.25">
      <c r="A97" s="185"/>
      <c r="B97" s="43" t="str">
        <f>A97&amp;"-"&amp;IF(DAY(Variables!$A$2)&lt;10,0,"")&amp;DAY(Variables!$A$2)</f>
        <v>-06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7" s="30" t="e">
        <f>VLOOKUP(B97,'Train Runs'!$A$13:$A$99943,1,FALSE)</f>
        <v>#N/A</v>
      </c>
    </row>
    <row r="98" spans="1:10" x14ac:dyDescent="0.25">
      <c r="A98" s="185"/>
      <c r="B98" s="43" t="str">
        <f>A98&amp;"-"&amp;IF(DAY(Variables!$A$2)&lt;10,0,"")&amp;DAY(Variables!$A$2)</f>
        <v>-06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8" s="30" t="e">
        <f>VLOOKUP(B98,'Train Runs'!$A$13:$A$99943,1,FALSE)</f>
        <v>#N/A</v>
      </c>
    </row>
    <row r="99" spans="1:10" x14ac:dyDescent="0.25">
      <c r="A99" s="185"/>
      <c r="B99" s="43" t="str">
        <f>A99&amp;"-"&amp;IF(DAY(Variables!$A$2)&lt;10,0,"")&amp;DAY(Variables!$A$2)</f>
        <v>-06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9" s="30" t="e">
        <f>VLOOKUP(B99,'Train Runs'!$A$13:$A$99943,1,FALSE)</f>
        <v>#N/A</v>
      </c>
    </row>
    <row r="100" spans="1:10" x14ac:dyDescent="0.25">
      <c r="A100" s="185"/>
      <c r="B100" s="43" t="str">
        <f>A100&amp;"-"&amp;IF(DAY(Variables!$A$2)&lt;10,0,"")&amp;DAY(Variables!$A$2)</f>
        <v>-06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0" s="30" t="e">
        <f>VLOOKUP(B100,'Train Runs'!$A$13:$A$99943,1,FALSE)</f>
        <v>#N/A</v>
      </c>
    </row>
    <row r="101" spans="1:10" x14ac:dyDescent="0.25">
      <c r="A101" s="185"/>
      <c r="B101" s="43" t="str">
        <f>A101&amp;"-"&amp;IF(DAY(Variables!$A$2)&lt;10,0,"")&amp;DAY(Variables!$A$2)</f>
        <v>-06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1" s="30" t="e">
        <f>VLOOKUP(B101,'Train Runs'!$A$13:$A$99943,1,FALSE)</f>
        <v>#N/A</v>
      </c>
    </row>
  </sheetData>
  <autoFilter ref="A2:J10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5"/>
  <sheetViews>
    <sheetView workbookViewId="0">
      <selection activeCell="B1" sqref="B1"/>
    </sheetView>
  </sheetViews>
  <sheetFormatPr defaultRowHeight="15" x14ac:dyDescent="0.25"/>
  <cols>
    <col min="1" max="1" width="18.28515625" style="202" bestFit="1" customWidth="1"/>
    <col min="2" max="2" width="13.42578125" style="202" bestFit="1" customWidth="1"/>
    <col min="3" max="3" width="26.5703125" style="208" customWidth="1"/>
    <col min="4" max="4" width="8.85546875" style="198" customWidth="1"/>
    <col min="5" max="5" width="10.5703125" style="212" customWidth="1"/>
    <col min="6" max="6" width="39.5703125" bestFit="1" customWidth="1"/>
    <col min="7" max="7" width="16.5703125" style="212" customWidth="1"/>
    <col min="8" max="8" width="7" style="216" customWidth="1"/>
    <col min="9" max="9" width="6.5703125" style="218" customWidth="1"/>
    <col min="10" max="10" width="6.5703125" style="214" customWidth="1"/>
    <col min="11" max="11" width="9.42578125" style="210" bestFit="1" customWidth="1"/>
    <col min="12" max="12" width="9.42578125" style="210" customWidth="1"/>
    <col min="13" max="13" width="10.140625" style="206" customWidth="1"/>
    <col min="14" max="14" width="6.42578125" style="206" customWidth="1"/>
    <col min="15" max="16" width="6" style="206" customWidth="1"/>
    <col min="17" max="17" width="6.28515625" style="206" customWidth="1"/>
    <col min="18" max="18" width="7.28515625" style="205" customWidth="1"/>
  </cols>
  <sheetData>
    <row r="1" spans="1:18" s="195" customFormat="1" ht="35.25" customHeight="1" x14ac:dyDescent="0.25">
      <c r="A1" s="200" t="s">
        <v>1004</v>
      </c>
      <c r="B1" s="200" t="s">
        <v>1027</v>
      </c>
      <c r="C1" s="207" t="s">
        <v>1005</v>
      </c>
      <c r="D1" s="199" t="s">
        <v>1013</v>
      </c>
      <c r="E1" s="211" t="s">
        <v>58</v>
      </c>
      <c r="F1" s="196" t="s">
        <v>24</v>
      </c>
      <c r="G1" s="211" t="s">
        <v>1019</v>
      </c>
      <c r="H1" s="215" t="s">
        <v>94</v>
      </c>
      <c r="I1" s="217" t="s">
        <v>1023</v>
      </c>
      <c r="J1" s="213" t="s">
        <v>1022</v>
      </c>
      <c r="K1" s="209" t="s">
        <v>84</v>
      </c>
      <c r="L1" s="209" t="s">
        <v>1018</v>
      </c>
      <c r="M1" s="204" t="s">
        <v>1015</v>
      </c>
      <c r="N1" s="204" t="s">
        <v>1006</v>
      </c>
      <c r="O1" s="204" t="s">
        <v>1008</v>
      </c>
      <c r="P1" s="204" t="s">
        <v>1009</v>
      </c>
      <c r="Q1" s="204" t="s">
        <v>1010</v>
      </c>
      <c r="R1" s="203" t="s">
        <v>1007</v>
      </c>
    </row>
    <row r="2" spans="1:18" x14ac:dyDescent="0.25">
      <c r="A2" s="201">
        <v>42800.21875</v>
      </c>
      <c r="B2" s="201"/>
      <c r="C2" s="208" t="s">
        <v>1012</v>
      </c>
      <c r="D2" s="198" t="s">
        <v>1014</v>
      </c>
      <c r="E2" s="212">
        <v>104</v>
      </c>
      <c r="F2" s="30" t="s">
        <v>1017</v>
      </c>
      <c r="H2" s="216" t="str">
        <f t="shared" ref="H2:H35" si="0">astrogrep_path&amp;" /e /r /s /spath="&amp;search_path&amp;" /stypes=""*"&amp;M2&amp;"*"&amp;TEXT($A2-utc_offset/24,"YYYYMMDD")&amp;LEFT(TEXT($A2-utc_offset/24,"HH"),1)&amp;"*"" /stext="" "&amp;TEXT($A2-utc_offset/24,"HH")&amp;SUBSTITUTE(LEFT(search_regexp,LEN(search_regexp)-1),"\|lc",IF($G2,"\|lc","\|loc"))&amp;"|"&amp;$R2&amp;")"""</f>
        <v>"C:\Program Files (x86)\AstroGrep\AstroGrep.exe" /e /r /s /spath="%USERPROFILE%\AppData\Local\Temp\OnboardLogs" /stypes="*4045*201703061*" /stext=" 12:.+((SYSTEM_STATE.+slice.+state.+changed )|(ment ac)|(multiple cpu faults)|(system.+state.+changed )|(\[timeout)|(PRM\|1\|D)|(kpr)|(kdp)|(\|loc)|(penalty)|(\|PRM\|1\|D)|(crossing.((167)|(168)|(199)|(200))))"</v>
      </c>
      <c r="I2" s="218" t="str">
        <f t="shared" ref="I2:I35" si="1">"grep -hSE "" "&amp;TEXT(K2,"HH")&amp;":.+("&amp;R2&amp;")"" "&amp;search_path&amp;"\RTDC"&amp;M2&amp;"\*"&amp;M2&amp;"*"&amp;TEXT(K2,"YYYYMMDD")&amp;LEFT(TEXT(K2,"HH"),1)&amp;"*"</f>
        <v>grep -hSE " 12:.+((\|PRM\|1\|D)|(crossing.((167)|(168)|(199)|(200))))" "%USERPROFILE%\AppData\Local\Temp\OnboardLogs"\RTDC4045\*4045*201703061*</v>
      </c>
      <c r="J2" s="214" t="str">
        <f>IF(VLOOKUP(L2,'Train Runs'!$A$13:$V$999,1,TRUE)=L2,VLOOKUP(L2,'Train Runs'!$A$13:$V$999,22,TRUE),NA())</f>
        <v>https://d0f6bd738d7f1b3e5a7ca70fe4ff75f0.us-east-1.aws.found.io/app/kibana#/discover/Steve-Slow-Train-Analysis-(2080s-and-2083s)?_g=(refreshInterval:(display:Off,pause:!f,section:0,value:0),time:(from:'2017-03-06T02:38:12-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K2" s="210">
        <f t="shared" ref="K2:K35" si="2">A2-utc_offset/24</f>
        <v>42800.510416666664</v>
      </c>
      <c r="L2" s="210" t="str">
        <f>E2&amp;"-"&amp;IF(DAY(Variables!$A$2)&lt;10,0,"")&amp;DAY(Variables!$A$2)</f>
        <v>104-06</v>
      </c>
      <c r="M2" s="206">
        <f>IF(VLOOKUP(L2,'Train Runs'!$A$12:$B$999,1,TRUE)=L2,VLOOKUP(L2,'Train Runs'!$A$12:$B$999,2,TRUE),NA())</f>
        <v>4045</v>
      </c>
      <c r="N2" s="206">
        <f>VLOOKUP(C2,Variables!$T$2:$X$99,2,FALSE)</f>
        <v>167</v>
      </c>
      <c r="O2" s="206">
        <f>VLOOKUP(C2,Variables!$T$2:$X$99,3,FALSE)</f>
        <v>168</v>
      </c>
      <c r="P2" s="206">
        <f>VLOOKUP(C2,Variables!$T$2:$X$99,4,FALSE)</f>
        <v>199</v>
      </c>
      <c r="Q2" s="206">
        <f>VLOOKUP(C2,Variables!$T$2:$X$99,5,FALSE)</f>
        <v>200</v>
      </c>
      <c r="R2" s="205" t="str">
        <f t="shared" ref="R2:R35" si="3">"(\|PRM\|1\|D)|(crossing.(("&amp;N2&amp;")|("&amp;O2&amp;")|("&amp;P2&amp;")|("&amp;Q2&amp;")))"</f>
        <v>(\|PRM\|1\|D)|(crossing.((167)|(168)|(199)|(200)))</v>
      </c>
    </row>
    <row r="3" spans="1:18" x14ac:dyDescent="0.25">
      <c r="A3" s="201">
        <v>42800.343055555553</v>
      </c>
      <c r="B3" s="201"/>
      <c r="C3" s="208" t="s">
        <v>1012</v>
      </c>
      <c r="D3" s="198" t="s">
        <v>1014</v>
      </c>
      <c r="E3" s="212">
        <v>126</v>
      </c>
      <c r="F3" s="30" t="s">
        <v>1016</v>
      </c>
      <c r="G3" s="212" t="b">
        <v>1</v>
      </c>
      <c r="H3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I3" s="218" t="str">
        <f t="shared" si="1"/>
        <v>grep -hSE " 15:.+((\|PRM\|1\|D)|(crossing.((167)|(168)|(199)|(200))))" "%USERPROFILE%\AppData\Local\Temp\OnboardLogs"\RTDC4001\*4001*201703061*</v>
      </c>
      <c r="J3" s="214" t="str">
        <f>IF(VLOOKUP(L3,'Train Runs'!$A$13:$V$999,1,TRUE)=L3,VLOOKUP(L3,'Train Runs'!$A$13:$V$999,22,TRUE),NA())</f>
        <v>https://d0f6bd738d7f1b3e5a7ca70fe4ff75f0.us-east-1.aws.found.io/app/kibana#/discover/Steve-Slow-Train-Analysis-(2080s-and-2083s)?_g=(refreshInterval:(display:Off,pause:!f,section:0,value:0),time:(from:'2017-03-06T06:23:47-0700',mode:absolute,to:'2017-03-06T09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K3" s="210">
        <f t="shared" si="2"/>
        <v>42800.634722222218</v>
      </c>
      <c r="L3" s="210" t="str">
        <f>E3&amp;"-"&amp;IF(DAY(Variables!$A$2)&lt;10,0,"")&amp;DAY(Variables!$A$2)</f>
        <v>126-06</v>
      </c>
      <c r="M3" s="206">
        <f>IF(VLOOKUP(L3,'Train Runs'!$A$12:$B$999,1,TRUE)=L3,VLOOKUP(L3,'Train Runs'!$A$12:$B$999,2,TRUE),NA())</f>
        <v>4001</v>
      </c>
      <c r="N3" s="206">
        <f>VLOOKUP(C3,Variables!$T$2:$X$99,2,FALSE)</f>
        <v>167</v>
      </c>
      <c r="O3" s="206">
        <f>VLOOKUP(C3,Variables!$T$2:$X$99,3,FALSE)</f>
        <v>168</v>
      </c>
      <c r="P3" s="206">
        <f>VLOOKUP(C3,Variables!$T$2:$X$99,4,FALSE)</f>
        <v>199</v>
      </c>
      <c r="Q3" s="206">
        <f>VLOOKUP(C3,Variables!$T$2:$X$99,5,FALSE)</f>
        <v>200</v>
      </c>
      <c r="R3" s="205" t="str">
        <f t="shared" si="3"/>
        <v>(\|PRM\|1\|D)|(crossing.((167)|(168)|(199)|(200)))</v>
      </c>
    </row>
    <row r="4" spans="1:18" x14ac:dyDescent="0.25">
      <c r="A4" s="201">
        <v>42800.354861111111</v>
      </c>
      <c r="B4" s="201"/>
      <c r="C4" s="208" t="s">
        <v>1012</v>
      </c>
      <c r="D4" s="198" t="s">
        <v>1014</v>
      </c>
      <c r="E4" s="212">
        <v>128</v>
      </c>
      <c r="F4" s="30" t="s">
        <v>1016</v>
      </c>
      <c r="G4" s="212" t="b">
        <v>1</v>
      </c>
      <c r="H4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I4" s="218" t="str">
        <f t="shared" si="1"/>
        <v>grep -hSE " 15:.+((\|PRM\|1\|D)|(crossing.((167)|(168)|(199)|(200))))" "%USERPROFILE%\AppData\Local\Temp\OnboardLogs"\RTDC4021\*4021*201703061*</v>
      </c>
      <c r="J4" s="214" t="str">
        <f>IF(VLOOKUP(L4,'Train Runs'!$A$13:$V$999,1,TRUE)=L4,VLOOKUP(L4,'Train Runs'!$A$13:$V$999,22,TRUE),NA())</f>
        <v>https://d0f6bd738d7f1b3e5a7ca70fe4ff75f0.us-east-1.aws.found.io/app/kibana#/discover/Steve-Slow-Train-Analysis-(2080s-and-2083s)?_g=(refreshInterval:(display:Off,pause:!f,section:0,value:0),time:(from:'2017-03-06T06:41:09-0700',mode:absolute,to:'2017-03-06T09:41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K4" s="210">
        <f t="shared" si="2"/>
        <v>42800.646527777775</v>
      </c>
      <c r="L4" s="210" t="str">
        <f>E4&amp;"-"&amp;IF(DAY(Variables!$A$2)&lt;10,0,"")&amp;DAY(Variables!$A$2)</f>
        <v>128-06</v>
      </c>
      <c r="M4" s="206">
        <f>IF(VLOOKUP(L4,'Train Runs'!$A$12:$B$999,1,TRUE)=L4,VLOOKUP(L4,'Train Runs'!$A$12:$B$999,2,TRUE),NA())</f>
        <v>4021</v>
      </c>
      <c r="N4" s="206">
        <f>VLOOKUP(C4,Variables!$T$2:$X$99,2,FALSE)</f>
        <v>167</v>
      </c>
      <c r="O4" s="206">
        <f>VLOOKUP(C4,Variables!$T$2:$X$99,3,FALSE)</f>
        <v>168</v>
      </c>
      <c r="P4" s="206">
        <f>VLOOKUP(C4,Variables!$T$2:$X$99,4,FALSE)</f>
        <v>199</v>
      </c>
      <c r="Q4" s="206">
        <f>VLOOKUP(C4,Variables!$T$2:$X$99,5,FALSE)</f>
        <v>200</v>
      </c>
      <c r="R4" s="205" t="str">
        <f t="shared" si="3"/>
        <v>(\|PRM\|1\|D)|(crossing.((167)|(168)|(199)|(200)))</v>
      </c>
    </row>
    <row r="5" spans="1:18" x14ac:dyDescent="0.25">
      <c r="A5" s="201">
        <v>42800.364583333336</v>
      </c>
      <c r="B5" s="201"/>
      <c r="C5" s="208" t="s">
        <v>1012</v>
      </c>
      <c r="D5" s="198" t="s">
        <v>1014</v>
      </c>
      <c r="E5" s="212">
        <f>E4+2</f>
        <v>130</v>
      </c>
      <c r="F5" s="30" t="s">
        <v>1016</v>
      </c>
      <c r="G5" s="212" t="b">
        <v>1</v>
      </c>
      <c r="H5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I5" s="218" t="str">
        <f t="shared" si="1"/>
        <v>grep -hSE " 15:.+((\|PRM\|1\|D)|(crossing.((167)|(168)|(199)|(200))))" "%USERPROFILE%\AppData\Local\Temp\OnboardLogs"\RTDC4004\*4004*201703061*</v>
      </c>
      <c r="J5" s="214" t="str">
        <f>IF(VLOOKUP(L5,'Train Runs'!$A$13:$V$999,1,TRUE)=L5,VLOOKUP(L5,'Train Runs'!$A$13:$V$999,22,TRUE),NA())</f>
        <v>https://d0f6bd738d7f1b3e5a7ca70fe4ff75f0.us-east-1.aws.found.io/app/kibana#/discover/Steve-Slow-Train-Analysis-(2080s-and-2083s)?_g=(refreshInterval:(display:Off,pause:!f,section:0,value:0),time:(from:'2017-03-06T07:02:56-0700',mode:absolute,to:'2017-03-06T09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5" s="210">
        <f t="shared" si="2"/>
        <v>42800.65625</v>
      </c>
      <c r="L5" s="210" t="str">
        <f>E5&amp;"-"&amp;IF(DAY(Variables!$A$2)&lt;10,0,"")&amp;DAY(Variables!$A$2)</f>
        <v>130-06</v>
      </c>
      <c r="M5" s="206">
        <f>IF(VLOOKUP(L5,'Train Runs'!$A$12:$B$999,1,TRUE)=L5,VLOOKUP(L5,'Train Runs'!$A$12:$B$999,2,TRUE),NA())</f>
        <v>4004</v>
      </c>
      <c r="N5" s="206">
        <f>VLOOKUP(C5,Variables!$T$2:$X$99,2,FALSE)</f>
        <v>167</v>
      </c>
      <c r="O5" s="206">
        <f>VLOOKUP(C5,Variables!$T$2:$X$99,3,FALSE)</f>
        <v>168</v>
      </c>
      <c r="P5" s="206">
        <f>VLOOKUP(C5,Variables!$T$2:$X$99,4,FALSE)</f>
        <v>199</v>
      </c>
      <c r="Q5" s="206">
        <f>VLOOKUP(C5,Variables!$T$2:$X$99,5,FALSE)</f>
        <v>200</v>
      </c>
      <c r="R5" s="205" t="str">
        <f t="shared" si="3"/>
        <v>(\|PRM\|1\|D)|(crossing.((167)|(168)|(199)|(200)))</v>
      </c>
    </row>
    <row r="6" spans="1:18" x14ac:dyDescent="0.25">
      <c r="A6" s="201">
        <v>42800.375</v>
      </c>
      <c r="B6" s="201"/>
      <c r="C6" s="208" t="s">
        <v>1012</v>
      </c>
      <c r="D6" s="198" t="s">
        <v>1014</v>
      </c>
      <c r="E6" s="212">
        <f>E5+2</f>
        <v>132</v>
      </c>
      <c r="F6" s="30" t="s">
        <v>1016</v>
      </c>
      <c r="G6" s="212" t="b">
        <v>1</v>
      </c>
      <c r="H6" s="216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I6" s="218" t="str">
        <f t="shared" si="1"/>
        <v>grep -hSE " 16:.+((\|PRM\|1\|D)|(crossing.((167)|(168)|(199)|(200))))" "%USERPROFILE%\AppData\Local\Temp\OnboardLogs"\RTDC4045\*4045*201703061*</v>
      </c>
      <c r="J6" s="214" t="str">
        <f>IF(VLOOKUP(L6,'Train Runs'!$A$13:$V$999,1,TRUE)=L6,VLOOKUP(L6,'Train Runs'!$A$13:$V$999,22,TRUE),NA())</f>
        <v>https://d0f6bd738d7f1b3e5a7ca70fe4ff75f0.us-east-1.aws.found.io/app/kibana#/discover/Steve-Slow-Train-Analysis-(2080s-and-2083s)?_g=(refreshInterval:(display:Off,pause:!f,section:0,value:0),time:(from:'2017-03-06T07:21:48-0700',mode:absolute,to:'2017-03-06T10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K6" s="210">
        <f t="shared" si="2"/>
        <v>42800.666666666664</v>
      </c>
      <c r="L6" s="210" t="str">
        <f>E6&amp;"-"&amp;IF(DAY(Variables!$A$2)&lt;10,0,"")&amp;DAY(Variables!$A$2)</f>
        <v>132-06</v>
      </c>
      <c r="M6" s="206">
        <f>IF(VLOOKUP(L6,'Train Runs'!$A$12:$B$999,1,TRUE)=L6,VLOOKUP(L6,'Train Runs'!$A$12:$B$999,2,TRUE),NA())</f>
        <v>4045</v>
      </c>
      <c r="N6" s="206">
        <f>VLOOKUP(C6,Variables!$T$2:$X$99,2,FALSE)</f>
        <v>167</v>
      </c>
      <c r="O6" s="206">
        <f>VLOOKUP(C6,Variables!$T$2:$X$99,3,FALSE)</f>
        <v>168</v>
      </c>
      <c r="P6" s="206">
        <f>VLOOKUP(C6,Variables!$T$2:$X$99,4,FALSE)</f>
        <v>199</v>
      </c>
      <c r="Q6" s="206">
        <f>VLOOKUP(C6,Variables!$T$2:$X$99,5,FALSE)</f>
        <v>200</v>
      </c>
      <c r="R6" s="205" t="str">
        <f t="shared" si="3"/>
        <v>(\|PRM\|1\|D)|(crossing.((167)|(168)|(199)|(200)))</v>
      </c>
    </row>
    <row r="7" spans="1:18" x14ac:dyDescent="0.25">
      <c r="A7" s="201">
        <v>42800.383333333331</v>
      </c>
      <c r="B7" s="201"/>
      <c r="C7" s="208" t="s">
        <v>1012</v>
      </c>
      <c r="D7" s="198" t="s">
        <v>1014</v>
      </c>
      <c r="E7" s="212">
        <f t="shared" ref="E7:E11" si="4">E6+2</f>
        <v>134</v>
      </c>
      <c r="F7" s="30" t="s">
        <v>1016</v>
      </c>
      <c r="G7" s="212" t="b">
        <v>1</v>
      </c>
      <c r="H7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I7" s="218" t="str">
        <f t="shared" si="1"/>
        <v>grep -hSE " 16:.+((\|PRM\|1\|D)|(crossing.((167)|(168)|(199)|(200))))" "%USERPROFILE%\AppData\Local\Temp\OnboardLogs"\RTDC4019\*4019*201703061*</v>
      </c>
      <c r="J7" s="214" t="str">
        <f>IF(VLOOKUP(L7,'Train Runs'!$A$13:$V$999,1,TRUE)=L7,VLOOKUP(L7,'Train Runs'!$A$13:$V$999,22,TRUE),NA())</f>
        <v>https://d0f6bd738d7f1b3e5a7ca70fe4ff75f0.us-east-1.aws.found.io/app/kibana#/discover/Steve-Slow-Train-Analysis-(2080s-and-2083s)?_g=(refreshInterval:(display:Off,pause:!f,section:0,value:0),time:(from:'2017-03-06T07:36:18-0700',mode:absolute,to:'2017-03-06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K7" s="210">
        <f t="shared" si="2"/>
        <v>42800.674999999996</v>
      </c>
      <c r="L7" s="210" t="str">
        <f>E7&amp;"-"&amp;IF(DAY(Variables!$A$2)&lt;10,0,"")&amp;DAY(Variables!$A$2)</f>
        <v>134-06</v>
      </c>
      <c r="M7" s="206">
        <f>IF(VLOOKUP(L7,'Train Runs'!$A$12:$B$999,1,TRUE)=L7,VLOOKUP(L7,'Train Runs'!$A$12:$B$999,2,TRUE),NA())</f>
        <v>4019</v>
      </c>
      <c r="N7" s="206">
        <f>VLOOKUP(C7,Variables!$T$2:$X$99,2,FALSE)</f>
        <v>167</v>
      </c>
      <c r="O7" s="206">
        <f>VLOOKUP(C7,Variables!$T$2:$X$99,3,FALSE)</f>
        <v>168</v>
      </c>
      <c r="P7" s="206">
        <f>VLOOKUP(C7,Variables!$T$2:$X$99,4,FALSE)</f>
        <v>199</v>
      </c>
      <c r="Q7" s="206">
        <f>VLOOKUP(C7,Variables!$T$2:$X$99,5,FALSE)</f>
        <v>200</v>
      </c>
      <c r="R7" s="205" t="str">
        <f t="shared" si="3"/>
        <v>(\|PRM\|1\|D)|(crossing.((167)|(168)|(199)|(200)))</v>
      </c>
    </row>
    <row r="8" spans="1:18" x14ac:dyDescent="0.25">
      <c r="A8" s="201">
        <v>42800.393750000003</v>
      </c>
      <c r="B8" s="201"/>
      <c r="C8" s="208" t="s">
        <v>1012</v>
      </c>
      <c r="D8" s="198" t="s">
        <v>1014</v>
      </c>
      <c r="E8" s="212">
        <f t="shared" si="4"/>
        <v>136</v>
      </c>
      <c r="F8" s="30" t="s">
        <v>1016</v>
      </c>
      <c r="G8" s="212" t="b">
        <v>1</v>
      </c>
      <c r="H8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I8" s="218" t="str">
        <f t="shared" si="1"/>
        <v>grep -hSE " 16:.+((\|PRM\|1\|D)|(crossing.((167)|(168)|(199)|(200))))" "%USERPROFILE%\AppData\Local\Temp\OnboardLogs"\RTDC4010\*4010*201703061*</v>
      </c>
      <c r="J8" s="214" t="str">
        <f>IF(VLOOKUP(L8,'Train Runs'!$A$13:$V$999,1,TRUE)=L8,VLOOKUP(L8,'Train Runs'!$A$13:$V$999,22,TRUE),NA())</f>
        <v>https://d0f6bd738d7f1b3e5a7ca70fe4ff75f0.us-east-1.aws.found.io/app/kibana#/discover/Steve-Slow-Train-Analysis-(2080s-and-2083s)?_g=(refreshInterval:(display:Off,pause:!f,section:0,value:0),time:(from:'2017-03-06T07:49:06-0700',mode:absolute,to:'2017-03-06T10:37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K8" s="210">
        <f t="shared" si="2"/>
        <v>42800.685416666667</v>
      </c>
      <c r="L8" s="210" t="str">
        <f>E8&amp;"-"&amp;IF(DAY(Variables!$A$2)&lt;10,0,"")&amp;DAY(Variables!$A$2)</f>
        <v>136-06</v>
      </c>
      <c r="M8" s="206">
        <f>IF(VLOOKUP(L8,'Train Runs'!$A$12:$B$999,1,TRUE)=L8,VLOOKUP(L8,'Train Runs'!$A$12:$B$999,2,TRUE),NA())</f>
        <v>4010</v>
      </c>
      <c r="N8" s="206">
        <f>VLOOKUP(C8,Variables!$T$2:$X$99,2,FALSE)</f>
        <v>167</v>
      </c>
      <c r="O8" s="206">
        <f>VLOOKUP(C8,Variables!$T$2:$X$99,3,FALSE)</f>
        <v>168</v>
      </c>
      <c r="P8" s="206">
        <f>VLOOKUP(C8,Variables!$T$2:$X$99,4,FALSE)</f>
        <v>199</v>
      </c>
      <c r="Q8" s="206">
        <f>VLOOKUP(C8,Variables!$T$2:$X$99,5,FALSE)</f>
        <v>200</v>
      </c>
      <c r="R8" s="205" t="str">
        <f t="shared" si="3"/>
        <v>(\|PRM\|1\|D)|(crossing.((167)|(168)|(199)|(200)))</v>
      </c>
    </row>
    <row r="9" spans="1:18" x14ac:dyDescent="0.25">
      <c r="A9" s="201">
        <v>42800.404861111114</v>
      </c>
      <c r="B9" s="201"/>
      <c r="C9" s="208" t="s">
        <v>1012</v>
      </c>
      <c r="D9" s="198" t="s">
        <v>1014</v>
      </c>
      <c r="E9" s="212">
        <f t="shared" si="4"/>
        <v>138</v>
      </c>
      <c r="F9" s="30" t="s">
        <v>1016</v>
      </c>
      <c r="G9" s="212" t="b">
        <v>1</v>
      </c>
      <c r="H9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I9" s="218" t="str">
        <f t="shared" si="1"/>
        <v>grep -hSE " 16:.+((\|PRM\|1\|D)|(crossing.((167)|(168)|(199)|(200))))" "%USERPROFILE%\AppData\Local\Temp\OnboardLogs"\RTDC4017\*4017*201703061*</v>
      </c>
      <c r="J9" s="214" t="str">
        <f>IF(VLOOKUP(L9,'Train Runs'!$A$13:$V$999,1,TRUE)=L9,VLOOKUP(L9,'Train Runs'!$A$13:$V$999,22,TRUE),NA())</f>
        <v>https://d0f6bd738d7f1b3e5a7ca70fe4ff75f0.us-east-1.aws.found.io/app/kibana#/discover/Steve-Slow-Train-Analysis-(2080s-and-2083s)?_g=(refreshInterval:(display:Off,pause:!f,section:0,value:0),time:(from:'2017-03-06T08:06:26-0700',mode:absolute,to:'2017-03-06T10:53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K9" s="210">
        <f t="shared" si="2"/>
        <v>42800.696527777778</v>
      </c>
      <c r="L9" s="210" t="str">
        <f>E9&amp;"-"&amp;IF(DAY(Variables!$A$2)&lt;10,0,"")&amp;DAY(Variables!$A$2)</f>
        <v>138-06</v>
      </c>
      <c r="M9" s="206">
        <f>IF(VLOOKUP(L9,'Train Runs'!$A$12:$B$999,1,TRUE)=L9,VLOOKUP(L9,'Train Runs'!$A$12:$B$999,2,TRUE),NA())</f>
        <v>4017</v>
      </c>
      <c r="N9" s="206">
        <f>VLOOKUP(C9,Variables!$T$2:$X$99,2,FALSE)</f>
        <v>167</v>
      </c>
      <c r="O9" s="206">
        <f>VLOOKUP(C9,Variables!$T$2:$X$99,3,FALSE)</f>
        <v>168</v>
      </c>
      <c r="P9" s="206">
        <f>VLOOKUP(C9,Variables!$T$2:$X$99,4,FALSE)</f>
        <v>199</v>
      </c>
      <c r="Q9" s="206">
        <f>VLOOKUP(C9,Variables!$T$2:$X$99,5,FALSE)</f>
        <v>200</v>
      </c>
      <c r="R9" s="205" t="str">
        <f t="shared" si="3"/>
        <v>(\|PRM\|1\|D)|(crossing.((167)|(168)|(199)|(200)))</v>
      </c>
    </row>
    <row r="10" spans="1:18" x14ac:dyDescent="0.25">
      <c r="A10" s="201">
        <v>42800.415972222225</v>
      </c>
      <c r="B10" s="201"/>
      <c r="C10" s="208" t="s">
        <v>1012</v>
      </c>
      <c r="D10" s="198" t="s">
        <v>1014</v>
      </c>
      <c r="E10" s="212">
        <f t="shared" si="4"/>
        <v>140</v>
      </c>
      <c r="F10" s="30" t="s">
        <v>1016</v>
      </c>
      <c r="G10" s="212" t="b">
        <v>1</v>
      </c>
      <c r="H10" s="216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I10" s="218" t="str">
        <f t="shared" si="1"/>
        <v>grep -hSE " 16:.+((\|PRM\|1\|D)|(crossing.((167)|(168)|(199)|(200))))" "%USERPROFILE%\AppData\Local\Temp\OnboardLogs"\RTDC4001\*4001*201703061*</v>
      </c>
      <c r="J10" s="214" t="str">
        <f>IF(VLOOKUP(L10,'Train Runs'!$A$13:$V$999,1,TRUE)=L10,VLOOKUP(L10,'Train Runs'!$A$13:$V$999,22,TRUE),NA())</f>
        <v>https://d0f6bd738d7f1b3e5a7ca70fe4ff75f0.us-east-1.aws.found.io/app/kibana#/discover/Steve-Slow-Train-Analysis-(2080s-and-2083s)?_g=(refreshInterval:(display:Off,pause:!f,section:0,value:0),time:(from:'2017-03-06T08:08:10-0700',mode:absolute,to:'2017-03-06T11:07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K10" s="210">
        <f t="shared" si="2"/>
        <v>42800.707638888889</v>
      </c>
      <c r="L10" s="210" t="str">
        <f>E10&amp;"-"&amp;IF(DAY(Variables!$A$2)&lt;10,0,"")&amp;DAY(Variables!$A$2)</f>
        <v>140-06</v>
      </c>
      <c r="M10" s="206">
        <f>IF(VLOOKUP(L10,'Train Runs'!$A$12:$B$999,1,TRUE)=L10,VLOOKUP(L10,'Train Runs'!$A$12:$B$999,2,TRUE),NA())</f>
        <v>4001</v>
      </c>
      <c r="N10" s="206">
        <f>VLOOKUP(C10,Variables!$T$2:$X$99,2,FALSE)</f>
        <v>167</v>
      </c>
      <c r="O10" s="206">
        <f>VLOOKUP(C10,Variables!$T$2:$X$99,3,FALSE)</f>
        <v>168</v>
      </c>
      <c r="P10" s="206">
        <f>VLOOKUP(C10,Variables!$T$2:$X$99,4,FALSE)</f>
        <v>199</v>
      </c>
      <c r="Q10" s="206">
        <f>VLOOKUP(C10,Variables!$T$2:$X$99,5,FALSE)</f>
        <v>200</v>
      </c>
      <c r="R10" s="205" t="str">
        <f t="shared" si="3"/>
        <v>(\|PRM\|1\|D)|(crossing.((167)|(168)|(199)|(200)))</v>
      </c>
    </row>
    <row r="11" spans="1:18" x14ac:dyDescent="0.25">
      <c r="A11" s="201">
        <v>42800.425000000003</v>
      </c>
      <c r="B11" s="201"/>
      <c r="C11" s="208" t="s">
        <v>1012</v>
      </c>
      <c r="D11" s="198" t="s">
        <v>1014</v>
      </c>
      <c r="E11" s="212">
        <f t="shared" si="4"/>
        <v>142</v>
      </c>
      <c r="F11" s="30" t="s">
        <v>1016</v>
      </c>
      <c r="G11" s="212" t="b">
        <v>1</v>
      </c>
      <c r="H11" s="216" t="str">
        <f t="shared" si="0"/>
        <v>"C:\Program Files (x86)\AstroGrep\AstroGrep.exe" /e /r /s /spath="%USERPROFILE%\AppData\Local\Temp\OnboardLogs" /stypes="*4021*201703061*" /stext=" 17:.+((SYSTEM_STATE.+slice.+state.+changed )|(ment ac)|(multiple cpu faults)|(system.+state.+changed )|(\[timeout)|(PRM\|1\|D)|(kpr)|(kdp)|(\|lc)|(penalty)|(\|PRM\|1\|D)|(crossing.((167)|(168)|(199)|(200))))"</v>
      </c>
      <c r="I11" s="218" t="str">
        <f t="shared" si="1"/>
        <v>grep -hSE " 17:.+((\|PRM\|1\|D)|(crossing.((167)|(168)|(199)|(200))))" "%USERPROFILE%\AppData\Local\Temp\OnboardLogs"\RTDC4021\*4021*201703061*</v>
      </c>
      <c r="J11" s="214" t="str">
        <f>IF(VLOOKUP(L11,'Train Runs'!$A$13:$V$999,1,TRUE)=L11,VLOOKUP(L11,'Train Runs'!$A$13:$V$999,22,TRUE),NA())</f>
        <v>https://d0f6bd738d7f1b3e5a7ca70fe4ff75f0.us-east-1.aws.found.io/app/kibana#/discover/Steve-Slow-Train-Analysis-(2080s-and-2083s)?_g=(refreshInterval:(display:Off,pause:!f,section:0,value:0),time:(from:'2017-03-06T08:22:58-0700',mode:absolute,to:'2017-03-06T11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K11" s="210">
        <f t="shared" si="2"/>
        <v>42800.716666666667</v>
      </c>
      <c r="L11" s="210" t="str">
        <f>E11&amp;"-"&amp;IF(DAY(Variables!$A$2)&lt;10,0,"")&amp;DAY(Variables!$A$2)</f>
        <v>142-06</v>
      </c>
      <c r="M11" s="206">
        <f>IF(VLOOKUP(L11,'Train Runs'!$A$12:$B$999,1,TRUE)=L11,VLOOKUP(L11,'Train Runs'!$A$12:$B$999,2,TRUE),NA())</f>
        <v>4021</v>
      </c>
      <c r="N11" s="206">
        <f>VLOOKUP(C11,Variables!$T$2:$X$99,2,FALSE)</f>
        <v>167</v>
      </c>
      <c r="O11" s="206">
        <f>VLOOKUP(C11,Variables!$T$2:$X$99,3,FALSE)</f>
        <v>168</v>
      </c>
      <c r="P11" s="206">
        <f>VLOOKUP(C11,Variables!$T$2:$X$99,4,FALSE)</f>
        <v>199</v>
      </c>
      <c r="Q11" s="206">
        <f>VLOOKUP(C11,Variables!$T$2:$X$99,5,FALSE)</f>
        <v>200</v>
      </c>
      <c r="R11" s="205" t="str">
        <f t="shared" si="3"/>
        <v>(\|PRM\|1\|D)|(crossing.((167)|(168)|(199)|(200)))</v>
      </c>
    </row>
    <row r="12" spans="1:18" x14ac:dyDescent="0.25">
      <c r="A12" s="201">
        <v>42800.435416666667</v>
      </c>
      <c r="B12" s="201"/>
      <c r="C12" s="208" t="s">
        <v>1012</v>
      </c>
      <c r="D12" s="198" t="s">
        <v>1014</v>
      </c>
      <c r="E12" s="212">
        <v>144</v>
      </c>
      <c r="F12" s="30" t="s">
        <v>1016</v>
      </c>
      <c r="G12" s="212" t="b">
        <v>1</v>
      </c>
      <c r="H12" s="216" t="str">
        <f t="shared" si="0"/>
        <v>"C:\Program Files (x86)\AstroGrep\AstroGrep.exe" /e /r /s /spath="%USERPROFILE%\AppData\Local\Temp\OnboardLogs" /stypes="*4004*201703061*" /stext=" 17:.+((SYSTEM_STATE.+slice.+state.+changed )|(ment ac)|(multiple cpu faults)|(system.+state.+changed )|(\[timeout)|(PRM\|1\|D)|(kpr)|(kdp)|(\|lc)|(penalty)|(\|PRM\|1\|D)|(crossing.((167)|(168)|(199)|(200))))"</v>
      </c>
      <c r="I12" s="218" t="str">
        <f t="shared" si="1"/>
        <v>grep -hSE " 17:.+((\|PRM\|1\|D)|(crossing.((167)|(168)|(199)|(200))))" "%USERPROFILE%\AppData\Local\Temp\OnboardLogs"\RTDC4004\*4004*201703061*</v>
      </c>
      <c r="J12" s="214" t="str">
        <f>IF(VLOOKUP(L12,'Train Runs'!$A$13:$V$999,1,TRUE)=L12,VLOOKUP(L12,'Train Runs'!$A$13:$V$999,22,TRUE),NA())</f>
        <v>https://d0f6bd738d7f1b3e5a7ca70fe4ff75f0.us-east-1.aws.found.io/app/kibana#/discover/Steve-Slow-Train-Analysis-(2080s-and-2083s)?_g=(refreshInterval:(display:Off,pause:!f,section:0,value:0),time:(from:'2017-03-06T08:49:00-0700',mode:absolute,to:'2017-03-06T11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12" s="210">
        <f t="shared" si="2"/>
        <v>42800.727083333331</v>
      </c>
      <c r="L12" s="210" t="str">
        <f>E12&amp;"-"&amp;IF(DAY(Variables!$A$2)&lt;10,0,"")&amp;DAY(Variables!$A$2)</f>
        <v>144-06</v>
      </c>
      <c r="M12" s="206">
        <f>IF(VLOOKUP(L12,'Train Runs'!$A$12:$B$999,1,TRUE)=L12,VLOOKUP(L12,'Train Runs'!$A$12:$B$999,2,TRUE),NA())</f>
        <v>4004</v>
      </c>
      <c r="N12" s="206">
        <f>VLOOKUP(C12,Variables!$T$2:$X$99,2,FALSE)</f>
        <v>167</v>
      </c>
      <c r="O12" s="206">
        <f>VLOOKUP(C12,Variables!$T$2:$X$99,3,FALSE)</f>
        <v>168</v>
      </c>
      <c r="P12" s="206">
        <f>VLOOKUP(C12,Variables!$T$2:$X$99,4,FALSE)</f>
        <v>199</v>
      </c>
      <c r="Q12" s="206">
        <f>VLOOKUP(C12,Variables!$T$2:$X$99,5,FALSE)</f>
        <v>200</v>
      </c>
      <c r="R12" s="205" t="str">
        <f t="shared" si="3"/>
        <v>(\|PRM\|1\|D)|(crossing.((167)|(168)|(199)|(200)))</v>
      </c>
    </row>
    <row r="13" spans="1:18" x14ac:dyDescent="0.25">
      <c r="A13" s="201">
        <v>42800.445833333331</v>
      </c>
      <c r="B13" s="201"/>
      <c r="C13" s="208" t="s">
        <v>1012</v>
      </c>
      <c r="D13" s="198" t="s">
        <v>1014</v>
      </c>
      <c r="E13" s="212">
        <v>146</v>
      </c>
      <c r="F13" s="30" t="s">
        <v>1016</v>
      </c>
      <c r="G13" s="212" t="b">
        <v>1</v>
      </c>
      <c r="H13" s="216" t="str">
        <f t="shared" si="0"/>
        <v>"C:\Program Files (x86)\AstroGrep\AstroGrep.exe" /e /r /s /spath="%USERPROFILE%\AppData\Local\Temp\OnboardLogs" /stypes="*4045*201703061*" /stext=" 17:.+((SYSTEM_STATE.+slice.+state.+changed )|(ment ac)|(multiple cpu faults)|(system.+state.+changed )|(\[timeout)|(PRM\|1\|D)|(kpr)|(kdp)|(\|lc)|(penalty)|(\|PRM\|1\|D)|(crossing.((167)|(168)|(199)|(200))))"</v>
      </c>
      <c r="I13" s="218" t="str">
        <f t="shared" si="1"/>
        <v>grep -hSE " 17:.+((\|PRM\|1\|D)|(crossing.((167)|(168)|(199)|(200))))" "%USERPROFILE%\AppData\Local\Temp\OnboardLogs"\RTDC4045\*4045*201703061*</v>
      </c>
      <c r="J13" s="214" t="str">
        <f>IF(VLOOKUP(L13,'Train Runs'!$A$13:$V$999,1,TRUE)=L13,VLOOKUP(L13,'Train Runs'!$A$13:$V$999,22,TRUE),NA())</f>
        <v>https://d0f6bd738d7f1b3e5a7ca70fe4ff75f0.us-east-1.aws.found.io/app/kibana#/discover/Steve-Slow-Train-Analysis-(2080s-and-2083s)?_g=(refreshInterval:(display:Off,pause:!f,section:0,value:0),time:(from:'2017-03-06T08:59:18-0700',mode:absolute,to:'2017-03-06T11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K13" s="210">
        <f t="shared" si="2"/>
        <v>42800.737499999996</v>
      </c>
      <c r="L13" s="210" t="str">
        <f>E13&amp;"-"&amp;IF(DAY(Variables!$A$2)&lt;10,0,"")&amp;DAY(Variables!$A$2)</f>
        <v>146-06</v>
      </c>
      <c r="M13" s="206">
        <f>IF(VLOOKUP(L13,'Train Runs'!$A$12:$B$999,1,TRUE)=L13,VLOOKUP(L13,'Train Runs'!$A$12:$B$999,2,TRUE),NA())</f>
        <v>4045</v>
      </c>
      <c r="N13" s="206">
        <f>VLOOKUP(C13,Variables!$T$2:$X$99,2,FALSE)</f>
        <v>167</v>
      </c>
      <c r="O13" s="206">
        <f>VLOOKUP(C13,Variables!$T$2:$X$99,3,FALSE)</f>
        <v>168</v>
      </c>
      <c r="P13" s="206">
        <f>VLOOKUP(C13,Variables!$T$2:$X$99,4,FALSE)</f>
        <v>199</v>
      </c>
      <c r="Q13" s="206">
        <f>VLOOKUP(C13,Variables!$T$2:$X$99,5,FALSE)</f>
        <v>200</v>
      </c>
      <c r="R13" s="205" t="str">
        <f t="shared" si="3"/>
        <v>(\|PRM\|1\|D)|(crossing.((167)|(168)|(199)|(200)))</v>
      </c>
    </row>
    <row r="14" spans="1:18" x14ac:dyDescent="0.25">
      <c r="A14" s="201">
        <v>42800.456944444442</v>
      </c>
      <c r="B14" s="201"/>
      <c r="C14" s="208" t="s">
        <v>1012</v>
      </c>
      <c r="D14" s="198" t="s">
        <v>1014</v>
      </c>
      <c r="E14" s="212">
        <v>148</v>
      </c>
      <c r="F14" s="30" t="s">
        <v>1020</v>
      </c>
      <c r="G14" s="212" t="b">
        <v>1</v>
      </c>
      <c r="H14" s="216" t="str">
        <f t="shared" si="0"/>
        <v>"C:\Program Files (x86)\AstroGrep\AstroGrep.exe" /e /r /s /spath="%USERPROFILE%\AppData\Local\Temp\OnboardLogs" /stypes="*4019*201703061*" /stext=" 17:.+((SYSTEM_STATE.+slice.+state.+changed )|(ment ac)|(multiple cpu faults)|(system.+state.+changed )|(\[timeout)|(PRM\|1\|D)|(kpr)|(kdp)|(\|lc)|(penalty)|(\|PRM\|1\|D)|(crossing.((167)|(168)|(199)|(200))))"</v>
      </c>
      <c r="I14" s="218" t="str">
        <f t="shared" si="1"/>
        <v>grep -hSE " 17:.+((\|PRM\|1\|D)|(crossing.((167)|(168)|(199)|(200))))" "%USERPROFILE%\AppData\Local\Temp\OnboardLogs"\RTDC4019\*4019*201703061*</v>
      </c>
      <c r="J14" s="214" t="str">
        <f>IF(VLOOKUP(L14,'Train Runs'!$A$13:$V$999,1,TRUE)=L14,VLOOKUP(L14,'Train Runs'!$A$13:$V$999,22,TRUE),NA())</f>
        <v>https://d0f6bd738d7f1b3e5a7ca70fe4ff75f0.us-east-1.aws.found.io/app/kibana#/discover/Steve-Slow-Train-Analysis-(2080s-and-2083s)?_g=(refreshInterval:(display:Off,pause:!f,section:0,value:0),time:(from:'2017-03-06T09:22:53-0700',mode:absolute,to:'2017-03-06T12:08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K14" s="210">
        <f t="shared" si="2"/>
        <v>42800.748611111107</v>
      </c>
      <c r="L14" s="210" t="str">
        <f>E14&amp;"-"&amp;IF(DAY(Variables!$A$2)&lt;10,0,"")&amp;DAY(Variables!$A$2)</f>
        <v>148-06</v>
      </c>
      <c r="M14" s="206">
        <f>IF(VLOOKUP(L14,'Train Runs'!$A$12:$B$999,1,TRUE)=L14,VLOOKUP(L14,'Train Runs'!$A$12:$B$999,2,TRUE),NA())</f>
        <v>4019</v>
      </c>
      <c r="N14" s="206">
        <f>VLOOKUP(C14,Variables!$T$2:$X$99,2,FALSE)</f>
        <v>167</v>
      </c>
      <c r="O14" s="206">
        <f>VLOOKUP(C14,Variables!$T$2:$X$99,3,FALSE)</f>
        <v>168</v>
      </c>
      <c r="P14" s="206">
        <f>VLOOKUP(C14,Variables!$T$2:$X$99,4,FALSE)</f>
        <v>199</v>
      </c>
      <c r="Q14" s="206">
        <f>VLOOKUP(C14,Variables!$T$2:$X$99,5,FALSE)</f>
        <v>200</v>
      </c>
      <c r="R14" s="205" t="str">
        <f t="shared" si="3"/>
        <v>(\|PRM\|1\|D)|(crossing.((167)|(168)|(199)|(200)))</v>
      </c>
    </row>
    <row r="15" spans="1:18" x14ac:dyDescent="0.25">
      <c r="A15" s="201">
        <v>42800.614583333336</v>
      </c>
      <c r="B15" s="201"/>
      <c r="C15" s="208" t="s">
        <v>1012</v>
      </c>
      <c r="D15" s="198" t="s">
        <v>1014</v>
      </c>
      <c r="E15" s="212">
        <v>178</v>
      </c>
      <c r="F15" s="30" t="s">
        <v>1021</v>
      </c>
      <c r="G15" s="212" t="b">
        <v>1</v>
      </c>
      <c r="H15" s="216" t="str">
        <f t="shared" si="0"/>
        <v>"C:\Program Files (x86)\AstroGrep\AstroGrep.exe" /e /r /s /spath="%USERPROFILE%\AppData\Local\Temp\OnboardLogs" /stypes="*4054*201703062*" /stext=" 21:.+((SYSTEM_STATE.+slice.+state.+changed )|(ment ac)|(multiple cpu faults)|(system.+state.+changed )|(\[timeout)|(PRM\|1\|D)|(kpr)|(kdp)|(\|lc)|(penalty)|(\|PRM\|1\|D)|(crossing.((167)|(168)|(199)|(200))))"</v>
      </c>
      <c r="I15" s="218" t="str">
        <f t="shared" si="1"/>
        <v>grep -hSE " 21:.+((\|PRM\|1\|D)|(crossing.((167)|(168)|(199)|(200))))" "%USERPROFILE%\AppData\Local\Temp\OnboardLogs"\RTDC4054\*4054*201703062*</v>
      </c>
      <c r="J15" s="214" t="str">
        <f>IF(VLOOKUP(L15,'Train Runs'!$A$13:$V$999,1,TRUE)=L15,VLOOKUP(L15,'Train Runs'!$A$13:$V$999,22,TRUE),NA())</f>
        <v>https://d0f6bd738d7f1b3e5a7ca70fe4ff75f0.us-east-1.aws.found.io/app/kibana#/discover/Steve-Slow-Train-Analysis-(2080s-and-2083s)?_g=(refreshInterval:(display:Off,pause:!f,section:0,value:0),time:(from:'2017-03-06T13:03:42-0700',mode:absolute,to:'2017-03-06T15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K15" s="210">
        <f t="shared" si="2"/>
        <v>42800.90625</v>
      </c>
      <c r="L15" s="210" t="str">
        <f>E15&amp;"-"&amp;IF(DAY(Variables!$A$2)&lt;10,0,"")&amp;DAY(Variables!$A$2)</f>
        <v>178-06</v>
      </c>
      <c r="M15" s="206">
        <f>IF(VLOOKUP(L15,'Train Runs'!$A$12:$B$999,1,TRUE)=L15,VLOOKUP(L15,'Train Runs'!$A$12:$B$999,2,TRUE),NA())</f>
        <v>4054</v>
      </c>
      <c r="N15" s="206">
        <f>VLOOKUP(C15,Variables!$T$2:$X$99,2,FALSE)</f>
        <v>167</v>
      </c>
      <c r="O15" s="206">
        <f>VLOOKUP(C15,Variables!$T$2:$X$99,3,FALSE)</f>
        <v>168</v>
      </c>
      <c r="P15" s="206">
        <f>VLOOKUP(C15,Variables!$T$2:$X$99,4,FALSE)</f>
        <v>199</v>
      </c>
      <c r="Q15" s="206">
        <f>VLOOKUP(C15,Variables!$T$2:$X$99,5,FALSE)</f>
        <v>200</v>
      </c>
      <c r="R15" s="205" t="str">
        <f t="shared" si="3"/>
        <v>(\|PRM\|1\|D)|(crossing.((167)|(168)|(199)|(200)))</v>
      </c>
    </row>
    <row r="16" spans="1:18" x14ac:dyDescent="0.25">
      <c r="A16" s="201">
        <v>42800.699305555558</v>
      </c>
      <c r="B16" s="201"/>
      <c r="C16" s="208" t="s">
        <v>1012</v>
      </c>
      <c r="D16" s="198" t="s">
        <v>1014</v>
      </c>
      <c r="E16" s="212">
        <v>194</v>
      </c>
      <c r="F16" s="30" t="s">
        <v>1021</v>
      </c>
      <c r="G16" s="212" t="b">
        <v>1</v>
      </c>
      <c r="H16" s="216" t="str">
        <f t="shared" si="0"/>
        <v>"C:\Program Files (x86)\AstroGrep\AstroGrep.exe" /e /r /s /spath="%USERPROFILE%\AppData\Local\Temp\OnboardLogs" /stypes="*4017*201703062*" /stext=" 23:.+((SYSTEM_STATE.+slice.+state.+changed )|(ment ac)|(multiple cpu faults)|(system.+state.+changed )|(\[timeout)|(PRM\|1\|D)|(kpr)|(kdp)|(\|lc)|(penalty)|(\|PRM\|1\|D)|(crossing.((167)|(168)|(199)|(200))))"</v>
      </c>
      <c r="I16" s="218" t="str">
        <f t="shared" si="1"/>
        <v>grep -hSE " 23:.+((\|PRM\|1\|D)|(crossing.((167)|(168)|(199)|(200))))" "%USERPROFILE%\AppData\Local\Temp\OnboardLogs"\RTDC4017\*4017*201703062*</v>
      </c>
      <c r="J16" s="214" t="str">
        <f>IF(VLOOKUP(L16,'Train Runs'!$A$13:$V$999,1,TRUE)=L16,VLOOKUP(L16,'Train Runs'!$A$13:$V$999,22,TRUE),NA())</f>
        <v>https://d0f6bd738d7f1b3e5a7ca70fe4ff75f0.us-east-1.aws.found.io/app/kibana#/discover/Steve-Slow-Train-Analysis-(2080s-and-2083s)?_g=(refreshInterval:(display:Off,pause:!f,section:0,value:0),time:(from:'2017-03-06T15:01:11-0700',mode:absolute,to:'2017-03-06T17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K16" s="210">
        <f t="shared" si="2"/>
        <v>42800.990972222222</v>
      </c>
      <c r="L16" s="210" t="str">
        <f>E16&amp;"-"&amp;IF(DAY(Variables!$A$2)&lt;10,0,"")&amp;DAY(Variables!$A$2)</f>
        <v>194-06</v>
      </c>
      <c r="M16" s="206">
        <f>IF(VLOOKUP(L16,'Train Runs'!$A$12:$B$999,1,TRUE)=L16,VLOOKUP(L16,'Train Runs'!$A$12:$B$999,2,TRUE),NA())</f>
        <v>4017</v>
      </c>
      <c r="N16" s="206">
        <f>VLOOKUP(C16,Variables!$T$2:$X$99,2,FALSE)</f>
        <v>167</v>
      </c>
      <c r="O16" s="206">
        <f>VLOOKUP(C16,Variables!$T$2:$X$99,3,FALSE)</f>
        <v>168</v>
      </c>
      <c r="P16" s="206">
        <f>VLOOKUP(C16,Variables!$T$2:$X$99,4,FALSE)</f>
        <v>199</v>
      </c>
      <c r="Q16" s="206">
        <f>VLOOKUP(C16,Variables!$T$2:$X$99,5,FALSE)</f>
        <v>200</v>
      </c>
      <c r="R16" s="205" t="str">
        <f t="shared" si="3"/>
        <v>(\|PRM\|1\|D)|(crossing.((167)|(168)|(199)|(200)))</v>
      </c>
    </row>
    <row r="17" spans="1:18" x14ac:dyDescent="0.25">
      <c r="A17" s="201">
        <v>42800.771527777775</v>
      </c>
      <c r="B17" s="201"/>
      <c r="C17" s="208" t="s">
        <v>1012</v>
      </c>
      <c r="D17" s="198" t="s">
        <v>1014</v>
      </c>
      <c r="E17" s="212">
        <v>206</v>
      </c>
      <c r="F17" s="30" t="s">
        <v>1016</v>
      </c>
      <c r="G17" s="212" t="b">
        <v>1</v>
      </c>
      <c r="H17" s="216" t="str">
        <f t="shared" si="0"/>
        <v>"C:\Program Files (x86)\AstroGrep\AstroGrep.exe" /e /r /s /spath="%USERPROFILE%\AppData\Local\Temp\OnboardLogs" /stypes="*4054*201703070*" /stext=" 01:.+((SYSTEM_STATE.+slice.+state.+changed )|(ment ac)|(multiple cpu faults)|(system.+state.+changed )|(\[timeout)|(PRM\|1\|D)|(kpr)|(kdp)|(\|lc)|(penalty)|(\|PRM\|1\|D)|(crossing.((167)|(168)|(199)|(200))))"</v>
      </c>
      <c r="I17" s="218" t="str">
        <f t="shared" si="1"/>
        <v>grep -hSE " 01:.+((\|PRM\|1\|D)|(crossing.((167)|(168)|(199)|(200))))" "%USERPROFILE%\AppData\Local\Temp\OnboardLogs"\RTDC4054\*4054*201703070*</v>
      </c>
      <c r="J17" s="214" t="str">
        <f>IF(VLOOKUP(L17,'Train Runs'!$A$13:$V$999,1,TRUE)=L17,VLOOKUP(L17,'Train Runs'!$A$13:$V$999,22,TRUE),NA())</f>
        <v>https://d0f6bd738d7f1b3e5a7ca70fe4ff75f0.us-east-1.aws.found.io/app/kibana#/discover/Steve-Slow-Train-Analysis-(2080s-and-2083s)?_g=(refreshInterval:(display:Off,pause:!f,section:0,value:0),time:(from:'2017-03-06T16:41:44-0700',mode:absolute,to:'2017-03-06T19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K17" s="210">
        <f t="shared" si="2"/>
        <v>42801.063194444439</v>
      </c>
      <c r="L17" s="210" t="str">
        <f>E17&amp;"-"&amp;IF(DAY(Variables!$A$2)&lt;10,0,"")&amp;DAY(Variables!$A$2)</f>
        <v>206-06</v>
      </c>
      <c r="M17" s="206">
        <f>IF(VLOOKUP(L17,'Train Runs'!$A$12:$B$999,1,TRUE)=L17,VLOOKUP(L17,'Train Runs'!$A$12:$B$999,2,TRUE),NA())</f>
        <v>4054</v>
      </c>
      <c r="N17" s="206">
        <f>VLOOKUP(C17,Variables!$T$2:$X$99,2,FALSE)</f>
        <v>167</v>
      </c>
      <c r="O17" s="206">
        <f>VLOOKUP(C17,Variables!$T$2:$X$99,3,FALSE)</f>
        <v>168</v>
      </c>
      <c r="P17" s="206">
        <f>VLOOKUP(C17,Variables!$T$2:$X$99,4,FALSE)</f>
        <v>199</v>
      </c>
      <c r="Q17" s="206">
        <f>VLOOKUP(C17,Variables!$T$2:$X$99,5,FALSE)</f>
        <v>200</v>
      </c>
      <c r="R17" s="205" t="str">
        <f t="shared" si="3"/>
        <v>(\|PRM\|1\|D)|(crossing.((167)|(168)|(199)|(200)))</v>
      </c>
    </row>
    <row r="18" spans="1:18" x14ac:dyDescent="0.25">
      <c r="A18" s="201">
        <v>42800.784722222219</v>
      </c>
      <c r="B18" s="201"/>
      <c r="C18" s="208" t="s">
        <v>1012</v>
      </c>
      <c r="D18" s="198" t="s">
        <v>1014</v>
      </c>
      <c r="E18" s="212">
        <v>210</v>
      </c>
      <c r="F18" s="30" t="s">
        <v>1016</v>
      </c>
      <c r="G18" s="212" t="b">
        <v>1</v>
      </c>
      <c r="H18" s="216" t="str">
        <f t="shared" si="0"/>
        <v>"C:\Program Files (x86)\AstroGrep\AstroGrep.exe" /e /r /s /spath="%USERPROFILE%\AppData\Local\Temp\OnboardLogs" /stypes="*4010*201703070*" /stext=" 01:.+((SYSTEM_STATE.+slice.+state.+changed )|(ment ac)|(multiple cpu faults)|(system.+state.+changed )|(\[timeout)|(PRM\|1\|D)|(kpr)|(kdp)|(\|lc)|(penalty)|(\|PRM\|1\|D)|(crossing.((167)|(168)|(199)|(200))))"</v>
      </c>
      <c r="I18" s="218" t="str">
        <f t="shared" si="1"/>
        <v>grep -hSE " 01:.+((\|PRM\|1\|D)|(crossing.((167)|(168)|(199)|(200))))" "%USERPROFILE%\AppData\Local\Temp\OnboardLogs"\RTDC4010\*4010*201703070*</v>
      </c>
      <c r="J18" s="214" t="str">
        <f>IF(VLOOKUP(L18,'Train Runs'!$A$13:$V$999,1,TRUE)=L18,VLOOKUP(L18,'Train Runs'!$A$13:$V$999,22,TRUE),NA())</f>
        <v>https://d0f6bd738d7f1b3e5a7ca70fe4ff75f0.us-east-1.aws.found.io/app/kibana#/discover/Steve-Slow-Train-Analysis-(2080s-and-2083s)?_g=(refreshInterval:(display:Off,pause:!f,section:0,value:0),time:(from:'2017-03-06T17:05:08-0700',mode:absolute,to:'2017-03-06T20:02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K18" s="210">
        <f t="shared" si="2"/>
        <v>42801.076388888883</v>
      </c>
      <c r="L18" s="210" t="str">
        <f>E18&amp;"-"&amp;IF(DAY(Variables!$A$2)&lt;10,0,"")&amp;DAY(Variables!$A$2)</f>
        <v>210-06</v>
      </c>
      <c r="M18" s="206">
        <f>IF(VLOOKUP(L18,'Train Runs'!$A$12:$B$999,1,TRUE)=L18,VLOOKUP(L18,'Train Runs'!$A$12:$B$999,2,TRUE),NA())</f>
        <v>4010</v>
      </c>
      <c r="N18" s="206">
        <f>VLOOKUP(C18,Variables!$T$2:$X$99,2,FALSE)</f>
        <v>167</v>
      </c>
      <c r="O18" s="206">
        <f>VLOOKUP(C18,Variables!$T$2:$X$99,3,FALSE)</f>
        <v>168</v>
      </c>
      <c r="P18" s="206">
        <f>VLOOKUP(C18,Variables!$T$2:$X$99,4,FALSE)</f>
        <v>199</v>
      </c>
      <c r="Q18" s="206">
        <f>VLOOKUP(C18,Variables!$T$2:$X$99,5,FALSE)</f>
        <v>200</v>
      </c>
      <c r="R18" s="205" t="str">
        <f t="shared" si="3"/>
        <v>(\|PRM\|1\|D)|(crossing.((167)|(168)|(199)|(200)))</v>
      </c>
    </row>
    <row r="19" spans="1:18" x14ac:dyDescent="0.25">
      <c r="A19" s="201">
        <v>42800.790277777778</v>
      </c>
      <c r="B19" s="201"/>
      <c r="C19" s="208" t="s">
        <v>1012</v>
      </c>
      <c r="D19" s="198" t="s">
        <v>1014</v>
      </c>
      <c r="E19" s="212">
        <f>E18+2</f>
        <v>212</v>
      </c>
      <c r="F19" s="30" t="s">
        <v>1016</v>
      </c>
      <c r="G19" s="212" t="b">
        <v>1</v>
      </c>
      <c r="H19" s="216" t="str">
        <f t="shared" si="0"/>
        <v>"C:\Program Files (x86)\AstroGrep\AstroGrep.exe" /e /r /s /spath="%USERPROFILE%\AppData\Local\Temp\OnboardLogs" /stypes="*4021*201703070*" /stext=" 01:.+((SYSTEM_STATE.+slice.+state.+changed )|(ment ac)|(multiple cpu faults)|(system.+state.+changed )|(\[timeout)|(PRM\|1\|D)|(kpr)|(kdp)|(\|lc)|(penalty)|(\|PRM\|1\|D)|(crossing.((167)|(168)|(199)|(200))))"</v>
      </c>
      <c r="I19" s="218" t="str">
        <f t="shared" si="1"/>
        <v>grep -hSE " 01:.+((\|PRM\|1\|D)|(crossing.((167)|(168)|(199)|(200))))" "%USERPROFILE%\AppData\Local\Temp\OnboardLogs"\RTDC4021\*4021*201703070*</v>
      </c>
      <c r="J19" s="214" t="str">
        <f>IF(VLOOKUP(L19,'Train Runs'!$A$13:$V$999,1,TRUE)=L19,VLOOKUP(L19,'Train Runs'!$A$13:$V$999,22,TRUE),NA())</f>
        <v>https://d0f6bd738d7f1b3e5a7ca70fe4ff75f0.us-east-1.aws.found.io/app/kibana#/discover/Steve-Slow-Train-Analysis-(2080s-and-2083s)?_g=(refreshInterval:(display:Off,pause:!f,section:0,value:0),time:(from:'2017-03-06T17:19:28-0700',mode:absolute,to:'2017-03-06T20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K19" s="210">
        <f t="shared" si="2"/>
        <v>42801.081944444442</v>
      </c>
      <c r="L19" s="210" t="str">
        <f>E19&amp;"-"&amp;IF(DAY(Variables!$A$2)&lt;10,0,"")&amp;DAY(Variables!$A$2)</f>
        <v>212-06</v>
      </c>
      <c r="M19" s="206">
        <f>IF(VLOOKUP(L19,'Train Runs'!$A$12:$B$999,1,TRUE)=L19,VLOOKUP(L19,'Train Runs'!$A$12:$B$999,2,TRUE),NA())</f>
        <v>4021</v>
      </c>
      <c r="N19" s="206">
        <f>VLOOKUP(C19,Variables!$T$2:$X$99,2,FALSE)</f>
        <v>167</v>
      </c>
      <c r="O19" s="206">
        <f>VLOOKUP(C19,Variables!$T$2:$X$99,3,FALSE)</f>
        <v>168</v>
      </c>
      <c r="P19" s="206">
        <f>VLOOKUP(C19,Variables!$T$2:$X$99,4,FALSE)</f>
        <v>199</v>
      </c>
      <c r="Q19" s="206">
        <f>VLOOKUP(C19,Variables!$T$2:$X$99,5,FALSE)</f>
        <v>200</v>
      </c>
      <c r="R19" s="205" t="str">
        <f t="shared" si="3"/>
        <v>(\|PRM\|1\|D)|(crossing.((167)|(168)|(199)|(200)))</v>
      </c>
    </row>
    <row r="20" spans="1:18" x14ac:dyDescent="0.25">
      <c r="A20" s="201">
        <v>42800.803472222222</v>
      </c>
      <c r="B20" s="201"/>
      <c r="C20" s="208" t="s">
        <v>1012</v>
      </c>
      <c r="D20" s="198" t="s">
        <v>1014</v>
      </c>
      <c r="E20" s="212">
        <v>214</v>
      </c>
      <c r="F20" s="30" t="s">
        <v>1016</v>
      </c>
      <c r="G20" s="212" t="b">
        <v>1</v>
      </c>
      <c r="H20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I20" s="218" t="str">
        <f t="shared" si="1"/>
        <v>grep -hSE " 02:.+((\|PRM\|1\|D)|(crossing.((167)|(168)|(199)|(200))))" "%USERPROFILE%\AppData\Local\Temp\OnboardLogs"\RTDC4004\*4004*201703070*</v>
      </c>
      <c r="J20" s="214" t="str">
        <f>IF(VLOOKUP(L20,'Train Runs'!$A$13:$V$999,1,TRUE)=L20,VLOOKUP(L20,'Train Runs'!$A$13:$V$999,22,TRUE),NA())</f>
        <v>https://d0f6bd738d7f1b3e5a7ca70fe4ff75f0.us-east-1.aws.found.io/app/kibana#/discover/Steve-Slow-Train-Analysis-(2080s-and-2083s)?_g=(refreshInterval:(display:Off,pause:!f,section:0,value:0),time:(from:'2017-03-06T17:36:55-0700',mode:absolute,to:'2017-03-06T20:27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20" s="210">
        <f t="shared" si="2"/>
        <v>42801.095138888886</v>
      </c>
      <c r="L20" s="210" t="str">
        <f>E20&amp;"-"&amp;IF(DAY(Variables!$A$2)&lt;10,0,"")&amp;DAY(Variables!$A$2)</f>
        <v>214-06</v>
      </c>
      <c r="M20" s="206">
        <f>IF(VLOOKUP(L20,'Train Runs'!$A$12:$B$999,1,TRUE)=L20,VLOOKUP(L20,'Train Runs'!$A$12:$B$999,2,TRUE),NA())</f>
        <v>4004</v>
      </c>
      <c r="N20" s="206">
        <f>VLOOKUP(C20,Variables!$T$2:$X$99,2,FALSE)</f>
        <v>167</v>
      </c>
      <c r="O20" s="206">
        <f>VLOOKUP(C20,Variables!$T$2:$X$99,3,FALSE)</f>
        <v>168</v>
      </c>
      <c r="P20" s="206">
        <f>VLOOKUP(C20,Variables!$T$2:$X$99,4,FALSE)</f>
        <v>199</v>
      </c>
      <c r="Q20" s="206">
        <f>VLOOKUP(C20,Variables!$T$2:$X$99,5,FALSE)</f>
        <v>200</v>
      </c>
      <c r="R20" s="205" t="str">
        <f t="shared" si="3"/>
        <v>(\|PRM\|1\|D)|(crossing.((167)|(168)|(199)|(200)))</v>
      </c>
    </row>
    <row r="21" spans="1:18" x14ac:dyDescent="0.25">
      <c r="A21" s="201">
        <v>42800.819444444445</v>
      </c>
      <c r="B21" s="201"/>
      <c r="C21" s="208" t="s">
        <v>1012</v>
      </c>
      <c r="D21" s="198" t="s">
        <v>1014</v>
      </c>
      <c r="E21" s="212">
        <v>216</v>
      </c>
      <c r="F21" s="30" t="s">
        <v>1016</v>
      </c>
      <c r="G21" s="212" t="b">
        <v>1</v>
      </c>
      <c r="H21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I21" s="218" t="str">
        <f t="shared" si="1"/>
        <v>grep -hSE " 02:.+((\|PRM\|1\|D)|(crossing.((167)|(168)|(199)|(200))))" "%USERPROFILE%\AppData\Local\Temp\OnboardLogs"\RTDC4045\*4045*201703070*</v>
      </c>
      <c r="J21" s="214" t="str">
        <f>IF(VLOOKUP(L21,'Train Runs'!$A$13:$V$999,1,TRUE)=L21,VLOOKUP(L21,'Train Runs'!$A$13:$V$999,22,TRUE),NA())</f>
        <v>https://d0f6bd738d7f1b3e5a7ca70fe4ff75f0.us-east-1.aws.found.io/app/kibana#/discover/Steve-Slow-Train-Analysis-(2080s-and-2083s)?_g=(refreshInterval:(display:Off,pause:!f,section:0,value:0),time:(from:'2017-03-06T17:54:48-0700',mode:absolute,to:'2017-03-06T20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K21" s="210">
        <f t="shared" si="2"/>
        <v>42801.111111111109</v>
      </c>
      <c r="L21" s="210" t="str">
        <f>E21&amp;"-"&amp;IF(DAY(Variables!$A$2)&lt;10,0,"")&amp;DAY(Variables!$A$2)</f>
        <v>216-06</v>
      </c>
      <c r="M21" s="206">
        <f>IF(VLOOKUP(L21,'Train Runs'!$A$12:$B$999,1,TRUE)=L21,VLOOKUP(L21,'Train Runs'!$A$12:$B$999,2,TRUE),NA())</f>
        <v>4045</v>
      </c>
      <c r="N21" s="206">
        <f>VLOOKUP(C21,Variables!$T$2:$X$99,2,FALSE)</f>
        <v>167</v>
      </c>
      <c r="O21" s="206">
        <f>VLOOKUP(C21,Variables!$T$2:$X$99,3,FALSE)</f>
        <v>168</v>
      </c>
      <c r="P21" s="206">
        <f>VLOOKUP(C21,Variables!$T$2:$X$99,4,FALSE)</f>
        <v>199</v>
      </c>
      <c r="Q21" s="206">
        <f>VLOOKUP(C21,Variables!$T$2:$X$99,5,FALSE)</f>
        <v>200</v>
      </c>
      <c r="R21" s="205" t="str">
        <f t="shared" si="3"/>
        <v>(\|PRM\|1\|D)|(crossing.((167)|(168)|(199)|(200)))</v>
      </c>
    </row>
    <row r="22" spans="1:18" x14ac:dyDescent="0.25">
      <c r="A22" s="201">
        <v>42800.828472222223</v>
      </c>
      <c r="B22" s="201"/>
      <c r="C22" s="208" t="s">
        <v>1012</v>
      </c>
      <c r="D22" s="198" t="s">
        <v>1014</v>
      </c>
      <c r="E22" s="212">
        <f>E21+2</f>
        <v>218</v>
      </c>
      <c r="F22" s="30" t="s">
        <v>1016</v>
      </c>
      <c r="G22" s="212" t="b">
        <v>1</v>
      </c>
      <c r="H22" s="216" t="str">
        <f t="shared" si="0"/>
        <v>"C:\Program Files (x86)\AstroGrep\AstroGrep.exe" /e /r /s /spath="%USERPROFILE%\AppData\Local\Temp\OnboardLogs" /stypes="*4052*201703070*" /stext=" 02:.+((SYSTEM_STATE.+slice.+state.+changed )|(ment ac)|(multiple cpu faults)|(system.+state.+changed )|(\[timeout)|(PRM\|1\|D)|(kpr)|(kdp)|(\|lc)|(penalty)|(\|PRM\|1\|D)|(crossing.((167)|(168)|(199)|(200))))"</v>
      </c>
      <c r="I22" s="218" t="str">
        <f t="shared" si="1"/>
        <v>grep -hSE " 02:.+((\|PRM\|1\|D)|(crossing.((167)|(168)|(199)|(200))))" "%USERPROFILE%\AppData\Local\Temp\OnboardLogs"\RTDC4052\*4052*201703070*</v>
      </c>
      <c r="J22" s="214" t="str">
        <f>IF(VLOOKUP(L22,'Train Runs'!$A$13:$V$999,1,TRUE)=L22,VLOOKUP(L22,'Train Runs'!$A$13:$V$999,22,TRUE),NA())</f>
        <v>https://d0f6bd738d7f1b3e5a7ca70fe4ff75f0.us-east-1.aws.found.io/app/kibana#/discover/Steve-Slow-Train-Analysis-(2080s-and-2083s)?_g=(refreshInterval:(display:Off,pause:!f,section:0,value:0),time:(from:'2017-03-06T18:06:41-0700',mode:absolute,to:'2017-03-06T21:01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K22" s="210">
        <f t="shared" si="2"/>
        <v>42801.120138888888</v>
      </c>
      <c r="L22" s="210" t="str">
        <f>E22&amp;"-"&amp;IF(DAY(Variables!$A$2)&lt;10,0,"")&amp;DAY(Variables!$A$2)</f>
        <v>218-06</v>
      </c>
      <c r="M22" s="206">
        <f>IF(VLOOKUP(L22,'Train Runs'!$A$12:$B$999,1,TRUE)=L22,VLOOKUP(L22,'Train Runs'!$A$12:$B$999,2,TRUE),NA())</f>
        <v>4052</v>
      </c>
      <c r="N22" s="206">
        <f>VLOOKUP(C22,Variables!$T$2:$X$99,2,FALSE)</f>
        <v>167</v>
      </c>
      <c r="O22" s="206">
        <f>VLOOKUP(C22,Variables!$T$2:$X$99,3,FALSE)</f>
        <v>168</v>
      </c>
      <c r="P22" s="206">
        <f>VLOOKUP(C22,Variables!$T$2:$X$99,4,FALSE)</f>
        <v>199</v>
      </c>
      <c r="Q22" s="206">
        <f>VLOOKUP(C22,Variables!$T$2:$X$99,5,FALSE)</f>
        <v>200</v>
      </c>
      <c r="R22" s="205" t="str">
        <f t="shared" si="3"/>
        <v>(\|PRM\|1\|D)|(crossing.((167)|(168)|(199)|(200)))</v>
      </c>
    </row>
    <row r="23" spans="1:18" x14ac:dyDescent="0.25">
      <c r="A23" s="201">
        <v>42800.835416666669</v>
      </c>
      <c r="B23" s="201"/>
      <c r="C23" s="208" t="s">
        <v>1012</v>
      </c>
      <c r="D23" s="198" t="s">
        <v>1014</v>
      </c>
      <c r="E23" s="212">
        <f>E22+2</f>
        <v>220</v>
      </c>
      <c r="F23" s="30" t="s">
        <v>1016</v>
      </c>
      <c r="G23" s="212" t="b">
        <v>1</v>
      </c>
      <c r="H23" s="216" t="str">
        <f t="shared" si="0"/>
        <v>"C:\Program Files (x86)\AstroGrep\AstroGrep.exe" /e /r /s /spath="%USERPROFILE%\AppData\Local\Temp\OnboardLogs" /stypes="*4054*201703070*" /stext=" 03:.+((SYSTEM_STATE.+slice.+state.+changed )|(ment ac)|(multiple cpu faults)|(system.+state.+changed )|(\[timeout)|(PRM\|1\|D)|(kpr)|(kdp)|(\|lc)|(penalty)|(\|PRM\|1\|D)|(crossing.((167)|(168)|(199)|(200))))"</v>
      </c>
      <c r="I23" s="218" t="str">
        <f t="shared" si="1"/>
        <v>grep -hSE " 03:.+((\|PRM\|1\|D)|(crossing.((167)|(168)|(199)|(200))))" "%USERPROFILE%\AppData\Local\Temp\OnboardLogs"\RTDC4054\*4054*201703070*</v>
      </c>
      <c r="J23" s="214" t="str">
        <f>IF(VLOOKUP(L23,'Train Runs'!$A$13:$V$999,1,TRUE)=L23,VLOOKUP(L23,'Train Runs'!$A$13:$V$999,22,TRUE),NA())</f>
        <v>https://d0f6bd738d7f1b3e5a7ca70fe4ff75f0.us-east-1.aws.found.io/app/kibana#/discover/Steve-Slow-Train-Analysis-(2080s-and-2083s)?_g=(refreshInterval:(display:Off,pause:!f,section:0,value:0),time:(from:'2017-03-06T18:26:52-0700',mode:absolute,to:'2017-03-06T21:13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K23" s="210">
        <f t="shared" si="2"/>
        <v>42801.127083333333</v>
      </c>
      <c r="L23" s="210" t="str">
        <f>E23&amp;"-"&amp;IF(DAY(Variables!$A$2)&lt;10,0,"")&amp;DAY(Variables!$A$2)</f>
        <v>220-06</v>
      </c>
      <c r="M23" s="206">
        <f>IF(VLOOKUP(L23,'Train Runs'!$A$12:$B$999,1,TRUE)=L23,VLOOKUP(L23,'Train Runs'!$A$12:$B$999,2,TRUE),NA())</f>
        <v>4054</v>
      </c>
      <c r="N23" s="206">
        <f>VLOOKUP(C23,Variables!$T$2:$X$99,2,FALSE)</f>
        <v>167</v>
      </c>
      <c r="O23" s="206">
        <f>VLOOKUP(C23,Variables!$T$2:$X$99,3,FALSE)</f>
        <v>168</v>
      </c>
      <c r="P23" s="206">
        <f>VLOOKUP(C23,Variables!$T$2:$X$99,4,FALSE)</f>
        <v>199</v>
      </c>
      <c r="Q23" s="206">
        <f>VLOOKUP(C23,Variables!$T$2:$X$99,5,FALSE)</f>
        <v>200</v>
      </c>
      <c r="R23" s="205" t="str">
        <f t="shared" si="3"/>
        <v>(\|PRM\|1\|D)|(crossing.((167)|(168)|(199)|(200)))</v>
      </c>
    </row>
    <row r="24" spans="1:18" x14ac:dyDescent="0.25">
      <c r="A24" s="201">
        <v>42800.854166666664</v>
      </c>
      <c r="B24" s="201"/>
      <c r="C24" s="208" t="s">
        <v>1012</v>
      </c>
      <c r="D24" s="198" t="s">
        <v>1014</v>
      </c>
      <c r="E24" s="212">
        <f>E23+2</f>
        <v>222</v>
      </c>
      <c r="F24" s="30" t="s">
        <v>1016</v>
      </c>
      <c r="G24" s="212" t="b">
        <v>1</v>
      </c>
      <c r="H24" s="216" t="str">
        <f t="shared" si="0"/>
        <v>"C:\Program Files (x86)\AstroGrep\AstroGrep.exe" /e /r /s /spath="%USERPROFILE%\AppData\Local\Temp\OnboardLogs" /stypes="*4010*201703070*" /stext=" 03:.+((SYSTEM_STATE.+slice.+state.+changed )|(ment ac)|(multiple cpu faults)|(system.+state.+changed )|(\[timeout)|(PRM\|1\|D)|(kpr)|(kdp)|(\|lc)|(penalty)|(\|PRM\|1\|D)|(crossing.((167)|(168)|(199)|(200))))"</v>
      </c>
      <c r="I24" s="218" t="str">
        <f t="shared" si="1"/>
        <v>grep -hSE " 03:.+((\|PRM\|1\|D)|(crossing.((167)|(168)|(199)|(200))))" "%USERPROFILE%\AppData\Local\Temp\OnboardLogs"\RTDC4010\*4010*201703070*</v>
      </c>
      <c r="J24" s="214" t="str">
        <f>IF(VLOOKUP(L24,'Train Runs'!$A$13:$V$999,1,TRUE)=L24,VLOOKUP(L24,'Train Runs'!$A$13:$V$999,22,TRUE),NA())</f>
        <v>https://d0f6bd738d7f1b3e5a7ca70fe4ff75f0.us-east-1.aws.found.io/app/kibana#/discover/Steve-Slow-Train-Analysis-(2080s-and-2083s)?_g=(refreshInterval:(display:Off,pause:!f,section:0,value:0),time:(from:'2017-03-06T18:53:41-0700',mode:absolute,to:'2017-03-06T21:41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K24" s="210">
        <f t="shared" si="2"/>
        <v>42801.145833333328</v>
      </c>
      <c r="L24" s="210" t="str">
        <f>E24&amp;"-"&amp;IF(DAY(Variables!$A$2)&lt;10,0,"")&amp;DAY(Variables!$A$2)</f>
        <v>222-06</v>
      </c>
      <c r="M24" s="206">
        <f>IF(VLOOKUP(L24,'Train Runs'!$A$12:$B$999,1,TRUE)=L24,VLOOKUP(L24,'Train Runs'!$A$12:$B$999,2,TRUE),NA())</f>
        <v>4010</v>
      </c>
      <c r="N24" s="206">
        <f>VLOOKUP(C24,Variables!$T$2:$X$99,2,FALSE)</f>
        <v>167</v>
      </c>
      <c r="O24" s="206">
        <f>VLOOKUP(C24,Variables!$T$2:$X$99,3,FALSE)</f>
        <v>168</v>
      </c>
      <c r="P24" s="206">
        <f>VLOOKUP(C24,Variables!$T$2:$X$99,4,FALSE)</f>
        <v>199</v>
      </c>
      <c r="Q24" s="206">
        <f>VLOOKUP(C24,Variables!$T$2:$X$99,5,FALSE)</f>
        <v>200</v>
      </c>
      <c r="R24" s="205" t="str">
        <f t="shared" si="3"/>
        <v>(\|PRM\|1\|D)|(crossing.((167)|(168)|(199)|(200)))</v>
      </c>
    </row>
    <row r="25" spans="1:18" x14ac:dyDescent="0.25">
      <c r="A25" s="201">
        <v>42800.872916666667</v>
      </c>
      <c r="B25" s="201"/>
      <c r="C25" s="208" t="s">
        <v>1012</v>
      </c>
      <c r="D25" s="198" t="s">
        <v>1014</v>
      </c>
      <c r="E25" s="212">
        <f>E24+2</f>
        <v>224</v>
      </c>
      <c r="F25" s="30" t="s">
        <v>1016</v>
      </c>
      <c r="G25" s="212" t="b">
        <v>1</v>
      </c>
      <c r="H25" s="216" t="str">
        <f t="shared" si="0"/>
        <v>"C:\Program Files (x86)\AstroGrep\AstroGrep.exe" /e /r /s /spath="%USERPROFILE%\AppData\Local\Temp\OnboardLogs" /stypes="*4004*201703070*" /stext=" 03:.+((SYSTEM_STATE.+slice.+state.+changed )|(ment ac)|(multiple cpu faults)|(system.+state.+changed )|(\[timeout)|(PRM\|1\|D)|(kpr)|(kdp)|(\|lc)|(penalty)|(\|PRM\|1\|D)|(crossing.((167)|(168)|(199)|(200))))"</v>
      </c>
      <c r="I25" s="218" t="str">
        <f t="shared" si="1"/>
        <v>grep -hSE " 03:.+((\|PRM\|1\|D)|(crossing.((167)|(168)|(199)|(200))))" "%USERPROFILE%\AppData\Local\Temp\OnboardLogs"\RTDC4004\*4004*201703070*</v>
      </c>
      <c r="J25" s="214" t="str">
        <f>IF(VLOOKUP(L25,'Train Runs'!$A$13:$V$999,1,TRUE)=L25,VLOOKUP(L25,'Train Runs'!$A$13:$V$999,22,TRUE),NA())</f>
        <v>https://d0f6bd738d7f1b3e5a7ca70fe4ff75f0.us-east-1.aws.found.io/app/kibana#/discover/Steve-Slow-Train-Analysis-(2080s-and-2083s)?_g=(refreshInterval:(display:Off,pause:!f,section:0,value:0),time:(from:'2017-03-06T19:20:59-0700',mode:absolute,to:'2017-03-06T22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25" s="210">
        <f t="shared" si="2"/>
        <v>42801.164583333331</v>
      </c>
      <c r="L25" s="210" t="str">
        <f>E25&amp;"-"&amp;IF(DAY(Variables!$A$2)&lt;10,0,"")&amp;DAY(Variables!$A$2)</f>
        <v>224-06</v>
      </c>
      <c r="M25" s="206">
        <f>IF(VLOOKUP(L25,'Train Runs'!$A$12:$B$999,1,TRUE)=L25,VLOOKUP(L25,'Train Runs'!$A$12:$B$999,2,TRUE),NA())</f>
        <v>4004</v>
      </c>
      <c r="N25" s="206">
        <f>VLOOKUP(C25,Variables!$T$2:$X$99,2,FALSE)</f>
        <v>167</v>
      </c>
      <c r="O25" s="206">
        <f>VLOOKUP(C25,Variables!$T$2:$X$99,3,FALSE)</f>
        <v>168</v>
      </c>
      <c r="P25" s="206">
        <f>VLOOKUP(C25,Variables!$T$2:$X$99,4,FALSE)</f>
        <v>199</v>
      </c>
      <c r="Q25" s="206">
        <f>VLOOKUP(C25,Variables!$T$2:$X$99,5,FALSE)</f>
        <v>200</v>
      </c>
      <c r="R25" s="205" t="str">
        <f t="shared" si="3"/>
        <v>(\|PRM\|1\|D)|(crossing.((167)|(168)|(199)|(200)))</v>
      </c>
    </row>
    <row r="26" spans="1:18" x14ac:dyDescent="0.25">
      <c r="A26" s="201">
        <v>42800.895138888889</v>
      </c>
      <c r="B26" s="201"/>
      <c r="C26" s="208" t="s">
        <v>1012</v>
      </c>
      <c r="D26" s="198" t="s">
        <v>1014</v>
      </c>
      <c r="E26" s="212">
        <f>E25+2</f>
        <v>226</v>
      </c>
      <c r="F26" s="30" t="s">
        <v>1016</v>
      </c>
      <c r="G26" s="212" t="b">
        <v>1</v>
      </c>
      <c r="H26" s="216" t="str">
        <f t="shared" si="0"/>
        <v>"C:\Program Files (x86)\AstroGrep\AstroGrep.exe" /e /r /s /spath="%USERPROFILE%\AppData\Local\Temp\OnboardLogs" /stypes="*4052*201703070*" /stext=" 04:.+((SYSTEM_STATE.+slice.+state.+changed )|(ment ac)|(multiple cpu faults)|(system.+state.+changed )|(\[timeout)|(PRM\|1\|D)|(kpr)|(kdp)|(\|lc)|(penalty)|(\|PRM\|1\|D)|(crossing.((167)|(168)|(199)|(200))))"</v>
      </c>
      <c r="I26" s="218" t="str">
        <f t="shared" si="1"/>
        <v>grep -hSE " 04:.+((\|PRM\|1\|D)|(crossing.((167)|(168)|(199)|(200))))" "%USERPROFILE%\AppData\Local\Temp\OnboardLogs"\RTDC4052\*4052*201703070*</v>
      </c>
      <c r="J26" s="214" t="str">
        <f>IF(VLOOKUP(L26,'Train Runs'!$A$13:$V$999,1,TRUE)=L26,VLOOKUP(L26,'Train Runs'!$A$13:$V$999,22,TRUE),NA())</f>
        <v>https://d0f6bd738d7f1b3e5a7ca70fe4ff75f0.us-east-1.aws.found.io/app/kibana#/discover/Steve-Slow-Train-Analysis-(2080s-and-2083s)?_g=(refreshInterval:(display:Off,pause:!f,section:0,value:0),time:(from:'2017-03-06T19:49:11-0700',mode:absolute,to:'2017-03-06T22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K26" s="210">
        <f t="shared" si="2"/>
        <v>42801.186805555553</v>
      </c>
      <c r="L26" s="210" t="str">
        <f>E26&amp;"-"&amp;IF(DAY(Variables!$A$2)&lt;10,0,"")&amp;DAY(Variables!$A$2)</f>
        <v>226-06</v>
      </c>
      <c r="M26" s="206">
        <f>IF(VLOOKUP(L26,'Train Runs'!$A$12:$B$999,1,TRUE)=L26,VLOOKUP(L26,'Train Runs'!$A$12:$B$999,2,TRUE),NA())</f>
        <v>4052</v>
      </c>
      <c r="N26" s="206">
        <f>VLOOKUP(C26,Variables!$T$2:$X$99,2,FALSE)</f>
        <v>167</v>
      </c>
      <c r="O26" s="206">
        <f>VLOOKUP(C26,Variables!$T$2:$X$99,3,FALSE)</f>
        <v>168</v>
      </c>
      <c r="P26" s="206">
        <f>VLOOKUP(C26,Variables!$T$2:$X$99,4,FALSE)</f>
        <v>199</v>
      </c>
      <c r="Q26" s="206">
        <f>VLOOKUP(C26,Variables!$T$2:$X$99,5,FALSE)</f>
        <v>200</v>
      </c>
      <c r="R26" s="205" t="str">
        <f t="shared" si="3"/>
        <v>(\|PRM\|1\|D)|(crossing.((167)|(168)|(199)|(200)))</v>
      </c>
    </row>
    <row r="27" spans="1:18" x14ac:dyDescent="0.25">
      <c r="A27" s="201">
        <v>42800.916666666664</v>
      </c>
      <c r="B27" s="201"/>
      <c r="C27" s="208" t="s">
        <v>1012</v>
      </c>
      <c r="D27" s="198" t="s">
        <v>1014</v>
      </c>
      <c r="E27" s="212">
        <f t="shared" ref="E27:E33" si="5">E26+2</f>
        <v>228</v>
      </c>
      <c r="F27" s="30" t="s">
        <v>1016</v>
      </c>
      <c r="G27" s="212" t="b">
        <v>1</v>
      </c>
      <c r="H27" s="216" t="str">
        <f t="shared" si="0"/>
        <v>"C:\Program Files (x86)\AstroGrep\AstroGrep.exe" /e /r /s /spath="%USERPROFILE%\AppData\Local\Temp\OnboardLogs" /stypes="*4054*201703070*" /stext=" 05:.+((SYSTEM_STATE.+slice.+state.+changed )|(ment ac)|(multiple cpu faults)|(system.+state.+changed )|(\[timeout)|(PRM\|1\|D)|(kpr)|(kdp)|(\|lc)|(penalty)|(\|PRM\|1\|D)|(crossing.((167)|(168)|(199)|(200))))"</v>
      </c>
      <c r="I27" s="218" t="str">
        <f t="shared" si="1"/>
        <v>grep -hSE " 05:.+((\|PRM\|1\|D)|(crossing.((167)|(168)|(199)|(200))))" "%USERPROFILE%\AppData\Local\Temp\OnboardLogs"\RTDC4054\*4054*201703070*</v>
      </c>
      <c r="J27" s="214" t="str">
        <f>IF(VLOOKUP(L27,'Train Runs'!$A$13:$V$999,1,TRUE)=L27,VLOOKUP(L27,'Train Runs'!$A$13:$V$999,22,TRUE),NA())</f>
        <v>https://d0f6bd738d7f1b3e5a7ca70fe4ff75f0.us-east-1.aws.found.io/app/kibana#/discover/Steve-Slow-Train-Analysis-(2080s-and-2083s)?_g=(refreshInterval:(display:Off,pause:!f,section:0,value:0),time:(from:'2017-03-06T20:16:21-0700',mode:absolute,to:'2017-03-06T23:10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K27" s="210">
        <f t="shared" si="2"/>
        <v>42801.208333333328</v>
      </c>
      <c r="L27" s="210" t="str">
        <f>E27&amp;"-"&amp;IF(DAY(Variables!$A$2)&lt;10,0,"")&amp;DAY(Variables!$A$2)</f>
        <v>228-06</v>
      </c>
      <c r="M27" s="206">
        <f>IF(VLOOKUP(L27,'Train Runs'!$A$12:$B$999,1,TRUE)=L27,VLOOKUP(L27,'Train Runs'!$A$12:$B$999,2,TRUE),NA())</f>
        <v>4054</v>
      </c>
      <c r="N27" s="206">
        <f>VLOOKUP(C27,Variables!$T$2:$X$99,2,FALSE)</f>
        <v>167</v>
      </c>
      <c r="O27" s="206">
        <f>VLOOKUP(C27,Variables!$T$2:$X$99,3,FALSE)</f>
        <v>168</v>
      </c>
      <c r="P27" s="206">
        <f>VLOOKUP(C27,Variables!$T$2:$X$99,4,FALSE)</f>
        <v>199</v>
      </c>
      <c r="Q27" s="206">
        <f>VLOOKUP(C27,Variables!$T$2:$X$99,5,FALSE)</f>
        <v>200</v>
      </c>
      <c r="R27" s="205" t="str">
        <f t="shared" si="3"/>
        <v>(\|PRM\|1\|D)|(crossing.((167)|(168)|(199)|(200)))</v>
      </c>
    </row>
    <row r="28" spans="1:18" x14ac:dyDescent="0.25">
      <c r="A28" s="201">
        <v>42800.939583333333</v>
      </c>
      <c r="B28" s="201"/>
      <c r="C28" s="208" t="s">
        <v>1012</v>
      </c>
      <c r="D28" s="198" t="s">
        <v>1014</v>
      </c>
      <c r="E28" s="212">
        <f t="shared" si="5"/>
        <v>230</v>
      </c>
      <c r="F28" s="30" t="s">
        <v>1016</v>
      </c>
      <c r="G28" s="212" t="b">
        <v>1</v>
      </c>
      <c r="H28" s="216" t="str">
        <f t="shared" si="0"/>
        <v>"C:\Program Files (x86)\AstroGrep\AstroGrep.exe" /e /r /s /spath="%USERPROFILE%\AppData\Local\Temp\OnboardLogs" /stypes="*4010*201703070*" /stext=" 05:.+((SYSTEM_STATE.+slice.+state.+changed )|(ment ac)|(multiple cpu faults)|(system.+state.+changed )|(\[timeout)|(PRM\|1\|D)|(kpr)|(kdp)|(\|lc)|(penalty)|(\|PRM\|1\|D)|(crossing.((167)|(168)|(199)|(200))))"</v>
      </c>
      <c r="I28" s="218" t="str">
        <f t="shared" si="1"/>
        <v>grep -hSE " 05:.+((\|PRM\|1\|D)|(crossing.((167)|(168)|(199)|(200))))" "%USERPROFILE%\AppData\Local\Temp\OnboardLogs"\RTDC4010\*4010*201703070*</v>
      </c>
      <c r="J28" s="214" t="str">
        <f>IF(VLOOKUP(L28,'Train Runs'!$A$13:$V$999,1,TRUE)=L28,VLOOKUP(L28,'Train Runs'!$A$13:$V$999,22,TRUE),NA())</f>
        <v>https://d0f6bd738d7f1b3e5a7ca70fe4ff75f0.us-east-1.aws.found.io/app/kibana#/discover/Steve-Slow-Train-Analysis-(2080s-and-2083s)?_g=(refreshInterval:(display:Off,pause:!f,section:0,value:0),time:(from:'2017-03-06T20:12:21-0700',mode:absolute,to:'2017-03-06T23:11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K28" s="210">
        <f t="shared" si="2"/>
        <v>42801.231249999997</v>
      </c>
      <c r="L28" s="210" t="str">
        <f>E28&amp;"-"&amp;IF(DAY(Variables!$A$2)&lt;10,0,"")&amp;DAY(Variables!$A$2)</f>
        <v>230-06</v>
      </c>
      <c r="M28" s="206">
        <f>IF(VLOOKUP(L28,'Train Runs'!$A$12:$B$999,1,TRUE)=L28,VLOOKUP(L28,'Train Runs'!$A$12:$B$999,2,TRUE),NA())</f>
        <v>4010</v>
      </c>
      <c r="N28" s="206">
        <f>VLOOKUP(C28,Variables!$T$2:$X$99,2,FALSE)</f>
        <v>167</v>
      </c>
      <c r="O28" s="206">
        <f>VLOOKUP(C28,Variables!$T$2:$X$99,3,FALSE)</f>
        <v>168</v>
      </c>
      <c r="P28" s="206">
        <f>VLOOKUP(C28,Variables!$T$2:$X$99,4,FALSE)</f>
        <v>199</v>
      </c>
      <c r="Q28" s="206">
        <f>VLOOKUP(C28,Variables!$T$2:$X$99,5,FALSE)</f>
        <v>200</v>
      </c>
      <c r="R28" s="205" t="str">
        <f t="shared" si="3"/>
        <v>(\|PRM\|1\|D)|(crossing.((167)|(168)|(199)|(200)))</v>
      </c>
    </row>
    <row r="29" spans="1:18" x14ac:dyDescent="0.25">
      <c r="A29" s="201">
        <v>42800.957638888889</v>
      </c>
      <c r="B29" s="201"/>
      <c r="C29" s="208" t="s">
        <v>1012</v>
      </c>
      <c r="D29" s="198" t="s">
        <v>1014</v>
      </c>
      <c r="E29" s="212">
        <f t="shared" si="5"/>
        <v>232</v>
      </c>
      <c r="F29" s="30" t="s">
        <v>1016</v>
      </c>
      <c r="G29" s="212" t="b">
        <v>1</v>
      </c>
      <c r="H29" s="216" t="str">
        <f t="shared" si="0"/>
        <v>"C:\Program Files (x86)\AstroGrep\AstroGrep.exe" /e /r /s /spath="%USERPROFILE%\AppData\Local\Temp\OnboardLogs" /stypes="*4004*201703070*" /stext=" 05:.+((SYSTEM_STATE.+slice.+state.+changed )|(ment ac)|(multiple cpu faults)|(system.+state.+changed )|(\[timeout)|(PRM\|1\|D)|(kpr)|(kdp)|(\|lc)|(penalty)|(\|PRM\|1\|D)|(crossing.((167)|(168)|(199)|(200))))"</v>
      </c>
      <c r="I29" s="218" t="str">
        <f t="shared" si="1"/>
        <v>grep -hSE " 05:.+((\|PRM\|1\|D)|(crossing.((167)|(168)|(199)|(200))))" "%USERPROFILE%\AppData\Local\Temp\OnboardLogs"\RTDC4004\*4004*201703070*</v>
      </c>
      <c r="J29" s="214" t="str">
        <f>IF(VLOOKUP(L29,'Train Runs'!$A$13:$V$999,1,TRUE)=L29,VLOOKUP(L29,'Train Runs'!$A$13:$V$999,22,TRUE),NA())</f>
        <v>https://d0f6bd738d7f1b3e5a7ca70fe4ff75f0.us-east-1.aws.found.io/app/kibana#/discover/Steve-Slow-Train-Analysis-(2080s-and-2083s)?_g=(refreshInterval:(display:Off,pause:!f,section:0,value:0),time:(from:'2017-03-06T21:17:36-0700',mode:absolute,to:'2017-03-07T00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29" s="210">
        <f t="shared" si="2"/>
        <v>42801.249305555553</v>
      </c>
      <c r="L29" s="210" t="str">
        <f>E29&amp;"-"&amp;IF(DAY(Variables!$A$2)&lt;10,0,"")&amp;DAY(Variables!$A$2)</f>
        <v>232-06</v>
      </c>
      <c r="M29" s="206">
        <f>IF(VLOOKUP(L29,'Train Runs'!$A$12:$B$999,1,TRUE)=L29,VLOOKUP(L29,'Train Runs'!$A$12:$B$999,2,TRUE),NA())</f>
        <v>4004</v>
      </c>
      <c r="N29" s="206">
        <f>VLOOKUP(C29,Variables!$T$2:$X$99,2,FALSE)</f>
        <v>167</v>
      </c>
      <c r="O29" s="206">
        <f>VLOOKUP(C29,Variables!$T$2:$X$99,3,FALSE)</f>
        <v>168</v>
      </c>
      <c r="P29" s="206">
        <f>VLOOKUP(C29,Variables!$T$2:$X$99,4,FALSE)</f>
        <v>199</v>
      </c>
      <c r="Q29" s="206">
        <f>VLOOKUP(C29,Variables!$T$2:$X$99,5,FALSE)</f>
        <v>200</v>
      </c>
      <c r="R29" s="205" t="str">
        <f t="shared" si="3"/>
        <v>(\|PRM\|1\|D)|(crossing.((167)|(168)|(199)|(200)))</v>
      </c>
    </row>
    <row r="30" spans="1:18" x14ac:dyDescent="0.25">
      <c r="A30" s="201">
        <v>42800.96875</v>
      </c>
      <c r="B30" s="201"/>
      <c r="C30" s="208" t="s">
        <v>1012</v>
      </c>
      <c r="D30" s="198" t="s">
        <v>1014</v>
      </c>
      <c r="E30" s="212">
        <f t="shared" si="5"/>
        <v>234</v>
      </c>
      <c r="F30" s="30" t="s">
        <v>1016</v>
      </c>
      <c r="G30" s="212" t="b">
        <v>1</v>
      </c>
      <c r="H30" s="216" t="str">
        <f t="shared" si="0"/>
        <v>"C:\Program Files (x86)\AstroGrep\AstroGrep.exe" /e /r /s /spath="%USERPROFILE%\AppData\Local\Temp\OnboardLogs" /stypes="*4052*201703070*" /stext=" 06:.+((SYSTEM_STATE.+slice.+state.+changed )|(ment ac)|(multiple cpu faults)|(system.+state.+changed )|(\[timeout)|(PRM\|1\|D)|(kpr)|(kdp)|(\|lc)|(penalty)|(\|PRM\|1\|D)|(crossing.((167)|(168)|(199)|(200))))"</v>
      </c>
      <c r="I30" s="218" t="str">
        <f t="shared" si="1"/>
        <v>grep -hSE " 06:.+((\|PRM\|1\|D)|(crossing.((167)|(168)|(199)|(200))))" "%USERPROFILE%\AppData\Local\Temp\OnboardLogs"\RTDC4052\*4052*201703070*</v>
      </c>
      <c r="J30" s="214" t="str">
        <f>IF(VLOOKUP(L30,'Train Runs'!$A$13:$V$999,1,TRUE)=L30,VLOOKUP(L30,'Train Runs'!$A$13:$V$999,22,TRUE),NA())</f>
        <v>https://d0f6bd738d7f1b3e5a7ca70fe4ff75f0.us-east-1.aws.found.io/app/kibana#/discover/Steve-Slow-Train-Analysis-(2080s-and-2083s)?_g=(refreshInterval:(display:Off,pause:!f,section:0,value:0),time:(from:'2017-03-06T21:41:20-0700',mode:absolute,to:'2017-03-07T00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K30" s="210">
        <f t="shared" si="2"/>
        <v>42801.260416666664</v>
      </c>
      <c r="L30" s="210" t="str">
        <f>E30&amp;"-"&amp;IF(DAY(Variables!$A$2)&lt;10,0,"")&amp;DAY(Variables!$A$2)</f>
        <v>234-06</v>
      </c>
      <c r="M30" s="206">
        <f>IF(VLOOKUP(L30,'Train Runs'!$A$12:$B$999,1,TRUE)=L30,VLOOKUP(L30,'Train Runs'!$A$12:$B$999,2,TRUE),NA())</f>
        <v>4052</v>
      </c>
      <c r="N30" s="206">
        <f>VLOOKUP(C30,Variables!$T$2:$X$99,2,FALSE)</f>
        <v>167</v>
      </c>
      <c r="O30" s="206">
        <f>VLOOKUP(C30,Variables!$T$2:$X$99,3,FALSE)</f>
        <v>168</v>
      </c>
      <c r="P30" s="206">
        <f>VLOOKUP(C30,Variables!$T$2:$X$99,4,FALSE)</f>
        <v>199</v>
      </c>
      <c r="Q30" s="206">
        <f>VLOOKUP(C30,Variables!$T$2:$X$99,5,FALSE)</f>
        <v>200</v>
      </c>
      <c r="R30" s="205" t="str">
        <f t="shared" si="3"/>
        <v>(\|PRM\|1\|D)|(crossing.((167)|(168)|(199)|(200)))</v>
      </c>
    </row>
    <row r="31" spans="1:18" x14ac:dyDescent="0.25">
      <c r="A31" s="201">
        <v>42800.979861111111</v>
      </c>
      <c r="B31" s="201"/>
      <c r="C31" s="208" t="s">
        <v>1012</v>
      </c>
      <c r="D31" s="198" t="s">
        <v>1014</v>
      </c>
      <c r="E31" s="212">
        <f t="shared" si="5"/>
        <v>236</v>
      </c>
      <c r="F31" s="30" t="s">
        <v>1016</v>
      </c>
      <c r="G31" s="212" t="b">
        <v>1</v>
      </c>
      <c r="H31" s="216" t="str">
        <f t="shared" si="0"/>
        <v>"C:\Program Files (x86)\AstroGrep\AstroGrep.exe" /e /r /s /spath="%USERPROFILE%\AppData\Local\Temp\OnboardLogs" /stypes="*4054*201703070*" /stext=" 06:.+((SYSTEM_STATE.+slice.+state.+changed )|(ment ac)|(multiple cpu faults)|(system.+state.+changed )|(\[timeout)|(PRM\|1\|D)|(kpr)|(kdp)|(\|lc)|(penalty)|(\|PRM\|1\|D)|(crossing.((167)|(168)|(199)|(200))))"</v>
      </c>
      <c r="I31" s="218" t="str">
        <f t="shared" si="1"/>
        <v>grep -hSE " 06:.+((\|PRM\|1\|D)|(crossing.((167)|(168)|(199)|(200))))" "%USERPROFILE%\AppData\Local\Temp\OnboardLogs"\RTDC4054\*4054*201703070*</v>
      </c>
      <c r="J31" s="214" t="str">
        <f>IF(VLOOKUP(L31,'Train Runs'!$A$13:$V$999,1,TRUE)=L31,VLOOKUP(L31,'Train Runs'!$A$13:$V$999,22,TRUE),NA())</f>
        <v>https://d0f6bd738d7f1b3e5a7ca70fe4ff75f0.us-east-1.aws.found.io/app/kibana#/discover/Steve-Slow-Train-Analysis-(2080s-and-2083s)?_g=(refreshInterval:(display:Off,pause:!f,section:0,value:0),time:(from:'2017-03-06T22:16:29-0700',mode:absolute,to:'2017-03-07T01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K31" s="210">
        <f t="shared" si="2"/>
        <v>42801.271527777775</v>
      </c>
      <c r="L31" s="210" t="str">
        <f>E31&amp;"-"&amp;IF(DAY(Variables!$A$2)&lt;10,0,"")&amp;DAY(Variables!$A$2)</f>
        <v>236-06</v>
      </c>
      <c r="M31" s="206">
        <f>IF(VLOOKUP(L31,'Train Runs'!$A$12:$B$999,1,TRUE)=L31,VLOOKUP(L31,'Train Runs'!$A$12:$B$999,2,TRUE),NA())</f>
        <v>4054</v>
      </c>
      <c r="N31" s="206">
        <f>VLOOKUP(C31,Variables!$T$2:$X$99,2,FALSE)</f>
        <v>167</v>
      </c>
      <c r="O31" s="206">
        <f>VLOOKUP(C31,Variables!$T$2:$X$99,3,FALSE)</f>
        <v>168</v>
      </c>
      <c r="P31" s="206">
        <f>VLOOKUP(C31,Variables!$T$2:$X$99,4,FALSE)</f>
        <v>199</v>
      </c>
      <c r="Q31" s="206">
        <f>VLOOKUP(C31,Variables!$T$2:$X$99,5,FALSE)</f>
        <v>200</v>
      </c>
      <c r="R31" s="205" t="str">
        <f t="shared" si="3"/>
        <v>(\|PRM\|1\|D)|(crossing.((167)|(168)|(199)|(200)))</v>
      </c>
    </row>
    <row r="32" spans="1:18" x14ac:dyDescent="0.25">
      <c r="A32" s="201">
        <v>42800.999305555553</v>
      </c>
      <c r="B32" s="201"/>
      <c r="C32" s="208" t="s">
        <v>1012</v>
      </c>
      <c r="D32" s="198" t="s">
        <v>1014</v>
      </c>
      <c r="E32" s="212">
        <f t="shared" si="5"/>
        <v>238</v>
      </c>
      <c r="F32" s="30" t="s">
        <v>1016</v>
      </c>
      <c r="G32" s="212" t="b">
        <v>1</v>
      </c>
      <c r="H32" s="216" t="str">
        <f t="shared" si="0"/>
        <v>"C:\Program Files (x86)\AstroGrep\AstroGrep.exe" /e /r /s /spath="%USERPROFILE%\AppData\Local\Temp\OnboardLogs" /stypes="*4030*201703070*" /stext=" 06:.+((SYSTEM_STATE.+slice.+state.+changed )|(ment ac)|(multiple cpu faults)|(system.+state.+changed )|(\[timeout)|(PRM\|1\|D)|(kpr)|(kdp)|(\|lc)|(penalty)|(\|PRM\|1\|D)|(crossing.((167)|(168)|(199)|(200))))"</v>
      </c>
      <c r="I32" s="218" t="str">
        <f t="shared" si="1"/>
        <v>grep -hSE " 06:.+((\|PRM\|1\|D)|(crossing.((167)|(168)|(199)|(200))))" "%USERPROFILE%\AppData\Local\Temp\OnboardLogs"\RTDC4030\*4030*201703070*</v>
      </c>
      <c r="J32" s="214" t="str">
        <f>IF(VLOOKUP(L32,'Train Runs'!$A$13:$V$999,1,TRUE)=L32,VLOOKUP(L32,'Train Runs'!$A$13:$V$999,22,TRUE),NA())</f>
        <v>https://d0f6bd738d7f1b3e5a7ca70fe4ff75f0.us-east-1.aws.found.io/app/kibana#/discover/Steve-Slow-Train-Analysis-(2080s-and-2083s)?_g=(refreshInterval:(display:Off,pause:!f,section:0,value:0),time:(from:'2017-03-06T22:54:49-0700',mode:absolute,to:'2017-03-07T01:43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K32" s="210">
        <f t="shared" si="2"/>
        <v>42801.290972222218</v>
      </c>
      <c r="L32" s="210" t="str">
        <f>E32&amp;"-"&amp;IF(DAY(Variables!$A$2)&lt;10,0,"")&amp;DAY(Variables!$A$2)</f>
        <v>238-06</v>
      </c>
      <c r="M32" s="206">
        <f>IF(VLOOKUP(L32,'Train Runs'!$A$12:$B$999,1,TRUE)=L32,VLOOKUP(L32,'Train Runs'!$A$12:$B$999,2,TRUE),NA())</f>
        <v>4030</v>
      </c>
      <c r="N32" s="206">
        <f>VLOOKUP(C32,Variables!$T$2:$X$99,2,FALSE)</f>
        <v>167</v>
      </c>
      <c r="O32" s="206">
        <f>VLOOKUP(C32,Variables!$T$2:$X$99,3,FALSE)</f>
        <v>168</v>
      </c>
      <c r="P32" s="206">
        <f>VLOOKUP(C32,Variables!$T$2:$X$99,4,FALSE)</f>
        <v>199</v>
      </c>
      <c r="Q32" s="206">
        <f>VLOOKUP(C32,Variables!$T$2:$X$99,5,FALSE)</f>
        <v>200</v>
      </c>
      <c r="R32" s="205" t="str">
        <f t="shared" si="3"/>
        <v>(\|PRM\|1\|D)|(crossing.((167)|(168)|(199)|(200)))</v>
      </c>
    </row>
    <row r="33" spans="1:18" x14ac:dyDescent="0.25">
      <c r="A33" s="202">
        <v>42801.022222222222</v>
      </c>
      <c r="C33" s="208" t="s">
        <v>1012</v>
      </c>
      <c r="D33" s="198" t="s">
        <v>1014</v>
      </c>
      <c r="E33" s="212">
        <f t="shared" si="5"/>
        <v>240</v>
      </c>
      <c r="F33" s="30" t="s">
        <v>1016</v>
      </c>
      <c r="G33" s="212" t="b">
        <v>1</v>
      </c>
      <c r="H33" s="216" t="str">
        <f t="shared" si="0"/>
        <v>"C:\Program Files (x86)\AstroGrep\AstroGrep.exe" /e /r /s /spath="%USERPROFILE%\AppData\Local\Temp\OnboardLogs" /stypes="*4004*201703070*" /stext=" 07:.+((SYSTEM_STATE.+slice.+state.+changed )|(ment ac)|(multiple cpu faults)|(system.+state.+changed )|(\[timeout)|(PRM\|1\|D)|(kpr)|(kdp)|(\|lc)|(penalty)|(\|PRM\|1\|D)|(crossing.((167)|(168)|(199)|(200))))"</v>
      </c>
      <c r="I33" s="218" t="str">
        <f t="shared" si="1"/>
        <v>grep -hSE " 07:.+((\|PRM\|1\|D)|(crossing.((167)|(168)|(199)|(200))))" "%USERPROFILE%\AppData\Local\Temp\OnboardLogs"\RTDC4004\*4004*201703070*</v>
      </c>
      <c r="J33" s="214" t="str">
        <f>IF(VLOOKUP(L33,'Train Runs'!$A$13:$V$999,1,TRUE)=L33,VLOOKUP(L33,'Train Runs'!$A$13:$V$999,22,TRUE),NA())</f>
        <v>https://d0f6bd738d7f1b3e5a7ca70fe4ff75f0.us-east-1.aws.found.io/app/kibana#/discover/Steve-Slow-Train-Analysis-(2080s-and-2083s)?_g=(refreshInterval:(display:Off,pause:!f,section:0,value:0),time:(from:'2017-03-06T23:14:03-0700',mode:absolute,to:'2017-03-07T02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33" s="210">
        <f t="shared" si="2"/>
        <v>42801.313888888886</v>
      </c>
      <c r="L33" s="210" t="str">
        <f>E33&amp;"-"&amp;IF(DAY(Variables!$A$2)&lt;10,0,"")&amp;DAY(Variables!$A$2)</f>
        <v>240-06</v>
      </c>
      <c r="M33" s="206">
        <f>IF(VLOOKUP(L33,'Train Runs'!$A$12:$B$999,1,TRUE)=L33,VLOOKUP(L33,'Train Runs'!$A$12:$B$999,2,TRUE),NA())</f>
        <v>4004</v>
      </c>
      <c r="N33" s="206">
        <f>VLOOKUP(C33,Variables!$T$2:$X$99,2,FALSE)</f>
        <v>167</v>
      </c>
      <c r="O33" s="206">
        <f>VLOOKUP(C33,Variables!$T$2:$X$99,3,FALSE)</f>
        <v>168</v>
      </c>
      <c r="P33" s="206">
        <f>VLOOKUP(C33,Variables!$T$2:$X$99,4,FALSE)</f>
        <v>199</v>
      </c>
      <c r="Q33" s="206">
        <f>VLOOKUP(C33,Variables!$T$2:$X$99,5,FALSE)</f>
        <v>200</v>
      </c>
      <c r="R33" s="205" t="str">
        <f t="shared" si="3"/>
        <v>(\|PRM\|1\|D)|(crossing.((167)|(168)|(199)|(200)))</v>
      </c>
    </row>
    <row r="34" spans="1:18" x14ac:dyDescent="0.25">
      <c r="A34" s="202">
        <v>42801.040277777778</v>
      </c>
      <c r="C34" s="208" t="s">
        <v>1012</v>
      </c>
      <c r="D34" s="198" t="s">
        <v>1014</v>
      </c>
      <c r="E34" s="212">
        <v>240</v>
      </c>
      <c r="F34" s="30" t="s">
        <v>1016</v>
      </c>
      <c r="G34" s="212" t="b">
        <v>1</v>
      </c>
      <c r="H34" s="216" t="str">
        <f t="shared" si="0"/>
        <v>"C:\Program Files (x86)\AstroGrep\AstroGrep.exe" /e /r /s /spath="%USERPROFILE%\AppData\Local\Temp\OnboardLogs" /stypes="*4004*201703070*" /stext=" 07:.+((SYSTEM_STATE.+slice.+state.+changed )|(ment ac)|(multiple cpu faults)|(system.+state.+changed )|(\[timeout)|(PRM\|1\|D)|(kpr)|(kdp)|(\|lc)|(penalty)|(\|PRM\|1\|D)|(crossing.((167)|(168)|(199)|(200))))"</v>
      </c>
      <c r="I34" s="218" t="str">
        <f t="shared" si="1"/>
        <v>grep -hSE " 07:.+((\|PRM\|1\|D)|(crossing.((167)|(168)|(199)|(200))))" "%USERPROFILE%\AppData\Local\Temp\OnboardLogs"\RTDC4004\*4004*201703070*</v>
      </c>
      <c r="J34" s="214" t="str">
        <f>IF(VLOOKUP(L34,'Train Runs'!$A$13:$V$999,1,TRUE)=L34,VLOOKUP(L34,'Train Runs'!$A$13:$V$999,22,TRUE),NA())</f>
        <v>https://d0f6bd738d7f1b3e5a7ca70fe4ff75f0.us-east-1.aws.found.io/app/kibana#/discover/Steve-Slow-Train-Analysis-(2080s-and-2083s)?_g=(refreshInterval:(display:Off,pause:!f,section:0,value:0),time:(from:'2017-03-06T23:14:03-0700',mode:absolute,to:'2017-03-07T02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K34" s="210">
        <f t="shared" si="2"/>
        <v>42801.331944444442</v>
      </c>
      <c r="L34" s="210" t="str">
        <f>E34&amp;"-"&amp;IF(DAY(Variables!$A$2)&lt;10,0,"")&amp;DAY(Variables!$A$2)</f>
        <v>240-06</v>
      </c>
      <c r="M34" s="206">
        <f>IF(VLOOKUP(L34,'Train Runs'!$A$12:$B$999,1,TRUE)=L34,VLOOKUP(L34,'Train Runs'!$A$12:$B$999,2,TRUE),NA())</f>
        <v>4004</v>
      </c>
      <c r="N34" s="206">
        <f>VLOOKUP(C34,Variables!$T$2:$X$99,2,FALSE)</f>
        <v>167</v>
      </c>
      <c r="O34" s="206">
        <f>VLOOKUP(C34,Variables!$T$2:$X$99,3,FALSE)</f>
        <v>168</v>
      </c>
      <c r="P34" s="206">
        <f>VLOOKUP(C34,Variables!$T$2:$X$99,4,FALSE)</f>
        <v>199</v>
      </c>
      <c r="Q34" s="206">
        <f>VLOOKUP(C34,Variables!$T$2:$X$99,5,FALSE)</f>
        <v>200</v>
      </c>
      <c r="R34" s="205" t="str">
        <f t="shared" si="3"/>
        <v>(\|PRM\|1\|D)|(crossing.((167)|(168)|(199)|(200)))</v>
      </c>
    </row>
    <row r="35" spans="1:18" x14ac:dyDescent="0.25">
      <c r="A35" s="202">
        <v>42801.061805555553</v>
      </c>
      <c r="C35" s="208" t="s">
        <v>1012</v>
      </c>
      <c r="D35" s="198" t="s">
        <v>1014</v>
      </c>
      <c r="E35" s="212">
        <v>242</v>
      </c>
      <c r="F35" s="30" t="s">
        <v>1016</v>
      </c>
      <c r="G35" s="212" t="b">
        <v>1</v>
      </c>
      <c r="H35" s="216" t="str">
        <f t="shared" si="0"/>
        <v>"C:\Program Files (x86)\AstroGrep\AstroGrep.exe" /e /r /s /spath="%USERPROFILE%\AppData\Local\Temp\OnboardLogs" /stypes="*4052*201703070*" /stext=" 08:.+((SYSTEM_STATE.+slice.+state.+changed )|(ment ac)|(multiple cpu faults)|(system.+state.+changed )|(\[timeout)|(PRM\|1\|D)|(kpr)|(kdp)|(\|lc)|(penalty)|(\|PRM\|1\|D)|(crossing.((167)|(168)|(199)|(200))))"</v>
      </c>
      <c r="I35" s="218" t="str">
        <f t="shared" si="1"/>
        <v>grep -hSE " 08:.+((\|PRM\|1\|D)|(crossing.((167)|(168)|(199)|(200))))" "%USERPROFILE%\AppData\Local\Temp\OnboardLogs"\RTDC4052\*4052*201703070*</v>
      </c>
      <c r="J35" s="214" t="str">
        <f>IF(VLOOKUP(L35,'Train Runs'!$A$13:$V$999,1,TRUE)=L35,VLOOKUP(L35,'Train Runs'!$A$13:$V$999,22,TRUE),NA())</f>
        <v>https://d0f6bd738d7f1b3e5a7ca70fe4ff75f0.us-east-1.aws.found.io/app/kibana#/discover/Steve-Slow-Train-Analysis-(2080s-and-2083s)?_g=(refreshInterval:(display:Off,pause:!f,section:0,value:0),time:(from:'2017-03-06T23:39:44-0700',mode:absolute,to:'2017-03-07T02:37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K35" s="210">
        <f t="shared" si="2"/>
        <v>42801.353472222218</v>
      </c>
      <c r="L35" s="210" t="str">
        <f>E35&amp;"-"&amp;IF(DAY(Variables!$A$2)&lt;10,0,"")&amp;DAY(Variables!$A$2)</f>
        <v>242-06</v>
      </c>
      <c r="M35" s="206">
        <f>IF(VLOOKUP(L35,'Train Runs'!$A$12:$B$999,1,TRUE)=L35,VLOOKUP(L35,'Train Runs'!$A$12:$B$999,2,TRUE),NA())</f>
        <v>4052</v>
      </c>
      <c r="N35" s="206">
        <f>VLOOKUP(C35,Variables!$T$2:$X$99,2,FALSE)</f>
        <v>167</v>
      </c>
      <c r="O35" s="206">
        <f>VLOOKUP(C35,Variables!$T$2:$X$99,3,FALSE)</f>
        <v>168</v>
      </c>
      <c r="P35" s="206">
        <f>VLOOKUP(C35,Variables!$T$2:$X$99,4,FALSE)</f>
        <v>199</v>
      </c>
      <c r="Q35" s="206">
        <f>VLOOKUP(C35,Variables!$T$2:$X$99,5,FALSE)</f>
        <v>200</v>
      </c>
      <c r="R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42800.045729166668</v>
      </c>
      <c r="B2" s="20" t="s">
        <v>307</v>
      </c>
      <c r="C2" s="20" t="s">
        <v>514</v>
      </c>
      <c r="D2" s="150">
        <v>2610000</v>
      </c>
      <c r="E2" s="20" t="s">
        <v>489</v>
      </c>
      <c r="F2" s="20" t="s">
        <v>490</v>
      </c>
      <c r="G2" s="8" t="str">
        <f>E2&amp;" "&amp;F2</f>
        <v>MAGEE KENYA</v>
      </c>
    </row>
    <row r="3" spans="1:7" x14ac:dyDescent="0.25">
      <c r="A3" s="8">
        <v>42800.047974537039</v>
      </c>
      <c r="B3" s="20" t="s">
        <v>290</v>
      </c>
      <c r="C3" s="20" t="s">
        <v>486</v>
      </c>
      <c r="D3" s="150">
        <v>2000000</v>
      </c>
      <c r="E3" s="20" t="s">
        <v>491</v>
      </c>
      <c r="F3" s="20" t="s">
        <v>197</v>
      </c>
      <c r="G3" s="8" t="str">
        <f t="shared" ref="G3:G66" si="0">E3&amp;" "&amp;F3</f>
        <v>STAMBAUGH JAMES</v>
      </c>
    </row>
    <row r="4" spans="1:7" x14ac:dyDescent="0.25">
      <c r="A4" s="8">
        <v>42800.054120370369</v>
      </c>
      <c r="B4" s="20" t="s">
        <v>482</v>
      </c>
      <c r="C4" s="20" t="s">
        <v>515</v>
      </c>
      <c r="D4" s="150">
        <v>1810000</v>
      </c>
      <c r="E4" s="20" t="s">
        <v>202</v>
      </c>
      <c r="F4" s="20" t="s">
        <v>197</v>
      </c>
      <c r="G4" s="8" t="str">
        <f t="shared" si="0"/>
        <v>NEWELL JAMES</v>
      </c>
    </row>
    <row r="5" spans="1:7" x14ac:dyDescent="0.25">
      <c r="A5" s="8">
        <v>42800.06722222222</v>
      </c>
      <c r="B5" s="20" t="s">
        <v>291</v>
      </c>
      <c r="C5" s="20" t="s">
        <v>516</v>
      </c>
      <c r="D5" s="150">
        <v>2000000</v>
      </c>
      <c r="E5" s="20" t="s">
        <v>491</v>
      </c>
      <c r="F5" s="20" t="s">
        <v>197</v>
      </c>
      <c r="G5" s="8" t="str">
        <f t="shared" si="0"/>
        <v>STAMBAUGH JAMES</v>
      </c>
    </row>
    <row r="6" spans="1:7" x14ac:dyDescent="0.25">
      <c r="A6" s="8">
        <v>42800.083495370367</v>
      </c>
      <c r="B6" s="20" t="s">
        <v>231</v>
      </c>
      <c r="C6" s="20" t="s">
        <v>517</v>
      </c>
      <c r="D6" s="150">
        <v>2230000</v>
      </c>
      <c r="E6" s="20" t="s">
        <v>460</v>
      </c>
      <c r="F6" s="20" t="s">
        <v>200</v>
      </c>
      <c r="G6" s="8" t="str">
        <f t="shared" si="0"/>
        <v>SMITH MICHAEL</v>
      </c>
    </row>
    <row r="7" spans="1:7" x14ac:dyDescent="0.25">
      <c r="A7" s="8">
        <v>42800.091689814813</v>
      </c>
      <c r="B7" s="20" t="s">
        <v>308</v>
      </c>
      <c r="C7" s="20" t="s">
        <v>513</v>
      </c>
      <c r="D7" s="150">
        <v>2610000</v>
      </c>
      <c r="E7" s="20" t="s">
        <v>489</v>
      </c>
      <c r="F7" s="20" t="s">
        <v>490</v>
      </c>
      <c r="G7" s="8" t="str">
        <f t="shared" si="0"/>
        <v>MAGEE KENYA</v>
      </c>
    </row>
    <row r="8" spans="1:7" x14ac:dyDescent="0.25">
      <c r="A8" s="8">
        <v>42800.098067129627</v>
      </c>
      <c r="B8" s="20" t="s">
        <v>290</v>
      </c>
      <c r="C8" s="20" t="s">
        <v>518</v>
      </c>
      <c r="D8" s="150">
        <v>2000000</v>
      </c>
      <c r="E8" s="20" t="s">
        <v>491</v>
      </c>
      <c r="F8" s="20" t="s">
        <v>197</v>
      </c>
      <c r="G8" s="8" t="str">
        <f t="shared" si="0"/>
        <v>STAMBAUGH JAMES</v>
      </c>
    </row>
    <row r="9" spans="1:7" ht="15.75" thickBot="1" x14ac:dyDescent="0.3">
      <c r="A9" s="24">
        <v>42800.099826388891</v>
      </c>
      <c r="B9" s="20" t="s">
        <v>290</v>
      </c>
      <c r="C9" s="20" t="s">
        <v>518</v>
      </c>
      <c r="D9" s="150">
        <v>2000000</v>
      </c>
      <c r="E9" s="20" t="s">
        <v>491</v>
      </c>
      <c r="F9" s="20" t="s">
        <v>197</v>
      </c>
      <c r="G9" s="8" t="str">
        <f t="shared" si="0"/>
        <v>STAMBAUGH JAMES</v>
      </c>
    </row>
    <row r="10" spans="1:7" x14ac:dyDescent="0.25">
      <c r="A10" s="8">
        <v>42800.121087962965</v>
      </c>
      <c r="B10" s="20" t="s">
        <v>301</v>
      </c>
      <c r="C10" s="20" t="s">
        <v>605</v>
      </c>
      <c r="D10" s="150">
        <v>1360000</v>
      </c>
      <c r="E10" s="20" t="s">
        <v>492</v>
      </c>
      <c r="F10" s="20" t="s">
        <v>493</v>
      </c>
      <c r="G10" s="8" t="str">
        <f t="shared" si="0"/>
        <v>SANTIZO D. EDY</v>
      </c>
    </row>
    <row r="11" spans="1:7" x14ac:dyDescent="0.25">
      <c r="A11" s="8">
        <v>42800.130335648151</v>
      </c>
      <c r="B11" s="20" t="s">
        <v>300</v>
      </c>
      <c r="C11" s="20" t="s">
        <v>606</v>
      </c>
      <c r="D11" s="150">
        <v>0</v>
      </c>
      <c r="E11" s="20" t="s">
        <v>607</v>
      </c>
      <c r="F11" s="20" t="s">
        <v>608</v>
      </c>
      <c r="G11" s="8" t="str">
        <f t="shared" si="0"/>
        <v>HAUSER FRANK</v>
      </c>
    </row>
    <row r="12" spans="1:7" x14ac:dyDescent="0.25">
      <c r="A12" s="8">
        <v>42800.140266203707</v>
      </c>
      <c r="B12" s="20" t="s">
        <v>213</v>
      </c>
      <c r="C12" s="20" t="s">
        <v>609</v>
      </c>
      <c r="D12" s="150">
        <v>2010000</v>
      </c>
      <c r="E12" s="20" t="s">
        <v>494</v>
      </c>
      <c r="F12" s="20" t="s">
        <v>495</v>
      </c>
      <c r="G12" s="8" t="str">
        <f t="shared" si="0"/>
        <v>MAELZER KURT</v>
      </c>
    </row>
    <row r="13" spans="1:7" x14ac:dyDescent="0.25">
      <c r="A13" s="8">
        <v>42800.151944444442</v>
      </c>
      <c r="B13" s="20" t="s">
        <v>454</v>
      </c>
      <c r="C13" s="20" t="s">
        <v>550</v>
      </c>
      <c r="D13" s="150">
        <v>2010000</v>
      </c>
      <c r="E13" s="20" t="s">
        <v>494</v>
      </c>
      <c r="F13" s="20" t="s">
        <v>495</v>
      </c>
      <c r="G13" s="8" t="str">
        <f t="shared" si="0"/>
        <v>MAELZER KURT</v>
      </c>
    </row>
    <row r="14" spans="1:7" x14ac:dyDescent="0.25">
      <c r="A14" s="8">
        <v>42800.158738425926</v>
      </c>
      <c r="B14" s="20" t="s">
        <v>588</v>
      </c>
      <c r="C14" s="20" t="s">
        <v>610</v>
      </c>
      <c r="D14" s="150">
        <v>1110000</v>
      </c>
      <c r="E14" s="20" t="s">
        <v>611</v>
      </c>
      <c r="F14" s="20" t="s">
        <v>612</v>
      </c>
      <c r="G14" s="8" t="str">
        <f t="shared" si="0"/>
        <v>STARKS ANGELINA</v>
      </c>
    </row>
    <row r="15" spans="1:7" x14ac:dyDescent="0.25">
      <c r="A15" s="8">
        <v>42800.169421296298</v>
      </c>
      <c r="B15" s="20" t="s">
        <v>301</v>
      </c>
      <c r="C15" s="20" t="s">
        <v>613</v>
      </c>
      <c r="D15" s="150">
        <v>1360000</v>
      </c>
      <c r="E15" s="20" t="s">
        <v>492</v>
      </c>
      <c r="F15" s="20" t="s">
        <v>493</v>
      </c>
      <c r="G15" s="8" t="str">
        <f t="shared" si="0"/>
        <v>SANTIZO D. EDY</v>
      </c>
    </row>
    <row r="16" spans="1:7" x14ac:dyDescent="0.25">
      <c r="A16" s="8">
        <v>42800.169861111113</v>
      </c>
      <c r="B16" s="20" t="s">
        <v>498</v>
      </c>
      <c r="C16" s="20" t="s">
        <v>614</v>
      </c>
      <c r="D16" s="150">
        <v>940000</v>
      </c>
      <c r="E16" s="20" t="s">
        <v>615</v>
      </c>
      <c r="F16" s="20" t="s">
        <v>616</v>
      </c>
      <c r="G16" s="8" t="str">
        <f t="shared" si="0"/>
        <v>BONDS REYNALDO</v>
      </c>
    </row>
    <row r="17" spans="1:7" x14ac:dyDescent="0.25">
      <c r="A17" s="8">
        <v>42800.174745370372</v>
      </c>
      <c r="B17" s="20" t="s">
        <v>302</v>
      </c>
      <c r="C17" s="20" t="s">
        <v>617</v>
      </c>
      <c r="D17" s="150">
        <v>1110000</v>
      </c>
      <c r="E17" s="20" t="s">
        <v>611</v>
      </c>
      <c r="F17" s="20" t="s">
        <v>612</v>
      </c>
      <c r="G17" s="8" t="str">
        <f t="shared" si="0"/>
        <v>STARKS ANGELINA</v>
      </c>
    </row>
    <row r="18" spans="1:7" x14ac:dyDescent="0.25">
      <c r="A18" s="8">
        <v>42800.175266203703</v>
      </c>
      <c r="B18" s="20" t="s">
        <v>483</v>
      </c>
      <c r="C18" s="20" t="s">
        <v>618</v>
      </c>
      <c r="D18" s="150">
        <v>2020000</v>
      </c>
      <c r="E18" s="20" t="s">
        <v>457</v>
      </c>
      <c r="F18" s="20" t="s">
        <v>458</v>
      </c>
      <c r="G18" s="8" t="str">
        <f t="shared" si="0"/>
        <v>SHOOK JOHN</v>
      </c>
    </row>
    <row r="19" spans="1:7" x14ac:dyDescent="0.25">
      <c r="A19" s="8">
        <v>42800.181574074071</v>
      </c>
      <c r="B19" s="20" t="s">
        <v>501</v>
      </c>
      <c r="C19" s="20" t="s">
        <v>619</v>
      </c>
      <c r="D19" s="150">
        <v>940000</v>
      </c>
      <c r="E19" s="20" t="s">
        <v>615</v>
      </c>
      <c r="F19" s="20" t="s">
        <v>616</v>
      </c>
      <c r="G19" s="8" t="str">
        <f t="shared" si="0"/>
        <v>BONDS REYNALDO</v>
      </c>
    </row>
    <row r="20" spans="1:7" x14ac:dyDescent="0.25">
      <c r="A20" s="8">
        <v>42800.190370370372</v>
      </c>
      <c r="B20" s="20" t="s">
        <v>485</v>
      </c>
      <c r="C20" s="20" t="s">
        <v>620</v>
      </c>
      <c r="D20" s="150">
        <v>2020000</v>
      </c>
      <c r="E20" s="20" t="s">
        <v>457</v>
      </c>
      <c r="F20" s="20" t="s">
        <v>458</v>
      </c>
      <c r="G20" s="8" t="str">
        <f t="shared" si="0"/>
        <v>SHOOK JOHN</v>
      </c>
    </row>
    <row r="21" spans="1:7" x14ac:dyDescent="0.25">
      <c r="A21" s="8">
        <v>42800.205567129633</v>
      </c>
      <c r="B21" s="20" t="s">
        <v>258</v>
      </c>
      <c r="C21" s="20" t="s">
        <v>551</v>
      </c>
      <c r="D21" s="150">
        <v>1990000</v>
      </c>
      <c r="E21" s="20" t="s">
        <v>496</v>
      </c>
      <c r="F21" s="20" t="s">
        <v>497</v>
      </c>
      <c r="G21" s="8" t="str">
        <f t="shared" si="0"/>
        <v>DAVIS WENDY</v>
      </c>
    </row>
    <row r="22" spans="1:7" x14ac:dyDescent="0.25">
      <c r="A22" s="26">
        <v>42800.209282407406</v>
      </c>
      <c r="B22" s="20" t="s">
        <v>300</v>
      </c>
      <c r="C22" s="20" t="s">
        <v>621</v>
      </c>
      <c r="D22" s="150">
        <v>1830000</v>
      </c>
      <c r="E22" s="20" t="s">
        <v>622</v>
      </c>
      <c r="F22" s="20" t="s">
        <v>623</v>
      </c>
      <c r="G22" s="8" t="str">
        <f t="shared" si="0"/>
        <v>YORK EDGAR</v>
      </c>
    </row>
    <row r="23" spans="1:7" x14ac:dyDescent="0.25">
      <c r="A23" s="8">
        <v>42800.211562500001</v>
      </c>
      <c r="B23" s="20" t="s">
        <v>303</v>
      </c>
      <c r="C23" s="20" t="s">
        <v>624</v>
      </c>
      <c r="D23" s="150">
        <v>1360000</v>
      </c>
      <c r="E23" s="20" t="s">
        <v>492</v>
      </c>
      <c r="F23" s="20" t="s">
        <v>493</v>
      </c>
      <c r="G23" s="8" t="str">
        <f t="shared" si="0"/>
        <v>SANTIZO D. EDY</v>
      </c>
    </row>
    <row r="24" spans="1:7" x14ac:dyDescent="0.25">
      <c r="A24" s="8">
        <v>42800.21329861111</v>
      </c>
      <c r="B24" s="20" t="s">
        <v>588</v>
      </c>
      <c r="C24" s="20" t="s">
        <v>625</v>
      </c>
      <c r="D24" s="150">
        <v>1110000</v>
      </c>
      <c r="E24" s="20" t="s">
        <v>611</v>
      </c>
      <c r="F24" s="20" t="s">
        <v>612</v>
      </c>
      <c r="G24" s="8" t="str">
        <f t="shared" si="0"/>
        <v>STARKS ANGELINA</v>
      </c>
    </row>
    <row r="25" spans="1:7" x14ac:dyDescent="0.25">
      <c r="A25" s="8">
        <v>42800.217314814814</v>
      </c>
      <c r="B25" s="20" t="s">
        <v>256</v>
      </c>
      <c r="C25" s="20" t="s">
        <v>552</v>
      </c>
      <c r="D25" s="150">
        <v>1990000</v>
      </c>
      <c r="E25" s="20" t="s">
        <v>496</v>
      </c>
      <c r="F25" s="20" t="s">
        <v>497</v>
      </c>
      <c r="G25" s="8" t="str">
        <f t="shared" si="0"/>
        <v>DAVIS WENDY</v>
      </c>
    </row>
    <row r="26" spans="1:7" x14ac:dyDescent="0.25">
      <c r="A26" s="8">
        <v>42800.220775462964</v>
      </c>
      <c r="B26" s="20" t="s">
        <v>498</v>
      </c>
      <c r="C26" s="20" t="s">
        <v>626</v>
      </c>
      <c r="D26" s="150">
        <v>940000</v>
      </c>
      <c r="E26" s="20" t="s">
        <v>615</v>
      </c>
      <c r="F26" s="20" t="s">
        <v>616</v>
      </c>
      <c r="G26" s="8" t="str">
        <f t="shared" si="0"/>
        <v>BONDS REYNALDO</v>
      </c>
    </row>
    <row r="27" spans="1:7" x14ac:dyDescent="0.25">
      <c r="A27" s="8">
        <v>42800.227847222224</v>
      </c>
      <c r="B27" s="20" t="s">
        <v>454</v>
      </c>
      <c r="C27" s="20" t="s">
        <v>627</v>
      </c>
      <c r="D27" s="150">
        <v>2140000</v>
      </c>
      <c r="E27" s="20" t="s">
        <v>499</v>
      </c>
      <c r="F27" s="20" t="s">
        <v>500</v>
      </c>
      <c r="G27" s="8" t="str">
        <f t="shared" si="0"/>
        <v>ROBINSON KADDIBA</v>
      </c>
    </row>
    <row r="28" spans="1:7" x14ac:dyDescent="0.25">
      <c r="A28" s="8">
        <v>42800.228113425925</v>
      </c>
      <c r="B28" s="20" t="s">
        <v>483</v>
      </c>
      <c r="C28" s="20" t="s">
        <v>628</v>
      </c>
      <c r="D28" s="150">
        <v>2020000</v>
      </c>
      <c r="E28" s="20" t="s">
        <v>457</v>
      </c>
      <c r="F28" s="20" t="s">
        <v>458</v>
      </c>
      <c r="G28" s="8" t="str">
        <f t="shared" si="0"/>
        <v>SHOOK JOHN</v>
      </c>
    </row>
    <row r="29" spans="1:7" x14ac:dyDescent="0.25">
      <c r="A29" s="8">
        <v>42800.232870370368</v>
      </c>
      <c r="B29" s="20" t="s">
        <v>212</v>
      </c>
      <c r="C29" s="20" t="s">
        <v>629</v>
      </c>
      <c r="D29" s="150">
        <v>2040000</v>
      </c>
      <c r="E29" s="20" t="s">
        <v>305</v>
      </c>
      <c r="F29" s="20" t="s">
        <v>306</v>
      </c>
      <c r="G29" s="8" t="str">
        <f t="shared" si="0"/>
        <v>MOSES BRADLEY</v>
      </c>
    </row>
    <row r="30" spans="1:7" x14ac:dyDescent="0.25">
      <c r="A30" s="8">
        <v>42800.236828703702</v>
      </c>
      <c r="B30" s="20" t="s">
        <v>504</v>
      </c>
      <c r="C30" s="20" t="s">
        <v>630</v>
      </c>
      <c r="D30" s="150">
        <v>1830000</v>
      </c>
      <c r="E30" s="20" t="s">
        <v>622</v>
      </c>
      <c r="F30" s="20" t="s">
        <v>623</v>
      </c>
      <c r="G30" s="8" t="str">
        <f t="shared" si="0"/>
        <v>YORK EDGAR</v>
      </c>
    </row>
    <row r="31" spans="1:7" x14ac:dyDescent="0.25">
      <c r="A31" s="8">
        <v>42800.239236111112</v>
      </c>
      <c r="B31" s="20" t="s">
        <v>258</v>
      </c>
      <c r="C31" s="20" t="s">
        <v>631</v>
      </c>
      <c r="D31" s="150">
        <v>1990000</v>
      </c>
      <c r="E31" s="20" t="s">
        <v>496</v>
      </c>
      <c r="F31" s="20" t="s">
        <v>497</v>
      </c>
      <c r="G31" s="8" t="str">
        <f t="shared" si="0"/>
        <v>DAVIS WENDY</v>
      </c>
    </row>
    <row r="32" spans="1:7" x14ac:dyDescent="0.25">
      <c r="A32" s="8">
        <v>42800.246793981481</v>
      </c>
      <c r="B32" s="20" t="s">
        <v>301</v>
      </c>
      <c r="C32" s="20" t="s">
        <v>632</v>
      </c>
      <c r="D32" s="150">
        <v>1360000</v>
      </c>
      <c r="E32" s="20" t="s">
        <v>492</v>
      </c>
      <c r="F32" s="20" t="s">
        <v>493</v>
      </c>
      <c r="G32" s="8" t="str">
        <f t="shared" si="0"/>
        <v>SANTIZO D. EDY</v>
      </c>
    </row>
    <row r="33" spans="1:7" x14ac:dyDescent="0.25">
      <c r="A33" s="8">
        <v>42800.250254629631</v>
      </c>
      <c r="B33" s="20" t="s">
        <v>302</v>
      </c>
      <c r="C33" s="20" t="s">
        <v>553</v>
      </c>
      <c r="D33" s="150">
        <v>1110000</v>
      </c>
      <c r="E33" s="20" t="s">
        <v>611</v>
      </c>
      <c r="F33" s="20" t="s">
        <v>612</v>
      </c>
      <c r="G33" s="8" t="str">
        <f t="shared" si="0"/>
        <v>STARKS ANGELINA</v>
      </c>
    </row>
    <row r="34" spans="1:7" x14ac:dyDescent="0.25">
      <c r="A34" s="8">
        <v>42800.25072916667</v>
      </c>
      <c r="B34" s="20" t="s">
        <v>554</v>
      </c>
      <c r="C34" s="20" t="s">
        <v>555</v>
      </c>
      <c r="D34" s="150">
        <v>900000</v>
      </c>
      <c r="E34" s="20" t="s">
        <v>633</v>
      </c>
      <c r="F34" s="20" t="s">
        <v>634</v>
      </c>
      <c r="G34" s="8" t="str">
        <f t="shared" si="0"/>
        <v>ROCHA YAOTL</v>
      </c>
    </row>
    <row r="35" spans="1:7" x14ac:dyDescent="0.25">
      <c r="A35" s="8">
        <v>42800.254791666666</v>
      </c>
      <c r="B35" s="20" t="s">
        <v>256</v>
      </c>
      <c r="C35" s="20" t="s">
        <v>556</v>
      </c>
      <c r="D35" s="150">
        <v>1990000</v>
      </c>
      <c r="E35" s="20" t="s">
        <v>496</v>
      </c>
      <c r="F35" s="20" t="s">
        <v>497</v>
      </c>
      <c r="G35" s="8" t="str">
        <f t="shared" si="0"/>
        <v>DAVIS WENDY</v>
      </c>
    </row>
    <row r="36" spans="1:7" x14ac:dyDescent="0.25">
      <c r="A36" s="8">
        <v>42800.2578125</v>
      </c>
      <c r="B36" s="20" t="s">
        <v>501</v>
      </c>
      <c r="C36" s="20" t="s">
        <v>635</v>
      </c>
      <c r="D36" s="150">
        <v>940000</v>
      </c>
      <c r="E36" s="20" t="s">
        <v>615</v>
      </c>
      <c r="F36" s="20" t="s">
        <v>616</v>
      </c>
      <c r="G36" s="8" t="str">
        <f t="shared" si="0"/>
        <v>BONDS REYNALDO</v>
      </c>
    </row>
    <row r="37" spans="1:7" x14ac:dyDescent="0.25">
      <c r="A37" s="8">
        <v>42800.262256944443</v>
      </c>
      <c r="B37" s="20" t="s">
        <v>272</v>
      </c>
      <c r="C37" s="20" t="s">
        <v>636</v>
      </c>
      <c r="D37" s="150">
        <v>900000</v>
      </c>
      <c r="E37" s="20" t="s">
        <v>633</v>
      </c>
      <c r="F37" s="20" t="s">
        <v>634</v>
      </c>
      <c r="G37" s="8" t="str">
        <f t="shared" si="0"/>
        <v>ROCHA YAOTL</v>
      </c>
    </row>
    <row r="38" spans="1:7" x14ac:dyDescent="0.25">
      <c r="A38" s="8">
        <v>42800.262731481482</v>
      </c>
      <c r="B38" s="20" t="s">
        <v>453</v>
      </c>
      <c r="C38" s="20" t="s">
        <v>637</v>
      </c>
      <c r="D38" s="150">
        <v>2140000</v>
      </c>
      <c r="E38" s="20" t="s">
        <v>499</v>
      </c>
      <c r="F38" s="20" t="s">
        <v>500</v>
      </c>
      <c r="G38" s="8" t="str">
        <f t="shared" si="0"/>
        <v>ROBINSON KADDIBA</v>
      </c>
    </row>
    <row r="39" spans="1:7" x14ac:dyDescent="0.25">
      <c r="A39" s="8">
        <v>42800.268067129633</v>
      </c>
      <c r="B39" s="20" t="s">
        <v>485</v>
      </c>
      <c r="C39" s="20" t="s">
        <v>560</v>
      </c>
      <c r="D39" s="150">
        <v>2020000</v>
      </c>
      <c r="E39" s="20" t="s">
        <v>457</v>
      </c>
      <c r="F39" s="20" t="s">
        <v>458</v>
      </c>
      <c r="G39" s="8" t="str">
        <f t="shared" si="0"/>
        <v>SHOOK JOHN</v>
      </c>
    </row>
    <row r="40" spans="1:7" x14ac:dyDescent="0.25">
      <c r="A40" s="8">
        <v>42800.275104166663</v>
      </c>
      <c r="B40" s="25" t="s">
        <v>554</v>
      </c>
      <c r="C40" s="20" t="s">
        <v>557</v>
      </c>
      <c r="D40" s="150">
        <v>900000</v>
      </c>
      <c r="E40" s="20" t="s">
        <v>633</v>
      </c>
      <c r="F40" s="20" t="s">
        <v>634</v>
      </c>
      <c r="G40" s="8" t="str">
        <f t="shared" si="0"/>
        <v>ROCHA YAOTL</v>
      </c>
    </row>
    <row r="41" spans="1:7" x14ac:dyDescent="0.25">
      <c r="A41" s="8">
        <v>42800.276053240741</v>
      </c>
      <c r="B41" s="20" t="s">
        <v>300</v>
      </c>
      <c r="C41" s="20" t="s">
        <v>638</v>
      </c>
      <c r="D41" s="150">
        <v>1830000</v>
      </c>
      <c r="E41" s="20" t="s">
        <v>622</v>
      </c>
      <c r="F41" s="20" t="s">
        <v>623</v>
      </c>
      <c r="G41" s="8" t="str">
        <f t="shared" si="0"/>
        <v>YORK EDGAR</v>
      </c>
    </row>
    <row r="42" spans="1:7" x14ac:dyDescent="0.25">
      <c r="A42" s="8">
        <v>42800.276180555556</v>
      </c>
      <c r="B42" s="20" t="s">
        <v>213</v>
      </c>
      <c r="C42" s="20" t="s">
        <v>639</v>
      </c>
      <c r="D42" s="150">
        <v>2040000</v>
      </c>
      <c r="E42" s="20" t="s">
        <v>305</v>
      </c>
      <c r="F42" s="20" t="s">
        <v>306</v>
      </c>
      <c r="G42" s="8" t="str">
        <f t="shared" si="0"/>
        <v>MOSES BRADLEY</v>
      </c>
    </row>
    <row r="43" spans="1:7" x14ac:dyDescent="0.25">
      <c r="A43" s="8">
        <v>42800.280740740738</v>
      </c>
      <c r="B43" s="20" t="s">
        <v>258</v>
      </c>
      <c r="C43" s="20" t="s">
        <v>640</v>
      </c>
      <c r="D43" s="150">
        <v>1990000</v>
      </c>
      <c r="E43" s="20" t="s">
        <v>496</v>
      </c>
      <c r="F43" s="20" t="s">
        <v>497</v>
      </c>
      <c r="G43" s="8" t="str">
        <f t="shared" si="0"/>
        <v>DAVIS WENDY</v>
      </c>
    </row>
    <row r="44" spans="1:7" x14ac:dyDescent="0.25">
      <c r="A44" s="8">
        <v>42800.287523148145</v>
      </c>
      <c r="B44" s="20" t="s">
        <v>451</v>
      </c>
      <c r="C44" s="20" t="s">
        <v>561</v>
      </c>
      <c r="D44" s="150">
        <v>1110000</v>
      </c>
      <c r="E44" s="20" t="s">
        <v>611</v>
      </c>
      <c r="F44" s="20" t="s">
        <v>612</v>
      </c>
      <c r="G44" s="8" t="str">
        <f t="shared" si="0"/>
        <v>STARKS ANGELINA</v>
      </c>
    </row>
    <row r="45" spans="1:7" x14ac:dyDescent="0.25">
      <c r="A45" s="8">
        <v>42800.289594907408</v>
      </c>
      <c r="B45" s="20" t="s">
        <v>303</v>
      </c>
      <c r="C45" s="20" t="s">
        <v>641</v>
      </c>
      <c r="D45" s="150">
        <v>1360000</v>
      </c>
      <c r="E45" s="20" t="s">
        <v>492</v>
      </c>
      <c r="F45" s="20" t="s">
        <v>493</v>
      </c>
      <c r="G45" s="8" t="str">
        <f t="shared" si="0"/>
        <v>SANTIZO D. EDY</v>
      </c>
    </row>
    <row r="46" spans="1:7" x14ac:dyDescent="0.25">
      <c r="A46" s="8">
        <v>42800.296053240738</v>
      </c>
      <c r="B46" s="20" t="s">
        <v>256</v>
      </c>
      <c r="C46" s="20" t="s">
        <v>562</v>
      </c>
      <c r="D46" s="150">
        <v>1990000</v>
      </c>
      <c r="E46" s="20" t="s">
        <v>496</v>
      </c>
      <c r="F46" s="20" t="s">
        <v>497</v>
      </c>
      <c r="G46" s="8" t="str">
        <f t="shared" si="0"/>
        <v>DAVIS WENDY</v>
      </c>
    </row>
    <row r="47" spans="1:7" x14ac:dyDescent="0.25">
      <c r="A47" s="8">
        <v>42800.297893518517</v>
      </c>
      <c r="B47" s="20" t="s">
        <v>498</v>
      </c>
      <c r="C47" s="20" t="s">
        <v>566</v>
      </c>
      <c r="D47" s="150">
        <v>940000</v>
      </c>
      <c r="E47" s="20" t="s">
        <v>615</v>
      </c>
      <c r="F47" s="20" t="s">
        <v>616</v>
      </c>
      <c r="G47" s="8" t="str">
        <f t="shared" si="0"/>
        <v>BONDS REYNALDO</v>
      </c>
    </row>
    <row r="48" spans="1:7" x14ac:dyDescent="0.25">
      <c r="A48" s="8">
        <v>42800.301006944443</v>
      </c>
      <c r="B48" s="20" t="s">
        <v>454</v>
      </c>
      <c r="C48" s="20" t="s">
        <v>642</v>
      </c>
      <c r="D48" s="150">
        <v>2140000</v>
      </c>
      <c r="E48" s="20" t="s">
        <v>499</v>
      </c>
      <c r="F48" s="20" t="s">
        <v>500</v>
      </c>
      <c r="G48" s="8" t="str">
        <f t="shared" si="0"/>
        <v>ROBINSON KADDIBA</v>
      </c>
    </row>
    <row r="49" spans="1:7" x14ac:dyDescent="0.25">
      <c r="A49" s="8">
        <v>42800.305648148147</v>
      </c>
      <c r="B49" s="20" t="s">
        <v>272</v>
      </c>
      <c r="C49" s="20" t="s">
        <v>563</v>
      </c>
      <c r="D49" s="150">
        <v>900000</v>
      </c>
      <c r="E49" s="20" t="s">
        <v>633</v>
      </c>
      <c r="F49" s="20" t="s">
        <v>634</v>
      </c>
      <c r="G49" s="8" t="str">
        <f t="shared" si="0"/>
        <v>ROCHA YAOTL</v>
      </c>
    </row>
    <row r="50" spans="1:7" x14ac:dyDescent="0.25">
      <c r="A50" s="8">
        <v>42800.307314814818</v>
      </c>
      <c r="B50" s="20" t="s">
        <v>483</v>
      </c>
      <c r="C50" s="20" t="s">
        <v>643</v>
      </c>
      <c r="D50" s="150">
        <v>2020000</v>
      </c>
      <c r="E50" s="20" t="s">
        <v>457</v>
      </c>
      <c r="F50" s="20" t="s">
        <v>458</v>
      </c>
      <c r="G50" s="8" t="str">
        <f t="shared" si="0"/>
        <v>SHOOK JOHN</v>
      </c>
    </row>
    <row r="51" spans="1:7" x14ac:dyDescent="0.25">
      <c r="A51" s="8">
        <v>42800.308437500003</v>
      </c>
      <c r="B51" s="20" t="s">
        <v>504</v>
      </c>
      <c r="C51" s="20" t="s">
        <v>644</v>
      </c>
      <c r="D51" s="150">
        <v>1830000</v>
      </c>
      <c r="E51" s="20" t="s">
        <v>622</v>
      </c>
      <c r="F51" s="20" t="s">
        <v>623</v>
      </c>
      <c r="G51" s="8" t="str">
        <f t="shared" si="0"/>
        <v>YORK EDGAR</v>
      </c>
    </row>
    <row r="52" spans="1:7" x14ac:dyDescent="0.25">
      <c r="A52" s="8">
        <v>42800.312569444446</v>
      </c>
      <c r="B52" s="20" t="s">
        <v>212</v>
      </c>
      <c r="C52" s="20" t="s">
        <v>645</v>
      </c>
      <c r="D52" s="150">
        <v>2010000</v>
      </c>
      <c r="E52" s="20" t="s">
        <v>494</v>
      </c>
      <c r="F52" s="20" t="s">
        <v>495</v>
      </c>
      <c r="G52" s="8" t="str">
        <f t="shared" si="0"/>
        <v>MAELZER KURT</v>
      </c>
    </row>
    <row r="53" spans="1:7" x14ac:dyDescent="0.25">
      <c r="A53" s="8">
        <v>42800.31826388889</v>
      </c>
      <c r="B53" s="20" t="s">
        <v>554</v>
      </c>
      <c r="C53" s="20" t="s">
        <v>646</v>
      </c>
      <c r="D53" s="150">
        <v>900000</v>
      </c>
      <c r="E53" s="20" t="s">
        <v>633</v>
      </c>
      <c r="F53" s="20" t="s">
        <v>634</v>
      </c>
      <c r="G53" s="8" t="str">
        <f t="shared" si="0"/>
        <v>ROCHA YAOTL</v>
      </c>
    </row>
    <row r="54" spans="1:7" x14ac:dyDescent="0.25">
      <c r="A54" s="8">
        <v>42800.320648148147</v>
      </c>
      <c r="B54" s="20" t="s">
        <v>301</v>
      </c>
      <c r="C54" s="20" t="s">
        <v>647</v>
      </c>
      <c r="D54" s="150">
        <v>1360000</v>
      </c>
      <c r="E54" s="20" t="s">
        <v>492</v>
      </c>
      <c r="F54" s="20" t="s">
        <v>493</v>
      </c>
      <c r="G54" s="8" t="str">
        <f t="shared" si="0"/>
        <v>SANTIZO D. EDY</v>
      </c>
    </row>
    <row r="55" spans="1:7" x14ac:dyDescent="0.25">
      <c r="A55" s="8">
        <v>42800.325138888889</v>
      </c>
      <c r="B55" s="20" t="s">
        <v>302</v>
      </c>
      <c r="C55" s="20" t="s">
        <v>648</v>
      </c>
      <c r="D55" s="150">
        <v>1110000</v>
      </c>
      <c r="E55" s="20" t="s">
        <v>611</v>
      </c>
      <c r="F55" s="20" t="s">
        <v>612</v>
      </c>
      <c r="G55" s="8" t="str">
        <f t="shared" si="0"/>
        <v>STARKS ANGELINA</v>
      </c>
    </row>
    <row r="56" spans="1:7" x14ac:dyDescent="0.25">
      <c r="A56" s="8">
        <v>42800.325428240743</v>
      </c>
      <c r="B56" s="20" t="s">
        <v>258</v>
      </c>
      <c r="C56" s="20" t="s">
        <v>649</v>
      </c>
      <c r="D56" s="150">
        <v>1990000</v>
      </c>
      <c r="E56" s="20" t="s">
        <v>496</v>
      </c>
      <c r="F56" s="20" t="s">
        <v>497</v>
      </c>
      <c r="G56" s="8" t="str">
        <f t="shared" si="0"/>
        <v>DAVIS WENDY</v>
      </c>
    </row>
    <row r="57" spans="1:7" x14ac:dyDescent="0.25">
      <c r="A57" s="8">
        <v>42800.332002314812</v>
      </c>
      <c r="B57" s="20" t="s">
        <v>501</v>
      </c>
      <c r="C57" s="20" t="s">
        <v>650</v>
      </c>
      <c r="D57" s="150">
        <v>940000</v>
      </c>
      <c r="E57" s="20" t="s">
        <v>615</v>
      </c>
      <c r="F57" s="20" t="s">
        <v>616</v>
      </c>
      <c r="G57" s="8" t="str">
        <f t="shared" si="0"/>
        <v>BONDS REYNALDO</v>
      </c>
    </row>
    <row r="58" spans="1:7" x14ac:dyDescent="0.25">
      <c r="A58" s="8">
        <v>42800.335821759261</v>
      </c>
      <c r="B58" s="20" t="s">
        <v>453</v>
      </c>
      <c r="C58" s="20" t="s">
        <v>651</v>
      </c>
      <c r="D58" s="150">
        <v>2140000</v>
      </c>
      <c r="E58" s="20" t="s">
        <v>499</v>
      </c>
      <c r="F58" s="20" t="s">
        <v>500</v>
      </c>
      <c r="G58" s="8" t="str">
        <f t="shared" si="0"/>
        <v>ROBINSON KADDIBA</v>
      </c>
    </row>
    <row r="59" spans="1:7" x14ac:dyDescent="0.25">
      <c r="A59" s="8">
        <v>42800.338090277779</v>
      </c>
      <c r="B59" s="20" t="s">
        <v>256</v>
      </c>
      <c r="C59" s="20" t="s">
        <v>567</v>
      </c>
      <c r="D59" s="150">
        <v>1990000</v>
      </c>
      <c r="E59" s="20" t="s">
        <v>496</v>
      </c>
      <c r="F59" s="20" t="s">
        <v>497</v>
      </c>
      <c r="G59" s="8" t="str">
        <f t="shared" si="0"/>
        <v>DAVIS WENDY</v>
      </c>
    </row>
    <row r="60" spans="1:7" x14ac:dyDescent="0.25">
      <c r="A60" s="8">
        <v>42800.338414351849</v>
      </c>
      <c r="B60" s="20" t="s">
        <v>272</v>
      </c>
      <c r="C60" s="20" t="s">
        <v>652</v>
      </c>
      <c r="D60" s="150">
        <v>900000</v>
      </c>
      <c r="E60" s="20" t="s">
        <v>633</v>
      </c>
      <c r="F60" s="20" t="s">
        <v>634</v>
      </c>
      <c r="G60" s="8" t="str">
        <f t="shared" si="0"/>
        <v>ROCHA YAOTL</v>
      </c>
    </row>
    <row r="61" spans="1:7" x14ac:dyDescent="0.25">
      <c r="A61" s="8">
        <v>42800.344317129631</v>
      </c>
      <c r="B61" s="20" t="s">
        <v>485</v>
      </c>
      <c r="C61" s="20" t="s">
        <v>653</v>
      </c>
      <c r="D61" s="150">
        <v>2020000</v>
      </c>
      <c r="E61" s="20" t="s">
        <v>457</v>
      </c>
      <c r="F61" s="20" t="s">
        <v>458</v>
      </c>
      <c r="G61" s="8" t="str">
        <f t="shared" si="0"/>
        <v>SHOOK JOHN</v>
      </c>
    </row>
    <row r="62" spans="1:7" x14ac:dyDescent="0.25">
      <c r="A62" s="8">
        <v>42800.348912037036</v>
      </c>
      <c r="B62" s="20" t="s">
        <v>213</v>
      </c>
      <c r="C62" s="20" t="s">
        <v>654</v>
      </c>
      <c r="D62" s="150">
        <v>2010000</v>
      </c>
      <c r="E62" s="20" t="s">
        <v>494</v>
      </c>
      <c r="F62" s="20" t="s">
        <v>495</v>
      </c>
      <c r="G62" s="8" t="str">
        <f t="shared" si="0"/>
        <v>MAELZER KURT</v>
      </c>
    </row>
    <row r="63" spans="1:7" x14ac:dyDescent="0.25">
      <c r="A63" s="8">
        <v>42800.350925925923</v>
      </c>
      <c r="B63" s="20" t="s">
        <v>300</v>
      </c>
      <c r="C63" s="20" t="s">
        <v>568</v>
      </c>
      <c r="D63" s="150">
        <v>1830000</v>
      </c>
      <c r="E63" s="20" t="s">
        <v>622</v>
      </c>
      <c r="F63" s="20" t="s">
        <v>623</v>
      </c>
      <c r="G63" s="8" t="str">
        <f t="shared" si="0"/>
        <v>YORK EDGAR</v>
      </c>
    </row>
    <row r="64" spans="1:7" x14ac:dyDescent="0.25">
      <c r="A64" s="26">
        <v>42800.353518518517</v>
      </c>
      <c r="B64" s="20" t="s">
        <v>258</v>
      </c>
      <c r="C64" s="20" t="s">
        <v>655</v>
      </c>
      <c r="D64" s="150">
        <v>1990000</v>
      </c>
      <c r="E64" s="20" t="s">
        <v>496</v>
      </c>
      <c r="F64" s="20" t="s">
        <v>497</v>
      </c>
      <c r="G64" s="8" t="str">
        <f t="shared" si="0"/>
        <v>DAVIS WENDY</v>
      </c>
    </row>
    <row r="65" spans="1:7" x14ac:dyDescent="0.25">
      <c r="A65" s="8">
        <v>42800.359224537038</v>
      </c>
      <c r="B65" s="20" t="s">
        <v>554</v>
      </c>
      <c r="C65" s="20" t="s">
        <v>656</v>
      </c>
      <c r="D65" s="150">
        <v>900000</v>
      </c>
      <c r="E65" s="20" t="s">
        <v>633</v>
      </c>
      <c r="F65" s="20" t="s">
        <v>634</v>
      </c>
      <c r="G65" s="8" t="str">
        <f t="shared" si="0"/>
        <v>ROCHA YAOTL</v>
      </c>
    </row>
    <row r="66" spans="1:7" x14ac:dyDescent="0.25">
      <c r="A66" s="8">
        <v>42800.359907407408</v>
      </c>
      <c r="B66" s="20" t="s">
        <v>451</v>
      </c>
      <c r="C66" s="20" t="s">
        <v>657</v>
      </c>
      <c r="D66" s="150">
        <v>1110000</v>
      </c>
      <c r="E66" s="20" t="s">
        <v>611</v>
      </c>
      <c r="F66" s="20" t="s">
        <v>612</v>
      </c>
      <c r="G66" s="8" t="str">
        <f t="shared" si="0"/>
        <v>STARKS ANGELINA</v>
      </c>
    </row>
    <row r="67" spans="1:7" x14ac:dyDescent="0.25">
      <c r="A67" s="8">
        <v>42800.363437499997</v>
      </c>
      <c r="B67" s="20" t="s">
        <v>303</v>
      </c>
      <c r="C67" s="20" t="s">
        <v>658</v>
      </c>
      <c r="D67" s="150">
        <v>1360000</v>
      </c>
      <c r="E67" s="20" t="s">
        <v>492</v>
      </c>
      <c r="F67" s="20" t="s">
        <v>493</v>
      </c>
      <c r="G67" s="8" t="str">
        <f t="shared" ref="G67:G130" si="1">E67&amp;" "&amp;F67</f>
        <v>SANTIZO D. EDY</v>
      </c>
    </row>
    <row r="68" spans="1:7" x14ac:dyDescent="0.25">
      <c r="A68" s="8">
        <v>42800.367777777778</v>
      </c>
      <c r="B68" s="20" t="s">
        <v>498</v>
      </c>
      <c r="C68" s="20" t="s">
        <v>659</v>
      </c>
      <c r="D68" s="150">
        <v>940000</v>
      </c>
      <c r="E68" s="20" t="s">
        <v>615</v>
      </c>
      <c r="F68" s="20" t="s">
        <v>616</v>
      </c>
      <c r="G68" s="8" t="str">
        <f t="shared" si="1"/>
        <v>BONDS REYNALDO</v>
      </c>
    </row>
    <row r="69" spans="1:7" x14ac:dyDescent="0.25">
      <c r="A69" s="8">
        <v>42800.372986111113</v>
      </c>
      <c r="B69" s="20" t="s">
        <v>454</v>
      </c>
      <c r="C69" s="20" t="s">
        <v>660</v>
      </c>
      <c r="D69" s="150">
        <v>2140000</v>
      </c>
      <c r="E69" s="20" t="s">
        <v>499</v>
      </c>
      <c r="F69" s="20" t="s">
        <v>500</v>
      </c>
      <c r="G69" s="8" t="str">
        <f t="shared" si="1"/>
        <v>ROBINSON KADDIBA</v>
      </c>
    </row>
    <row r="70" spans="1:7" x14ac:dyDescent="0.25">
      <c r="A70" s="8">
        <v>42800.379861111112</v>
      </c>
      <c r="B70" s="20" t="s">
        <v>483</v>
      </c>
      <c r="C70" s="20" t="s">
        <v>661</v>
      </c>
      <c r="D70" s="150">
        <v>2020000</v>
      </c>
      <c r="E70" s="20" t="s">
        <v>457</v>
      </c>
      <c r="F70" s="20" t="s">
        <v>458</v>
      </c>
      <c r="G70" s="8" t="str">
        <f t="shared" si="1"/>
        <v>SHOOK JOHN</v>
      </c>
    </row>
    <row r="71" spans="1:7" x14ac:dyDescent="0.25">
      <c r="A71" s="8">
        <v>42800.383113425924</v>
      </c>
      <c r="B71" s="20" t="s">
        <v>504</v>
      </c>
      <c r="C71" s="20" t="s">
        <v>570</v>
      </c>
      <c r="D71" s="150">
        <v>1830000</v>
      </c>
      <c r="E71" s="20" t="s">
        <v>622</v>
      </c>
      <c r="F71" s="20" t="s">
        <v>623</v>
      </c>
      <c r="G71" s="8" t="str">
        <f t="shared" si="1"/>
        <v>YORK EDGAR</v>
      </c>
    </row>
    <row r="72" spans="1:7" x14ac:dyDescent="0.25">
      <c r="A72" s="8">
        <v>42800.384155092594</v>
      </c>
      <c r="B72" s="20" t="s">
        <v>212</v>
      </c>
      <c r="C72" s="20" t="s">
        <v>662</v>
      </c>
      <c r="D72" s="150">
        <v>2010000</v>
      </c>
      <c r="E72" s="20" t="s">
        <v>494</v>
      </c>
      <c r="F72" s="20" t="s">
        <v>495</v>
      </c>
      <c r="G72" s="8" t="str">
        <f t="shared" si="1"/>
        <v>MAELZER KURT</v>
      </c>
    </row>
    <row r="73" spans="1:7" x14ac:dyDescent="0.25">
      <c r="A73" s="8">
        <v>42800.38821759259</v>
      </c>
      <c r="B73" s="20" t="s">
        <v>272</v>
      </c>
      <c r="C73" s="20" t="s">
        <v>663</v>
      </c>
      <c r="D73" s="150">
        <v>900000</v>
      </c>
      <c r="E73" s="20" t="s">
        <v>633</v>
      </c>
      <c r="F73" s="20" t="s">
        <v>634</v>
      </c>
      <c r="G73" s="8" t="str">
        <f t="shared" si="1"/>
        <v>ROCHA YAOTL</v>
      </c>
    </row>
    <row r="74" spans="1:7" x14ac:dyDescent="0.25">
      <c r="A74" s="8">
        <v>42800.391261574077</v>
      </c>
      <c r="B74" s="20" t="s">
        <v>301</v>
      </c>
      <c r="C74" s="20" t="s">
        <v>664</v>
      </c>
      <c r="D74" s="150">
        <v>1360000</v>
      </c>
      <c r="E74" s="20" t="s">
        <v>492</v>
      </c>
      <c r="F74" s="20" t="s">
        <v>493</v>
      </c>
      <c r="G74" s="8" t="str">
        <f t="shared" si="1"/>
        <v>SANTIZO D. EDY</v>
      </c>
    </row>
    <row r="75" spans="1:7" x14ac:dyDescent="0.25">
      <c r="A75" s="8">
        <v>42800.392326388886</v>
      </c>
      <c r="B75" s="20" t="s">
        <v>302</v>
      </c>
      <c r="C75" s="20" t="s">
        <v>569</v>
      </c>
      <c r="D75" s="150">
        <v>1110000</v>
      </c>
      <c r="E75" s="20" t="s">
        <v>611</v>
      </c>
      <c r="F75" s="20" t="s">
        <v>612</v>
      </c>
      <c r="G75" s="8" t="str">
        <f t="shared" si="1"/>
        <v>STARKS ANGELINA</v>
      </c>
    </row>
    <row r="76" spans="1:7" x14ac:dyDescent="0.25">
      <c r="A76" s="8">
        <v>42800.40016203704</v>
      </c>
      <c r="B76" s="20" t="s">
        <v>554</v>
      </c>
      <c r="C76" s="20" t="s">
        <v>665</v>
      </c>
      <c r="D76" s="150">
        <v>900000</v>
      </c>
      <c r="E76" s="20" t="s">
        <v>633</v>
      </c>
      <c r="F76" s="20" t="s">
        <v>634</v>
      </c>
      <c r="G76" s="8" t="str">
        <f t="shared" si="1"/>
        <v>ROCHA YAOTL</v>
      </c>
    </row>
    <row r="77" spans="1:7" x14ac:dyDescent="0.25">
      <c r="A77" s="8">
        <v>42800.402916666666</v>
      </c>
      <c r="B77" s="20" t="s">
        <v>501</v>
      </c>
      <c r="C77" s="20" t="s">
        <v>666</v>
      </c>
      <c r="D77" s="150">
        <v>940000</v>
      </c>
      <c r="E77" s="20" t="s">
        <v>615</v>
      </c>
      <c r="F77" s="20" t="s">
        <v>616</v>
      </c>
      <c r="G77" s="8" t="str">
        <f t="shared" si="1"/>
        <v>BONDS REYNALDO</v>
      </c>
    </row>
    <row r="78" spans="1:7" x14ac:dyDescent="0.25">
      <c r="A78" s="8">
        <v>42800.409560185188</v>
      </c>
      <c r="B78" s="20" t="s">
        <v>453</v>
      </c>
      <c r="C78" s="20" t="s">
        <v>667</v>
      </c>
      <c r="D78" s="150">
        <v>2140000</v>
      </c>
      <c r="E78" s="20" t="s">
        <v>499</v>
      </c>
      <c r="F78" s="20" t="s">
        <v>500</v>
      </c>
      <c r="G78" s="8" t="str">
        <f t="shared" si="1"/>
        <v>ROBINSON KADDIBA</v>
      </c>
    </row>
    <row r="79" spans="1:7" x14ac:dyDescent="0.25">
      <c r="A79" s="8">
        <v>42800.414375</v>
      </c>
      <c r="B79" s="20" t="s">
        <v>485</v>
      </c>
      <c r="C79" s="20" t="s">
        <v>668</v>
      </c>
      <c r="D79" s="150">
        <v>2020000</v>
      </c>
      <c r="E79" s="20" t="s">
        <v>457</v>
      </c>
      <c r="F79" s="20" t="s">
        <v>458</v>
      </c>
      <c r="G79" s="8" t="str">
        <f t="shared" si="1"/>
        <v>SHOOK JOHN</v>
      </c>
    </row>
    <row r="80" spans="1:7" x14ac:dyDescent="0.25">
      <c r="A80" s="8">
        <v>42800.416435185187</v>
      </c>
      <c r="B80" s="20" t="s">
        <v>213</v>
      </c>
      <c r="C80" s="20" t="s">
        <v>669</v>
      </c>
      <c r="D80" s="150">
        <v>2010000</v>
      </c>
      <c r="E80" s="20" t="s">
        <v>494</v>
      </c>
      <c r="F80" s="20" t="s">
        <v>495</v>
      </c>
      <c r="G80" s="8" t="str">
        <f t="shared" si="1"/>
        <v>MAELZER KURT</v>
      </c>
    </row>
    <row r="81" spans="1:7" x14ac:dyDescent="0.25">
      <c r="A81" s="8">
        <v>42800.416689814818</v>
      </c>
      <c r="B81" s="20" t="s">
        <v>272</v>
      </c>
      <c r="C81" s="20" t="s">
        <v>670</v>
      </c>
      <c r="D81" s="150">
        <v>900000</v>
      </c>
      <c r="E81" s="20" t="s">
        <v>633</v>
      </c>
      <c r="F81" s="20" t="s">
        <v>634</v>
      </c>
      <c r="G81" s="8" t="str">
        <f t="shared" si="1"/>
        <v>ROCHA YAOTL</v>
      </c>
    </row>
    <row r="82" spans="1:7" x14ac:dyDescent="0.25">
      <c r="A82" s="8">
        <v>42800.425740740742</v>
      </c>
      <c r="B82" s="20" t="s">
        <v>300</v>
      </c>
      <c r="C82" s="20" t="s">
        <v>571</v>
      </c>
      <c r="D82" s="150">
        <v>1830000</v>
      </c>
      <c r="E82" s="20" t="s">
        <v>622</v>
      </c>
      <c r="F82" s="20" t="s">
        <v>623</v>
      </c>
      <c r="G82" s="8" t="str">
        <f t="shared" si="1"/>
        <v>YORK EDGAR</v>
      </c>
    </row>
    <row r="83" spans="1:7" x14ac:dyDescent="0.25">
      <c r="A83" s="8">
        <v>42800.433055555557</v>
      </c>
      <c r="B83" s="20" t="s">
        <v>451</v>
      </c>
      <c r="C83" s="20" t="s">
        <v>572</v>
      </c>
      <c r="D83" s="150">
        <v>1110000</v>
      </c>
      <c r="E83" s="20" t="s">
        <v>611</v>
      </c>
      <c r="F83" s="20" t="s">
        <v>612</v>
      </c>
      <c r="G83" s="8" t="str">
        <f t="shared" si="1"/>
        <v>STARKS ANGELINA</v>
      </c>
    </row>
    <row r="84" spans="1:7" x14ac:dyDescent="0.25">
      <c r="A84" s="8">
        <v>42800.435231481482</v>
      </c>
      <c r="B84" s="20" t="s">
        <v>303</v>
      </c>
      <c r="C84" s="20" t="s">
        <v>671</v>
      </c>
      <c r="D84" s="150">
        <v>1990000</v>
      </c>
      <c r="E84" s="20" t="s">
        <v>496</v>
      </c>
      <c r="F84" s="20" t="s">
        <v>497</v>
      </c>
      <c r="G84" s="8" t="str">
        <f t="shared" si="1"/>
        <v>DAVIS WENDY</v>
      </c>
    </row>
    <row r="85" spans="1:7" x14ac:dyDescent="0.25">
      <c r="A85" s="8">
        <v>42800.441620370373</v>
      </c>
      <c r="B85" s="20" t="s">
        <v>554</v>
      </c>
      <c r="C85" s="20" t="s">
        <v>672</v>
      </c>
      <c r="D85" s="150">
        <v>900000</v>
      </c>
      <c r="E85" s="20" t="s">
        <v>633</v>
      </c>
      <c r="F85" s="20" t="s">
        <v>634</v>
      </c>
      <c r="G85" s="8" t="str">
        <f t="shared" si="1"/>
        <v>ROCHA YAOTL</v>
      </c>
    </row>
    <row r="86" spans="1:7" x14ac:dyDescent="0.25">
      <c r="A86" s="8">
        <v>42800.441620370373</v>
      </c>
      <c r="B86" s="20" t="s">
        <v>498</v>
      </c>
      <c r="C86" s="20" t="s">
        <v>673</v>
      </c>
      <c r="D86" s="150">
        <v>940000</v>
      </c>
      <c r="E86" s="20" t="s">
        <v>615</v>
      </c>
      <c r="F86" s="20" t="s">
        <v>616</v>
      </c>
      <c r="G86" s="8" t="str">
        <f t="shared" si="1"/>
        <v>BONDS REYNALDO</v>
      </c>
    </row>
    <row r="87" spans="1:7" x14ac:dyDescent="0.25">
      <c r="A87" s="8">
        <v>42800.444351851853</v>
      </c>
      <c r="B87" s="20" t="s">
        <v>454</v>
      </c>
      <c r="C87" s="20" t="s">
        <v>574</v>
      </c>
      <c r="D87" s="150">
        <v>2140000</v>
      </c>
      <c r="E87" s="20" t="s">
        <v>499</v>
      </c>
      <c r="F87" s="20" t="s">
        <v>500</v>
      </c>
      <c r="G87" s="8" t="str">
        <f t="shared" si="1"/>
        <v>ROBINSON KADDIBA</v>
      </c>
    </row>
    <row r="88" spans="1:7" x14ac:dyDescent="0.25">
      <c r="A88" s="8">
        <v>42800.446250000001</v>
      </c>
      <c r="B88" s="20" t="s">
        <v>483</v>
      </c>
      <c r="C88" s="20" t="s">
        <v>674</v>
      </c>
      <c r="D88" s="150">
        <v>2020000</v>
      </c>
      <c r="E88" s="20" t="s">
        <v>457</v>
      </c>
      <c r="F88" s="20" t="s">
        <v>458</v>
      </c>
      <c r="G88" s="8" t="str">
        <f t="shared" si="1"/>
        <v>SHOOK JOHN</v>
      </c>
    </row>
    <row r="89" spans="1:7" x14ac:dyDescent="0.25">
      <c r="A89" s="8">
        <v>42800.452835648146</v>
      </c>
      <c r="B89" s="20" t="s">
        <v>234</v>
      </c>
      <c r="C89" s="20" t="s">
        <v>573</v>
      </c>
      <c r="D89" s="150">
        <v>2470000</v>
      </c>
      <c r="E89" s="20" t="s">
        <v>507</v>
      </c>
      <c r="F89" s="20" t="s">
        <v>508</v>
      </c>
      <c r="G89" s="8" t="str">
        <f t="shared" si="1"/>
        <v>ROMERO CHAD</v>
      </c>
    </row>
    <row r="90" spans="1:7" x14ac:dyDescent="0.25">
      <c r="A90" s="8">
        <v>42800.453055555554</v>
      </c>
      <c r="B90" s="20" t="s">
        <v>504</v>
      </c>
      <c r="C90" s="20" t="s">
        <v>576</v>
      </c>
      <c r="D90" s="150">
        <v>1830000</v>
      </c>
      <c r="E90" s="20" t="s">
        <v>622</v>
      </c>
      <c r="F90" s="20" t="s">
        <v>623</v>
      </c>
      <c r="G90" s="8" t="str">
        <f t="shared" si="1"/>
        <v>YORK EDGAR</v>
      </c>
    </row>
    <row r="91" spans="1:7" x14ac:dyDescent="0.25">
      <c r="A91" s="8">
        <v>42800.455879629626</v>
      </c>
      <c r="B91" s="20" t="s">
        <v>212</v>
      </c>
      <c r="C91" s="20" t="s">
        <v>675</v>
      </c>
      <c r="D91" s="150">
        <v>880000</v>
      </c>
      <c r="E91" s="20" t="s">
        <v>509</v>
      </c>
      <c r="F91" s="20" t="s">
        <v>200</v>
      </c>
      <c r="G91" s="8" t="str">
        <f t="shared" si="1"/>
        <v>STEWART MICHAEL</v>
      </c>
    </row>
    <row r="92" spans="1:7" x14ac:dyDescent="0.25">
      <c r="A92" s="8">
        <v>42800.457118055558</v>
      </c>
      <c r="B92" s="20" t="s">
        <v>272</v>
      </c>
      <c r="C92" s="20" t="s">
        <v>575</v>
      </c>
      <c r="D92" s="150">
        <v>900000</v>
      </c>
      <c r="E92" s="20" t="s">
        <v>633</v>
      </c>
      <c r="F92" s="20" t="s">
        <v>634</v>
      </c>
      <c r="G92" s="8" t="str">
        <f t="shared" si="1"/>
        <v>ROCHA YAOTL</v>
      </c>
    </row>
    <row r="93" spans="1:7" x14ac:dyDescent="0.25">
      <c r="A93" s="8">
        <v>42800.468090277776</v>
      </c>
      <c r="B93" s="20" t="s">
        <v>302</v>
      </c>
      <c r="C93" s="20" t="s">
        <v>676</v>
      </c>
      <c r="D93" s="150">
        <v>920000</v>
      </c>
      <c r="E93" s="20" t="s">
        <v>496</v>
      </c>
      <c r="F93" s="20" t="s">
        <v>200</v>
      </c>
      <c r="G93" s="8" t="str">
        <f t="shared" si="1"/>
        <v>DAVIS MICHAEL</v>
      </c>
    </row>
    <row r="94" spans="1:7" x14ac:dyDescent="0.25">
      <c r="A94" s="8">
        <v>42800.474293981482</v>
      </c>
      <c r="B94" s="20" t="s">
        <v>301</v>
      </c>
      <c r="C94" s="20" t="s">
        <v>677</v>
      </c>
      <c r="D94" s="150">
        <v>1990000</v>
      </c>
      <c r="E94" s="20" t="s">
        <v>496</v>
      </c>
      <c r="F94" s="20" t="s">
        <v>497</v>
      </c>
      <c r="G94" s="8" t="str">
        <f t="shared" si="1"/>
        <v>DAVIS WENDY</v>
      </c>
    </row>
    <row r="95" spans="1:7" x14ac:dyDescent="0.25">
      <c r="A95" s="8">
        <v>42800.478090277778</v>
      </c>
      <c r="B95" s="20" t="s">
        <v>501</v>
      </c>
      <c r="C95" s="20" t="s">
        <v>577</v>
      </c>
      <c r="D95" s="150">
        <v>930000</v>
      </c>
      <c r="E95" s="20" t="s">
        <v>678</v>
      </c>
      <c r="F95" s="20" t="s">
        <v>679</v>
      </c>
      <c r="G95" s="8" t="str">
        <f t="shared" si="1"/>
        <v>CLARK KATHLEEN</v>
      </c>
    </row>
    <row r="96" spans="1:7" x14ac:dyDescent="0.25">
      <c r="A96" s="8">
        <v>42800.483784722222</v>
      </c>
      <c r="B96" s="20" t="s">
        <v>453</v>
      </c>
      <c r="C96" s="20" t="s">
        <v>680</v>
      </c>
      <c r="D96" s="150">
        <v>2140000</v>
      </c>
      <c r="E96" s="20" t="s">
        <v>499</v>
      </c>
      <c r="F96" s="20" t="s">
        <v>500</v>
      </c>
      <c r="G96" s="8" t="str">
        <f t="shared" si="1"/>
        <v>ROBINSON KADDIBA</v>
      </c>
    </row>
    <row r="97" spans="1:7" x14ac:dyDescent="0.25">
      <c r="A97" s="8">
        <v>42800.483993055554</v>
      </c>
      <c r="B97" s="20" t="s">
        <v>554</v>
      </c>
      <c r="C97" s="20" t="s">
        <v>681</v>
      </c>
      <c r="D97" s="150">
        <v>900000</v>
      </c>
      <c r="E97" s="20" t="s">
        <v>633</v>
      </c>
      <c r="F97" s="20" t="s">
        <v>634</v>
      </c>
      <c r="G97" s="8" t="str">
        <f t="shared" si="1"/>
        <v>ROCHA YAOTL</v>
      </c>
    </row>
    <row r="98" spans="1:7" x14ac:dyDescent="0.25">
      <c r="A98" s="8">
        <v>42800.487870370373</v>
      </c>
      <c r="B98" s="20" t="s">
        <v>485</v>
      </c>
      <c r="C98" s="20" t="s">
        <v>682</v>
      </c>
      <c r="D98" s="150">
        <v>2470000</v>
      </c>
      <c r="E98" s="20" t="s">
        <v>507</v>
      </c>
      <c r="F98" s="20" t="s">
        <v>508</v>
      </c>
      <c r="G98" s="8" t="str">
        <f t="shared" si="1"/>
        <v>ROMERO CHAD</v>
      </c>
    </row>
    <row r="99" spans="1:7" x14ac:dyDescent="0.25">
      <c r="A99" s="8">
        <v>42800.490532407406</v>
      </c>
      <c r="B99" s="20" t="s">
        <v>190</v>
      </c>
      <c r="C99" s="20" t="s">
        <v>683</v>
      </c>
      <c r="D99" s="150">
        <v>2020000</v>
      </c>
      <c r="E99" s="20" t="s">
        <v>457</v>
      </c>
      <c r="F99" s="20" t="s">
        <v>458</v>
      </c>
      <c r="G99" s="8" t="str">
        <f t="shared" si="1"/>
        <v>SHOOK JOHN</v>
      </c>
    </row>
    <row r="100" spans="1:7" x14ac:dyDescent="0.25">
      <c r="A100" s="8">
        <v>42800.494733796295</v>
      </c>
      <c r="B100" s="20" t="s">
        <v>213</v>
      </c>
      <c r="C100" s="20" t="s">
        <v>684</v>
      </c>
      <c r="D100" s="150">
        <v>880000</v>
      </c>
      <c r="E100" s="20" t="s">
        <v>509</v>
      </c>
      <c r="F100" s="20" t="s">
        <v>200</v>
      </c>
      <c r="G100" s="8" t="str">
        <f t="shared" si="1"/>
        <v>STEWART MICHAEL</v>
      </c>
    </row>
    <row r="101" spans="1:7" x14ac:dyDescent="0.25">
      <c r="A101" s="8">
        <v>42800.49863425926</v>
      </c>
      <c r="B101" s="20" t="s">
        <v>272</v>
      </c>
      <c r="C101" s="20" t="s">
        <v>685</v>
      </c>
      <c r="D101" s="150">
        <v>900000</v>
      </c>
      <c r="E101" s="20" t="s">
        <v>633</v>
      </c>
      <c r="F101" s="20" t="s">
        <v>634</v>
      </c>
      <c r="G101" s="8" t="str">
        <f t="shared" si="1"/>
        <v>ROCHA YAOTL</v>
      </c>
    </row>
    <row r="102" spans="1:7" x14ac:dyDescent="0.25">
      <c r="A102" s="8">
        <v>42800.499305555553</v>
      </c>
      <c r="B102" s="20" t="s">
        <v>300</v>
      </c>
      <c r="C102" s="20" t="s">
        <v>686</v>
      </c>
      <c r="D102" s="150">
        <v>1120000</v>
      </c>
      <c r="E102" s="20" t="s">
        <v>279</v>
      </c>
      <c r="F102" s="20" t="s">
        <v>280</v>
      </c>
      <c r="G102" s="8" t="str">
        <f t="shared" si="1"/>
        <v>LOCKLEAR TRAVIS</v>
      </c>
    </row>
    <row r="103" spans="1:7" x14ac:dyDescent="0.25">
      <c r="A103" s="8">
        <v>42800.50675925926</v>
      </c>
      <c r="B103" s="20" t="s">
        <v>451</v>
      </c>
      <c r="C103" s="20" t="s">
        <v>687</v>
      </c>
      <c r="D103" s="150">
        <v>920000</v>
      </c>
      <c r="E103" s="20" t="s">
        <v>496</v>
      </c>
      <c r="F103" s="20" t="s">
        <v>200</v>
      </c>
      <c r="G103" s="8" t="str">
        <f t="shared" si="1"/>
        <v>DAVIS MICHAEL</v>
      </c>
    </row>
    <row r="104" spans="1:7" x14ac:dyDescent="0.25">
      <c r="A104" s="8">
        <v>42800.510509259257</v>
      </c>
      <c r="B104" s="20" t="s">
        <v>303</v>
      </c>
      <c r="C104" s="20" t="s">
        <v>688</v>
      </c>
      <c r="D104" s="150">
        <v>1180000</v>
      </c>
      <c r="E104" s="20" t="s">
        <v>689</v>
      </c>
      <c r="F104" s="20" t="s">
        <v>690</v>
      </c>
      <c r="G104" s="8" t="str">
        <f t="shared" si="1"/>
        <v>LEVERE CRAIG</v>
      </c>
    </row>
    <row r="105" spans="1:7" x14ac:dyDescent="0.25">
      <c r="A105" s="8">
        <v>42800.514791666668</v>
      </c>
      <c r="B105" s="20" t="s">
        <v>498</v>
      </c>
      <c r="C105" s="20" t="s">
        <v>691</v>
      </c>
      <c r="D105" s="150">
        <v>930000</v>
      </c>
      <c r="E105" s="20" t="s">
        <v>678</v>
      </c>
      <c r="F105" s="20" t="s">
        <v>679</v>
      </c>
      <c r="G105" s="8" t="str">
        <f t="shared" si="1"/>
        <v>CLARK KATHLEEN</v>
      </c>
    </row>
    <row r="106" spans="1:7" x14ac:dyDescent="0.25">
      <c r="A106" s="8">
        <v>42800.519247685188</v>
      </c>
      <c r="B106" s="20" t="s">
        <v>483</v>
      </c>
      <c r="C106" s="20" t="s">
        <v>692</v>
      </c>
      <c r="D106" s="150">
        <v>2470000</v>
      </c>
      <c r="E106" s="20" t="s">
        <v>507</v>
      </c>
      <c r="F106" s="20" t="s">
        <v>508</v>
      </c>
      <c r="G106" s="8" t="str">
        <f t="shared" si="1"/>
        <v>ROMERO CHAD</v>
      </c>
    </row>
    <row r="107" spans="1:7" x14ac:dyDescent="0.25">
      <c r="A107" s="8">
        <v>42800.523310185185</v>
      </c>
      <c r="B107" s="20" t="s">
        <v>454</v>
      </c>
      <c r="C107" s="20" t="s">
        <v>581</v>
      </c>
      <c r="D107" s="150">
        <v>2600000</v>
      </c>
      <c r="E107" s="20" t="s">
        <v>512</v>
      </c>
      <c r="F107" s="20" t="s">
        <v>459</v>
      </c>
      <c r="G107" s="8" t="str">
        <f t="shared" si="1"/>
        <v>DAVIDSON DAVID</v>
      </c>
    </row>
    <row r="108" spans="1:7" x14ac:dyDescent="0.25">
      <c r="A108" s="8">
        <v>42800.525671296295</v>
      </c>
      <c r="B108" s="20" t="s">
        <v>554</v>
      </c>
      <c r="C108" s="20" t="s">
        <v>578</v>
      </c>
      <c r="D108" s="150">
        <v>900000</v>
      </c>
      <c r="E108" s="20" t="s">
        <v>633</v>
      </c>
      <c r="F108" s="20" t="s">
        <v>634</v>
      </c>
      <c r="G108" s="8" t="str">
        <f t="shared" si="1"/>
        <v>ROCHA YAOTL</v>
      </c>
    </row>
    <row r="109" spans="1:7" x14ac:dyDescent="0.25">
      <c r="A109" s="8">
        <v>42800.531099537038</v>
      </c>
      <c r="B109" s="20" t="s">
        <v>212</v>
      </c>
      <c r="C109" s="20" t="s">
        <v>579</v>
      </c>
      <c r="D109" s="150">
        <v>880000</v>
      </c>
      <c r="E109" s="20" t="s">
        <v>509</v>
      </c>
      <c r="F109" s="20" t="s">
        <v>200</v>
      </c>
      <c r="G109" s="8" t="str">
        <f t="shared" si="1"/>
        <v>STEWART MICHAEL</v>
      </c>
    </row>
    <row r="110" spans="1:7" x14ac:dyDescent="0.25">
      <c r="A110" s="8">
        <v>42800.535752314812</v>
      </c>
      <c r="B110" s="20" t="s">
        <v>504</v>
      </c>
      <c r="C110" s="20" t="s">
        <v>580</v>
      </c>
      <c r="D110" s="150">
        <v>1120000</v>
      </c>
      <c r="E110" s="20" t="s">
        <v>279</v>
      </c>
      <c r="F110" s="20" t="s">
        <v>280</v>
      </c>
      <c r="G110" s="8" t="str">
        <f t="shared" si="1"/>
        <v>LOCKLEAR TRAVIS</v>
      </c>
    </row>
    <row r="111" spans="1:7" x14ac:dyDescent="0.25">
      <c r="A111" s="8">
        <v>42800.542395833334</v>
      </c>
      <c r="B111" s="20" t="s">
        <v>302</v>
      </c>
      <c r="C111" s="20" t="s">
        <v>693</v>
      </c>
      <c r="D111" s="150">
        <v>920000</v>
      </c>
      <c r="E111" s="20" t="s">
        <v>496</v>
      </c>
      <c r="F111" s="20" t="s">
        <v>200</v>
      </c>
      <c r="G111" s="8" t="str">
        <f t="shared" si="1"/>
        <v>DAVIS MICHAEL</v>
      </c>
    </row>
    <row r="112" spans="1:7" x14ac:dyDescent="0.25">
      <c r="A112" s="8">
        <v>42800.543333333335</v>
      </c>
      <c r="B112" s="20" t="s">
        <v>301</v>
      </c>
      <c r="C112" s="20" t="s">
        <v>694</v>
      </c>
      <c r="D112" s="150">
        <v>1180000</v>
      </c>
      <c r="E112" s="20" t="s">
        <v>689</v>
      </c>
      <c r="F112" s="20" t="s">
        <v>690</v>
      </c>
      <c r="G112" s="8" t="str">
        <f t="shared" si="1"/>
        <v>LEVERE CRAIG</v>
      </c>
    </row>
    <row r="113" spans="1:7" x14ac:dyDescent="0.25">
      <c r="A113" s="8">
        <v>42800.550509259258</v>
      </c>
      <c r="B113" s="20" t="s">
        <v>456</v>
      </c>
      <c r="C113" s="20" t="s">
        <v>695</v>
      </c>
      <c r="D113" s="150">
        <v>2530000</v>
      </c>
      <c r="E113" s="20" t="s">
        <v>505</v>
      </c>
      <c r="F113" s="20" t="s">
        <v>506</v>
      </c>
      <c r="G113" s="8" t="str">
        <f t="shared" si="1"/>
        <v>LALONDE GREGORY</v>
      </c>
    </row>
    <row r="114" spans="1:7" x14ac:dyDescent="0.25">
      <c r="A114" s="8">
        <v>42800.552222222221</v>
      </c>
      <c r="B114" s="20" t="s">
        <v>272</v>
      </c>
      <c r="C114" s="20" t="s">
        <v>696</v>
      </c>
      <c r="D114" s="150">
        <v>1300000</v>
      </c>
      <c r="E114" s="20" t="s">
        <v>510</v>
      </c>
      <c r="F114" s="20" t="s">
        <v>511</v>
      </c>
      <c r="G114" s="8" t="str">
        <f t="shared" si="1"/>
        <v>LEVIN SCOTT</v>
      </c>
    </row>
    <row r="115" spans="1:7" x14ac:dyDescent="0.25">
      <c r="A115" s="8">
        <v>42800.559560185182</v>
      </c>
      <c r="B115" s="20" t="s">
        <v>453</v>
      </c>
      <c r="C115" s="20" t="s">
        <v>697</v>
      </c>
      <c r="D115" s="150">
        <v>2600000</v>
      </c>
      <c r="E115" s="20" t="s">
        <v>512</v>
      </c>
      <c r="F115" s="20" t="s">
        <v>459</v>
      </c>
      <c r="G115" s="8" t="str">
        <f t="shared" si="1"/>
        <v>DAVIDSON DAVID</v>
      </c>
    </row>
    <row r="116" spans="1:7" x14ac:dyDescent="0.25">
      <c r="A116" s="8">
        <v>42800.564074074071</v>
      </c>
      <c r="B116" s="20" t="s">
        <v>485</v>
      </c>
      <c r="C116" s="20" t="s">
        <v>698</v>
      </c>
      <c r="D116" s="150">
        <v>2470000</v>
      </c>
      <c r="E116" s="20" t="s">
        <v>507</v>
      </c>
      <c r="F116" s="20" t="s">
        <v>508</v>
      </c>
      <c r="G116" s="8" t="str">
        <f t="shared" si="1"/>
        <v>ROMERO CHAD</v>
      </c>
    </row>
    <row r="117" spans="1:7" x14ac:dyDescent="0.25">
      <c r="A117" s="8">
        <v>42800.566712962966</v>
      </c>
      <c r="B117" s="20" t="s">
        <v>213</v>
      </c>
      <c r="C117" s="20" t="s">
        <v>699</v>
      </c>
      <c r="D117" s="150">
        <v>880000</v>
      </c>
      <c r="E117" s="20" t="s">
        <v>509</v>
      </c>
      <c r="F117" s="20" t="s">
        <v>200</v>
      </c>
      <c r="G117" s="8" t="str">
        <f t="shared" si="1"/>
        <v>STEWART MICHAEL</v>
      </c>
    </row>
    <row r="118" spans="1:7" x14ac:dyDescent="0.25">
      <c r="A118" s="8">
        <v>42800.566921296297</v>
      </c>
      <c r="B118" s="20" t="s">
        <v>554</v>
      </c>
      <c r="C118" s="20" t="s">
        <v>700</v>
      </c>
      <c r="D118" s="150">
        <v>1300000</v>
      </c>
      <c r="E118" s="20" t="s">
        <v>510</v>
      </c>
      <c r="F118" s="20" t="s">
        <v>511</v>
      </c>
      <c r="G118" s="8" t="str">
        <f t="shared" si="1"/>
        <v>LEVIN SCOTT</v>
      </c>
    </row>
    <row r="119" spans="1:7" x14ac:dyDescent="0.25">
      <c r="A119" s="8">
        <v>42800.571458333332</v>
      </c>
      <c r="B119" s="20" t="s">
        <v>300</v>
      </c>
      <c r="C119" s="20" t="s">
        <v>582</v>
      </c>
      <c r="D119" s="150">
        <v>1120000</v>
      </c>
      <c r="E119" s="20" t="s">
        <v>279</v>
      </c>
      <c r="F119" s="20" t="s">
        <v>280</v>
      </c>
      <c r="G119" s="8" t="str">
        <f t="shared" si="1"/>
        <v>LOCKLEAR TRAVIS</v>
      </c>
    </row>
    <row r="120" spans="1:7" x14ac:dyDescent="0.25">
      <c r="A120" s="8">
        <v>42800.578252314815</v>
      </c>
      <c r="B120" s="20" t="s">
        <v>501</v>
      </c>
      <c r="C120" s="20" t="s">
        <v>582</v>
      </c>
      <c r="D120" s="150">
        <v>1120000</v>
      </c>
      <c r="E120" s="20" t="s">
        <v>279</v>
      </c>
      <c r="F120" s="20" t="s">
        <v>280</v>
      </c>
      <c r="G120" s="8" t="str">
        <f t="shared" si="1"/>
        <v>LOCKLEAR TRAVIS</v>
      </c>
    </row>
    <row r="121" spans="1:7" x14ac:dyDescent="0.25">
      <c r="A121" s="8">
        <v>42800.579502314817</v>
      </c>
      <c r="B121" s="20" t="s">
        <v>583</v>
      </c>
      <c r="C121" s="20" t="s">
        <v>584</v>
      </c>
      <c r="D121" s="150">
        <v>2420000</v>
      </c>
      <c r="E121" s="20" t="s">
        <v>502</v>
      </c>
      <c r="F121" s="20" t="s">
        <v>503</v>
      </c>
      <c r="G121" s="8" t="str">
        <f t="shared" si="1"/>
        <v>HOLCOMB KAMDEN</v>
      </c>
    </row>
    <row r="122" spans="1:7" x14ac:dyDescent="0.25">
      <c r="A122" s="8">
        <v>42800.580983796295</v>
      </c>
      <c r="B122" s="25" t="s">
        <v>451</v>
      </c>
      <c r="C122" s="20" t="s">
        <v>701</v>
      </c>
      <c r="D122" s="150">
        <v>920000</v>
      </c>
      <c r="E122" s="20" t="s">
        <v>496</v>
      </c>
      <c r="F122" s="20" t="s">
        <v>200</v>
      </c>
      <c r="G122" s="8" t="str">
        <f t="shared" si="1"/>
        <v>DAVIS MICHAEL</v>
      </c>
    </row>
    <row r="123" spans="1:7" x14ac:dyDescent="0.25">
      <c r="A123" s="8">
        <v>42800.582361111112</v>
      </c>
      <c r="B123" s="20" t="s">
        <v>501</v>
      </c>
      <c r="C123" s="20" t="s">
        <v>582</v>
      </c>
      <c r="D123" s="150">
        <v>1120000</v>
      </c>
      <c r="E123" s="20" t="s">
        <v>279</v>
      </c>
      <c r="F123" s="20" t="s">
        <v>280</v>
      </c>
      <c r="G123" s="8" t="str">
        <f t="shared" si="1"/>
        <v>LOCKLEAR TRAVIS</v>
      </c>
    </row>
    <row r="124" spans="1:7" x14ac:dyDescent="0.25">
      <c r="A124" s="8">
        <v>42800.586435185185</v>
      </c>
      <c r="B124" s="20" t="s">
        <v>588</v>
      </c>
      <c r="C124" s="20" t="s">
        <v>702</v>
      </c>
      <c r="D124" s="150">
        <v>2530000</v>
      </c>
      <c r="E124" s="20" t="s">
        <v>505</v>
      </c>
      <c r="F124" s="20" t="s">
        <v>506</v>
      </c>
      <c r="G124" s="8" t="str">
        <f t="shared" si="1"/>
        <v>LALONDE GREGORY</v>
      </c>
    </row>
    <row r="125" spans="1:7" x14ac:dyDescent="0.25">
      <c r="A125" s="8">
        <v>42800.595405092594</v>
      </c>
      <c r="B125" s="20" t="s">
        <v>454</v>
      </c>
      <c r="C125" s="20" t="s">
        <v>703</v>
      </c>
      <c r="D125" s="150">
        <v>2600000</v>
      </c>
      <c r="E125" s="20" t="s">
        <v>512</v>
      </c>
      <c r="F125" s="20" t="s">
        <v>459</v>
      </c>
      <c r="G125" s="8" t="str">
        <f t="shared" si="1"/>
        <v>DAVIDSON DAVID</v>
      </c>
    </row>
    <row r="126" spans="1:7" x14ac:dyDescent="0.25">
      <c r="A126" s="8">
        <v>42800.596134259256</v>
      </c>
      <c r="B126" s="20" t="s">
        <v>272</v>
      </c>
      <c r="C126" s="20" t="s">
        <v>704</v>
      </c>
      <c r="D126" s="150">
        <v>1300000</v>
      </c>
      <c r="E126" s="20" t="s">
        <v>510</v>
      </c>
      <c r="F126" s="20" t="s">
        <v>511</v>
      </c>
      <c r="G126" s="8" t="str">
        <f t="shared" si="1"/>
        <v>LEVIN SCOTT</v>
      </c>
    </row>
    <row r="127" spans="1:7" x14ac:dyDescent="0.25">
      <c r="A127" s="8">
        <v>42800.598738425928</v>
      </c>
      <c r="B127" s="20" t="s">
        <v>483</v>
      </c>
      <c r="C127" s="20" t="s">
        <v>705</v>
      </c>
      <c r="D127" s="150">
        <v>2470000</v>
      </c>
      <c r="E127" s="20" t="s">
        <v>507</v>
      </c>
      <c r="F127" s="20" t="s">
        <v>508</v>
      </c>
      <c r="G127" s="8" t="str">
        <f t="shared" si="1"/>
        <v>ROMERO CHAD</v>
      </c>
    </row>
    <row r="128" spans="1:7" x14ac:dyDescent="0.25">
      <c r="A128" s="8">
        <v>42800.60491898148</v>
      </c>
      <c r="B128" s="20" t="s">
        <v>212</v>
      </c>
      <c r="C128" s="20" t="s">
        <v>706</v>
      </c>
      <c r="D128" s="150">
        <v>880000</v>
      </c>
      <c r="E128" s="20" t="s">
        <v>509</v>
      </c>
      <c r="F128" s="20" t="s">
        <v>200</v>
      </c>
      <c r="G128" s="8" t="str">
        <f t="shared" si="1"/>
        <v>STEWART MICHAEL</v>
      </c>
    </row>
    <row r="129" spans="1:7" x14ac:dyDescent="0.25">
      <c r="A129" s="8">
        <v>42800.608472222222</v>
      </c>
      <c r="B129" s="20" t="s">
        <v>554</v>
      </c>
      <c r="C129" s="20" t="s">
        <v>707</v>
      </c>
      <c r="D129" s="150">
        <v>1300000</v>
      </c>
      <c r="E129" s="20" t="s">
        <v>510</v>
      </c>
      <c r="F129" s="20" t="s">
        <v>511</v>
      </c>
      <c r="G129" s="8" t="str">
        <f t="shared" si="1"/>
        <v>LEVIN SCOTT</v>
      </c>
    </row>
    <row r="130" spans="1:7" x14ac:dyDescent="0.25">
      <c r="A130" s="8">
        <v>42800.608819444446</v>
      </c>
      <c r="B130" s="20" t="s">
        <v>498</v>
      </c>
      <c r="C130" s="20" t="s">
        <v>708</v>
      </c>
      <c r="D130" s="150">
        <v>1120000</v>
      </c>
      <c r="E130" s="20" t="s">
        <v>279</v>
      </c>
      <c r="F130" s="20" t="s">
        <v>280</v>
      </c>
      <c r="G130" s="8" t="str">
        <f t="shared" si="1"/>
        <v>LOCKLEAR TRAVIS</v>
      </c>
    </row>
    <row r="131" spans="1:7" x14ac:dyDescent="0.25">
      <c r="A131" s="8">
        <v>42800.620104166665</v>
      </c>
      <c r="B131" s="20" t="s">
        <v>450</v>
      </c>
      <c r="C131" s="20" t="s">
        <v>586</v>
      </c>
      <c r="D131" s="150">
        <v>2420000</v>
      </c>
      <c r="E131" s="20" t="s">
        <v>502</v>
      </c>
      <c r="F131" s="20" t="s">
        <v>503</v>
      </c>
      <c r="G131" s="8" t="str">
        <f t="shared" ref="G131:G194" si="2">E131&amp;" "&amp;F131</f>
        <v>HOLCOMB KAMDEN</v>
      </c>
    </row>
    <row r="132" spans="1:7" x14ac:dyDescent="0.25">
      <c r="A132" s="8">
        <v>42800.620995370373</v>
      </c>
      <c r="B132" s="20" t="s">
        <v>302</v>
      </c>
      <c r="C132" s="20" t="s">
        <v>585</v>
      </c>
      <c r="D132" s="150">
        <v>920000</v>
      </c>
      <c r="E132" s="20" t="s">
        <v>496</v>
      </c>
      <c r="F132" s="20" t="s">
        <v>200</v>
      </c>
      <c r="G132" s="8" t="str">
        <f t="shared" si="2"/>
        <v>DAVIS MICHAEL</v>
      </c>
    </row>
    <row r="133" spans="1:7" x14ac:dyDescent="0.25">
      <c r="A133" s="8">
        <v>42800.622361111113</v>
      </c>
      <c r="B133" s="20" t="s">
        <v>456</v>
      </c>
      <c r="C133" s="20" t="s">
        <v>709</v>
      </c>
      <c r="D133" s="150">
        <v>930000</v>
      </c>
      <c r="E133" s="20" t="s">
        <v>678</v>
      </c>
      <c r="F133" s="20" t="s">
        <v>679</v>
      </c>
      <c r="G133" s="8" t="str">
        <f t="shared" si="2"/>
        <v>CLARK KATHLEEN</v>
      </c>
    </row>
    <row r="134" spans="1:7" x14ac:dyDescent="0.25">
      <c r="A134" s="8">
        <v>42800.629780092589</v>
      </c>
      <c r="B134" s="20" t="s">
        <v>453</v>
      </c>
      <c r="C134" s="20" t="s">
        <v>587</v>
      </c>
      <c r="D134" s="150">
        <v>2600000</v>
      </c>
      <c r="E134" s="20" t="s">
        <v>512</v>
      </c>
      <c r="F134" s="20" t="s">
        <v>459</v>
      </c>
      <c r="G134" s="8" t="str">
        <f t="shared" si="2"/>
        <v>DAVIDSON DAVID</v>
      </c>
    </row>
    <row r="135" spans="1:7" x14ac:dyDescent="0.25">
      <c r="A135" s="8">
        <v>42800.633055555554</v>
      </c>
      <c r="B135" s="20" t="s">
        <v>485</v>
      </c>
      <c r="C135" s="20" t="s">
        <v>710</v>
      </c>
      <c r="D135" s="150">
        <v>2470000</v>
      </c>
      <c r="E135" s="20" t="s">
        <v>507</v>
      </c>
      <c r="F135" s="20" t="s">
        <v>508</v>
      </c>
      <c r="G135" s="8" t="str">
        <f t="shared" si="2"/>
        <v>ROMERO CHAD</v>
      </c>
    </row>
    <row r="136" spans="1:7" x14ac:dyDescent="0.25">
      <c r="A136" s="8">
        <v>42800.63658564815</v>
      </c>
      <c r="B136" s="20" t="s">
        <v>256</v>
      </c>
      <c r="C136" s="20" t="s">
        <v>711</v>
      </c>
      <c r="D136" s="150">
        <v>1810000</v>
      </c>
      <c r="E136" s="20" t="s">
        <v>202</v>
      </c>
      <c r="F136" s="20" t="s">
        <v>197</v>
      </c>
      <c r="G136" s="8" t="str">
        <f t="shared" si="2"/>
        <v>NEWELL JAMES</v>
      </c>
    </row>
    <row r="137" spans="1:7" x14ac:dyDescent="0.25">
      <c r="A137" s="8">
        <v>42800.636643518519</v>
      </c>
      <c r="B137" s="20" t="s">
        <v>272</v>
      </c>
      <c r="C137" s="20" t="s">
        <v>712</v>
      </c>
      <c r="D137" s="150">
        <v>1300000</v>
      </c>
      <c r="E137" s="20" t="s">
        <v>510</v>
      </c>
      <c r="F137" s="20" t="s">
        <v>511</v>
      </c>
      <c r="G137" s="8" t="str">
        <f t="shared" si="2"/>
        <v>LEVIN SCOTT</v>
      </c>
    </row>
    <row r="138" spans="1:7" x14ac:dyDescent="0.25">
      <c r="A138" s="8">
        <v>42800.640787037039</v>
      </c>
      <c r="B138" s="20" t="s">
        <v>213</v>
      </c>
      <c r="C138" s="20" t="s">
        <v>713</v>
      </c>
      <c r="D138" s="150">
        <v>880000</v>
      </c>
      <c r="E138" s="20" t="s">
        <v>509</v>
      </c>
      <c r="F138" s="20" t="s">
        <v>200</v>
      </c>
      <c r="G138" s="8" t="str">
        <f t="shared" si="2"/>
        <v>STEWART MICHAEL</v>
      </c>
    </row>
    <row r="139" spans="1:7" x14ac:dyDescent="0.25">
      <c r="A139" s="8">
        <v>42800.643576388888</v>
      </c>
      <c r="B139" s="20" t="s">
        <v>501</v>
      </c>
      <c r="C139" s="20" t="s">
        <v>714</v>
      </c>
      <c r="D139" s="150">
        <v>1120000</v>
      </c>
      <c r="E139" s="20" t="s">
        <v>279</v>
      </c>
      <c r="F139" s="20" t="s">
        <v>280</v>
      </c>
      <c r="G139" s="8" t="str">
        <f t="shared" si="2"/>
        <v>LOCKLEAR TRAVIS</v>
      </c>
    </row>
    <row r="140" spans="1:7" x14ac:dyDescent="0.25">
      <c r="A140" s="8">
        <v>42800.649085648147</v>
      </c>
      <c r="B140" s="20" t="s">
        <v>258</v>
      </c>
      <c r="C140" s="20" t="s">
        <v>715</v>
      </c>
      <c r="D140" s="150">
        <v>1810000</v>
      </c>
      <c r="E140" s="20" t="s">
        <v>202</v>
      </c>
      <c r="F140" s="20" t="s">
        <v>197</v>
      </c>
      <c r="G140" s="8" t="str">
        <f t="shared" si="2"/>
        <v>NEWELL JAMES</v>
      </c>
    </row>
    <row r="141" spans="1:7" x14ac:dyDescent="0.25">
      <c r="A141" s="8">
        <v>42800.65016203704</v>
      </c>
      <c r="B141" s="20" t="s">
        <v>554</v>
      </c>
      <c r="C141" s="20" t="s">
        <v>716</v>
      </c>
      <c r="D141" s="150">
        <v>1300000</v>
      </c>
      <c r="E141" s="20" t="s">
        <v>510</v>
      </c>
      <c r="F141" s="20" t="s">
        <v>511</v>
      </c>
      <c r="G141" s="8" t="str">
        <f t="shared" si="2"/>
        <v>LEVIN SCOTT</v>
      </c>
    </row>
    <row r="142" spans="1:7" x14ac:dyDescent="0.25">
      <c r="A142" s="8">
        <v>42800.650497685187</v>
      </c>
      <c r="B142" s="20" t="s">
        <v>303</v>
      </c>
      <c r="C142" s="20" t="s">
        <v>717</v>
      </c>
      <c r="D142" s="150">
        <v>1180000</v>
      </c>
      <c r="E142" s="20" t="s">
        <v>689</v>
      </c>
      <c r="F142" s="20" t="s">
        <v>690</v>
      </c>
      <c r="G142" s="8" t="str">
        <f t="shared" si="2"/>
        <v>LEVERE CRAIG</v>
      </c>
    </row>
    <row r="143" spans="1:7" x14ac:dyDescent="0.25">
      <c r="A143" s="8">
        <v>42800.653877314813</v>
      </c>
      <c r="B143" s="20" t="s">
        <v>205</v>
      </c>
      <c r="C143" s="20" t="s">
        <v>718</v>
      </c>
      <c r="D143" s="150">
        <v>2530000</v>
      </c>
      <c r="E143" s="20" t="s">
        <v>505</v>
      </c>
      <c r="F143" s="20" t="s">
        <v>506</v>
      </c>
      <c r="G143" s="8" t="str">
        <f t="shared" si="2"/>
        <v>LALONDE GREGORY</v>
      </c>
    </row>
    <row r="144" spans="1:7" x14ac:dyDescent="0.25">
      <c r="A144" s="8">
        <v>42800.656990740739</v>
      </c>
      <c r="B144" s="20" t="s">
        <v>451</v>
      </c>
      <c r="C144" s="20" t="s">
        <v>591</v>
      </c>
      <c r="D144" s="150">
        <v>920000</v>
      </c>
      <c r="E144" s="20" t="s">
        <v>496</v>
      </c>
      <c r="F144" s="20" t="s">
        <v>200</v>
      </c>
      <c r="G144" s="8" t="str">
        <f t="shared" si="2"/>
        <v>DAVIS MICHAEL</v>
      </c>
    </row>
    <row r="145" spans="1:7" x14ac:dyDescent="0.25">
      <c r="A145" s="8">
        <v>42800.664293981485</v>
      </c>
      <c r="B145" s="20" t="s">
        <v>588</v>
      </c>
      <c r="C145" s="20" t="s">
        <v>589</v>
      </c>
      <c r="D145" s="150">
        <v>930000</v>
      </c>
      <c r="E145" s="20" t="s">
        <v>678</v>
      </c>
      <c r="F145" s="20" t="s">
        <v>679</v>
      </c>
      <c r="G145" s="8" t="str">
        <f t="shared" si="2"/>
        <v>CLARK KATHLEEN</v>
      </c>
    </row>
    <row r="146" spans="1:7" x14ac:dyDescent="0.25">
      <c r="A146" s="8">
        <v>42800.66611111111</v>
      </c>
      <c r="B146" s="20" t="s">
        <v>454</v>
      </c>
      <c r="C146" s="20" t="s">
        <v>719</v>
      </c>
      <c r="D146" s="150">
        <v>2600000</v>
      </c>
      <c r="E146" s="20" t="s">
        <v>512</v>
      </c>
      <c r="F146" s="20" t="s">
        <v>459</v>
      </c>
      <c r="G146" s="8" t="str">
        <f t="shared" si="2"/>
        <v>DAVIDSON DAVID</v>
      </c>
    </row>
    <row r="147" spans="1:7" x14ac:dyDescent="0.25">
      <c r="A147" s="8">
        <v>42800.668090277781</v>
      </c>
      <c r="B147" s="20" t="s">
        <v>483</v>
      </c>
      <c r="C147" s="20" t="s">
        <v>590</v>
      </c>
      <c r="D147" s="150">
        <v>2470000</v>
      </c>
      <c r="E147" s="20" t="s">
        <v>507</v>
      </c>
      <c r="F147" s="20" t="s">
        <v>508</v>
      </c>
      <c r="G147" s="8" t="str">
        <f t="shared" si="2"/>
        <v>ROMERO CHAD</v>
      </c>
    </row>
    <row r="148" spans="1:7" x14ac:dyDescent="0.25">
      <c r="A148" s="8">
        <v>42800.670706018522</v>
      </c>
      <c r="B148" s="20" t="s">
        <v>256</v>
      </c>
      <c r="C148" s="20" t="s">
        <v>720</v>
      </c>
      <c r="D148" s="150">
        <v>1810000</v>
      </c>
      <c r="E148" s="20" t="s">
        <v>202</v>
      </c>
      <c r="F148" s="20" t="s">
        <v>197</v>
      </c>
      <c r="G148" s="8" t="str">
        <f t="shared" si="2"/>
        <v>NEWELL JAMES</v>
      </c>
    </row>
    <row r="149" spans="1:7" x14ac:dyDescent="0.25">
      <c r="A149" s="8">
        <v>42800.676377314812</v>
      </c>
      <c r="B149" s="20" t="s">
        <v>212</v>
      </c>
      <c r="C149" s="20" t="s">
        <v>721</v>
      </c>
      <c r="D149" s="150">
        <v>880000</v>
      </c>
      <c r="E149" s="20" t="s">
        <v>509</v>
      </c>
      <c r="F149" s="20" t="s">
        <v>200</v>
      </c>
      <c r="G149" s="8" t="str">
        <f t="shared" si="2"/>
        <v>STEWART MICHAEL</v>
      </c>
    </row>
    <row r="150" spans="1:7" x14ac:dyDescent="0.25">
      <c r="A150" s="8">
        <v>42800.67732638889</v>
      </c>
      <c r="B150" s="20" t="s">
        <v>272</v>
      </c>
      <c r="C150" s="20" t="s">
        <v>722</v>
      </c>
      <c r="D150" s="150">
        <v>1300000</v>
      </c>
      <c r="E150" s="20" t="s">
        <v>510</v>
      </c>
      <c r="F150" s="20" t="s">
        <v>511</v>
      </c>
      <c r="G150" s="8" t="str">
        <f t="shared" si="2"/>
        <v>LEVIN SCOTT</v>
      </c>
    </row>
    <row r="151" spans="1:7" x14ac:dyDescent="0.25">
      <c r="A151" s="8">
        <v>42800.68178240741</v>
      </c>
      <c r="B151" s="20" t="s">
        <v>583</v>
      </c>
      <c r="C151" s="20" t="s">
        <v>723</v>
      </c>
      <c r="D151" s="150">
        <v>2420000</v>
      </c>
      <c r="E151" s="20" t="s">
        <v>502</v>
      </c>
      <c r="F151" s="20" t="s">
        <v>503</v>
      </c>
      <c r="G151" s="8" t="str">
        <f t="shared" si="2"/>
        <v>HOLCOMB KAMDEN</v>
      </c>
    </row>
    <row r="152" spans="1:7" x14ac:dyDescent="0.25">
      <c r="A152" s="8">
        <v>42800.682627314818</v>
      </c>
      <c r="B152" s="20" t="s">
        <v>498</v>
      </c>
      <c r="C152" s="20" t="s">
        <v>592</v>
      </c>
      <c r="D152" s="150">
        <v>1120000</v>
      </c>
      <c r="E152" s="20" t="s">
        <v>279</v>
      </c>
      <c r="F152" s="20" t="s">
        <v>280</v>
      </c>
      <c r="G152" s="8" t="str">
        <f t="shared" si="2"/>
        <v>LOCKLEAR TRAVIS</v>
      </c>
    </row>
    <row r="153" spans="1:7" x14ac:dyDescent="0.25">
      <c r="A153" s="8">
        <v>42800.689768518518</v>
      </c>
      <c r="B153" s="20" t="s">
        <v>301</v>
      </c>
      <c r="C153" s="20" t="s">
        <v>724</v>
      </c>
      <c r="D153" s="150">
        <v>1180000</v>
      </c>
      <c r="E153" s="20" t="s">
        <v>689</v>
      </c>
      <c r="F153" s="20" t="s">
        <v>690</v>
      </c>
      <c r="G153" s="8" t="str">
        <f t="shared" si="2"/>
        <v>LEVERE CRAIG</v>
      </c>
    </row>
    <row r="154" spans="1:7" x14ac:dyDescent="0.25">
      <c r="A154" s="8">
        <v>42800.691111111111</v>
      </c>
      <c r="B154" s="20" t="s">
        <v>301</v>
      </c>
      <c r="C154" s="20" t="s">
        <v>724</v>
      </c>
      <c r="D154" s="150">
        <v>1180000</v>
      </c>
      <c r="E154" s="20" t="s">
        <v>689</v>
      </c>
      <c r="F154" s="20" t="s">
        <v>690</v>
      </c>
      <c r="G154" s="8" t="str">
        <f t="shared" si="2"/>
        <v>LEVERE CRAIG</v>
      </c>
    </row>
    <row r="155" spans="1:7" x14ac:dyDescent="0.25">
      <c r="A155" s="8">
        <v>42800.691724537035</v>
      </c>
      <c r="B155" s="20" t="s">
        <v>258</v>
      </c>
      <c r="C155" s="20" t="s">
        <v>725</v>
      </c>
      <c r="D155" s="150">
        <v>1810000</v>
      </c>
      <c r="E155" s="20" t="s">
        <v>202</v>
      </c>
      <c r="F155" s="20" t="s">
        <v>197</v>
      </c>
      <c r="G155" s="8" t="str">
        <f t="shared" si="2"/>
        <v>NEWELL JAMES</v>
      </c>
    </row>
    <row r="156" spans="1:7" x14ac:dyDescent="0.25">
      <c r="A156" s="8">
        <v>42800.692789351851</v>
      </c>
      <c r="B156" s="20" t="s">
        <v>554</v>
      </c>
      <c r="C156" s="20" t="s">
        <v>726</v>
      </c>
      <c r="D156" s="150">
        <v>1300000</v>
      </c>
      <c r="E156" s="20" t="s">
        <v>510</v>
      </c>
      <c r="F156" s="20" t="s">
        <v>511</v>
      </c>
      <c r="G156" s="8" t="str">
        <f t="shared" si="2"/>
        <v>LEVIN SCOTT</v>
      </c>
    </row>
    <row r="157" spans="1:7" x14ac:dyDescent="0.25">
      <c r="A157" s="8">
        <v>42800.700011574074</v>
      </c>
      <c r="B157" s="20" t="s">
        <v>453</v>
      </c>
      <c r="C157" s="20" t="s">
        <v>727</v>
      </c>
      <c r="D157" s="150">
        <v>2600000</v>
      </c>
      <c r="E157" s="20" t="s">
        <v>512</v>
      </c>
      <c r="F157" s="20" t="s">
        <v>459</v>
      </c>
      <c r="G157" s="8" t="str">
        <f t="shared" si="2"/>
        <v>DAVIDSON DAVID</v>
      </c>
    </row>
    <row r="158" spans="1:7" x14ac:dyDescent="0.25">
      <c r="A158" s="8">
        <v>42800.707002314812</v>
      </c>
      <c r="B158" s="20" t="s">
        <v>456</v>
      </c>
      <c r="C158" s="20" t="s">
        <v>728</v>
      </c>
      <c r="D158" s="150">
        <v>930000</v>
      </c>
      <c r="E158" s="20" t="s">
        <v>678</v>
      </c>
      <c r="F158" s="20" t="s">
        <v>679</v>
      </c>
      <c r="G158" s="8" t="str">
        <f t="shared" si="2"/>
        <v>CLARK KATHLEEN</v>
      </c>
    </row>
    <row r="159" spans="1:7" x14ac:dyDescent="0.25">
      <c r="A159" s="8">
        <v>42800.709050925929</v>
      </c>
      <c r="B159" s="20" t="s">
        <v>485</v>
      </c>
      <c r="C159" s="20" t="s">
        <v>594</v>
      </c>
      <c r="D159" s="150">
        <v>2470000</v>
      </c>
      <c r="E159" s="20" t="s">
        <v>507</v>
      </c>
      <c r="F159" s="20" t="s">
        <v>508</v>
      </c>
      <c r="G159" s="8" t="str">
        <f t="shared" si="2"/>
        <v>ROMERO CHAD</v>
      </c>
    </row>
    <row r="160" spans="1:7" x14ac:dyDescent="0.25">
      <c r="A160" s="8">
        <v>42800.712627314817</v>
      </c>
      <c r="B160" s="20" t="s">
        <v>256</v>
      </c>
      <c r="C160" s="20" t="s">
        <v>593</v>
      </c>
      <c r="D160" s="150">
        <v>1810000</v>
      </c>
      <c r="E160" s="20" t="s">
        <v>202</v>
      </c>
      <c r="F160" s="20" t="s">
        <v>197</v>
      </c>
      <c r="G160" s="8" t="str">
        <f t="shared" si="2"/>
        <v>NEWELL JAMES</v>
      </c>
    </row>
    <row r="161" spans="1:7" x14ac:dyDescent="0.25">
      <c r="A161" s="8">
        <v>42800.714155092595</v>
      </c>
      <c r="B161" s="20" t="s">
        <v>213</v>
      </c>
      <c r="C161" s="20" t="s">
        <v>595</v>
      </c>
      <c r="D161" s="150">
        <v>880000</v>
      </c>
      <c r="E161" s="20" t="s">
        <v>509</v>
      </c>
      <c r="F161" s="20" t="s">
        <v>200</v>
      </c>
      <c r="G161" s="8" t="str">
        <f t="shared" si="2"/>
        <v>STEWART MICHAEL</v>
      </c>
    </row>
    <row r="162" spans="1:7" x14ac:dyDescent="0.25">
      <c r="A162" s="8">
        <v>42800.718055555553</v>
      </c>
      <c r="B162" s="20" t="s">
        <v>272</v>
      </c>
      <c r="C162" s="20" t="s">
        <v>729</v>
      </c>
      <c r="D162" s="150">
        <v>1300000</v>
      </c>
      <c r="E162" s="20" t="s">
        <v>510</v>
      </c>
      <c r="F162" s="20" t="s">
        <v>511</v>
      </c>
      <c r="G162" s="8" t="str">
        <f t="shared" si="2"/>
        <v>LEVIN SCOTT</v>
      </c>
    </row>
    <row r="163" spans="1:7" x14ac:dyDescent="0.25">
      <c r="A163" s="8">
        <v>42800.718159722222</v>
      </c>
      <c r="B163" s="20" t="s">
        <v>450</v>
      </c>
      <c r="C163" s="20" t="s">
        <v>730</v>
      </c>
      <c r="D163" s="150">
        <v>2420000</v>
      </c>
      <c r="E163" s="20" t="s">
        <v>502</v>
      </c>
      <c r="F163" s="20" t="s">
        <v>503</v>
      </c>
      <c r="G163" s="8" t="str">
        <f t="shared" si="2"/>
        <v>HOLCOMB KAMDEN</v>
      </c>
    </row>
    <row r="164" spans="1:7" x14ac:dyDescent="0.25">
      <c r="A164" s="8">
        <v>42800.719155092593</v>
      </c>
      <c r="B164" s="20" t="s">
        <v>302</v>
      </c>
      <c r="C164" s="20" t="s">
        <v>731</v>
      </c>
      <c r="D164" s="150">
        <v>2530000</v>
      </c>
      <c r="E164" s="20" t="s">
        <v>505</v>
      </c>
      <c r="F164" s="20" t="s">
        <v>506</v>
      </c>
      <c r="G164" s="8" t="str">
        <f t="shared" si="2"/>
        <v>LALONDE GREGORY</v>
      </c>
    </row>
    <row r="165" spans="1:7" x14ac:dyDescent="0.25">
      <c r="A165" s="8">
        <v>42800.720393518517</v>
      </c>
      <c r="B165" s="20" t="s">
        <v>501</v>
      </c>
      <c r="C165" s="20" t="s">
        <v>732</v>
      </c>
      <c r="D165" s="150">
        <v>1800000</v>
      </c>
      <c r="E165" s="20" t="s">
        <v>226</v>
      </c>
      <c r="F165" s="20" t="s">
        <v>227</v>
      </c>
      <c r="G165" s="8" t="str">
        <f t="shared" si="2"/>
        <v>CHANDLER KELVIN</v>
      </c>
    </row>
    <row r="166" spans="1:7" x14ac:dyDescent="0.25">
      <c r="A166" s="8">
        <v>42800.727442129632</v>
      </c>
      <c r="B166" s="20" t="s">
        <v>258</v>
      </c>
      <c r="C166" s="20" t="s">
        <v>733</v>
      </c>
      <c r="D166" s="150">
        <v>1810000</v>
      </c>
      <c r="E166" s="20" t="s">
        <v>202</v>
      </c>
      <c r="F166" s="20" t="s">
        <v>197</v>
      </c>
      <c r="G166" s="8" t="str">
        <f t="shared" si="2"/>
        <v>NEWELL JAMES</v>
      </c>
    </row>
    <row r="167" spans="1:7" x14ac:dyDescent="0.25">
      <c r="A167" s="8">
        <v>42800.730613425927</v>
      </c>
      <c r="B167" s="20" t="s">
        <v>303</v>
      </c>
      <c r="C167" s="20" t="s">
        <v>734</v>
      </c>
      <c r="D167" s="150">
        <v>1120000</v>
      </c>
      <c r="E167" s="20" t="s">
        <v>279</v>
      </c>
      <c r="F167" s="20" t="s">
        <v>280</v>
      </c>
      <c r="G167" s="8" t="str">
        <f t="shared" si="2"/>
        <v>LOCKLEAR TRAVIS</v>
      </c>
    </row>
    <row r="168" spans="1:7" x14ac:dyDescent="0.25">
      <c r="A168" s="8">
        <v>42800.733900462961</v>
      </c>
      <c r="B168" s="20" t="s">
        <v>234</v>
      </c>
      <c r="C168" s="20" t="s">
        <v>735</v>
      </c>
      <c r="D168" s="150">
        <v>2000000</v>
      </c>
      <c r="E168" s="20" t="s">
        <v>491</v>
      </c>
      <c r="F168" s="20" t="s">
        <v>197</v>
      </c>
      <c r="G168" s="8" t="str">
        <f t="shared" si="2"/>
        <v>STAMBAUGH JAMES</v>
      </c>
    </row>
    <row r="169" spans="1:7" x14ac:dyDescent="0.25">
      <c r="A169" s="8">
        <v>42800.734189814815</v>
      </c>
      <c r="B169" s="20" t="s">
        <v>554</v>
      </c>
      <c r="C169" s="20" t="s">
        <v>736</v>
      </c>
      <c r="D169" s="150">
        <v>1300000</v>
      </c>
      <c r="E169" s="20" t="s">
        <v>510</v>
      </c>
      <c r="F169" s="20" t="s">
        <v>511</v>
      </c>
      <c r="G169" s="8" t="str">
        <f t="shared" si="2"/>
        <v>LEVIN SCOTT</v>
      </c>
    </row>
    <row r="170" spans="1:7" x14ac:dyDescent="0.25">
      <c r="A170" s="8">
        <v>42800.737627314818</v>
      </c>
      <c r="B170" s="20" t="s">
        <v>588</v>
      </c>
      <c r="C170" s="20" t="s">
        <v>737</v>
      </c>
      <c r="D170" s="150">
        <v>930000</v>
      </c>
      <c r="E170" s="20" t="s">
        <v>678</v>
      </c>
      <c r="F170" s="20" t="s">
        <v>679</v>
      </c>
      <c r="G170" s="8" t="str">
        <f t="shared" si="2"/>
        <v>CLARK KATHLEEN</v>
      </c>
    </row>
    <row r="171" spans="1:7" x14ac:dyDescent="0.25">
      <c r="A171" s="8">
        <v>42800.741469907407</v>
      </c>
      <c r="B171" s="20" t="s">
        <v>454</v>
      </c>
      <c r="C171" s="20" t="s">
        <v>738</v>
      </c>
      <c r="D171" s="150">
        <v>2230000</v>
      </c>
      <c r="E171" s="20" t="s">
        <v>460</v>
      </c>
      <c r="F171" s="20" t="s">
        <v>200</v>
      </c>
      <c r="G171" s="8" t="str">
        <f t="shared" si="2"/>
        <v>SMITH MICHAEL</v>
      </c>
    </row>
    <row r="172" spans="1:7" x14ac:dyDescent="0.25">
      <c r="A172" s="8">
        <v>42800.744953703703</v>
      </c>
      <c r="B172" s="20" t="s">
        <v>483</v>
      </c>
      <c r="C172" s="20" t="s">
        <v>739</v>
      </c>
      <c r="D172" s="150">
        <v>2470000</v>
      </c>
      <c r="E172" s="20" t="s">
        <v>507</v>
      </c>
      <c r="F172" s="20" t="s">
        <v>508</v>
      </c>
      <c r="G172" s="8" t="str">
        <f t="shared" si="2"/>
        <v>ROMERO CHAD</v>
      </c>
    </row>
    <row r="173" spans="1:7" x14ac:dyDescent="0.25">
      <c r="A173" s="8">
        <v>42800.74863425926</v>
      </c>
      <c r="B173" s="20" t="s">
        <v>212</v>
      </c>
      <c r="C173" s="20" t="s">
        <v>740</v>
      </c>
      <c r="D173" s="150">
        <v>2600000</v>
      </c>
      <c r="E173" s="20" t="s">
        <v>512</v>
      </c>
      <c r="F173" s="20" t="s">
        <v>459</v>
      </c>
      <c r="G173" s="8" t="str">
        <f t="shared" si="2"/>
        <v>DAVIDSON DAVID</v>
      </c>
    </row>
    <row r="174" spans="1:7" x14ac:dyDescent="0.25">
      <c r="A174" s="8">
        <v>42800.754062499997</v>
      </c>
      <c r="B174" s="20" t="s">
        <v>498</v>
      </c>
      <c r="C174" s="20" t="s">
        <v>597</v>
      </c>
      <c r="D174" s="150">
        <v>1800000</v>
      </c>
      <c r="E174" s="20" t="s">
        <v>226</v>
      </c>
      <c r="F174" s="20" t="s">
        <v>227</v>
      </c>
      <c r="G174" s="8" t="str">
        <f t="shared" si="2"/>
        <v>CHANDLER KELVIN</v>
      </c>
    </row>
    <row r="175" spans="1:7" x14ac:dyDescent="0.25">
      <c r="A175" s="8">
        <v>42800.754108796296</v>
      </c>
      <c r="B175" s="20" t="s">
        <v>256</v>
      </c>
      <c r="C175" s="20" t="s">
        <v>741</v>
      </c>
      <c r="D175" s="150">
        <v>1810000</v>
      </c>
      <c r="E175" s="20" t="s">
        <v>202</v>
      </c>
      <c r="F175" s="20" t="s">
        <v>197</v>
      </c>
      <c r="G175" s="8" t="str">
        <f t="shared" si="2"/>
        <v>NEWELL JAMES</v>
      </c>
    </row>
    <row r="176" spans="1:7" x14ac:dyDescent="0.25">
      <c r="A176" s="8">
        <v>42800.76189814815</v>
      </c>
      <c r="B176" s="20" t="s">
        <v>272</v>
      </c>
      <c r="C176" s="20" t="s">
        <v>742</v>
      </c>
      <c r="D176" s="150">
        <v>1300000</v>
      </c>
      <c r="E176" s="20" t="s">
        <v>510</v>
      </c>
      <c r="F176" s="20" t="s">
        <v>511</v>
      </c>
      <c r="G176" s="8" t="str">
        <f t="shared" si="2"/>
        <v>LEVIN SCOTT</v>
      </c>
    </row>
    <row r="177" spans="1:7" x14ac:dyDescent="0.25">
      <c r="A177" s="8">
        <v>42800.763090277775</v>
      </c>
      <c r="B177" s="20" t="s">
        <v>583</v>
      </c>
      <c r="C177" s="20" t="s">
        <v>596</v>
      </c>
      <c r="D177" s="150">
        <v>2000000</v>
      </c>
      <c r="E177" s="20" t="s">
        <v>491</v>
      </c>
      <c r="F177" s="20" t="s">
        <v>197</v>
      </c>
      <c r="G177" s="8" t="str">
        <f t="shared" si="2"/>
        <v>STAMBAUGH JAMES</v>
      </c>
    </row>
    <row r="178" spans="1:7" x14ac:dyDescent="0.25">
      <c r="A178" s="8">
        <v>42800.76458333333</v>
      </c>
      <c r="B178" s="20" t="s">
        <v>301</v>
      </c>
      <c r="C178" s="20" t="s">
        <v>743</v>
      </c>
      <c r="D178" s="150">
        <v>1120000</v>
      </c>
      <c r="E178" s="20" t="s">
        <v>279</v>
      </c>
      <c r="F178" s="20" t="s">
        <v>280</v>
      </c>
      <c r="G178" s="8" t="str">
        <f t="shared" si="2"/>
        <v>LOCKLEAR TRAVIS</v>
      </c>
    </row>
    <row r="179" spans="1:7" x14ac:dyDescent="0.25">
      <c r="A179" s="8">
        <v>42800.76840277778</v>
      </c>
      <c r="B179" s="20" t="s">
        <v>304</v>
      </c>
      <c r="C179" s="20" t="s">
        <v>598</v>
      </c>
      <c r="D179" s="150">
        <v>1740000</v>
      </c>
      <c r="E179" s="20" t="s">
        <v>744</v>
      </c>
      <c r="F179" s="20" t="s">
        <v>745</v>
      </c>
      <c r="G179" s="8" t="str">
        <f t="shared" si="2"/>
        <v>STORY SAMANTHA</v>
      </c>
    </row>
    <row r="180" spans="1:7" x14ac:dyDescent="0.25">
      <c r="A180" s="8">
        <v>42800.769502314812</v>
      </c>
      <c r="B180" s="20" t="s">
        <v>258</v>
      </c>
      <c r="C180" s="20" t="s">
        <v>746</v>
      </c>
      <c r="D180" s="150">
        <v>1810000</v>
      </c>
      <c r="E180" s="20" t="s">
        <v>202</v>
      </c>
      <c r="F180" s="20" t="s">
        <v>197</v>
      </c>
      <c r="G180" s="8" t="str">
        <f t="shared" si="2"/>
        <v>NEWELL JAMES</v>
      </c>
    </row>
    <row r="181" spans="1:7" x14ac:dyDescent="0.25">
      <c r="A181" s="8">
        <v>42800.774918981479</v>
      </c>
      <c r="B181" s="20" t="s">
        <v>554</v>
      </c>
      <c r="C181" s="20" t="s">
        <v>747</v>
      </c>
      <c r="D181" s="150">
        <v>1300000</v>
      </c>
      <c r="E181" s="20" t="s">
        <v>510</v>
      </c>
      <c r="F181" s="20" t="s">
        <v>511</v>
      </c>
      <c r="G181" s="8" t="str">
        <f t="shared" si="2"/>
        <v>LEVIN SCOTT</v>
      </c>
    </row>
    <row r="182" spans="1:7" x14ac:dyDescent="0.25">
      <c r="A182" s="8">
        <v>42800.776296296295</v>
      </c>
      <c r="B182" s="20" t="s">
        <v>453</v>
      </c>
      <c r="C182" s="20" t="s">
        <v>748</v>
      </c>
      <c r="D182" s="150">
        <v>2230000</v>
      </c>
      <c r="E182" s="20" t="s">
        <v>460</v>
      </c>
      <c r="F182" s="20" t="s">
        <v>200</v>
      </c>
      <c r="G182" s="8" t="str">
        <f t="shared" si="2"/>
        <v>SMITH MICHAEL</v>
      </c>
    </row>
    <row r="183" spans="1:7" x14ac:dyDescent="0.25">
      <c r="A183" s="8">
        <v>42800.777187500003</v>
      </c>
      <c r="B183" s="20" t="s">
        <v>456</v>
      </c>
      <c r="C183" s="20" t="s">
        <v>598</v>
      </c>
      <c r="D183" s="150">
        <v>2420000</v>
      </c>
      <c r="E183" s="20" t="s">
        <v>502</v>
      </c>
      <c r="F183" s="20" t="s">
        <v>503</v>
      </c>
      <c r="G183" s="8" t="str">
        <f t="shared" si="2"/>
        <v>HOLCOMB KAMDEN</v>
      </c>
    </row>
    <row r="184" spans="1:7" x14ac:dyDescent="0.25">
      <c r="A184" s="8">
        <v>42800.782881944448</v>
      </c>
      <c r="B184" s="20" t="s">
        <v>485</v>
      </c>
      <c r="C184" s="20" t="s">
        <v>749</v>
      </c>
      <c r="D184" s="150">
        <v>2470000</v>
      </c>
      <c r="E184" s="20" t="s">
        <v>507</v>
      </c>
      <c r="F184" s="20" t="s">
        <v>508</v>
      </c>
      <c r="G184" s="8" t="str">
        <f t="shared" si="2"/>
        <v>ROMERO CHAD</v>
      </c>
    </row>
    <row r="185" spans="1:7" x14ac:dyDescent="0.25">
      <c r="A185" s="8">
        <v>42800.785416666666</v>
      </c>
      <c r="B185" s="20" t="s">
        <v>484</v>
      </c>
      <c r="C185" s="20" t="s">
        <v>750</v>
      </c>
      <c r="D185" s="150">
        <v>930000</v>
      </c>
      <c r="E185" s="20" t="s">
        <v>678</v>
      </c>
      <c r="F185" s="20" t="s">
        <v>679</v>
      </c>
      <c r="G185" s="8" t="str">
        <f t="shared" si="2"/>
        <v>CLARK KATHLEEN</v>
      </c>
    </row>
    <row r="186" spans="1:7" x14ac:dyDescent="0.25">
      <c r="A186" s="8">
        <v>42800.789201388892</v>
      </c>
      <c r="B186" s="20" t="s">
        <v>213</v>
      </c>
      <c r="C186" s="20" t="s">
        <v>751</v>
      </c>
      <c r="D186" s="150">
        <v>2600000</v>
      </c>
      <c r="E186" s="20" t="s">
        <v>512</v>
      </c>
      <c r="F186" s="20" t="s">
        <v>459</v>
      </c>
      <c r="G186" s="8" t="str">
        <f t="shared" si="2"/>
        <v>DAVIDSON DAVID</v>
      </c>
    </row>
    <row r="187" spans="1:7" x14ac:dyDescent="0.25">
      <c r="A187" s="8">
        <v>42800.795636574076</v>
      </c>
      <c r="B187" s="20" t="s">
        <v>501</v>
      </c>
      <c r="C187" s="20" t="s">
        <v>752</v>
      </c>
      <c r="D187" s="150">
        <v>1800000</v>
      </c>
      <c r="E187" s="20" t="s">
        <v>226</v>
      </c>
      <c r="F187" s="20" t="s">
        <v>227</v>
      </c>
      <c r="G187" s="8" t="str">
        <f t="shared" si="2"/>
        <v>CHANDLER KELVIN</v>
      </c>
    </row>
    <row r="188" spans="1:7" x14ac:dyDescent="0.25">
      <c r="A188" s="8">
        <v>42800.795787037037</v>
      </c>
      <c r="B188" s="20" t="s">
        <v>272</v>
      </c>
      <c r="C188" s="20" t="s">
        <v>753</v>
      </c>
      <c r="D188" s="150">
        <v>2610000</v>
      </c>
      <c r="E188" s="20" t="s">
        <v>489</v>
      </c>
      <c r="F188" s="20" t="s">
        <v>490</v>
      </c>
      <c r="G188" s="8" t="str">
        <f t="shared" si="2"/>
        <v>MAGEE KENYA</v>
      </c>
    </row>
    <row r="189" spans="1:7" x14ac:dyDescent="0.25">
      <c r="A189" s="8">
        <v>42800.795995370368</v>
      </c>
      <c r="B189" s="20" t="s">
        <v>256</v>
      </c>
      <c r="C189" s="20" t="s">
        <v>754</v>
      </c>
      <c r="D189" s="150">
        <v>1810000</v>
      </c>
      <c r="E189" s="20" t="s">
        <v>202</v>
      </c>
      <c r="F189" s="20" t="s">
        <v>197</v>
      </c>
      <c r="G189" s="8" t="str">
        <f t="shared" si="2"/>
        <v>NEWELL JAMES</v>
      </c>
    </row>
    <row r="190" spans="1:7" x14ac:dyDescent="0.25">
      <c r="A190" s="8">
        <v>42800.7971875</v>
      </c>
      <c r="B190" s="20" t="s">
        <v>450</v>
      </c>
      <c r="C190" s="20" t="s">
        <v>599</v>
      </c>
      <c r="D190" s="150">
        <v>2000000</v>
      </c>
      <c r="E190" s="20" t="s">
        <v>491</v>
      </c>
      <c r="F190" s="20" t="s">
        <v>197</v>
      </c>
      <c r="G190" s="8" t="str">
        <f t="shared" si="2"/>
        <v>STAMBAUGH JAMES</v>
      </c>
    </row>
    <row r="191" spans="1:7" x14ac:dyDescent="0.25">
      <c r="A191" s="8">
        <v>42800.79928240741</v>
      </c>
      <c r="B191" s="20" t="s">
        <v>303</v>
      </c>
      <c r="C191" s="20" t="s">
        <v>755</v>
      </c>
      <c r="D191" s="150">
        <v>1120000</v>
      </c>
      <c r="E191" s="20" t="s">
        <v>279</v>
      </c>
      <c r="F191" s="20" t="s">
        <v>280</v>
      </c>
      <c r="G191" s="8" t="str">
        <f t="shared" si="2"/>
        <v>LOCKLEAR TRAVIS</v>
      </c>
    </row>
    <row r="192" spans="1:7" x14ac:dyDescent="0.25">
      <c r="A192" s="8">
        <v>42800.81077546296</v>
      </c>
      <c r="B192" s="20" t="s">
        <v>588</v>
      </c>
      <c r="C192" s="20" t="s">
        <v>756</v>
      </c>
      <c r="D192" s="150">
        <v>2420000</v>
      </c>
      <c r="E192" s="20" t="s">
        <v>502</v>
      </c>
      <c r="F192" s="20" t="s">
        <v>503</v>
      </c>
      <c r="G192" s="8" t="str">
        <f t="shared" si="2"/>
        <v>HOLCOMB KAMDEN</v>
      </c>
    </row>
    <row r="193" spans="1:7" x14ac:dyDescent="0.25">
      <c r="A193" s="8">
        <v>42800.812847222223</v>
      </c>
      <c r="B193" s="20" t="s">
        <v>454</v>
      </c>
      <c r="C193" s="20" t="s">
        <v>757</v>
      </c>
      <c r="D193" s="150">
        <v>2230000</v>
      </c>
      <c r="E193" s="20" t="s">
        <v>460</v>
      </c>
      <c r="F193" s="20" t="s">
        <v>200</v>
      </c>
      <c r="G193" s="8" t="str">
        <f t="shared" si="2"/>
        <v>SMITH MICHAEL</v>
      </c>
    </row>
    <row r="194" spans="1:7" x14ac:dyDescent="0.25">
      <c r="A194" s="8">
        <v>42800.817499999997</v>
      </c>
      <c r="B194" s="20" t="s">
        <v>554</v>
      </c>
      <c r="C194" s="20" t="s">
        <v>758</v>
      </c>
      <c r="D194" s="150">
        <v>2610000</v>
      </c>
      <c r="E194" s="20" t="s">
        <v>489</v>
      </c>
      <c r="F194" s="20" t="s">
        <v>490</v>
      </c>
      <c r="G194" s="8" t="str">
        <f t="shared" si="2"/>
        <v>MAGEE KENYA</v>
      </c>
    </row>
    <row r="195" spans="1:7" x14ac:dyDescent="0.25">
      <c r="A195" s="8">
        <v>42800.829363425924</v>
      </c>
      <c r="B195" s="20" t="s">
        <v>498</v>
      </c>
      <c r="C195" s="20" t="s">
        <v>759</v>
      </c>
      <c r="D195" s="150">
        <v>1800000</v>
      </c>
      <c r="E195" s="20" t="s">
        <v>226</v>
      </c>
      <c r="F195" s="20" t="s">
        <v>227</v>
      </c>
      <c r="G195" s="8" t="str">
        <f t="shared" ref="G195:G258" si="3">E195&amp;" "&amp;F195</f>
        <v>CHANDLER KELVIN</v>
      </c>
    </row>
    <row r="196" spans="1:7" x14ac:dyDescent="0.25">
      <c r="A196" s="8">
        <v>42800.830034722225</v>
      </c>
      <c r="B196" s="20" t="s">
        <v>212</v>
      </c>
      <c r="C196" s="20" t="s">
        <v>760</v>
      </c>
      <c r="D196" s="150">
        <v>2600000</v>
      </c>
      <c r="E196" s="20" t="s">
        <v>512</v>
      </c>
      <c r="F196" s="20" t="s">
        <v>459</v>
      </c>
      <c r="G196" s="8" t="str">
        <f t="shared" si="3"/>
        <v>DAVIDSON DAVID</v>
      </c>
    </row>
    <row r="197" spans="1:7" x14ac:dyDescent="0.25">
      <c r="A197" s="8">
        <v>42800.835856481484</v>
      </c>
      <c r="B197" s="20" t="s">
        <v>583</v>
      </c>
      <c r="C197" s="20" t="s">
        <v>761</v>
      </c>
      <c r="D197" s="150">
        <v>2000000</v>
      </c>
      <c r="E197" s="20" t="s">
        <v>491</v>
      </c>
      <c r="F197" s="20" t="s">
        <v>197</v>
      </c>
      <c r="G197" s="8" t="str">
        <f t="shared" si="3"/>
        <v>STAMBAUGH JAMES</v>
      </c>
    </row>
    <row r="198" spans="1:7" x14ac:dyDescent="0.25">
      <c r="A198" s="8">
        <v>42800.841944444444</v>
      </c>
      <c r="B198" s="20" t="s">
        <v>272</v>
      </c>
      <c r="C198" s="20" t="s">
        <v>762</v>
      </c>
      <c r="D198" s="150">
        <v>1300000</v>
      </c>
      <c r="E198" s="20" t="s">
        <v>510</v>
      </c>
      <c r="F198" s="20" t="s">
        <v>511</v>
      </c>
      <c r="G198" s="8" t="str">
        <f t="shared" si="3"/>
        <v>LEVIN SCOTT</v>
      </c>
    </row>
    <row r="199" spans="1:7" x14ac:dyDescent="0.25">
      <c r="A199" s="8">
        <v>42800.846631944441</v>
      </c>
      <c r="B199" s="20" t="s">
        <v>456</v>
      </c>
      <c r="C199" s="20" t="s">
        <v>763</v>
      </c>
      <c r="D199" s="150">
        <v>1740000</v>
      </c>
      <c r="E199" s="20" t="s">
        <v>744</v>
      </c>
      <c r="F199" s="20" t="s">
        <v>745</v>
      </c>
      <c r="G199" s="8" t="str">
        <f t="shared" si="3"/>
        <v>STORY SAMANTHA</v>
      </c>
    </row>
    <row r="200" spans="1:7" x14ac:dyDescent="0.25">
      <c r="A200" s="8">
        <v>42800.847743055558</v>
      </c>
      <c r="B200" s="20" t="s">
        <v>307</v>
      </c>
      <c r="C200" s="20" t="s">
        <v>764</v>
      </c>
      <c r="D200" s="150">
        <v>2730000</v>
      </c>
      <c r="E200" s="20" t="s">
        <v>243</v>
      </c>
      <c r="F200" s="20" t="s">
        <v>244</v>
      </c>
      <c r="G200" s="8" t="str">
        <f t="shared" si="3"/>
        <v>YANG JAN</v>
      </c>
    </row>
    <row r="201" spans="1:7" x14ac:dyDescent="0.25">
      <c r="A201" s="8">
        <v>42800.848379629628</v>
      </c>
      <c r="B201" s="20" t="s">
        <v>453</v>
      </c>
      <c r="C201" s="20" t="s">
        <v>765</v>
      </c>
      <c r="D201" s="150">
        <v>2230000</v>
      </c>
      <c r="E201" s="20" t="s">
        <v>460</v>
      </c>
      <c r="F201" s="20" t="s">
        <v>200</v>
      </c>
      <c r="G201" s="8" t="str">
        <f t="shared" si="3"/>
        <v>SMITH MICHAEL</v>
      </c>
    </row>
    <row r="202" spans="1:7" x14ac:dyDescent="0.25">
      <c r="A202" s="26">
        <v>42800.849976851852</v>
      </c>
      <c r="B202" s="20" t="s">
        <v>190</v>
      </c>
      <c r="C202" s="20" t="s">
        <v>764</v>
      </c>
      <c r="D202" s="150">
        <v>2420000</v>
      </c>
      <c r="E202" s="20" t="s">
        <v>502</v>
      </c>
      <c r="F202" s="20" t="s">
        <v>503</v>
      </c>
      <c r="G202" s="8" t="str">
        <f t="shared" si="3"/>
        <v>HOLCOMB KAMDEN</v>
      </c>
    </row>
    <row r="203" spans="1:7" x14ac:dyDescent="0.25">
      <c r="A203" s="8">
        <v>42800.850648148145</v>
      </c>
      <c r="B203" s="20" t="s">
        <v>190</v>
      </c>
      <c r="C203" s="20" t="s">
        <v>766</v>
      </c>
      <c r="D203" s="150">
        <v>2420000</v>
      </c>
      <c r="E203" s="20" t="s">
        <v>502</v>
      </c>
      <c r="F203" s="20" t="s">
        <v>503</v>
      </c>
      <c r="G203" s="8" t="str">
        <f t="shared" si="3"/>
        <v>HOLCOMB KAMDEN</v>
      </c>
    </row>
    <row r="204" spans="1:7" x14ac:dyDescent="0.25">
      <c r="A204" s="8">
        <v>42800.858530092592</v>
      </c>
      <c r="B204" s="20" t="s">
        <v>554</v>
      </c>
      <c r="C204" s="20" t="s">
        <v>767</v>
      </c>
      <c r="D204" s="150">
        <v>1300000</v>
      </c>
      <c r="E204" s="20" t="s">
        <v>510</v>
      </c>
      <c r="F204" s="20" t="s">
        <v>511</v>
      </c>
      <c r="G204" s="8" t="str">
        <f t="shared" si="3"/>
        <v>LEVIN SCOTT</v>
      </c>
    </row>
    <row r="205" spans="1:7" x14ac:dyDescent="0.25">
      <c r="A205" s="8">
        <v>42800.86990740741</v>
      </c>
      <c r="B205" s="20" t="s">
        <v>450</v>
      </c>
      <c r="C205" s="20" t="s">
        <v>768</v>
      </c>
      <c r="D205" s="150">
        <v>2000000</v>
      </c>
      <c r="E205" s="20" t="s">
        <v>491</v>
      </c>
      <c r="F205" s="20" t="s">
        <v>197</v>
      </c>
      <c r="G205" s="8" t="str">
        <f t="shared" si="3"/>
        <v>STAMBAUGH JAMES</v>
      </c>
    </row>
    <row r="206" spans="1:7" x14ac:dyDescent="0.25">
      <c r="A206" s="8">
        <v>42800.871064814812</v>
      </c>
      <c r="B206" s="20" t="s">
        <v>190</v>
      </c>
      <c r="C206" s="20" t="s">
        <v>766</v>
      </c>
      <c r="D206" s="150">
        <v>2420000</v>
      </c>
      <c r="E206" s="20" t="s">
        <v>502</v>
      </c>
      <c r="F206" s="20" t="s">
        <v>503</v>
      </c>
      <c r="G206" s="8" t="str">
        <f t="shared" si="3"/>
        <v>HOLCOMB KAMDEN</v>
      </c>
    </row>
    <row r="207" spans="1:7" x14ac:dyDescent="0.25">
      <c r="A207" s="8">
        <v>42800.872129629628</v>
      </c>
      <c r="B207" s="20" t="s">
        <v>501</v>
      </c>
      <c r="C207" s="20" t="s">
        <v>769</v>
      </c>
      <c r="D207" s="150">
        <v>1800000</v>
      </c>
      <c r="E207" s="20" t="s">
        <v>226</v>
      </c>
      <c r="F207" s="20" t="s">
        <v>227</v>
      </c>
      <c r="G207" s="8" t="str">
        <f t="shared" si="3"/>
        <v>CHANDLER KELVIN</v>
      </c>
    </row>
    <row r="208" spans="1:7" x14ac:dyDescent="0.25">
      <c r="A208" s="8">
        <v>42800.877129629633</v>
      </c>
      <c r="B208" s="20" t="s">
        <v>308</v>
      </c>
      <c r="C208" s="20" t="s">
        <v>603</v>
      </c>
      <c r="D208" s="150">
        <v>2730000</v>
      </c>
      <c r="E208" s="20" t="s">
        <v>243</v>
      </c>
      <c r="F208" s="20" t="s">
        <v>244</v>
      </c>
      <c r="G208" s="8" t="str">
        <f t="shared" si="3"/>
        <v>YANG JAN</v>
      </c>
    </row>
    <row r="209" spans="1:7" x14ac:dyDescent="0.25">
      <c r="A209" s="8">
        <v>42800.877291666664</v>
      </c>
      <c r="B209" s="20" t="s">
        <v>272</v>
      </c>
      <c r="C209" s="20" t="s">
        <v>770</v>
      </c>
      <c r="D209" s="150">
        <v>1810000</v>
      </c>
      <c r="E209" s="20" t="s">
        <v>202</v>
      </c>
      <c r="F209" s="20" t="s">
        <v>197</v>
      </c>
      <c r="G209" s="8" t="str">
        <f t="shared" si="3"/>
        <v>NEWELL JAMES</v>
      </c>
    </row>
    <row r="210" spans="1:7" x14ac:dyDescent="0.25">
      <c r="A210" s="8">
        <v>42800.883113425924</v>
      </c>
      <c r="B210" s="20" t="s">
        <v>501</v>
      </c>
      <c r="C210" s="20" t="s">
        <v>769</v>
      </c>
      <c r="D210" s="150">
        <v>1800000</v>
      </c>
      <c r="E210" s="20" t="s">
        <v>226</v>
      </c>
      <c r="F210" s="20" t="s">
        <v>227</v>
      </c>
      <c r="G210" s="8" t="str">
        <f t="shared" si="3"/>
        <v>CHANDLER KELVIN</v>
      </c>
    </row>
    <row r="211" spans="1:7" x14ac:dyDescent="0.25">
      <c r="A211" s="8">
        <v>42800.883842592593</v>
      </c>
      <c r="B211" s="20" t="s">
        <v>501</v>
      </c>
      <c r="C211" s="20" t="s">
        <v>769</v>
      </c>
      <c r="D211" s="150">
        <v>1800000</v>
      </c>
      <c r="E211" s="20" t="s">
        <v>226</v>
      </c>
      <c r="F211" s="20" t="s">
        <v>227</v>
      </c>
      <c r="G211" s="8" t="str">
        <f t="shared" si="3"/>
        <v>CHANDLER KELVIN</v>
      </c>
    </row>
    <row r="212" spans="1:7" x14ac:dyDescent="0.25">
      <c r="A212" s="8">
        <v>42800.884027777778</v>
      </c>
      <c r="B212" s="20" t="s">
        <v>454</v>
      </c>
      <c r="C212" s="20" t="s">
        <v>771</v>
      </c>
      <c r="D212" s="150">
        <v>2230000</v>
      </c>
      <c r="E212" s="20" t="s">
        <v>460</v>
      </c>
      <c r="F212" s="20" t="s">
        <v>200</v>
      </c>
      <c r="G212" s="8" t="str">
        <f t="shared" si="3"/>
        <v>SMITH MICHAEL</v>
      </c>
    </row>
    <row r="213" spans="1:7" x14ac:dyDescent="0.25">
      <c r="A213" s="8">
        <v>42800.88486111111</v>
      </c>
      <c r="B213" s="20" t="s">
        <v>272</v>
      </c>
      <c r="C213" s="20" t="s">
        <v>770</v>
      </c>
      <c r="D213" s="150">
        <v>1810000</v>
      </c>
      <c r="E213" s="20" t="s">
        <v>202</v>
      </c>
      <c r="F213" s="20" t="s">
        <v>197</v>
      </c>
      <c r="G213" s="8" t="str">
        <f t="shared" si="3"/>
        <v>NEWELL JAMES</v>
      </c>
    </row>
    <row r="214" spans="1:7" x14ac:dyDescent="0.25">
      <c r="A214" s="8">
        <v>42800.88690972222</v>
      </c>
      <c r="B214" s="20" t="s">
        <v>588</v>
      </c>
      <c r="C214" s="20" t="s">
        <v>772</v>
      </c>
      <c r="D214" s="150">
        <v>1740000</v>
      </c>
      <c r="E214" s="20" t="s">
        <v>744</v>
      </c>
      <c r="F214" s="20" t="s">
        <v>745</v>
      </c>
      <c r="G214" s="8" t="str">
        <f t="shared" si="3"/>
        <v>STORY SAMANTHA</v>
      </c>
    </row>
    <row r="215" spans="1:7" x14ac:dyDescent="0.25">
      <c r="A215" s="8">
        <v>42800.900324074071</v>
      </c>
      <c r="B215" s="20" t="s">
        <v>554</v>
      </c>
      <c r="C215" s="20" t="s">
        <v>773</v>
      </c>
      <c r="D215" s="150">
        <v>1810000</v>
      </c>
      <c r="E215" s="20" t="s">
        <v>202</v>
      </c>
      <c r="F215" s="20" t="s">
        <v>197</v>
      </c>
      <c r="G215" s="8" t="str">
        <f t="shared" si="3"/>
        <v>NEWELL JAMES</v>
      </c>
    </row>
    <row r="216" spans="1:7" x14ac:dyDescent="0.25">
      <c r="A216" s="8">
        <v>42800.904189814813</v>
      </c>
      <c r="B216" s="20" t="s">
        <v>583</v>
      </c>
      <c r="C216" s="20" t="s">
        <v>600</v>
      </c>
      <c r="D216" s="150">
        <v>2000000</v>
      </c>
      <c r="E216" s="20" t="s">
        <v>491</v>
      </c>
      <c r="F216" s="20" t="s">
        <v>197</v>
      </c>
      <c r="G216" s="8" t="str">
        <f t="shared" si="3"/>
        <v>STAMBAUGH JAMES</v>
      </c>
    </row>
    <row r="217" spans="1:7" x14ac:dyDescent="0.25">
      <c r="A217" s="8">
        <v>42800.914571759262</v>
      </c>
      <c r="B217" s="20" t="s">
        <v>272</v>
      </c>
      <c r="C217" s="20" t="s">
        <v>774</v>
      </c>
      <c r="D217" s="150">
        <v>1810000</v>
      </c>
      <c r="E217" s="20" t="s">
        <v>202</v>
      </c>
      <c r="F217" s="20" t="s">
        <v>197</v>
      </c>
      <c r="G217" s="8" t="str">
        <f t="shared" si="3"/>
        <v>NEWELL JAMES</v>
      </c>
    </row>
    <row r="218" spans="1:7" x14ac:dyDescent="0.25">
      <c r="A218" s="8">
        <v>42800.92454861111</v>
      </c>
      <c r="B218" s="20" t="s">
        <v>498</v>
      </c>
      <c r="C218" s="20" t="s">
        <v>775</v>
      </c>
      <c r="D218" s="150">
        <v>1800000</v>
      </c>
      <c r="E218" s="20" t="s">
        <v>226</v>
      </c>
      <c r="F218" s="20" t="s">
        <v>227</v>
      </c>
      <c r="G218" s="8" t="str">
        <f t="shared" si="3"/>
        <v>CHANDLER KELVIN</v>
      </c>
    </row>
    <row r="219" spans="1:7" x14ac:dyDescent="0.25">
      <c r="A219" s="8">
        <v>42800.928622685184</v>
      </c>
      <c r="B219" s="20" t="s">
        <v>456</v>
      </c>
      <c r="C219" s="20" t="s">
        <v>776</v>
      </c>
      <c r="D219" s="150">
        <v>2680000</v>
      </c>
      <c r="E219" s="20" t="s">
        <v>487</v>
      </c>
      <c r="F219" s="20" t="s">
        <v>488</v>
      </c>
      <c r="G219" s="8" t="str">
        <f t="shared" si="3"/>
        <v>DUNCAN SHEILA</v>
      </c>
    </row>
    <row r="220" spans="1:7" x14ac:dyDescent="0.25">
      <c r="A220" s="8">
        <v>42800.928784722222</v>
      </c>
      <c r="B220" s="20" t="s">
        <v>307</v>
      </c>
      <c r="C220" s="20" t="s">
        <v>777</v>
      </c>
      <c r="D220" s="150">
        <v>2730000</v>
      </c>
      <c r="E220" s="20" t="s">
        <v>243</v>
      </c>
      <c r="F220" s="20" t="s">
        <v>244</v>
      </c>
      <c r="G220" s="8" t="str">
        <f t="shared" si="3"/>
        <v>YANG JAN</v>
      </c>
    </row>
    <row r="221" spans="1:7" x14ac:dyDescent="0.25">
      <c r="A221" s="8">
        <v>42800.929479166669</v>
      </c>
      <c r="B221" s="20" t="s">
        <v>453</v>
      </c>
      <c r="C221" s="20" t="s">
        <v>778</v>
      </c>
      <c r="D221" s="150">
        <v>2230000</v>
      </c>
      <c r="E221" s="20" t="s">
        <v>460</v>
      </c>
      <c r="F221" s="20" t="s">
        <v>200</v>
      </c>
      <c r="G221" s="8" t="str">
        <f t="shared" si="3"/>
        <v>SMITH MICHAEL</v>
      </c>
    </row>
    <row r="222" spans="1:7" x14ac:dyDescent="0.25">
      <c r="A222" s="8">
        <v>42800.945983796293</v>
      </c>
      <c r="B222" s="20" t="s">
        <v>450</v>
      </c>
      <c r="C222" s="20" t="s">
        <v>602</v>
      </c>
      <c r="D222" s="150">
        <v>2000000</v>
      </c>
      <c r="E222" s="20" t="s">
        <v>491</v>
      </c>
      <c r="F222" s="20" t="s">
        <v>197</v>
      </c>
      <c r="G222" s="8" t="str">
        <f t="shared" si="3"/>
        <v>STAMBAUGH JAMES</v>
      </c>
    </row>
    <row r="223" spans="1:7" x14ac:dyDescent="0.25">
      <c r="A223" s="8">
        <v>42800.954791666663</v>
      </c>
      <c r="B223" s="20" t="s">
        <v>482</v>
      </c>
      <c r="C223" s="20" t="s">
        <v>601</v>
      </c>
      <c r="D223" s="150">
        <v>1800000</v>
      </c>
      <c r="E223" s="20" t="s">
        <v>226</v>
      </c>
      <c r="F223" s="20" t="s">
        <v>227</v>
      </c>
      <c r="G223" s="8" t="str">
        <f t="shared" si="3"/>
        <v>CHANDLER KELVIN</v>
      </c>
    </row>
    <row r="224" spans="1:7" x14ac:dyDescent="0.25">
      <c r="A224" s="8">
        <v>42800.969270833331</v>
      </c>
      <c r="B224" t="s">
        <v>454</v>
      </c>
      <c r="C224" t="s">
        <v>779</v>
      </c>
      <c r="D224" s="150">
        <v>2230000</v>
      </c>
      <c r="E224" t="s">
        <v>460</v>
      </c>
      <c r="F224" s="20" t="s">
        <v>200</v>
      </c>
      <c r="G224" s="8" t="str">
        <f t="shared" si="3"/>
        <v>SMITH MICHAEL</v>
      </c>
    </row>
    <row r="225" spans="1:7" x14ac:dyDescent="0.25">
      <c r="A225" s="8">
        <v>42800.970312500001</v>
      </c>
      <c r="B225" t="s">
        <v>588</v>
      </c>
      <c r="C225" t="s">
        <v>780</v>
      </c>
      <c r="D225" s="150">
        <v>2680000</v>
      </c>
      <c r="E225" t="s">
        <v>487</v>
      </c>
      <c r="F225" s="20" t="s">
        <v>488</v>
      </c>
      <c r="G225" s="8" t="str">
        <f t="shared" si="3"/>
        <v>DUNCAN SHEILA</v>
      </c>
    </row>
    <row r="226" spans="1:7" x14ac:dyDescent="0.25">
      <c r="A226" s="8">
        <v>42800.981307870374</v>
      </c>
      <c r="B226" t="s">
        <v>308</v>
      </c>
      <c r="C226" t="s">
        <v>603</v>
      </c>
      <c r="D226" s="150">
        <v>2730000</v>
      </c>
      <c r="E226" t="s">
        <v>243</v>
      </c>
      <c r="F226" s="20" t="s">
        <v>244</v>
      </c>
      <c r="G226" s="8" t="str">
        <f t="shared" si="3"/>
        <v>YANG JAN</v>
      </c>
    </row>
    <row r="227" spans="1:7" x14ac:dyDescent="0.25">
      <c r="A227" s="8">
        <v>42800.988657407404</v>
      </c>
      <c r="B227" t="s">
        <v>583</v>
      </c>
      <c r="C227" t="s">
        <v>781</v>
      </c>
      <c r="D227" s="150">
        <v>2000000</v>
      </c>
      <c r="E227" t="s">
        <v>491</v>
      </c>
      <c r="F227" s="20" t="s">
        <v>197</v>
      </c>
      <c r="G227" s="8" t="str">
        <f t="shared" si="3"/>
        <v>STAMBAUGH JAMES</v>
      </c>
    </row>
    <row r="228" spans="1:7" x14ac:dyDescent="0.25">
      <c r="A228" s="8">
        <v>42800.996863425928</v>
      </c>
      <c r="B228" t="s">
        <v>205</v>
      </c>
      <c r="C228" t="s">
        <v>782</v>
      </c>
      <c r="D228" s="150">
        <v>1800000</v>
      </c>
      <c r="E228" t="s">
        <v>226</v>
      </c>
      <c r="F228" s="20" t="s">
        <v>227</v>
      </c>
      <c r="G228" s="8" t="str">
        <f t="shared" si="3"/>
        <v>CHANDLER KELVIN</v>
      </c>
    </row>
    <row r="229" spans="1:7" x14ac:dyDescent="0.25">
      <c r="A229" s="8">
        <v>42801.010162037041</v>
      </c>
      <c r="B229" t="s">
        <v>453</v>
      </c>
      <c r="C229" t="s">
        <v>783</v>
      </c>
      <c r="D229" s="150">
        <v>2230000</v>
      </c>
      <c r="E229" t="s">
        <v>460</v>
      </c>
      <c r="F229" s="20" t="s">
        <v>200</v>
      </c>
      <c r="G229" s="8" t="str">
        <f t="shared" si="3"/>
        <v>SMITH MICHAEL</v>
      </c>
    </row>
    <row r="230" spans="1:7" x14ac:dyDescent="0.25">
      <c r="A230" s="8">
        <v>42801.011770833335</v>
      </c>
      <c r="B230" t="s">
        <v>456</v>
      </c>
      <c r="C230" t="s">
        <v>784</v>
      </c>
      <c r="D230" s="150">
        <v>1740000</v>
      </c>
      <c r="E230" t="s">
        <v>744</v>
      </c>
      <c r="F230" s="20" t="s">
        <v>745</v>
      </c>
      <c r="G230" s="8" t="str">
        <f t="shared" si="3"/>
        <v>STORY SAMANTHA</v>
      </c>
    </row>
    <row r="231" spans="1:7" x14ac:dyDescent="0.25">
      <c r="A231" s="8">
        <v>42801.028321759259</v>
      </c>
      <c r="B231" t="s">
        <v>450</v>
      </c>
      <c r="C231" t="s">
        <v>785</v>
      </c>
      <c r="D231" s="150">
        <v>2000000</v>
      </c>
      <c r="E231" t="s">
        <v>491</v>
      </c>
      <c r="F231" s="20" t="s">
        <v>197</v>
      </c>
      <c r="G231" s="8" t="str">
        <f t="shared" si="3"/>
        <v>STAMBAUGH JAMES</v>
      </c>
    </row>
    <row r="232" spans="1:7" x14ac:dyDescent="0.25">
      <c r="A232" s="8">
        <v>42801.037777777776</v>
      </c>
      <c r="B232" t="s">
        <v>501</v>
      </c>
      <c r="C232" t="s">
        <v>786</v>
      </c>
      <c r="D232" s="150">
        <v>1800000</v>
      </c>
      <c r="E232" t="s">
        <v>226</v>
      </c>
      <c r="F232" s="20" t="s">
        <v>227</v>
      </c>
      <c r="G232" s="8" t="str">
        <f t="shared" si="3"/>
        <v>CHANDLER KELVIN</v>
      </c>
    </row>
    <row r="233" spans="1:7" x14ac:dyDescent="0.25">
      <c r="A233" s="8">
        <v>42801.038935185185</v>
      </c>
      <c r="B233" t="s">
        <v>307</v>
      </c>
      <c r="C233" t="s">
        <v>777</v>
      </c>
      <c r="D233" s="150">
        <v>2730000</v>
      </c>
      <c r="E233" t="s">
        <v>243</v>
      </c>
      <c r="F233" s="20" t="s">
        <v>244</v>
      </c>
      <c r="G233" s="8" t="str">
        <f t="shared" si="3"/>
        <v>YANG JAN</v>
      </c>
    </row>
    <row r="234" spans="1:7" x14ac:dyDescent="0.25">
      <c r="A234" s="8">
        <v>42801.053263888891</v>
      </c>
      <c r="B234" t="s">
        <v>454</v>
      </c>
      <c r="C234" t="s">
        <v>787</v>
      </c>
      <c r="D234" s="150">
        <v>2230000</v>
      </c>
      <c r="E234" t="s">
        <v>460</v>
      </c>
      <c r="F234" s="20" t="s">
        <v>200</v>
      </c>
      <c r="G234" s="8" t="str">
        <f t="shared" si="3"/>
        <v>SMITH MICHAEL</v>
      </c>
    </row>
    <row r="235" spans="1:7" x14ac:dyDescent="0.25">
      <c r="A235" s="8">
        <v>42801.054409722223</v>
      </c>
      <c r="B235" t="s">
        <v>588</v>
      </c>
      <c r="C235" t="s">
        <v>788</v>
      </c>
      <c r="D235" s="150">
        <v>1740000</v>
      </c>
      <c r="E235" t="s">
        <v>744</v>
      </c>
      <c r="F235" s="20" t="s">
        <v>745</v>
      </c>
      <c r="G235" s="8" t="str">
        <f t="shared" si="3"/>
        <v>STORY SAMANTHA</v>
      </c>
    </row>
    <row r="236" spans="1:7" x14ac:dyDescent="0.25">
      <c r="A236" s="8">
        <v>42801.069699074076</v>
      </c>
      <c r="B236" t="s">
        <v>583</v>
      </c>
      <c r="C236" t="s">
        <v>789</v>
      </c>
      <c r="D236" s="150">
        <v>2000000</v>
      </c>
      <c r="E236" t="s">
        <v>491</v>
      </c>
      <c r="F236" s="20" t="s">
        <v>197</v>
      </c>
      <c r="G236" s="8" t="str">
        <f t="shared" si="3"/>
        <v>STAMBAUGH JAMES</v>
      </c>
    </row>
    <row r="237" spans="1:7" x14ac:dyDescent="0.25">
      <c r="A237" s="8">
        <v>42801.081666666665</v>
      </c>
      <c r="B237" t="s">
        <v>308</v>
      </c>
      <c r="C237" t="s">
        <v>603</v>
      </c>
      <c r="D237" s="150">
        <v>2730000</v>
      </c>
      <c r="E237" t="s">
        <v>243</v>
      </c>
      <c r="F237" s="20" t="s">
        <v>244</v>
      </c>
      <c r="G237" s="8" t="str">
        <f t="shared" si="3"/>
        <v>YANG JAN</v>
      </c>
    </row>
    <row r="238" spans="1:7" x14ac:dyDescent="0.25">
      <c r="A238" s="8">
        <v>42801.095023148147</v>
      </c>
      <c r="B238" t="s">
        <v>456</v>
      </c>
      <c r="C238" t="s">
        <v>790</v>
      </c>
      <c r="D238" s="150">
        <v>1740000</v>
      </c>
      <c r="E238" t="s">
        <v>744</v>
      </c>
      <c r="F238" s="20" t="s">
        <v>745</v>
      </c>
      <c r="G238" s="8" t="str">
        <f t="shared" si="3"/>
        <v>STORY SAMANTHA</v>
      </c>
    </row>
    <row r="239" spans="1:7" x14ac:dyDescent="0.25">
      <c r="A239" s="8">
        <v>42797.013368055559</v>
      </c>
      <c r="B239" t="s">
        <v>303</v>
      </c>
      <c r="C239" t="s">
        <v>465</v>
      </c>
      <c r="D239" s="150">
        <v>2620000</v>
      </c>
      <c r="E239" t="s">
        <v>461</v>
      </c>
      <c r="F239" s="20" t="s">
        <v>462</v>
      </c>
      <c r="G239" s="8" t="str">
        <f t="shared" si="3"/>
        <v>PERKINS DARREN</v>
      </c>
    </row>
    <row r="240" spans="1:7" x14ac:dyDescent="0.25">
      <c r="A240" s="8">
        <v>42797.016840277778</v>
      </c>
      <c r="B240" t="s">
        <v>256</v>
      </c>
      <c r="C240" t="s">
        <v>466</v>
      </c>
      <c r="D240" s="150">
        <v>1810000</v>
      </c>
      <c r="E240" t="s">
        <v>202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42797.028564814813</v>
      </c>
      <c r="B241" t="s">
        <v>231</v>
      </c>
      <c r="C241" t="s">
        <v>467</v>
      </c>
      <c r="D241" s="150">
        <v>1800000</v>
      </c>
      <c r="E241" t="s">
        <v>226</v>
      </c>
      <c r="F241" s="20" t="s">
        <v>227</v>
      </c>
      <c r="G241" s="8" t="str">
        <f t="shared" si="3"/>
        <v>CHANDLER KELVIN</v>
      </c>
    </row>
    <row r="242" spans="1:7" x14ac:dyDescent="0.25">
      <c r="A242" s="8">
        <v>42797.033449074072</v>
      </c>
      <c r="B242" t="s">
        <v>307</v>
      </c>
      <c r="C242" t="s">
        <v>464</v>
      </c>
      <c r="D242" s="150">
        <v>2540000</v>
      </c>
      <c r="E242" t="s">
        <v>216</v>
      </c>
      <c r="F242" s="20" t="s">
        <v>217</v>
      </c>
      <c r="G242" s="8" t="str">
        <f t="shared" si="3"/>
        <v>MCREYNOLDS KYLE</v>
      </c>
    </row>
    <row r="243" spans="1:7" x14ac:dyDescent="0.25">
      <c r="A243" s="8">
        <v>42797.033472222225</v>
      </c>
      <c r="B243" t="s">
        <v>451</v>
      </c>
      <c r="C243" t="s">
        <v>455</v>
      </c>
      <c r="D243" s="150">
        <v>2270000</v>
      </c>
      <c r="E243" t="s">
        <v>221</v>
      </c>
      <c r="F243" s="20" t="s">
        <v>222</v>
      </c>
      <c r="G243" s="8" t="str">
        <f t="shared" si="3"/>
        <v>BROWN JACOB</v>
      </c>
    </row>
    <row r="244" spans="1:7" x14ac:dyDescent="0.25">
      <c r="A244" s="8">
        <v>42797.051585648151</v>
      </c>
      <c r="B244" t="s">
        <v>258</v>
      </c>
      <c r="C244" t="s">
        <v>468</v>
      </c>
      <c r="D244" s="150">
        <v>1810000</v>
      </c>
      <c r="E244" t="s">
        <v>202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42797.054583333331</v>
      </c>
      <c r="B245" t="s">
        <v>308</v>
      </c>
      <c r="C245" t="s">
        <v>463</v>
      </c>
      <c r="D245" s="150">
        <v>2730000</v>
      </c>
      <c r="E245" t="s">
        <v>243</v>
      </c>
      <c r="F245" s="20" t="s">
        <v>244</v>
      </c>
      <c r="G245" s="8" t="str">
        <f t="shared" si="3"/>
        <v>YANG JAN</v>
      </c>
    </row>
    <row r="246" spans="1:7" x14ac:dyDescent="0.25">
      <c r="A246" s="8">
        <v>42797.055914351855</v>
      </c>
      <c r="B246" t="s">
        <v>301</v>
      </c>
      <c r="C246" t="s">
        <v>469</v>
      </c>
      <c r="D246" s="150">
        <v>2620000</v>
      </c>
      <c r="E246" t="s">
        <v>461</v>
      </c>
      <c r="F246" s="20" t="s">
        <v>462</v>
      </c>
      <c r="G246" s="8" t="str">
        <f t="shared" si="3"/>
        <v>PERKINS DARREN</v>
      </c>
    </row>
    <row r="247" spans="1:7" x14ac:dyDescent="0.25">
      <c r="A247" s="8">
        <v>42797.073148148149</v>
      </c>
      <c r="B247" t="s">
        <v>307</v>
      </c>
      <c r="C247" t="s">
        <v>464</v>
      </c>
      <c r="D247" s="150">
        <v>2540000</v>
      </c>
      <c r="E247" t="s">
        <v>216</v>
      </c>
      <c r="F247" s="20" t="s">
        <v>217</v>
      </c>
      <c r="G247" s="8" t="str">
        <f t="shared" si="3"/>
        <v>MCREYNOLDS KYLE</v>
      </c>
    </row>
    <row r="248" spans="1:7" x14ac:dyDescent="0.25">
      <c r="A248" s="8">
        <v>42797.073425925926</v>
      </c>
      <c r="B248" t="s">
        <v>302</v>
      </c>
      <c r="C248" t="s">
        <v>470</v>
      </c>
      <c r="D248" s="150">
        <v>2270000</v>
      </c>
      <c r="E248" t="s">
        <v>221</v>
      </c>
      <c r="F248" s="20" t="s">
        <v>222</v>
      </c>
      <c r="G248" s="8" t="str">
        <f t="shared" si="3"/>
        <v>BROWN JACOB</v>
      </c>
    </row>
    <row r="249" spans="1:7" x14ac:dyDescent="0.25">
      <c r="A249" s="8">
        <v>42797.093206018515</v>
      </c>
      <c r="B249" t="s">
        <v>303</v>
      </c>
      <c r="C249" t="s">
        <v>471</v>
      </c>
      <c r="D249" s="150">
        <v>2620000</v>
      </c>
      <c r="E249" t="s">
        <v>461</v>
      </c>
      <c r="F249" s="20" t="s">
        <v>462</v>
      </c>
      <c r="G249" s="8" t="str">
        <f t="shared" si="3"/>
        <v>PERKINS DARREN</v>
      </c>
    </row>
    <row r="250" spans="1:7" x14ac:dyDescent="0.25">
      <c r="A250" s="8">
        <v>42797.102326388886</v>
      </c>
      <c r="B250" t="s">
        <v>308</v>
      </c>
      <c r="C250" t="s">
        <v>463</v>
      </c>
      <c r="D250" s="150">
        <v>2730000</v>
      </c>
      <c r="E250" t="s">
        <v>243</v>
      </c>
      <c r="F250" s="20" t="s">
        <v>244</v>
      </c>
      <c r="G250" s="8" t="str">
        <f t="shared" si="3"/>
        <v>YANG JAN</v>
      </c>
    </row>
    <row r="251" spans="1:7" x14ac:dyDescent="0.25">
      <c r="A251" s="8">
        <v>42789.997442129628</v>
      </c>
      <c r="B251" t="s">
        <v>250</v>
      </c>
      <c r="C251" t="s">
        <v>260</v>
      </c>
      <c r="D251" s="150">
        <v>2730000</v>
      </c>
      <c r="E251" t="s">
        <v>243</v>
      </c>
      <c r="F251" s="20" t="s">
        <v>244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249</v>
      </c>
      <c r="C252" t="s">
        <v>259</v>
      </c>
      <c r="D252" s="150">
        <v>2670000</v>
      </c>
      <c r="E252" t="s">
        <v>223</v>
      </c>
      <c r="F252" s="20" t="s">
        <v>224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250</v>
      </c>
      <c r="C253" t="s">
        <v>260</v>
      </c>
      <c r="D253" s="150">
        <v>2730000</v>
      </c>
      <c r="E253" t="s">
        <v>243</v>
      </c>
      <c r="F253" s="20" t="s">
        <v>244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190</v>
      </c>
      <c r="C254" t="s">
        <v>261</v>
      </c>
      <c r="D254" s="150">
        <v>2220000</v>
      </c>
      <c r="E254" t="s">
        <v>210</v>
      </c>
      <c r="F254" s="20" t="s">
        <v>211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213</v>
      </c>
      <c r="C255" t="s">
        <v>262</v>
      </c>
      <c r="D255" s="150">
        <v>2540000</v>
      </c>
      <c r="E255" t="s">
        <v>216</v>
      </c>
      <c r="F255" s="20" t="s">
        <v>217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249</v>
      </c>
      <c r="C256" t="s">
        <v>259</v>
      </c>
      <c r="D256" s="150">
        <v>2670000</v>
      </c>
      <c r="E256" t="s">
        <v>223</v>
      </c>
      <c r="F256" s="20" t="s">
        <v>224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250</v>
      </c>
      <c r="C257" t="s">
        <v>260</v>
      </c>
      <c r="D257" s="150">
        <v>2730000</v>
      </c>
      <c r="E257" t="s">
        <v>243</v>
      </c>
      <c r="F257" s="20" t="s">
        <v>244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249</v>
      </c>
      <c r="C258" t="s">
        <v>259</v>
      </c>
      <c r="D258" s="150">
        <v>2670000</v>
      </c>
      <c r="E258" t="s">
        <v>223</v>
      </c>
      <c r="F258" s="20" t="s">
        <v>224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215</v>
      </c>
      <c r="C259" t="s">
        <v>263</v>
      </c>
      <c r="D259" s="150">
        <v>1800000</v>
      </c>
      <c r="E259" t="s">
        <v>226</v>
      </c>
      <c r="F259" s="20" t="s">
        <v>227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250</v>
      </c>
      <c r="C260" t="s">
        <v>260</v>
      </c>
      <c r="D260" s="150">
        <v>2730000</v>
      </c>
      <c r="E260" t="s">
        <v>243</v>
      </c>
      <c r="F260" s="20" t="s">
        <v>244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256</v>
      </c>
      <c r="C261" t="s">
        <v>257</v>
      </c>
      <c r="D261" s="150">
        <v>2270000</v>
      </c>
      <c r="E261" t="s">
        <v>221</v>
      </c>
      <c r="F261" s="20" t="s">
        <v>222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249</v>
      </c>
      <c r="C262" t="s">
        <v>259</v>
      </c>
      <c r="D262" s="150">
        <v>2670000</v>
      </c>
      <c r="E262" t="s">
        <v>223</v>
      </c>
      <c r="F262" s="20" t="s">
        <v>224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212</v>
      </c>
      <c r="C263" t="s">
        <v>264</v>
      </c>
      <c r="D263" s="150">
        <v>2540000</v>
      </c>
      <c r="E263" t="s">
        <v>216</v>
      </c>
      <c r="F263" s="20" t="s">
        <v>217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250</v>
      </c>
      <c r="C264" t="s">
        <v>260</v>
      </c>
      <c r="D264" s="150">
        <v>2730000</v>
      </c>
      <c r="E264" t="s">
        <v>243</v>
      </c>
      <c r="F264" s="20" t="s">
        <v>244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234</v>
      </c>
      <c r="C265" t="s">
        <v>265</v>
      </c>
      <c r="D265" s="150">
        <v>2220000</v>
      </c>
      <c r="E265" t="s">
        <v>210</v>
      </c>
      <c r="F265" s="20" t="s">
        <v>211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249</v>
      </c>
      <c r="C266" t="s">
        <v>259</v>
      </c>
      <c r="D266" s="150">
        <v>2670000</v>
      </c>
      <c r="E266" t="s">
        <v>223</v>
      </c>
      <c r="F266" s="20" t="s">
        <v>224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250</v>
      </c>
      <c r="C267" t="s">
        <v>260</v>
      </c>
      <c r="D267" s="150">
        <v>2730000</v>
      </c>
      <c r="E267" t="s">
        <v>243</v>
      </c>
      <c r="F267" s="20" t="s">
        <v>244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258</v>
      </c>
      <c r="C268" t="s">
        <v>266</v>
      </c>
      <c r="D268" s="150">
        <v>2270000</v>
      </c>
      <c r="E268" t="s">
        <v>221</v>
      </c>
      <c r="F268" s="20" t="s">
        <v>222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249</v>
      </c>
      <c r="C269" t="s">
        <v>259</v>
      </c>
      <c r="D269" s="150">
        <v>2670000</v>
      </c>
      <c r="E269" t="s">
        <v>223</v>
      </c>
      <c r="F269" s="20" t="s">
        <v>224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250</v>
      </c>
      <c r="C270" t="s">
        <v>260</v>
      </c>
      <c r="D270" s="150">
        <v>2730000</v>
      </c>
      <c r="E270" t="s">
        <v>243</v>
      </c>
      <c r="F270" s="20" t="s">
        <v>244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267</v>
      </c>
      <c r="D271" s="150">
        <v>2220000</v>
      </c>
      <c r="E271" t="s">
        <v>210</v>
      </c>
      <c r="F271" s="20" t="s">
        <v>211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249</v>
      </c>
      <c r="C272" t="s">
        <v>259</v>
      </c>
      <c r="D272" s="150">
        <v>2670000</v>
      </c>
      <c r="E272" t="s">
        <v>223</v>
      </c>
      <c r="F272" s="20" t="s">
        <v>224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250</v>
      </c>
      <c r="C273" t="s">
        <v>260</v>
      </c>
      <c r="D273" s="150">
        <v>2730000</v>
      </c>
      <c r="E273" t="s">
        <v>243</v>
      </c>
      <c r="F273" s="20" t="s">
        <v>244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791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39.21</v>
      </c>
      <c r="B2" s="168">
        <v>0.17</v>
      </c>
      <c r="C2" s="168">
        <v>21.93</v>
      </c>
      <c r="D2" s="8">
        <v>42800</v>
      </c>
      <c r="E2" s="168">
        <v>0.39</v>
      </c>
      <c r="F2" s="168" t="s">
        <v>292</v>
      </c>
      <c r="G2" s="168">
        <v>339.55</v>
      </c>
      <c r="H2" s="168">
        <v>0</v>
      </c>
      <c r="I2" s="168">
        <v>0</v>
      </c>
      <c r="J2" s="168"/>
      <c r="K2" s="168">
        <v>995.51</v>
      </c>
      <c r="L2" s="168" t="s">
        <v>293</v>
      </c>
      <c r="M2" s="168">
        <v>45.33</v>
      </c>
      <c r="N2" s="168">
        <v>1488783600</v>
      </c>
      <c r="O2" s="168">
        <v>10</v>
      </c>
      <c r="P2" s="168">
        <v>203</v>
      </c>
      <c r="Q2" s="168">
        <v>13.08</v>
      </c>
      <c r="R2"/>
    </row>
    <row r="3" spans="1:18" x14ac:dyDescent="0.25">
      <c r="A3" s="168">
        <v>37.950000000000003</v>
      </c>
      <c r="B3" s="168">
        <v>0.12</v>
      </c>
      <c r="C3" s="168">
        <v>20.49</v>
      </c>
      <c r="D3" s="8">
        <v>42800.041666666664</v>
      </c>
      <c r="E3" s="168">
        <v>0.38</v>
      </c>
      <c r="F3" s="168" t="s">
        <v>292</v>
      </c>
      <c r="G3" s="168">
        <v>346.72</v>
      </c>
      <c r="H3" s="168">
        <v>0</v>
      </c>
      <c r="I3" s="168">
        <v>0</v>
      </c>
      <c r="J3" s="168"/>
      <c r="K3" s="168">
        <v>995.48</v>
      </c>
      <c r="L3" s="168" t="s">
        <v>293</v>
      </c>
      <c r="M3" s="168">
        <v>44.22</v>
      </c>
      <c r="N3" s="168">
        <v>1488787200</v>
      </c>
      <c r="O3" s="168">
        <v>10</v>
      </c>
      <c r="P3" s="168">
        <v>202</v>
      </c>
      <c r="Q3" s="168">
        <v>12.63</v>
      </c>
      <c r="R3"/>
    </row>
    <row r="4" spans="1:18" x14ac:dyDescent="0.25">
      <c r="A4" s="168">
        <v>36.81</v>
      </c>
      <c r="B4" s="168">
        <v>0.11</v>
      </c>
      <c r="C4" s="168">
        <v>18.690000000000001</v>
      </c>
      <c r="D4" s="8">
        <v>42800.083333333336</v>
      </c>
      <c r="E4" s="168">
        <v>0.37</v>
      </c>
      <c r="F4" s="168" t="s">
        <v>292</v>
      </c>
      <c r="G4" s="168">
        <v>353.9</v>
      </c>
      <c r="H4" s="168">
        <v>0</v>
      </c>
      <c r="I4" s="168">
        <v>0</v>
      </c>
      <c r="J4" s="168"/>
      <c r="K4" s="168">
        <v>995.49</v>
      </c>
      <c r="L4" s="168" t="s">
        <v>293</v>
      </c>
      <c r="M4" s="168">
        <v>43.31</v>
      </c>
      <c r="N4" s="168">
        <v>1488790800</v>
      </c>
      <c r="O4" s="168">
        <v>10</v>
      </c>
      <c r="P4" s="168">
        <v>205</v>
      </c>
      <c r="Q4" s="168">
        <v>12.58</v>
      </c>
      <c r="R4"/>
    </row>
    <row r="5" spans="1:18" x14ac:dyDescent="0.25">
      <c r="A5" s="168">
        <v>35.93</v>
      </c>
      <c r="B5" s="168">
        <v>0.1</v>
      </c>
      <c r="C5" s="168">
        <v>16.43</v>
      </c>
      <c r="D5" s="8">
        <v>42800.125</v>
      </c>
      <c r="E5" s="168">
        <v>0.35</v>
      </c>
      <c r="F5" s="168" t="s">
        <v>292</v>
      </c>
      <c r="G5" s="168">
        <v>364.98</v>
      </c>
      <c r="H5" s="168">
        <v>0</v>
      </c>
      <c r="I5" s="168">
        <v>0</v>
      </c>
      <c r="J5" s="168"/>
      <c r="K5" s="168">
        <v>994.82</v>
      </c>
      <c r="L5" s="168" t="s">
        <v>293</v>
      </c>
      <c r="M5" s="168">
        <v>42.41</v>
      </c>
      <c r="N5" s="168">
        <v>1488794400</v>
      </c>
      <c r="O5" s="168">
        <v>10</v>
      </c>
      <c r="P5" s="168">
        <v>204</v>
      </c>
      <c r="Q5" s="168">
        <v>11.85</v>
      </c>
      <c r="R5"/>
    </row>
    <row r="6" spans="1:18" x14ac:dyDescent="0.25">
      <c r="A6" s="168">
        <v>34.409999999999997</v>
      </c>
      <c r="B6" s="168">
        <v>7.0000000000000007E-2</v>
      </c>
      <c r="C6" s="168">
        <v>14.38</v>
      </c>
      <c r="D6" s="8">
        <v>42800.166666666664</v>
      </c>
      <c r="E6" s="168">
        <v>0.33</v>
      </c>
      <c r="F6" s="168" t="s">
        <v>292</v>
      </c>
      <c r="G6" s="168">
        <v>377.27</v>
      </c>
      <c r="H6" s="168">
        <v>0</v>
      </c>
      <c r="I6" s="168">
        <v>0</v>
      </c>
      <c r="J6" s="168"/>
      <c r="K6" s="168">
        <v>993.99</v>
      </c>
      <c r="L6" s="168" t="s">
        <v>293</v>
      </c>
      <c r="M6" s="168">
        <v>41.48</v>
      </c>
      <c r="N6" s="168">
        <v>1488798000</v>
      </c>
      <c r="O6" s="168">
        <v>10</v>
      </c>
      <c r="P6" s="168">
        <v>207</v>
      </c>
      <c r="Q6" s="168">
        <v>12.87</v>
      </c>
      <c r="R6"/>
    </row>
    <row r="7" spans="1:18" x14ac:dyDescent="0.25">
      <c r="A7" s="168">
        <v>34.299999999999997</v>
      </c>
      <c r="B7" s="168">
        <v>0.12</v>
      </c>
      <c r="C7" s="168">
        <v>13.88</v>
      </c>
      <c r="D7" s="8">
        <v>42800.208333333336</v>
      </c>
      <c r="E7" s="168">
        <v>0.33</v>
      </c>
      <c r="F7" s="168" t="s">
        <v>292</v>
      </c>
      <c r="G7" s="168">
        <v>386.33</v>
      </c>
      <c r="H7" s="168">
        <v>0</v>
      </c>
      <c r="I7" s="168">
        <v>0</v>
      </c>
      <c r="J7" s="168"/>
      <c r="K7" s="168">
        <v>993.92</v>
      </c>
      <c r="L7" s="168" t="s">
        <v>293</v>
      </c>
      <c r="M7" s="168">
        <v>40.93</v>
      </c>
      <c r="N7" s="168">
        <v>1488801600</v>
      </c>
      <c r="O7" s="168">
        <v>10</v>
      </c>
      <c r="P7" s="168">
        <v>214</v>
      </c>
      <c r="Q7" s="168">
        <v>11.24</v>
      </c>
      <c r="R7"/>
    </row>
    <row r="8" spans="1:18" x14ac:dyDescent="0.25">
      <c r="A8" s="168">
        <v>33.950000000000003</v>
      </c>
      <c r="B8" s="168">
        <v>0.24</v>
      </c>
      <c r="C8" s="168">
        <v>14.48</v>
      </c>
      <c r="D8" s="8">
        <v>42800.25</v>
      </c>
      <c r="E8" s="168">
        <v>0.35</v>
      </c>
      <c r="F8" s="168" t="s">
        <v>292</v>
      </c>
      <c r="G8" s="168">
        <v>389.65</v>
      </c>
      <c r="H8" s="168">
        <v>1.5E-3</v>
      </c>
      <c r="I8" s="168">
        <v>0.03</v>
      </c>
      <c r="J8" s="168" t="s">
        <v>792</v>
      </c>
      <c r="K8" s="168">
        <v>995.33</v>
      </c>
      <c r="L8" s="168" t="s">
        <v>293</v>
      </c>
      <c r="M8" s="168">
        <v>39.659999999999997</v>
      </c>
      <c r="N8" s="168">
        <v>1488805200</v>
      </c>
      <c r="O8" s="168">
        <v>10</v>
      </c>
      <c r="P8" s="168">
        <v>218</v>
      </c>
      <c r="Q8" s="168">
        <v>8.44</v>
      </c>
      <c r="R8"/>
    </row>
    <row r="9" spans="1:18" x14ac:dyDescent="0.25">
      <c r="A9" s="168">
        <v>29.46</v>
      </c>
      <c r="B9" s="168">
        <v>0.37</v>
      </c>
      <c r="C9" s="168">
        <v>15.5</v>
      </c>
      <c r="D9" s="8">
        <v>42800.291666666664</v>
      </c>
      <c r="E9" s="168">
        <v>0.41</v>
      </c>
      <c r="F9" s="168" t="s">
        <v>521</v>
      </c>
      <c r="G9" s="168">
        <v>389.75</v>
      </c>
      <c r="H9" s="168">
        <v>2.8999999999999998E-3</v>
      </c>
      <c r="I9" s="168">
        <v>0.09</v>
      </c>
      <c r="J9" s="168" t="s">
        <v>792</v>
      </c>
      <c r="K9" s="168">
        <v>997.95</v>
      </c>
      <c r="L9" s="168" t="s">
        <v>520</v>
      </c>
      <c r="M9" s="168">
        <v>37.229999999999997</v>
      </c>
      <c r="N9" s="168">
        <v>1488808800</v>
      </c>
      <c r="O9" s="168">
        <v>10</v>
      </c>
      <c r="P9" s="168">
        <v>259</v>
      </c>
      <c r="Q9" s="168">
        <v>11.75</v>
      </c>
      <c r="R9"/>
    </row>
    <row r="10" spans="1:18" x14ac:dyDescent="0.25">
      <c r="A10" s="168">
        <v>28.89</v>
      </c>
      <c r="B10" s="168">
        <v>0.43</v>
      </c>
      <c r="C10" s="168">
        <v>14.91</v>
      </c>
      <c r="D10" s="8">
        <v>42800.333333333336</v>
      </c>
      <c r="E10" s="168">
        <v>0.39</v>
      </c>
      <c r="F10" s="168" t="s">
        <v>521</v>
      </c>
      <c r="G10" s="168">
        <v>389.68</v>
      </c>
      <c r="H10" s="168">
        <v>2.0999999999999999E-3</v>
      </c>
      <c r="I10" s="168">
        <v>0.05</v>
      </c>
      <c r="J10" s="168" t="s">
        <v>792</v>
      </c>
      <c r="K10" s="168">
        <v>1000.65</v>
      </c>
      <c r="L10" s="168" t="s">
        <v>520</v>
      </c>
      <c r="M10" s="168">
        <v>37.450000000000003</v>
      </c>
      <c r="N10" s="168">
        <v>1488812400</v>
      </c>
      <c r="O10" s="168">
        <v>10</v>
      </c>
      <c r="P10" s="168">
        <v>283</v>
      </c>
      <c r="Q10" s="168">
        <v>14.05</v>
      </c>
      <c r="R10"/>
    </row>
    <row r="11" spans="1:18" x14ac:dyDescent="0.25">
      <c r="A11" s="168">
        <v>28.85</v>
      </c>
      <c r="B11" s="168">
        <v>0.5</v>
      </c>
      <c r="C11" s="168">
        <v>13.22</v>
      </c>
      <c r="D11" s="8">
        <v>42800.375</v>
      </c>
      <c r="E11" s="168">
        <v>0.35</v>
      </c>
      <c r="F11" s="168" t="s">
        <v>521</v>
      </c>
      <c r="G11" s="168">
        <v>390.32</v>
      </c>
      <c r="H11" s="168">
        <v>2.5000000000000001E-3</v>
      </c>
      <c r="I11" s="168">
        <v>7.0000000000000007E-2</v>
      </c>
      <c r="J11" s="168" t="s">
        <v>792</v>
      </c>
      <c r="K11" s="168">
        <v>1002.56</v>
      </c>
      <c r="L11" s="168" t="s">
        <v>520</v>
      </c>
      <c r="M11" s="168">
        <v>38.409999999999997</v>
      </c>
      <c r="N11" s="168">
        <v>1488816000</v>
      </c>
      <c r="O11" s="168">
        <v>10</v>
      </c>
      <c r="P11" s="168">
        <v>286</v>
      </c>
      <c r="Q11" s="168">
        <v>18.22</v>
      </c>
      <c r="R11"/>
    </row>
    <row r="12" spans="1:18" x14ac:dyDescent="0.25">
      <c r="A12" s="168">
        <v>27.27</v>
      </c>
      <c r="B12" s="168">
        <v>0.48</v>
      </c>
      <c r="C12" s="168">
        <v>9.82</v>
      </c>
      <c r="D12" s="8">
        <v>42800.416666666664</v>
      </c>
      <c r="E12" s="168">
        <v>0.31</v>
      </c>
      <c r="F12" s="168" t="s">
        <v>793</v>
      </c>
      <c r="G12" s="168">
        <v>390.79</v>
      </c>
      <c r="H12" s="168">
        <v>2E-3</v>
      </c>
      <c r="I12" s="168">
        <v>0.05</v>
      </c>
      <c r="J12" s="168" t="s">
        <v>792</v>
      </c>
      <c r="K12" s="168">
        <v>1004.59</v>
      </c>
      <c r="L12" s="168" t="s">
        <v>794</v>
      </c>
      <c r="M12" s="168">
        <v>38.07</v>
      </c>
      <c r="N12" s="168">
        <v>1488819600</v>
      </c>
      <c r="O12" s="168">
        <v>10</v>
      </c>
      <c r="P12" s="168">
        <v>287</v>
      </c>
      <c r="Q12" s="168">
        <v>22.84</v>
      </c>
      <c r="R12"/>
    </row>
    <row r="13" spans="1:18" x14ac:dyDescent="0.25">
      <c r="A13" s="168">
        <v>27.63</v>
      </c>
      <c r="B13" s="168">
        <v>0.47</v>
      </c>
      <c r="C13" s="168">
        <v>7.71</v>
      </c>
      <c r="D13" s="8">
        <v>42800.458333333336</v>
      </c>
      <c r="E13" s="168">
        <v>0.28000000000000003</v>
      </c>
      <c r="F13" s="168" t="s">
        <v>793</v>
      </c>
      <c r="G13" s="168">
        <v>391.61</v>
      </c>
      <c r="H13" s="168">
        <v>1.2999999999999999E-3</v>
      </c>
      <c r="I13" s="168">
        <v>0.02</v>
      </c>
      <c r="J13" s="168" t="s">
        <v>792</v>
      </c>
      <c r="K13" s="168">
        <v>1006.49</v>
      </c>
      <c r="L13" s="168" t="s">
        <v>794</v>
      </c>
      <c r="M13" s="168">
        <v>38.159999999999997</v>
      </c>
      <c r="N13" s="168">
        <v>1488823200</v>
      </c>
      <c r="O13" s="168">
        <v>10</v>
      </c>
      <c r="P13" s="168">
        <v>290</v>
      </c>
      <c r="Q13" s="168">
        <v>21.78</v>
      </c>
      <c r="R13"/>
    </row>
    <row r="14" spans="1:18" x14ac:dyDescent="0.25">
      <c r="A14" s="168">
        <v>28.86</v>
      </c>
      <c r="B14" s="168">
        <v>0.48</v>
      </c>
      <c r="C14" s="168">
        <v>6.83</v>
      </c>
      <c r="D14" s="8">
        <v>42800.5</v>
      </c>
      <c r="E14" s="168">
        <v>0.26</v>
      </c>
      <c r="F14" s="168" t="s">
        <v>793</v>
      </c>
      <c r="G14" s="168">
        <v>393.5</v>
      </c>
      <c r="H14" s="168">
        <v>8.9999999999999998E-4</v>
      </c>
      <c r="I14" s="168">
        <v>0.01</v>
      </c>
      <c r="J14" s="168" t="s">
        <v>792</v>
      </c>
      <c r="K14" s="168">
        <v>1007.73</v>
      </c>
      <c r="L14" s="168" t="s">
        <v>794</v>
      </c>
      <c r="M14" s="168">
        <v>39.03</v>
      </c>
      <c r="N14" s="168">
        <v>1488826800</v>
      </c>
      <c r="O14" s="168">
        <v>10</v>
      </c>
      <c r="P14" s="168">
        <v>292</v>
      </c>
      <c r="Q14" s="168">
        <v>21.47</v>
      </c>
      <c r="R14"/>
    </row>
    <row r="15" spans="1:18" x14ac:dyDescent="0.25">
      <c r="A15" s="168">
        <v>28.81</v>
      </c>
      <c r="B15" s="168">
        <v>0.48</v>
      </c>
      <c r="C15" s="168">
        <v>6.28</v>
      </c>
      <c r="D15" s="8">
        <v>42800.541666666664</v>
      </c>
      <c r="E15" s="168">
        <v>0.25</v>
      </c>
      <c r="F15" s="168" t="s">
        <v>521</v>
      </c>
      <c r="G15" s="168">
        <v>395.75</v>
      </c>
      <c r="H15" s="168">
        <v>1.1000000000000001E-3</v>
      </c>
      <c r="I15" s="168">
        <v>0.01</v>
      </c>
      <c r="J15" s="168" t="s">
        <v>792</v>
      </c>
      <c r="K15" s="168">
        <v>1008.47</v>
      </c>
      <c r="L15" s="168" t="s">
        <v>520</v>
      </c>
      <c r="M15" s="168">
        <v>38.75</v>
      </c>
      <c r="N15" s="168">
        <v>1488830400</v>
      </c>
      <c r="O15" s="168">
        <v>10</v>
      </c>
      <c r="P15" s="168">
        <v>288</v>
      </c>
      <c r="Q15" s="168">
        <v>20.11</v>
      </c>
      <c r="R15"/>
    </row>
    <row r="16" spans="1:18" x14ac:dyDescent="0.25">
      <c r="A16" s="168">
        <v>30.07</v>
      </c>
      <c r="B16" s="168">
        <v>0.49</v>
      </c>
      <c r="C16" s="168">
        <v>7.07</v>
      </c>
      <c r="D16" s="8">
        <v>42800.583333333336</v>
      </c>
      <c r="E16" s="168">
        <v>0.26</v>
      </c>
      <c r="F16" s="168" t="s">
        <v>521</v>
      </c>
      <c r="G16" s="168">
        <v>396.62</v>
      </c>
      <c r="H16" s="168">
        <v>0</v>
      </c>
      <c r="I16" s="168">
        <v>0</v>
      </c>
      <c r="J16" s="168"/>
      <c r="K16" s="168">
        <v>1009.28</v>
      </c>
      <c r="L16" s="168" t="s">
        <v>520</v>
      </c>
      <c r="M16" s="168">
        <v>39.35</v>
      </c>
      <c r="N16" s="168">
        <v>1488834000</v>
      </c>
      <c r="O16" s="168">
        <v>10</v>
      </c>
      <c r="P16" s="168">
        <v>291</v>
      </c>
      <c r="Q16" s="168">
        <v>18.28</v>
      </c>
      <c r="R16"/>
    </row>
    <row r="17" spans="1:18" x14ac:dyDescent="0.25">
      <c r="A17" s="168">
        <v>29.72</v>
      </c>
      <c r="B17" s="168">
        <v>0.4</v>
      </c>
      <c r="C17" s="168">
        <v>6.17</v>
      </c>
      <c r="D17" s="8">
        <v>42800.625</v>
      </c>
      <c r="E17" s="168">
        <v>0.25</v>
      </c>
      <c r="F17" s="168" t="s">
        <v>521</v>
      </c>
      <c r="G17" s="168">
        <v>394.84</v>
      </c>
      <c r="H17" s="168">
        <v>0</v>
      </c>
      <c r="I17" s="168">
        <v>0</v>
      </c>
      <c r="J17" s="168"/>
      <c r="K17" s="168">
        <v>1010.33</v>
      </c>
      <c r="L17" s="168" t="s">
        <v>520</v>
      </c>
      <c r="M17" s="168">
        <v>38.96</v>
      </c>
      <c r="N17" s="168">
        <v>1488837600</v>
      </c>
      <c r="O17" s="168">
        <v>10</v>
      </c>
      <c r="P17" s="168">
        <v>290</v>
      </c>
      <c r="Q17" s="168">
        <v>17.670000000000002</v>
      </c>
      <c r="R17"/>
    </row>
    <row r="18" spans="1:18" x14ac:dyDescent="0.25">
      <c r="A18" s="168">
        <v>27.39</v>
      </c>
      <c r="B18" s="168">
        <v>0.35</v>
      </c>
      <c r="C18" s="168">
        <v>4.8499999999999996</v>
      </c>
      <c r="D18" s="8">
        <v>42800.666666666664</v>
      </c>
      <c r="E18" s="168">
        <v>0.26</v>
      </c>
      <c r="F18" s="168" t="s">
        <v>521</v>
      </c>
      <c r="G18" s="168">
        <v>391.7</v>
      </c>
      <c r="H18" s="168">
        <v>0</v>
      </c>
      <c r="I18" s="168">
        <v>0</v>
      </c>
      <c r="J18" s="168"/>
      <c r="K18" s="168">
        <v>1011.49</v>
      </c>
      <c r="L18" s="168" t="s">
        <v>520</v>
      </c>
      <c r="M18" s="168">
        <v>36.89</v>
      </c>
      <c r="N18" s="168">
        <v>1488841200</v>
      </c>
      <c r="O18" s="168">
        <v>10</v>
      </c>
      <c r="P18" s="168">
        <v>293</v>
      </c>
      <c r="Q18" s="168">
        <v>16.47</v>
      </c>
      <c r="R18"/>
    </row>
    <row r="19" spans="1:18" x14ac:dyDescent="0.25">
      <c r="A19" s="168">
        <v>24.51</v>
      </c>
      <c r="B19" s="168">
        <v>0.17</v>
      </c>
      <c r="C19" s="168">
        <v>2.76</v>
      </c>
      <c r="D19" s="8">
        <v>42800.708333333336</v>
      </c>
      <c r="E19" s="168">
        <v>0.26</v>
      </c>
      <c r="F19" s="168" t="s">
        <v>795</v>
      </c>
      <c r="G19" s="168">
        <v>389.35</v>
      </c>
      <c r="H19" s="168">
        <v>0</v>
      </c>
      <c r="I19" s="168">
        <v>0</v>
      </c>
      <c r="J19" s="168"/>
      <c r="K19" s="168">
        <v>1012.83</v>
      </c>
      <c r="L19" s="168" t="s">
        <v>293</v>
      </c>
      <c r="M19" s="168">
        <v>34.33</v>
      </c>
      <c r="N19" s="168">
        <v>1488844800</v>
      </c>
      <c r="O19" s="168">
        <v>10</v>
      </c>
      <c r="P19" s="168">
        <v>288</v>
      </c>
      <c r="Q19" s="168">
        <v>15.21</v>
      </c>
      <c r="R19"/>
    </row>
    <row r="20" spans="1:18" x14ac:dyDescent="0.25">
      <c r="A20" s="168">
        <v>20.78</v>
      </c>
      <c r="B20" s="168">
        <v>0.28000000000000003</v>
      </c>
      <c r="C20" s="168">
        <v>2.5499999999999998</v>
      </c>
      <c r="D20" s="8">
        <v>42800.75</v>
      </c>
      <c r="E20" s="168">
        <v>0.28999999999999998</v>
      </c>
      <c r="F20" s="168" t="s">
        <v>519</v>
      </c>
      <c r="G20" s="168">
        <v>388.61</v>
      </c>
      <c r="H20" s="168">
        <v>0</v>
      </c>
      <c r="I20" s="168">
        <v>0</v>
      </c>
      <c r="J20" s="168"/>
      <c r="K20" s="168">
        <v>1014.2</v>
      </c>
      <c r="L20" s="168" t="s">
        <v>520</v>
      </c>
      <c r="M20" s="168">
        <v>30.62</v>
      </c>
      <c r="N20" s="168">
        <v>1488848400</v>
      </c>
      <c r="O20" s="168">
        <v>10</v>
      </c>
      <c r="P20" s="168">
        <v>286</v>
      </c>
      <c r="Q20" s="168">
        <v>12.61</v>
      </c>
      <c r="R20"/>
    </row>
    <row r="21" spans="1:18" x14ac:dyDescent="0.25">
      <c r="A21" s="168">
        <v>19.57</v>
      </c>
      <c r="B21" s="168">
        <v>0.24</v>
      </c>
      <c r="C21" s="168">
        <v>4.66</v>
      </c>
      <c r="D21" s="8">
        <v>42800.791666666664</v>
      </c>
      <c r="E21" s="168">
        <v>0.35</v>
      </c>
      <c r="F21" s="168" t="s">
        <v>292</v>
      </c>
      <c r="G21" s="168">
        <v>388.67</v>
      </c>
      <c r="H21" s="168">
        <v>0</v>
      </c>
      <c r="I21" s="168">
        <v>0</v>
      </c>
      <c r="J21" s="168"/>
      <c r="K21" s="168">
        <v>1016.04</v>
      </c>
      <c r="L21" s="168" t="s">
        <v>293</v>
      </c>
      <c r="M21" s="168">
        <v>28.68</v>
      </c>
      <c r="N21" s="168">
        <v>1488852000</v>
      </c>
      <c r="O21" s="168">
        <v>10</v>
      </c>
      <c r="P21" s="168">
        <v>285</v>
      </c>
      <c r="Q21" s="168">
        <v>10.07</v>
      </c>
      <c r="R21"/>
    </row>
    <row r="22" spans="1:18" x14ac:dyDescent="0.25">
      <c r="A22" s="168">
        <v>18.420000000000002</v>
      </c>
      <c r="B22" s="168">
        <v>0.23</v>
      </c>
      <c r="C22" s="168">
        <v>5.9</v>
      </c>
      <c r="D22" s="8">
        <v>42800.833333333336</v>
      </c>
      <c r="E22" s="168">
        <v>0.39</v>
      </c>
      <c r="F22" s="168" t="s">
        <v>292</v>
      </c>
      <c r="G22" s="168">
        <v>389.12</v>
      </c>
      <c r="H22" s="168">
        <v>0</v>
      </c>
      <c r="I22" s="168">
        <v>0</v>
      </c>
      <c r="J22" s="168"/>
      <c r="K22" s="168">
        <v>1017.73</v>
      </c>
      <c r="L22" s="168" t="s">
        <v>293</v>
      </c>
      <c r="M22" s="168">
        <v>27.64</v>
      </c>
      <c r="N22" s="168">
        <v>1488855600</v>
      </c>
      <c r="O22" s="168">
        <v>10</v>
      </c>
      <c r="P22" s="168">
        <v>285</v>
      </c>
      <c r="Q22" s="168">
        <v>9.83</v>
      </c>
      <c r="R22"/>
    </row>
    <row r="23" spans="1:18" x14ac:dyDescent="0.25">
      <c r="A23" s="168">
        <v>18.86</v>
      </c>
      <c r="B23" s="168">
        <v>0.22</v>
      </c>
      <c r="C23" s="168">
        <v>6.57</v>
      </c>
      <c r="D23" s="8">
        <v>42800.875</v>
      </c>
      <c r="E23" s="168">
        <v>0.4</v>
      </c>
      <c r="F23" s="168" t="s">
        <v>292</v>
      </c>
      <c r="G23" s="168">
        <v>390.32</v>
      </c>
      <c r="H23" s="168">
        <v>0</v>
      </c>
      <c r="I23" s="168">
        <v>0</v>
      </c>
      <c r="J23" s="168"/>
      <c r="K23" s="168">
        <v>1018.95</v>
      </c>
      <c r="L23" s="168" t="s">
        <v>293</v>
      </c>
      <c r="M23" s="168">
        <v>27.75</v>
      </c>
      <c r="N23" s="168">
        <v>1488859200</v>
      </c>
      <c r="O23" s="168">
        <v>10</v>
      </c>
      <c r="P23" s="168">
        <v>279</v>
      </c>
      <c r="Q23" s="168">
        <v>9.31</v>
      </c>
      <c r="R23"/>
    </row>
    <row r="24" spans="1:18" x14ac:dyDescent="0.25">
      <c r="A24" s="168">
        <v>18.5</v>
      </c>
      <c r="B24" s="168">
        <v>0.24</v>
      </c>
      <c r="C24" s="168">
        <v>5.93</v>
      </c>
      <c r="D24" s="8">
        <v>42800.916666666664</v>
      </c>
      <c r="E24" s="168">
        <v>0.41</v>
      </c>
      <c r="F24" s="168" t="s">
        <v>292</v>
      </c>
      <c r="G24" s="168">
        <v>391.93</v>
      </c>
      <c r="H24" s="168">
        <v>0</v>
      </c>
      <c r="I24" s="168">
        <v>0</v>
      </c>
      <c r="J24" s="168"/>
      <c r="K24" s="168">
        <v>1019.84</v>
      </c>
      <c r="L24" s="168" t="s">
        <v>293</v>
      </c>
      <c r="M24" s="168">
        <v>26.51</v>
      </c>
      <c r="N24" s="168">
        <v>1488862800</v>
      </c>
      <c r="O24" s="168">
        <v>10</v>
      </c>
      <c r="P24" s="168">
        <v>270</v>
      </c>
      <c r="Q24" s="168">
        <v>7.52</v>
      </c>
      <c r="R24"/>
    </row>
    <row r="25" spans="1:18" x14ac:dyDescent="0.25">
      <c r="A25" s="168">
        <v>20.12</v>
      </c>
      <c r="B25" s="168">
        <v>0.26</v>
      </c>
      <c r="C25" s="168">
        <v>6.26</v>
      </c>
      <c r="D25" s="8">
        <v>42800.958333333336</v>
      </c>
      <c r="E25" s="168">
        <v>0.4</v>
      </c>
      <c r="F25" s="168" t="s">
        <v>519</v>
      </c>
      <c r="G25" s="168">
        <v>392.54</v>
      </c>
      <c r="H25" s="168">
        <v>0</v>
      </c>
      <c r="I25" s="168">
        <v>0</v>
      </c>
      <c r="J25" s="168"/>
      <c r="K25" s="168">
        <v>1020.44</v>
      </c>
      <c r="L25" s="168" t="s">
        <v>520</v>
      </c>
      <c r="M25" s="168">
        <v>27.38</v>
      </c>
      <c r="N25" s="168">
        <v>1488866400</v>
      </c>
      <c r="O25" s="168">
        <v>10</v>
      </c>
      <c r="P25" s="168">
        <v>266</v>
      </c>
      <c r="Q25" s="168">
        <v>6.75</v>
      </c>
      <c r="R25"/>
    </row>
    <row r="26" spans="1:18" x14ac:dyDescent="0.25">
      <c r="A26" s="168">
        <v>20.65</v>
      </c>
      <c r="B26" s="168">
        <v>0.26</v>
      </c>
      <c r="C26" s="168">
        <v>3.59</v>
      </c>
      <c r="D26" s="8">
        <v>42801</v>
      </c>
      <c r="E26" s="168">
        <v>0.35</v>
      </c>
      <c r="F26" s="168" t="s">
        <v>519</v>
      </c>
      <c r="G26" s="168">
        <v>390.69</v>
      </c>
      <c r="H26" s="168">
        <v>0</v>
      </c>
      <c r="I26" s="168">
        <v>0</v>
      </c>
      <c r="J26" s="168"/>
      <c r="K26" s="168">
        <v>1020.56</v>
      </c>
      <c r="L26" s="168" t="s">
        <v>520</v>
      </c>
      <c r="M26" s="168">
        <v>27.64</v>
      </c>
      <c r="N26" s="168">
        <v>1488870000</v>
      </c>
      <c r="O26" s="168">
        <v>7.82</v>
      </c>
      <c r="P26" s="168">
        <v>272</v>
      </c>
      <c r="Q26" s="168">
        <v>6.47</v>
      </c>
      <c r="R26"/>
    </row>
    <row r="27" spans="1:18" x14ac:dyDescent="0.25">
      <c r="A27" s="168">
        <v>19.940000000000001</v>
      </c>
      <c r="B27" s="168">
        <v>0.18</v>
      </c>
      <c r="C27" s="168">
        <v>0.56000000000000005</v>
      </c>
      <c r="D27" s="8">
        <v>42801.041666666664</v>
      </c>
      <c r="E27" s="168">
        <v>0.31</v>
      </c>
      <c r="F27" s="168" t="s">
        <v>292</v>
      </c>
      <c r="G27" s="168">
        <v>388.83</v>
      </c>
      <c r="H27" s="168">
        <v>0</v>
      </c>
      <c r="I27" s="168">
        <v>0</v>
      </c>
      <c r="J27" s="168"/>
      <c r="K27" s="168">
        <v>1020.7</v>
      </c>
      <c r="L27" s="168" t="s">
        <v>293</v>
      </c>
      <c r="M27" s="168">
        <v>27.22</v>
      </c>
      <c r="N27" s="168">
        <v>1488873600</v>
      </c>
      <c r="O27" s="168">
        <v>7.8</v>
      </c>
      <c r="P27" s="168">
        <v>271</v>
      </c>
      <c r="Q27" s="168">
        <v>6.74</v>
      </c>
      <c r="R27"/>
    </row>
    <row r="28" spans="1:18" x14ac:dyDescent="0.25">
      <c r="A28" s="168">
        <v>20.38</v>
      </c>
      <c r="B28" s="168">
        <v>0.18</v>
      </c>
      <c r="C28" s="168">
        <v>-0.76</v>
      </c>
      <c r="D28" s="8">
        <v>42801.083333333336</v>
      </c>
      <c r="E28" s="168">
        <v>0.28999999999999998</v>
      </c>
      <c r="F28" s="168" t="s">
        <v>292</v>
      </c>
      <c r="G28" s="168">
        <v>386.98</v>
      </c>
      <c r="H28" s="168">
        <v>0</v>
      </c>
      <c r="I28" s="168">
        <v>0</v>
      </c>
      <c r="J28" s="168"/>
      <c r="K28" s="168">
        <v>1020.86</v>
      </c>
      <c r="L28" s="168" t="s">
        <v>293</v>
      </c>
      <c r="M28" s="168">
        <v>27.02</v>
      </c>
      <c r="N28" s="168">
        <v>1488877200</v>
      </c>
      <c r="O28" s="168">
        <v>10</v>
      </c>
      <c r="P28" s="168">
        <v>260</v>
      </c>
      <c r="Q28" s="168">
        <v>5.91</v>
      </c>
      <c r="R28"/>
    </row>
    <row r="29" spans="1:18" x14ac:dyDescent="0.25">
      <c r="A29" s="168">
        <v>17.47</v>
      </c>
      <c r="B29" s="168">
        <v>0.22</v>
      </c>
      <c r="C29" s="168">
        <v>-0.38</v>
      </c>
      <c r="D29" s="8">
        <v>42801.125</v>
      </c>
      <c r="E29" s="168">
        <v>0.33</v>
      </c>
      <c r="F29" s="168" t="s">
        <v>292</v>
      </c>
      <c r="G29" s="168">
        <v>383.84</v>
      </c>
      <c r="H29" s="168">
        <v>0</v>
      </c>
      <c r="I29" s="168">
        <v>0</v>
      </c>
      <c r="J29" s="168"/>
      <c r="K29" s="168">
        <v>1021.49</v>
      </c>
      <c r="L29" s="168" t="s">
        <v>293</v>
      </c>
      <c r="M29" s="168">
        <v>24.8</v>
      </c>
      <c r="N29" s="168">
        <v>1488880800</v>
      </c>
      <c r="O29" s="168">
        <v>10</v>
      </c>
      <c r="P29" s="168">
        <v>248</v>
      </c>
      <c r="Q29" s="168">
        <v>6.22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4"/>
  <sheetViews>
    <sheetView topLeftCell="M1" workbookViewId="0">
      <selection activeCell="T6" sqref="T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1011</v>
      </c>
      <c r="U1" s="219"/>
      <c r="V1" s="219"/>
      <c r="W1" s="219"/>
      <c r="X1" s="219"/>
    </row>
    <row r="2" spans="1:24" ht="15.75" thickBot="1" x14ac:dyDescent="0.3">
      <c r="A2" s="12">
        <v>42800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1012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1024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1025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1026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960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961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962</v>
      </c>
      <c r="J20" s="152" t="s">
        <v>87</v>
      </c>
      <c r="M20" s="168" t="s">
        <v>988</v>
      </c>
      <c r="N20" s="168" t="s">
        <v>988</v>
      </c>
      <c r="T20" s="197"/>
      <c r="U20" s="197"/>
      <c r="V20" s="197"/>
      <c r="W20" s="197"/>
      <c r="X20" s="197"/>
    </row>
    <row r="21" spans="3:24" x14ac:dyDescent="0.25">
      <c r="C21" t="s">
        <v>963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964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965</v>
      </c>
      <c r="J23" s="162" t="s">
        <v>95</v>
      </c>
      <c r="M23" s="168" t="str">
        <f>"-07"</f>
        <v>-07</v>
      </c>
      <c r="T23" s="197"/>
      <c r="U23" s="197"/>
      <c r="V23" s="197"/>
      <c r="W23" s="197"/>
      <c r="X23" s="197"/>
    </row>
    <row r="24" spans="3:24" x14ac:dyDescent="0.25">
      <c r="C24" t="s">
        <v>966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967</v>
      </c>
      <c r="J25" s="152" t="s">
        <v>150</v>
      </c>
      <c r="M25" s="168" t="b">
        <v>1</v>
      </c>
    </row>
    <row r="26" spans="3:24" x14ac:dyDescent="0.25">
      <c r="C26" t="s">
        <v>968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C:\Users\stu\Documents\GitHub\eaglep3-reporting\EC\2017-03-06-refined-times.txt</v>
      </c>
    </row>
    <row r="27" spans="3:24" x14ac:dyDescent="0.25">
      <c r="C27" t="s">
        <v>969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C:\Users\stu\Documents\GitHub\eaglep3-reporting\EC\2017-03-06-Enforcements.txt</v>
      </c>
    </row>
    <row r="28" spans="3:24" x14ac:dyDescent="0.25">
      <c r="C28" t="s">
        <v>970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C:\Users\stu\Documents\GitHub\eaglep3-reporting\EC\2017-03-06-Runs-refined.txt</v>
      </c>
    </row>
    <row r="29" spans="3:24" x14ac:dyDescent="0.25">
      <c r="C29" t="s">
        <v>971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C:\Users\stu\Documents\GitHub\eaglep3-reporting\EC\2017-03-06-Trips.txt</v>
      </c>
    </row>
    <row r="30" spans="3:24" x14ac:dyDescent="0.25">
      <c r="C30" t="s">
        <v>972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C:\Users\stu\Documents\GitHub\eaglep3-reporting\EC\2017-03-06-Weather.txt</v>
      </c>
    </row>
    <row r="31" spans="3:24" x14ac:dyDescent="0.25">
      <c r="C31" t="s">
        <v>973</v>
      </c>
      <c r="J31" s="152" t="s">
        <v>207</v>
      </c>
      <c r="M31" s="168" t="s">
        <v>208</v>
      </c>
    </row>
    <row r="32" spans="3:24" x14ac:dyDescent="0.25">
      <c r="C32" t="s">
        <v>974</v>
      </c>
    </row>
    <row r="33" spans="3:3" x14ac:dyDescent="0.25">
      <c r="C33" t="s">
        <v>975</v>
      </c>
    </row>
    <row r="34" spans="3:3" x14ac:dyDescent="0.25">
      <c r="C34" t="s">
        <v>976</v>
      </c>
    </row>
    <row r="35" spans="3:3" x14ac:dyDescent="0.25">
      <c r="C35" t="s">
        <v>977</v>
      </c>
    </row>
    <row r="36" spans="3:3" x14ac:dyDescent="0.25">
      <c r="C36" t="s">
        <v>978</v>
      </c>
    </row>
    <row r="37" spans="3:3" x14ac:dyDescent="0.25">
      <c r="C37" t="s">
        <v>979</v>
      </c>
    </row>
    <row r="38" spans="3:3" x14ac:dyDescent="0.25">
      <c r="C38" t="s">
        <v>980</v>
      </c>
    </row>
    <row r="39" spans="3:3" x14ac:dyDescent="0.25">
      <c r="C39" t="s">
        <v>981</v>
      </c>
    </row>
    <row r="40" spans="3:3" x14ac:dyDescent="0.25">
      <c r="C40" t="s">
        <v>982</v>
      </c>
    </row>
    <row r="41" spans="3:3" x14ac:dyDescent="0.25">
      <c r="C41" t="s">
        <v>983</v>
      </c>
    </row>
    <row r="42" spans="3:3" x14ac:dyDescent="0.25">
      <c r="C42" t="s">
        <v>984</v>
      </c>
    </row>
    <row r="43" spans="3:3" x14ac:dyDescent="0.25">
      <c r="C43" t="s">
        <v>985</v>
      </c>
    </row>
    <row r="44" spans="3:3" x14ac:dyDescent="0.25">
      <c r="C44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320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321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322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323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324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325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326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327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328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329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330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331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332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333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334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335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336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337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338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339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340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341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342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343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344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345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346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347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348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349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350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351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352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353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354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355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356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357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358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359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360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361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362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363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364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365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366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367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368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369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370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371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372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373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374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375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376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377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378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379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380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381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382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383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384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385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386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387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388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389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390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391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392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393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394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395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396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397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398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399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400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401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402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403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404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405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406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407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408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409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410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411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412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413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414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415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416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417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418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419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420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421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422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423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424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425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426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427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428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429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430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431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432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433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434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435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436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437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438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439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440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441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442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443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444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445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446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447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448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449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2017-03-10T13:56:17Z</dcterms:modified>
</cp:coreProperties>
</file>